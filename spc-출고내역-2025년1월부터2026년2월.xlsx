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fjh\dev\산방식당발주프로그램\"/>
    </mc:Choice>
  </mc:AlternateContent>
  <xr:revisionPtr revIDLastSave="0" documentId="13_ncr:1_{8AE93A2F-B4B6-4CBA-B546-03D9179DB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제주_주간출고현황" sheetId="12" r:id="rId2"/>
    <sheet name="서울_주간출고현황" sheetId="13" r:id="rId3"/>
    <sheet name="SPC물류외 범용" sheetId="16" r:id="rId4"/>
  </sheets>
  <definedNames>
    <definedName name="_xlnm._FilterDatabase" localSheetId="0" hidden="1">Data!$A$1:$Q$3660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02" i="1" l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</calcChain>
</file>

<file path=xl/sharedStrings.xml><?xml version="1.0" encoding="utf-8"?>
<sst xmlns="http://schemas.openxmlformats.org/spreadsheetml/2006/main" count="37565" uniqueCount="454">
  <si>
    <t>상품명</t>
  </si>
  <si>
    <t>전/범용 구분</t>
  </si>
  <si>
    <t>상품규격</t>
  </si>
  <si>
    <t>상품단위</t>
  </si>
  <si>
    <t>과세여부</t>
  </si>
  <si>
    <t>매출구분</t>
  </si>
  <si>
    <t>일자</t>
  </si>
  <si>
    <t>매출처명</t>
  </si>
  <si>
    <t>판매단가</t>
  </si>
  <si>
    <t>수량</t>
  </si>
  <si>
    <t>공급가액</t>
  </si>
  <si>
    <t>세액</t>
  </si>
  <si>
    <t>합계</t>
  </si>
  <si>
    <t>생밀면(산방식당/냉장/11.2KG)BOX</t>
  </si>
  <si>
    <t>전용</t>
  </si>
  <si>
    <t>1.4KG*8EA</t>
  </si>
  <si>
    <t>BOX</t>
  </si>
  <si>
    <t>Y</t>
  </si>
  <si>
    <t>정상주문</t>
  </si>
  <si>
    <t>2025-01-01</t>
  </si>
  <si>
    <t>산방식당(동일옥)</t>
  </si>
  <si>
    <t>아삭한김치왕만두70(산방식당/한만두/냉동/8.4KG/국산)BOX</t>
  </si>
  <si>
    <t>1.4KG*6EA</t>
  </si>
  <si>
    <t>왕만두(산방식당/한만두/냉동/7.2KG)BOX</t>
  </si>
  <si>
    <t>1.2KG*6EA</t>
  </si>
  <si>
    <t>ⓕ양조식초(오뚜기)1.8L</t>
  </si>
  <si>
    <t>범용</t>
  </si>
  <si>
    <t>1.8L*6EA</t>
  </si>
  <si>
    <t>EA</t>
  </si>
  <si>
    <t>ⓕ진간장(면세/화미)1.8L</t>
  </si>
  <si>
    <t>1.8L*8EA</t>
  </si>
  <si>
    <t>N</t>
  </si>
  <si>
    <t>고기국수육수(산방식당/5kg*2ea/냉동)BOX</t>
  </si>
  <si>
    <t>5KG*2EA/BOX</t>
  </si>
  <si>
    <t>제주산방식당 대한상공회의소점(직)(신)</t>
  </si>
  <si>
    <t>양념장(산방식당/냉장/10KG)BOX</t>
  </si>
  <si>
    <t>2KG*5EA / 1박스</t>
  </si>
  <si>
    <t>ⓕ뉴슈가(뚜레반)60g</t>
  </si>
  <si>
    <t>60G</t>
  </si>
  <si>
    <t>ⓕ사과식초(오뚜기)1.8L</t>
  </si>
  <si>
    <t>ⓕ진한돈골농축액(대상/2kg/가염)1EA</t>
  </si>
  <si>
    <t>2KG*5EA/BOX</t>
  </si>
  <si>
    <t>뒷다리(산방식당/국내산/냉장/20KG내외/영진)KG</t>
  </si>
  <si>
    <t>20KG 내외</t>
  </si>
  <si>
    <t>KG</t>
  </si>
  <si>
    <t>ⓕ니트릴장갑(M사이즈/코디엠/바이올렛블루/100입)pak</t>
  </si>
  <si>
    <t>100입/PAK</t>
  </si>
  <si>
    <t>PAK</t>
  </si>
  <si>
    <t>2025-01-03</t>
  </si>
  <si>
    <t>제주산방식당 제주함덕점</t>
  </si>
  <si>
    <t>제주산방식당 제주화북점</t>
  </si>
  <si>
    <t>육수간장(산방식당/12KG/냉장)BOX</t>
  </si>
  <si>
    <t>4KG*3EA</t>
  </si>
  <si>
    <t>2025-01-06</t>
  </si>
  <si>
    <t>ⓕ단무지(한성/점보/반달/면세)2.7kg</t>
  </si>
  <si>
    <t>2.7KG*4EA</t>
  </si>
  <si>
    <t>ⓕ배추(상품/겉잎제거/국산)1kg</t>
  </si>
  <si>
    <t>1KG</t>
  </si>
  <si>
    <t>비빔전용장(산방식당/냉장/10KG)BOX</t>
  </si>
  <si>
    <t>제주산방식당 제주외도점</t>
  </si>
  <si>
    <t>제주산방식당 제주중문점</t>
  </si>
  <si>
    <t>2025-01-08</t>
  </si>
  <si>
    <t>ⓕ세척무(상품/국산)2kg내외</t>
  </si>
  <si>
    <t>2KG</t>
  </si>
  <si>
    <t>ⓕ[PB]테이블냅킨(트루델/100매*80밴드/8000매)BOX</t>
  </si>
  <si>
    <t>원료</t>
  </si>
  <si>
    <t>8000매/BOX</t>
  </si>
  <si>
    <t>ⓕ굴소스(대상/스파우트/2kg)1EA</t>
  </si>
  <si>
    <t>ⓕ꽃소금(염서방/수입/파우치)3KG</t>
  </si>
  <si>
    <t>3KG</t>
  </si>
  <si>
    <t>ⓕ흑후추가루(솔표)200g</t>
  </si>
  <si>
    <t>200G*50EA</t>
  </si>
  <si>
    <t>2025-01-10</t>
  </si>
  <si>
    <t>ⓕ미풍(CJ)1kg</t>
  </si>
  <si>
    <t>2025-01-13</t>
  </si>
  <si>
    <t>2025-01-15</t>
  </si>
  <si>
    <t>ⓕ[PB]참기름(트루델/깨분/1.8L*6EA/베트남산)EA</t>
  </si>
  <si>
    <t>ⓕ세척기용린스(샤이니즈/18.75L)20kg</t>
  </si>
  <si>
    <t>18.75L / 20KG</t>
  </si>
  <si>
    <t>2025-01-17</t>
  </si>
  <si>
    <t>ⓕCAN/사이다(저장/롯데칠성/캔/355ml*24ea)box</t>
  </si>
  <si>
    <t>355ML*24EA/BOX</t>
  </si>
  <si>
    <t>ⓕCAN/코카콜라(저장/코카콜라/355ml*24ea)box</t>
  </si>
  <si>
    <t>2025-01-20</t>
  </si>
  <si>
    <t>ⓕ[생야채소독]락스(하이코리아)11.6L</t>
  </si>
  <si>
    <t>11.6L</t>
  </si>
  <si>
    <t>ⓕ세척기용세제(샤이니즈/18.75L)20kg</t>
  </si>
  <si>
    <t>ⓕ식품용랩(유니/업소용)30cm</t>
  </si>
  <si>
    <t>30CM*500M</t>
  </si>
  <si>
    <t>2025-01-22</t>
  </si>
  <si>
    <t>2025-01-24</t>
  </si>
  <si>
    <t>ⓕ꽃소금(CJ/백설)3kg</t>
  </si>
  <si>
    <t>3KG*6EA</t>
  </si>
  <si>
    <t>ⓕ비식품용쓰레기봉투(백색/76*94/70L)50매</t>
  </si>
  <si>
    <t>70L</t>
  </si>
  <si>
    <t>2025-01-27</t>
  </si>
  <si>
    <t>동래정 목동점(산방식당)</t>
  </si>
  <si>
    <t>2025-01-28</t>
  </si>
  <si>
    <t>2025-01-31</t>
  </si>
  <si>
    <t>2025-02-03</t>
  </si>
  <si>
    <t>ⓕ백설탕(CJ/정백당)3kg</t>
  </si>
  <si>
    <t>3KG*8EA</t>
  </si>
  <si>
    <t>2025-02-05</t>
  </si>
  <si>
    <t>ⓕ종이컵(화미/6.5oz/자판기용)1000입</t>
  </si>
  <si>
    <t>50입*20PAK</t>
  </si>
  <si>
    <t>ⓕ미향(오뚜기)1.8L</t>
  </si>
  <si>
    <t>2025-02-07</t>
  </si>
  <si>
    <t>ⓕ고추장(CJ/해찬들/태양초/면세)3kg</t>
  </si>
  <si>
    <t>3KG*4EA</t>
  </si>
  <si>
    <t>2025-02-10</t>
  </si>
  <si>
    <t>2025-02-12</t>
  </si>
  <si>
    <t>2025-02-14</t>
  </si>
  <si>
    <t>ⓕ뉴슈가(풍전/아기표)60g</t>
  </si>
  <si>
    <t>60G*10EA</t>
  </si>
  <si>
    <t>2025-02-17</t>
  </si>
  <si>
    <t>2025-02-19</t>
  </si>
  <si>
    <t>2025-02-21</t>
  </si>
  <si>
    <t>2025-02-24</t>
  </si>
  <si>
    <t>산방식당_협재점</t>
  </si>
  <si>
    <t>2025-02-26</t>
  </si>
  <si>
    <t>ⓕ캡사이신액상(청우)550g</t>
  </si>
  <si>
    <t>550G*12EA</t>
  </si>
  <si>
    <t>2025-02-28</t>
  </si>
  <si>
    <t>ⓕ울스텐수세미(빨강/10*14/개별포장 X)ea</t>
  </si>
  <si>
    <t>10*14</t>
  </si>
  <si>
    <t>2025-03-03</t>
  </si>
  <si>
    <t>2025-03-05</t>
  </si>
  <si>
    <t>ⓕ빙초산(뚜레반)180ml</t>
  </si>
  <si>
    <t>180ML</t>
  </si>
  <si>
    <t>2025-03-07</t>
  </si>
  <si>
    <t>2025-03-10</t>
  </si>
  <si>
    <t>ⓕ다시다(CJ/쇠고기)1kg</t>
  </si>
  <si>
    <t>1KG*10EA</t>
  </si>
  <si>
    <t>ⓕ절단낙지(수율95%/M/베트남산산)500g</t>
  </si>
  <si>
    <t>500G*6PAK</t>
  </si>
  <si>
    <t>2025-03-12</t>
  </si>
  <si>
    <t>ⓕ키친타올(new/모나리자/260매*4입)1pak</t>
  </si>
  <si>
    <t>(260매*4입)*4PAK</t>
  </si>
  <si>
    <t>2025-03-14</t>
  </si>
  <si>
    <t>ⓕ니트릴장갑(L사이즈/코디엠/바이올렛블루/100입)pak</t>
  </si>
  <si>
    <t>2025-03-17</t>
  </si>
  <si>
    <t>2025-03-19</t>
  </si>
  <si>
    <t>2025-03-21</t>
  </si>
  <si>
    <t>2025-03-24</t>
  </si>
  <si>
    <t>2025-03-26</t>
  </si>
  <si>
    <t>2025-03-28</t>
  </si>
  <si>
    <t>ⓕ진간장(마산몽고)1.5L</t>
  </si>
  <si>
    <t>1.5L*8EA</t>
  </si>
  <si>
    <t>2025-03-31</t>
  </si>
  <si>
    <t>2025-04-02</t>
  </si>
  <si>
    <t>ⓕ[PB]물티슈(트루델/500매)BOX</t>
  </si>
  <si>
    <t>500EA/BOX</t>
  </si>
  <si>
    <t>2025-04-04</t>
  </si>
  <si>
    <t>제주산방식당 제주우도점(신)</t>
  </si>
  <si>
    <t>2025-04-07</t>
  </si>
  <si>
    <t>2025-04-09</t>
  </si>
  <si>
    <t>2025-04-11</t>
  </si>
  <si>
    <t>2025-04-14</t>
  </si>
  <si>
    <t>2025-04-16</t>
  </si>
  <si>
    <t>제주산방식당(방이점)</t>
  </si>
  <si>
    <t>2025-04-18</t>
  </si>
  <si>
    <t>2025-04-21</t>
  </si>
  <si>
    <t>ⓕ식품용롤팩(에이스/25cm*35cm/중)500매</t>
  </si>
  <si>
    <t>25CM*35CM</t>
  </si>
  <si>
    <t>2025-04-23</t>
  </si>
  <si>
    <t>2025-04-25</t>
  </si>
  <si>
    <t>중단_동래정 대구지산점(산방식당)</t>
  </si>
  <si>
    <t>2025-04-28</t>
  </si>
  <si>
    <t>2025-04-30</t>
  </si>
  <si>
    <t>2025-05-02</t>
  </si>
  <si>
    <t>2025-05-05</t>
  </si>
  <si>
    <t>2025-05-07</t>
  </si>
  <si>
    <t>2025-05-09</t>
  </si>
  <si>
    <t>2025-05-12</t>
  </si>
  <si>
    <t>2025-05-14</t>
  </si>
  <si>
    <t>2025-05-16</t>
  </si>
  <si>
    <t>ⓕ식품용위생장갑(에이스/50매)1EA</t>
  </si>
  <si>
    <t>50매입</t>
  </si>
  <si>
    <t>2025-05-19</t>
  </si>
  <si>
    <t>2025-05-21</t>
  </si>
  <si>
    <t>2025-05-22</t>
  </si>
  <si>
    <t>2025-05-23</t>
  </si>
  <si>
    <t>2025-05-26</t>
  </si>
  <si>
    <t>2025-05-28</t>
  </si>
  <si>
    <t>2025-05-30</t>
  </si>
  <si>
    <t>2025-06-02</t>
  </si>
  <si>
    <t>2025-06-04</t>
  </si>
  <si>
    <t>2025-06-05</t>
  </si>
  <si>
    <t>2025-06-06</t>
  </si>
  <si>
    <t>2025-06-09</t>
  </si>
  <si>
    <t>2025-06-11</t>
  </si>
  <si>
    <t>2025-06-13</t>
  </si>
  <si>
    <t>2025-06-16</t>
  </si>
  <si>
    <t>2025-06-17</t>
  </si>
  <si>
    <t>2025-06-18</t>
  </si>
  <si>
    <t>2025-06-20</t>
  </si>
  <si>
    <t>2025-06-23</t>
  </si>
  <si>
    <t>2025-06-25</t>
  </si>
  <si>
    <t>2025-06-27</t>
  </si>
  <si>
    <t>2025-06-30</t>
  </si>
  <si>
    <t>2025-07-02</t>
  </si>
  <si>
    <t>2025-07-04</t>
  </si>
  <si>
    <t>니트릴장갑(M사이즈/사라야/사라가드/200입/블루)pak</t>
  </si>
  <si>
    <t>200매/pak*10pak</t>
  </si>
  <si>
    <t>2025-07-07</t>
  </si>
  <si>
    <t>2025-07-09</t>
  </si>
  <si>
    <t>2025-07-11</t>
  </si>
  <si>
    <t>ⓕ진간장(부천몽고/면세)1.8L</t>
  </si>
  <si>
    <t>2025-07-12</t>
  </si>
  <si>
    <t>2025-07-14</t>
  </si>
  <si>
    <t>2025-07-15</t>
  </si>
  <si>
    <t>2025-07-16</t>
  </si>
  <si>
    <t>ⓕ된장(CJ/해찬들/재래식/면세)3kg</t>
  </si>
  <si>
    <t>2025-07-18</t>
  </si>
  <si>
    <t>2025-07-21</t>
  </si>
  <si>
    <t>ⓕ[표면소독]크린콜(진로/스프레이형/50%)450ml</t>
  </si>
  <si>
    <t>450ML*20EA</t>
  </si>
  <si>
    <t>2025-07-23</t>
  </si>
  <si>
    <t>2025-07-25</t>
  </si>
  <si>
    <t>2025-07-28</t>
  </si>
  <si>
    <t>2025-07-29</t>
  </si>
  <si>
    <t>2025-07-30</t>
  </si>
  <si>
    <t>니트릴장갑(L사이즈/사라야/사라가드/200입/블루)pak</t>
  </si>
  <si>
    <t>2025-08-01</t>
  </si>
  <si>
    <t>2025-08-02</t>
  </si>
  <si>
    <t>2025-08-04</t>
  </si>
  <si>
    <t>2025-08-06</t>
  </si>
  <si>
    <t>2025-08-07</t>
  </si>
  <si>
    <t>2025-08-08</t>
  </si>
  <si>
    <t>2025-08-11</t>
  </si>
  <si>
    <t>2025-08-13</t>
  </si>
  <si>
    <t>2025-08-15</t>
  </si>
  <si>
    <t>2025-08-18</t>
  </si>
  <si>
    <t>반품</t>
  </si>
  <si>
    <t>ⓕ식품용롤팩(에이스/37cm*50cm/특특대형)400매</t>
  </si>
  <si>
    <t>37CM*50CM</t>
  </si>
  <si>
    <t>2025-08-20</t>
  </si>
  <si>
    <t>2025-08-22</t>
  </si>
  <si>
    <t>2025-08-23</t>
  </si>
  <si>
    <t>2025-08-25</t>
  </si>
  <si>
    <t>2025-08-26</t>
  </si>
  <si>
    <t>2025-08-27</t>
  </si>
  <si>
    <t>2025-08-29</t>
  </si>
  <si>
    <t>2025-09-01</t>
  </si>
  <si>
    <t>2025-09-03</t>
  </si>
  <si>
    <t>2025-09-05</t>
  </si>
  <si>
    <t>ⓕ스폰지양면수세미(3M/9*15*3cm/외포장X)1ea</t>
  </si>
  <si>
    <t>9CM*15CM*3CM</t>
  </si>
  <si>
    <t>ⓕ위생모(조리모/일식/직사각/13cm/20매)묶음</t>
  </si>
  <si>
    <t>20매</t>
  </si>
  <si>
    <t>2025-09-08</t>
  </si>
  <si>
    <t>2025-09-10</t>
  </si>
  <si>
    <t>2025-09-12</t>
  </si>
  <si>
    <t>2025-09-15</t>
  </si>
  <si>
    <t>2025-09-17</t>
  </si>
  <si>
    <t>2025-09-19</t>
  </si>
  <si>
    <t>2025-09-22</t>
  </si>
  <si>
    <t>2025-09-24</t>
  </si>
  <si>
    <t>2025-09-26</t>
  </si>
  <si>
    <t>2025-09-29</t>
  </si>
  <si>
    <t>2025-10-01</t>
  </si>
  <si>
    <t>2025-10-03</t>
  </si>
  <si>
    <t>2025-10-08</t>
  </si>
  <si>
    <t>2025-10-10</t>
  </si>
  <si>
    <t>2025-10-13</t>
  </si>
  <si>
    <t>2025-10-15</t>
  </si>
  <si>
    <t>2025-10-17</t>
  </si>
  <si>
    <t>2025-10-20</t>
  </si>
  <si>
    <t>2025-10-22</t>
  </si>
  <si>
    <t>2025-10-24</t>
  </si>
  <si>
    <t>2025-10-27</t>
  </si>
  <si>
    <t>2025-10-29</t>
  </si>
  <si>
    <t>2025-10-31</t>
  </si>
  <si>
    <t>2025-11-03</t>
  </si>
  <si>
    <t>2025-11-05</t>
  </si>
  <si>
    <t>2025-11-07</t>
  </si>
  <si>
    <t>2025-11-10</t>
  </si>
  <si>
    <t>2025-11-12</t>
  </si>
  <si>
    <t>2025-11-14</t>
  </si>
  <si>
    <t>2025-11-17</t>
  </si>
  <si>
    <t>2025-11-19</t>
  </si>
  <si>
    <t>동래정 신풍역점(산방식당)</t>
  </si>
  <si>
    <t>2025-11-21</t>
  </si>
  <si>
    <t>ⓕ안전화(스티코/NEC-03/논슬립/검정)280mm</t>
  </si>
  <si>
    <t>280SIZE*1EA</t>
  </si>
  <si>
    <t>2025-11-24</t>
  </si>
  <si>
    <t>2025-11-26</t>
  </si>
  <si>
    <t>2025-11-28</t>
  </si>
  <si>
    <t>2025-12-01</t>
  </si>
  <si>
    <t>2025-12-03</t>
  </si>
  <si>
    <t>2025-12-05</t>
  </si>
  <si>
    <t>2025-12-08</t>
  </si>
  <si>
    <t>2025-12-10</t>
  </si>
  <si>
    <t>2025-12-12</t>
  </si>
  <si>
    <t>동래정 대흥점(산방식당)</t>
  </si>
  <si>
    <t>2025-12-15</t>
  </si>
  <si>
    <t>2025-12-16</t>
  </si>
  <si>
    <t>2025-12-17</t>
  </si>
  <si>
    <t>2025-12-19</t>
  </si>
  <si>
    <t>2025-12-22</t>
  </si>
  <si>
    <t>2025-12-24</t>
  </si>
  <si>
    <t>2025-12-26</t>
  </si>
  <si>
    <t>2025-12-29</t>
  </si>
  <si>
    <t>2025-12-31</t>
  </si>
  <si>
    <t>추가주문</t>
  </si>
  <si>
    <t>2026-01-02</t>
  </si>
  <si>
    <t>2026-01-05</t>
  </si>
  <si>
    <t>단무지(한성/점보/반달/2.7kg)ea</t>
  </si>
  <si>
    <t>2026-01-06</t>
  </si>
  <si>
    <t>2026-01-07</t>
  </si>
  <si>
    <t>진간장(부천몽고/1.8L)ea</t>
  </si>
  <si>
    <t>2026-01-09</t>
  </si>
  <si>
    <t>2026-01-12</t>
  </si>
  <si>
    <t>2026-01-14</t>
  </si>
  <si>
    <t>2026-01-16</t>
  </si>
  <si>
    <t>2026-01-19</t>
  </si>
  <si>
    <t>2026-01-21</t>
  </si>
  <si>
    <t>2026-01-23</t>
  </si>
  <si>
    <t>2026-01-26</t>
  </si>
  <si>
    <t>2026-01-28</t>
  </si>
  <si>
    <t>2026-01-30</t>
  </si>
  <si>
    <t>고추장(CJ/해찬들/태양초/과세)3kg</t>
  </si>
  <si>
    <t>3kg*4ea</t>
  </si>
  <si>
    <t>2026-02-02</t>
  </si>
  <si>
    <t>흑후추가루(솔표/200g)ea</t>
  </si>
  <si>
    <t>2026-02-04</t>
  </si>
  <si>
    <t>2026-02-06</t>
  </si>
  <si>
    <t>2026-02-09</t>
  </si>
  <si>
    <t>2026-02-11</t>
  </si>
  <si>
    <t>2026-02-13</t>
  </si>
  <si>
    <t>2026-02-14</t>
  </si>
  <si>
    <t>2026-02-19</t>
  </si>
  <si>
    <t>2026-02-20</t>
  </si>
  <si>
    <t>2026-02-23</t>
  </si>
  <si>
    <t>2026-02-25</t>
  </si>
  <si>
    <t>ⓕ다시다(CJ/쇠고기/진한)1kg</t>
  </si>
  <si>
    <t>1KG*10</t>
  </si>
  <si>
    <t>2026-02-27</t>
  </si>
  <si>
    <t>진간장(화미)1.8L</t>
  </si>
  <si>
    <t>2026-02-28</t>
  </si>
  <si>
    <t>년월</t>
  </si>
  <si>
    <t>지역</t>
  </si>
  <si>
    <t>육지</t>
  </si>
  <si>
    <t>제주</t>
  </si>
  <si>
    <t>물류수수료</t>
  </si>
  <si>
    <t>물류수수료</t>
    <phoneticPr fontId="3" type="noConversion"/>
  </si>
  <si>
    <t>전/범용</t>
  </si>
  <si>
    <t>2025-W
1/6~1/12</t>
  </si>
  <si>
    <t>2025-W
1/13~1/19</t>
  </si>
  <si>
    <t>2025-W
1/20~1/26</t>
  </si>
  <si>
    <t>2025-W
2/3~2/9</t>
  </si>
  <si>
    <t>2025-W
2/10~2/16</t>
  </si>
  <si>
    <t>2025-W
2/17~2/23</t>
  </si>
  <si>
    <t>2025-W
3/3~3/9</t>
  </si>
  <si>
    <t>2025-W
3/10~3/16</t>
  </si>
  <si>
    <t>2025-W
3/17~3/23</t>
  </si>
  <si>
    <t>2025-W
3/24~3/30</t>
  </si>
  <si>
    <t>2025-W
4/7~4/13</t>
  </si>
  <si>
    <t>2025-W
4/14~4/20</t>
  </si>
  <si>
    <t>2025-W
4/21~4/27</t>
  </si>
  <si>
    <t>2025-W
5/5~5/11</t>
  </si>
  <si>
    <t>2025-W
5/12~5/18</t>
  </si>
  <si>
    <t>2025-W
5/19~5/25</t>
  </si>
  <si>
    <t>2025-W
6/2~6/8</t>
  </si>
  <si>
    <t>2025-W
6/9~6/15</t>
  </si>
  <si>
    <t>2025-W
6/16~6/22</t>
  </si>
  <si>
    <t>2025-W
6/23~6/29</t>
  </si>
  <si>
    <t>2025-W
7/7~7/13</t>
  </si>
  <si>
    <t>2025-W
7/14~7/20</t>
  </si>
  <si>
    <t>2025-W
7/21~7/27</t>
  </si>
  <si>
    <t>2025-W
8/4~8/10</t>
  </si>
  <si>
    <t>2025-W
8/11~8/17</t>
  </si>
  <si>
    <t>2025-W
8/18~8/24</t>
  </si>
  <si>
    <t>2025-W
8/25~8/31</t>
  </si>
  <si>
    <t>2025-W
9/1~9/7</t>
  </si>
  <si>
    <t>2025-W
9/8~9/14</t>
  </si>
  <si>
    <t>2025-W
9/15~9/21</t>
  </si>
  <si>
    <t>2025-W
9/22~9/28</t>
  </si>
  <si>
    <t>2025-W
10/6~10/12</t>
  </si>
  <si>
    <t>2025-W
10/13~10/19</t>
  </si>
  <si>
    <t>2025-W
10/20~10/26</t>
  </si>
  <si>
    <t>2025-W
11/3~11/9</t>
  </si>
  <si>
    <t>2025-W
11/10~11/16</t>
  </si>
  <si>
    <t>2025-W
11/17~11/23</t>
  </si>
  <si>
    <t>2025-W
11/24~11/30</t>
  </si>
  <si>
    <t>2025-W
12/1~12/7</t>
  </si>
  <si>
    <t>2025-W
12/8~12/14</t>
  </si>
  <si>
    <t>2025-W
12/15~12/21</t>
  </si>
  <si>
    <t>2025-W
12/22~12/28</t>
  </si>
  <si>
    <t>2026-W
1/5~1/11</t>
  </si>
  <si>
    <t>2026-W
1/12~1/18</t>
  </si>
  <si>
    <t>2026-W
1/19~1/25</t>
  </si>
  <si>
    <t>2026-W
2/2~2/8</t>
  </si>
  <si>
    <t>2026-W
2/9~2/15</t>
  </si>
  <si>
    <t>2026-W
2/16~2/22</t>
  </si>
  <si>
    <t>[소계]</t>
  </si>
  <si>
    <t>2024년 12월
소계</t>
  </si>
  <si>
    <t>2025년 1월
소계</t>
  </si>
  <si>
    <t>2025년 2월
소계</t>
  </si>
  <si>
    <t>2025년 3월
소계</t>
  </si>
  <si>
    <t>2025년 4월
소계</t>
  </si>
  <si>
    <t>2025년 5월
소계</t>
  </si>
  <si>
    <t>2025년 6월
소계</t>
  </si>
  <si>
    <t>2025년 7월
소계</t>
  </si>
  <si>
    <t>2025년 8월
소계</t>
  </si>
  <si>
    <t>2025년 9월
소계</t>
  </si>
  <si>
    <t>2025년 10월
소계</t>
  </si>
  <si>
    <t>2025년 11월
소계</t>
  </si>
  <si>
    <t>2025년 12월
소계</t>
  </si>
  <si>
    <t>2026년 1월
소계</t>
  </si>
  <si>
    <t>2026년 2월
소계</t>
  </si>
  <si>
    <t>총 합계</t>
  </si>
  <si>
    <t>제주_주간출고현황</t>
  </si>
  <si>
    <t>단가(VAT포함)</t>
  </si>
  <si>
    <t>금액(VAT포함)</t>
  </si>
  <si>
    <t>서울_주간출고현황</t>
  </si>
  <si>
    <t>물류수수료율: 12% (제주)</t>
  </si>
  <si>
    <t>물류수수료율: 8.5% (서울/육지)</t>
  </si>
  <si>
    <t>※ 수수료율: 서울/육지 8.5% | 제주 12%</t>
  </si>
  <si>
    <t>2024-W
12/30~12/31</t>
  </si>
  <si>
    <t>2025-W
1/27~1/31</t>
  </si>
  <si>
    <t>2025-W
2/24~2/28</t>
  </si>
  <si>
    <t>2025-W
3/31~3/31</t>
  </si>
  <si>
    <t>2025-W
4/28~4/30</t>
  </si>
  <si>
    <t>2025-W
5/26~5/30</t>
  </si>
  <si>
    <t>2025-W
6/30~6/30</t>
  </si>
  <si>
    <t>2025-W
7/28~7/31</t>
  </si>
  <si>
    <t>2025-W
9/29~9/30</t>
  </si>
  <si>
    <t>2025-W
10/27~10/31</t>
  </si>
  <si>
    <t>2025-W
12/29~12/31</t>
  </si>
  <si>
    <t>2026-W
1/26~1/30</t>
  </si>
  <si>
    <t>2026-W
2/23~2/27</t>
  </si>
  <si>
    <t>2026-W
2/23~2/27</t>
    <phoneticPr fontId="3" type="noConversion"/>
  </si>
  <si>
    <t>온도구분</t>
  </si>
  <si>
    <t>냉장</t>
  </si>
  <si>
    <t>냉동</t>
  </si>
  <si>
    <t>상온</t>
  </si>
  <si>
    <t>합계 : 수량</t>
  </si>
  <si>
    <t>요약</t>
  </si>
  <si>
    <t>간마늘(LGJ/부름농산/1KG/국산)</t>
  </si>
  <si>
    <t>대상 이온물엿(실온 2.45Kg)</t>
  </si>
  <si>
    <t>대파(LGJ 특 1KG내외/EA 국산)</t>
  </si>
  <si>
    <t>무우(LGJ 특 20KG/EA(망) 국산)</t>
  </si>
  <si>
    <t>백설 꽃소금(실온 3Kg)</t>
  </si>
  <si>
    <t>백설 다시다(실온 쇠고기 1Kg)</t>
  </si>
  <si>
    <t>사각어묵(특천 제일 1KG*10EA/BOX)</t>
  </si>
  <si>
    <t>양파(부름/ 특 저장 15KG/EA 국내산)</t>
  </si>
  <si>
    <t>오뚜기 미향(실온 1.8L 1.8Kg)</t>
  </si>
  <si>
    <t>오뚜기 사과식초(실온 1.8L)</t>
  </si>
  <si>
    <t>취청오이(LGJ 상 10KG내외/BOX 국산)</t>
  </si>
  <si>
    <t>프레시원 곡창지대쌀(실온 신동진_황등 20Kg/EA 한국)</t>
  </si>
  <si>
    <t>2026년1월~3월23일까지의 기타범용</t>
    <phoneticPr fontId="3" type="noConversion"/>
  </si>
  <si>
    <t>(점심메뉴용) 동래정 두루치기소스</t>
    <phoneticPr fontId="3" type="noConversion"/>
  </si>
  <si>
    <t>[동래정_두루치기용] 전지+후지(세절/20kg/냉동)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</si>
</sst>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3"/>
      <color rgb="FFFFFFFF"/>
      <name val="맑은 고딕"/>
      <family val="2"/>
      <scheme val="minor"/>
    </font>
    <font>
      <b/>
      <sz val="11"/>
      <color rgb="FFCC0000"/>
      <name val="맑은 고딕"/>
      <family val="2"/>
      <scheme val="minor"/>
    </font>
    <font>
      <b/>
      <sz val="12"/>
      <color rgb="FFCC0000"/>
      <name val="맑은 고딕"/>
      <family val="2"/>
      <scheme val="minor"/>
    </font>
    <font>
      <b/>
      <sz val="12"/>
      <color rgb="FF1F4E79"/>
      <name val="맑은 고딕"/>
      <family val="2"/>
      <scheme val="minor"/>
    </font>
    <font>
      <b/>
      <sz val="10"/>
      <color rgb="FF7030A0"/>
      <name val="맑은 고딕"/>
      <family val="3"/>
      <charset val="129"/>
    </font>
    <font>
      <sz val="8"/>
      <color rgb="FF375623"/>
      <name val="맑은 고딕"/>
      <family val="3"/>
      <charset val="129"/>
    </font>
    <font>
      <sz val="8"/>
      <color rgb="FF1F4E79"/>
      <name val="맑은 고딕"/>
      <family val="3"/>
      <charset val="129"/>
    </font>
    <font>
      <sz val="8"/>
      <color rgb="FF7F7F7F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0D2F5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4EC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4" fillId="3" borderId="0" xfId="0" applyFont="1" applyFill="1">
      <alignment vertical="center"/>
    </xf>
    <xf numFmtId="3" fontId="4" fillId="3" borderId="0" xfId="0" applyNumberFormat="1" applyFont="1" applyFill="1">
      <alignment vertical="center"/>
    </xf>
    <xf numFmtId="3" fontId="0" fillId="4" borderId="0" xfId="0" applyNumberFormat="1" applyFill="1">
      <alignment vertical="center"/>
    </xf>
    <xf numFmtId="3" fontId="4" fillId="5" borderId="0" xfId="0" applyNumberFormat="1" applyFont="1" applyFill="1">
      <alignment vertical="center"/>
    </xf>
    <xf numFmtId="0" fontId="0" fillId="4" borderId="0" xfId="0" applyFill="1">
      <alignment vertical="center"/>
    </xf>
    <xf numFmtId="0" fontId="4" fillId="5" borderId="0" xfId="0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3" fontId="0" fillId="8" borderId="0" xfId="0" applyNumberFormat="1" applyFill="1">
      <alignment vertical="center"/>
    </xf>
    <xf numFmtId="3" fontId="5" fillId="2" borderId="0" xfId="0" applyNumberFormat="1" applyFont="1" applyFill="1">
      <alignment vertical="center"/>
    </xf>
    <xf numFmtId="0" fontId="7" fillId="9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3" fontId="7" fillId="3" borderId="0" xfId="0" applyNumberFormat="1" applyFont="1" applyFill="1">
      <alignment vertical="center"/>
    </xf>
    <xf numFmtId="3" fontId="7" fillId="5" borderId="0" xfId="0" applyNumberFormat="1" applyFont="1" applyFill="1">
      <alignment vertical="center"/>
    </xf>
    <xf numFmtId="3" fontId="7" fillId="4" borderId="0" xfId="0" applyNumberFormat="1" applyFont="1" applyFill="1">
      <alignment vertical="center"/>
    </xf>
    <xf numFmtId="3" fontId="7" fillId="8" borderId="0" xfId="0" applyNumberFormat="1" applyFont="1" applyFill="1">
      <alignment vertical="center"/>
    </xf>
    <xf numFmtId="0" fontId="7" fillId="10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8" fillId="9" borderId="0" xfId="0" applyFont="1" applyFill="1">
      <alignment vertical="center"/>
    </xf>
    <xf numFmtId="0" fontId="9" fillId="11" borderId="0" xfId="0" applyFont="1" applyFill="1">
      <alignment vertical="center"/>
    </xf>
    <xf numFmtId="0" fontId="10" fillId="12" borderId="2" xfId="0" applyFont="1" applyFill="1" applyBorder="1" applyAlignment="1">
      <alignment horizontal="center"/>
    </xf>
    <xf numFmtId="49" fontId="11" fillId="13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4FB008-BFDC-4287-A886-8EE21B8D94E8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660"/>
  <sheetViews>
    <sheetView tabSelected="1" zoomScale="85" zoomScaleNormal="85" workbookViewId="0">
      <selection activeCell="A22" sqref="A22"/>
    </sheetView>
  </sheetViews>
  <sheetFormatPr defaultRowHeight="17.399999999999999" x14ac:dyDescent="0.4"/>
  <cols>
    <col min="1" max="1" width="38.3984375" bestFit="1" customWidth="1"/>
    <col min="2" max="2" width="12.796875" bestFit="1" customWidth="1"/>
    <col min="3" max="3" width="9.19921875" style="33" customWidth="1"/>
    <col min="4" max="4" width="12" bestFit="1" customWidth="1"/>
    <col min="5" max="7" width="9.19921875" bestFit="1" customWidth="1"/>
    <col min="8" max="8" width="8.19921875" bestFit="1" customWidth="1"/>
    <col min="9" max="9" width="8.19921875" customWidth="1"/>
    <col min="10" max="10" width="25.3984375" bestFit="1" customWidth="1"/>
    <col min="11" max="11" width="5.3984375" bestFit="1" customWidth="1"/>
    <col min="12" max="17" width="13" customWidth="1"/>
    <col min="18" max="18" width="41.69921875" customWidth="1"/>
  </cols>
  <sheetData>
    <row r="1" spans="1:18" x14ac:dyDescent="0.4">
      <c r="A1" s="1" t="s">
        <v>0</v>
      </c>
      <c r="B1" s="1" t="s">
        <v>1</v>
      </c>
      <c r="C1" s="1" t="s">
        <v>433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340</v>
      </c>
      <c r="J1" s="1" t="s">
        <v>7</v>
      </c>
      <c r="K1" s="1" t="s">
        <v>341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345</v>
      </c>
      <c r="R1" s="29" t="s">
        <v>418</v>
      </c>
    </row>
    <row r="2" spans="1:18" x14ac:dyDescent="0.4">
      <c r="A2" s="4" t="s">
        <v>13</v>
      </c>
      <c r="B2" s="4" t="s">
        <v>14</v>
      </c>
      <c r="C2" s="30" t="s">
        <v>434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 t="str">
        <f t="shared" ref="I2:I65" si="0">TEXT(H2,"yyyy-mm")</f>
        <v>2025-01</v>
      </c>
      <c r="J2" s="4" t="s">
        <v>20</v>
      </c>
      <c r="K2" s="5" t="s">
        <v>342</v>
      </c>
      <c r="L2" s="2">
        <v>42000</v>
      </c>
      <c r="M2" s="3">
        <v>1</v>
      </c>
      <c r="N2" s="2">
        <v>42000</v>
      </c>
      <c r="O2" s="2">
        <v>4200</v>
      </c>
      <c r="P2" s="2">
        <v>46200</v>
      </c>
      <c r="Q2" s="2">
        <f>P2*8.5%</f>
        <v>3927.0000000000005</v>
      </c>
    </row>
    <row r="3" spans="1:18" x14ac:dyDescent="0.4">
      <c r="A3" s="4" t="s">
        <v>21</v>
      </c>
      <c r="B3" s="4" t="s">
        <v>14</v>
      </c>
      <c r="C3" s="31" t="s">
        <v>435</v>
      </c>
      <c r="D3" s="4" t="s">
        <v>22</v>
      </c>
      <c r="E3" s="4" t="s">
        <v>16</v>
      </c>
      <c r="F3" s="4" t="s">
        <v>17</v>
      </c>
      <c r="G3" s="4" t="s">
        <v>18</v>
      </c>
      <c r="H3" s="4" t="s">
        <v>19</v>
      </c>
      <c r="I3" s="5" t="str">
        <f t="shared" si="0"/>
        <v>2025-01</v>
      </c>
      <c r="J3" s="4" t="s">
        <v>20</v>
      </c>
      <c r="K3" s="5" t="s">
        <v>342</v>
      </c>
      <c r="L3" s="2">
        <v>54000</v>
      </c>
      <c r="M3" s="3">
        <v>1</v>
      </c>
      <c r="N3" s="2">
        <v>54000</v>
      </c>
      <c r="O3" s="2">
        <v>5400</v>
      </c>
      <c r="P3" s="2">
        <v>59400</v>
      </c>
      <c r="Q3" s="2">
        <f>P3*8.5%</f>
        <v>5049</v>
      </c>
    </row>
    <row r="4" spans="1:18" x14ac:dyDescent="0.4">
      <c r="A4" s="4" t="s">
        <v>23</v>
      </c>
      <c r="B4" s="4" t="s">
        <v>14</v>
      </c>
      <c r="C4" s="31" t="s">
        <v>435</v>
      </c>
      <c r="D4" s="4" t="s">
        <v>24</v>
      </c>
      <c r="E4" s="4" t="s">
        <v>16</v>
      </c>
      <c r="F4" s="4" t="s">
        <v>17</v>
      </c>
      <c r="G4" s="4" t="s">
        <v>18</v>
      </c>
      <c r="H4" s="4" t="s">
        <v>19</v>
      </c>
      <c r="I4" s="5" t="str">
        <f t="shared" si="0"/>
        <v>2025-01</v>
      </c>
      <c r="J4" s="4" t="s">
        <v>20</v>
      </c>
      <c r="K4" s="5" t="s">
        <v>342</v>
      </c>
      <c r="L4" s="2">
        <v>54000</v>
      </c>
      <c r="M4" s="3">
        <v>2</v>
      </c>
      <c r="N4" s="2">
        <v>108000</v>
      </c>
      <c r="O4" s="2">
        <v>10800</v>
      </c>
      <c r="P4" s="2">
        <v>118800</v>
      </c>
      <c r="Q4" s="2">
        <f>P4*8.5%</f>
        <v>10098</v>
      </c>
    </row>
    <row r="5" spans="1:18" x14ac:dyDescent="0.4">
      <c r="A5" s="4" t="s">
        <v>25</v>
      </c>
      <c r="B5" s="4" t="s">
        <v>26</v>
      </c>
      <c r="C5" s="32" t="s">
        <v>436</v>
      </c>
      <c r="D5" s="4" t="s">
        <v>27</v>
      </c>
      <c r="E5" s="4" t="s">
        <v>28</v>
      </c>
      <c r="F5" s="4" t="s">
        <v>17</v>
      </c>
      <c r="G5" s="4" t="s">
        <v>18</v>
      </c>
      <c r="H5" s="4" t="s">
        <v>19</v>
      </c>
      <c r="I5" s="5" t="str">
        <f t="shared" si="0"/>
        <v>2025-01</v>
      </c>
      <c r="J5" s="4" t="s">
        <v>20</v>
      </c>
      <c r="K5" s="5" t="s">
        <v>342</v>
      </c>
      <c r="L5" s="2">
        <v>2315</v>
      </c>
      <c r="M5" s="3">
        <v>1</v>
      </c>
      <c r="N5" s="2">
        <v>2315</v>
      </c>
      <c r="O5" s="2">
        <v>232</v>
      </c>
      <c r="P5" s="2">
        <v>2547</v>
      </c>
      <c r="Q5" s="2">
        <f>P5*8.5%</f>
        <v>216.495</v>
      </c>
    </row>
    <row r="6" spans="1:18" x14ac:dyDescent="0.4">
      <c r="A6" s="4" t="s">
        <v>29</v>
      </c>
      <c r="B6" s="4" t="s">
        <v>26</v>
      </c>
      <c r="C6" s="32" t="s">
        <v>436</v>
      </c>
      <c r="D6" s="4" t="s">
        <v>30</v>
      </c>
      <c r="E6" s="4" t="s">
        <v>28</v>
      </c>
      <c r="F6" s="4" t="s">
        <v>31</v>
      </c>
      <c r="G6" s="4" t="s">
        <v>18</v>
      </c>
      <c r="H6" s="4" t="s">
        <v>19</v>
      </c>
      <c r="I6" s="5" t="str">
        <f t="shared" si="0"/>
        <v>2025-01</v>
      </c>
      <c r="J6" s="4" t="s">
        <v>20</v>
      </c>
      <c r="K6" s="5" t="s">
        <v>342</v>
      </c>
      <c r="L6" s="2">
        <v>3636</v>
      </c>
      <c r="M6" s="3">
        <v>1</v>
      </c>
      <c r="N6" s="2">
        <v>3636</v>
      </c>
      <c r="O6" s="2">
        <v>0</v>
      </c>
      <c r="P6" s="2">
        <v>3636</v>
      </c>
      <c r="Q6" s="2">
        <f>P6*8.5%</f>
        <v>309.06</v>
      </c>
    </row>
    <row r="7" spans="1:18" x14ac:dyDescent="0.4">
      <c r="A7" s="4" t="s">
        <v>32</v>
      </c>
      <c r="B7" s="4" t="s">
        <v>14</v>
      </c>
      <c r="C7" s="31" t="s">
        <v>435</v>
      </c>
      <c r="D7" s="4" t="s">
        <v>33</v>
      </c>
      <c r="E7" s="4" t="s">
        <v>16</v>
      </c>
      <c r="F7" s="4" t="s">
        <v>17</v>
      </c>
      <c r="G7" s="4" t="s">
        <v>18</v>
      </c>
      <c r="H7" s="4" t="s">
        <v>19</v>
      </c>
      <c r="I7" s="5" t="str">
        <f t="shared" si="0"/>
        <v>2025-01</v>
      </c>
      <c r="J7" s="4" t="s">
        <v>34</v>
      </c>
      <c r="K7" s="5" t="s">
        <v>342</v>
      </c>
      <c r="L7" s="2">
        <v>44000</v>
      </c>
      <c r="M7" s="3">
        <v>2</v>
      </c>
      <c r="N7" s="2">
        <v>88000</v>
      </c>
      <c r="O7" s="2">
        <v>8800</v>
      </c>
      <c r="P7" s="2">
        <v>96800</v>
      </c>
      <c r="Q7" s="2">
        <f>P7*8.5%</f>
        <v>8228</v>
      </c>
    </row>
    <row r="8" spans="1:18" x14ac:dyDescent="0.4">
      <c r="A8" s="4" t="s">
        <v>13</v>
      </c>
      <c r="B8" s="4" t="s">
        <v>14</v>
      </c>
      <c r="C8" s="30" t="s">
        <v>434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5" t="str">
        <f t="shared" si="0"/>
        <v>2025-01</v>
      </c>
      <c r="J8" s="4" t="s">
        <v>34</v>
      </c>
      <c r="K8" s="5" t="s">
        <v>342</v>
      </c>
      <c r="L8" s="2">
        <v>42000</v>
      </c>
      <c r="M8" s="3">
        <v>2</v>
      </c>
      <c r="N8" s="2">
        <v>84000</v>
      </c>
      <c r="O8" s="2">
        <v>8400</v>
      </c>
      <c r="P8" s="2">
        <v>92400</v>
      </c>
      <c r="Q8" s="2">
        <f>P8*8.5%</f>
        <v>7854.0000000000009</v>
      </c>
    </row>
    <row r="9" spans="1:18" x14ac:dyDescent="0.4">
      <c r="A9" s="4" t="s">
        <v>21</v>
      </c>
      <c r="B9" s="4" t="s">
        <v>14</v>
      </c>
      <c r="C9" s="31" t="s">
        <v>435</v>
      </c>
      <c r="D9" s="4" t="s">
        <v>22</v>
      </c>
      <c r="E9" s="4" t="s">
        <v>16</v>
      </c>
      <c r="F9" s="4" t="s">
        <v>17</v>
      </c>
      <c r="G9" s="4" t="s">
        <v>18</v>
      </c>
      <c r="H9" s="4" t="s">
        <v>19</v>
      </c>
      <c r="I9" s="5" t="str">
        <f t="shared" si="0"/>
        <v>2025-01</v>
      </c>
      <c r="J9" s="4" t="s">
        <v>34</v>
      </c>
      <c r="K9" s="5" t="s">
        <v>342</v>
      </c>
      <c r="L9" s="2">
        <v>54000</v>
      </c>
      <c r="M9" s="3">
        <v>1</v>
      </c>
      <c r="N9" s="2">
        <v>54000</v>
      </c>
      <c r="O9" s="2">
        <v>5400</v>
      </c>
      <c r="P9" s="2">
        <v>59400</v>
      </c>
      <c r="Q9" s="2">
        <f>P9*8.5%</f>
        <v>5049</v>
      </c>
    </row>
    <row r="10" spans="1:18" x14ac:dyDescent="0.4">
      <c r="A10" s="4" t="s">
        <v>35</v>
      </c>
      <c r="B10" s="4" t="s">
        <v>14</v>
      </c>
      <c r="C10" s="30" t="s">
        <v>434</v>
      </c>
      <c r="D10" s="4" t="s">
        <v>36</v>
      </c>
      <c r="E10" s="4" t="s">
        <v>16</v>
      </c>
      <c r="F10" s="4" t="s">
        <v>17</v>
      </c>
      <c r="G10" s="4" t="s">
        <v>18</v>
      </c>
      <c r="H10" s="4" t="s">
        <v>19</v>
      </c>
      <c r="I10" s="5" t="str">
        <f t="shared" si="0"/>
        <v>2025-01</v>
      </c>
      <c r="J10" s="4" t="s">
        <v>34</v>
      </c>
      <c r="K10" s="5" t="s">
        <v>342</v>
      </c>
      <c r="L10" s="2">
        <v>116220</v>
      </c>
      <c r="M10" s="3">
        <v>1</v>
      </c>
      <c r="N10" s="2">
        <v>116220</v>
      </c>
      <c r="O10" s="2">
        <v>11622</v>
      </c>
      <c r="P10" s="2">
        <v>127842</v>
      </c>
      <c r="Q10" s="2">
        <f>P10*8.5%</f>
        <v>10866.570000000002</v>
      </c>
    </row>
    <row r="11" spans="1:18" x14ac:dyDescent="0.4">
      <c r="A11" s="4" t="s">
        <v>23</v>
      </c>
      <c r="B11" s="4" t="s">
        <v>14</v>
      </c>
      <c r="C11" s="31" t="s">
        <v>435</v>
      </c>
      <c r="D11" s="4" t="s">
        <v>24</v>
      </c>
      <c r="E11" s="4" t="s">
        <v>16</v>
      </c>
      <c r="F11" s="4" t="s">
        <v>17</v>
      </c>
      <c r="G11" s="4" t="s">
        <v>18</v>
      </c>
      <c r="H11" s="4" t="s">
        <v>19</v>
      </c>
      <c r="I11" s="5" t="str">
        <f t="shared" si="0"/>
        <v>2025-01</v>
      </c>
      <c r="J11" s="4" t="s">
        <v>34</v>
      </c>
      <c r="K11" s="5" t="s">
        <v>342</v>
      </c>
      <c r="L11" s="2">
        <v>54000</v>
      </c>
      <c r="M11" s="3">
        <v>3</v>
      </c>
      <c r="N11" s="2">
        <v>162000</v>
      </c>
      <c r="O11" s="2">
        <v>16200</v>
      </c>
      <c r="P11" s="2">
        <v>178200</v>
      </c>
      <c r="Q11" s="2">
        <f>P11*8.5%</f>
        <v>15147.000000000002</v>
      </c>
    </row>
    <row r="12" spans="1:18" x14ac:dyDescent="0.4">
      <c r="A12" s="4" t="s">
        <v>37</v>
      </c>
      <c r="B12" s="4" t="s">
        <v>26</v>
      </c>
      <c r="C12" s="32" t="s">
        <v>436</v>
      </c>
      <c r="D12" s="4" t="s">
        <v>38</v>
      </c>
      <c r="E12" s="4" t="s">
        <v>28</v>
      </c>
      <c r="F12" s="4" t="s">
        <v>17</v>
      </c>
      <c r="G12" s="4" t="s">
        <v>18</v>
      </c>
      <c r="H12" s="4" t="s">
        <v>19</v>
      </c>
      <c r="I12" s="5" t="str">
        <f t="shared" si="0"/>
        <v>2025-01</v>
      </c>
      <c r="J12" s="4" t="s">
        <v>34</v>
      </c>
      <c r="K12" s="5" t="s">
        <v>342</v>
      </c>
      <c r="L12" s="2">
        <v>386</v>
      </c>
      <c r="M12" s="3">
        <v>20</v>
      </c>
      <c r="N12" s="2">
        <v>7720</v>
      </c>
      <c r="O12" s="2">
        <v>772</v>
      </c>
      <c r="P12" s="2">
        <v>8492</v>
      </c>
      <c r="Q12" s="2">
        <f>P12*8.5%</f>
        <v>721.82</v>
      </c>
    </row>
    <row r="13" spans="1:18" x14ac:dyDescent="0.4">
      <c r="A13" s="4" t="s">
        <v>39</v>
      </c>
      <c r="B13" s="4" t="s">
        <v>26</v>
      </c>
      <c r="C13" s="32" t="s">
        <v>436</v>
      </c>
      <c r="D13" s="4" t="s">
        <v>27</v>
      </c>
      <c r="E13" s="4" t="s">
        <v>28</v>
      </c>
      <c r="F13" s="4" t="s">
        <v>17</v>
      </c>
      <c r="G13" s="4" t="s">
        <v>18</v>
      </c>
      <c r="H13" s="4" t="s">
        <v>19</v>
      </c>
      <c r="I13" s="5" t="str">
        <f t="shared" si="0"/>
        <v>2025-01</v>
      </c>
      <c r="J13" s="4" t="s">
        <v>34</v>
      </c>
      <c r="K13" s="5" t="s">
        <v>342</v>
      </c>
      <c r="L13" s="2">
        <v>3636</v>
      </c>
      <c r="M13" s="3">
        <v>2</v>
      </c>
      <c r="N13" s="2">
        <v>7272</v>
      </c>
      <c r="O13" s="2">
        <v>727</v>
      </c>
      <c r="P13" s="2">
        <v>7999</v>
      </c>
      <c r="Q13" s="2">
        <f>P13*8.5%</f>
        <v>679.91500000000008</v>
      </c>
    </row>
    <row r="14" spans="1:18" x14ac:dyDescent="0.4">
      <c r="A14" s="4" t="s">
        <v>40</v>
      </c>
      <c r="B14" s="4" t="s">
        <v>26</v>
      </c>
      <c r="C14" s="32" t="s">
        <v>436</v>
      </c>
      <c r="D14" s="4" t="s">
        <v>41</v>
      </c>
      <c r="E14" s="4" t="s">
        <v>28</v>
      </c>
      <c r="F14" s="4" t="s">
        <v>17</v>
      </c>
      <c r="G14" s="4" t="s">
        <v>18</v>
      </c>
      <c r="H14" s="4" t="s">
        <v>19</v>
      </c>
      <c r="I14" s="5" t="str">
        <f t="shared" si="0"/>
        <v>2025-01</v>
      </c>
      <c r="J14" s="4" t="s">
        <v>34</v>
      </c>
      <c r="K14" s="5" t="s">
        <v>342</v>
      </c>
      <c r="L14" s="2">
        <v>17539</v>
      </c>
      <c r="M14" s="3">
        <v>2</v>
      </c>
      <c r="N14" s="2">
        <v>35078</v>
      </c>
      <c r="O14" s="2">
        <v>3508</v>
      </c>
      <c r="P14" s="2">
        <v>38586</v>
      </c>
      <c r="Q14" s="2">
        <f>P14*8.5%</f>
        <v>3279.8100000000004</v>
      </c>
    </row>
    <row r="15" spans="1:18" x14ac:dyDescent="0.4">
      <c r="A15" s="4" t="s">
        <v>42</v>
      </c>
      <c r="B15" s="4" t="s">
        <v>14</v>
      </c>
      <c r="C15" s="30" t="s">
        <v>434</v>
      </c>
      <c r="D15" s="4" t="s">
        <v>43</v>
      </c>
      <c r="E15" s="4" t="s">
        <v>44</v>
      </c>
      <c r="F15" s="4" t="s">
        <v>31</v>
      </c>
      <c r="G15" s="4" t="s">
        <v>18</v>
      </c>
      <c r="H15" s="4" t="s">
        <v>19</v>
      </c>
      <c r="I15" s="5" t="str">
        <f t="shared" si="0"/>
        <v>2025-01</v>
      </c>
      <c r="J15" s="4" t="s">
        <v>34</v>
      </c>
      <c r="K15" s="5" t="s">
        <v>342</v>
      </c>
      <c r="L15" s="2">
        <v>6800</v>
      </c>
      <c r="M15" s="3">
        <v>46.4</v>
      </c>
      <c r="N15" s="2">
        <v>315520</v>
      </c>
      <c r="O15" s="2">
        <v>0</v>
      </c>
      <c r="P15" s="2">
        <v>315520</v>
      </c>
      <c r="Q15" s="2">
        <f>P15*8.5%</f>
        <v>26819.200000000001</v>
      </c>
    </row>
    <row r="16" spans="1:18" x14ac:dyDescent="0.4">
      <c r="A16" s="4" t="s">
        <v>45</v>
      </c>
      <c r="B16" s="4" t="s">
        <v>26</v>
      </c>
      <c r="C16" s="32" t="s">
        <v>436</v>
      </c>
      <c r="D16" s="4" t="s">
        <v>46</v>
      </c>
      <c r="E16" s="4" t="s">
        <v>47</v>
      </c>
      <c r="F16" s="4" t="s">
        <v>17</v>
      </c>
      <c r="G16" s="4" t="s">
        <v>18</v>
      </c>
      <c r="H16" s="4" t="s">
        <v>19</v>
      </c>
      <c r="I16" s="5" t="str">
        <f t="shared" si="0"/>
        <v>2025-01</v>
      </c>
      <c r="J16" s="4" t="s">
        <v>34</v>
      </c>
      <c r="K16" s="5" t="s">
        <v>342</v>
      </c>
      <c r="L16" s="2">
        <v>2806</v>
      </c>
      <c r="M16" s="3">
        <v>2</v>
      </c>
      <c r="N16" s="2">
        <v>5612</v>
      </c>
      <c r="O16" s="2">
        <v>561</v>
      </c>
      <c r="P16" s="2">
        <v>6173</v>
      </c>
      <c r="Q16" s="2">
        <f>P16*8.5%</f>
        <v>524.70500000000004</v>
      </c>
    </row>
    <row r="17" spans="1:17" x14ac:dyDescent="0.4">
      <c r="A17" s="4" t="s">
        <v>32</v>
      </c>
      <c r="B17" s="4" t="s">
        <v>14</v>
      </c>
      <c r="C17" s="31" t="s">
        <v>435</v>
      </c>
      <c r="D17" s="4" t="s">
        <v>33</v>
      </c>
      <c r="E17" s="4" t="s">
        <v>16</v>
      </c>
      <c r="F17" s="4" t="s">
        <v>17</v>
      </c>
      <c r="G17" s="4" t="s">
        <v>18</v>
      </c>
      <c r="H17" s="4" t="s">
        <v>48</v>
      </c>
      <c r="I17" s="5" t="str">
        <f t="shared" si="0"/>
        <v>2025-01</v>
      </c>
      <c r="J17" s="4" t="s">
        <v>49</v>
      </c>
      <c r="K17" s="5" t="s">
        <v>343</v>
      </c>
      <c r="L17" s="2">
        <v>44000</v>
      </c>
      <c r="M17" s="3">
        <v>9</v>
      </c>
      <c r="N17" s="2">
        <v>396000</v>
      </c>
      <c r="O17" s="2">
        <v>39600</v>
      </c>
      <c r="P17" s="2">
        <v>435600</v>
      </c>
      <c r="Q17" s="2">
        <f>P17*12%</f>
        <v>52272</v>
      </c>
    </row>
    <row r="18" spans="1:17" x14ac:dyDescent="0.4">
      <c r="A18" s="4" t="s">
        <v>13</v>
      </c>
      <c r="B18" s="4" t="s">
        <v>14</v>
      </c>
      <c r="C18" s="30" t="s">
        <v>434</v>
      </c>
      <c r="D18" s="4" t="s">
        <v>15</v>
      </c>
      <c r="E18" s="4" t="s">
        <v>16</v>
      </c>
      <c r="F18" s="4" t="s">
        <v>17</v>
      </c>
      <c r="G18" s="4" t="s">
        <v>18</v>
      </c>
      <c r="H18" s="4" t="s">
        <v>48</v>
      </c>
      <c r="I18" s="5" t="str">
        <f t="shared" si="0"/>
        <v>2025-01</v>
      </c>
      <c r="J18" s="4" t="s">
        <v>49</v>
      </c>
      <c r="K18" s="5" t="s">
        <v>343</v>
      </c>
      <c r="L18" s="2">
        <v>42000</v>
      </c>
      <c r="M18" s="3">
        <v>4</v>
      </c>
      <c r="N18" s="2">
        <v>168000</v>
      </c>
      <c r="O18" s="2">
        <v>16800</v>
      </c>
      <c r="P18" s="2">
        <v>184800</v>
      </c>
      <c r="Q18" s="2">
        <f>P18*12%</f>
        <v>22176</v>
      </c>
    </row>
    <row r="19" spans="1:17" x14ac:dyDescent="0.4">
      <c r="A19" s="4" t="s">
        <v>35</v>
      </c>
      <c r="B19" s="4" t="s">
        <v>14</v>
      </c>
      <c r="C19" s="30" t="s">
        <v>434</v>
      </c>
      <c r="D19" s="4" t="s">
        <v>36</v>
      </c>
      <c r="E19" s="4" t="s">
        <v>16</v>
      </c>
      <c r="F19" s="4" t="s">
        <v>17</v>
      </c>
      <c r="G19" s="4" t="s">
        <v>18</v>
      </c>
      <c r="H19" s="4" t="s">
        <v>48</v>
      </c>
      <c r="I19" s="5" t="str">
        <f t="shared" si="0"/>
        <v>2025-01</v>
      </c>
      <c r="J19" s="4" t="s">
        <v>49</v>
      </c>
      <c r="K19" s="5" t="s">
        <v>343</v>
      </c>
      <c r="L19" s="2">
        <v>116220</v>
      </c>
      <c r="M19" s="3">
        <v>1</v>
      </c>
      <c r="N19" s="2">
        <v>116220</v>
      </c>
      <c r="O19" s="2">
        <v>11622</v>
      </c>
      <c r="P19" s="2">
        <v>127842</v>
      </c>
      <c r="Q19" s="2">
        <f>P19*12%</f>
        <v>15341.039999999999</v>
      </c>
    </row>
    <row r="20" spans="1:17" x14ac:dyDescent="0.4">
      <c r="A20" s="4" t="s">
        <v>23</v>
      </c>
      <c r="B20" s="4" t="s">
        <v>14</v>
      </c>
      <c r="C20" s="31" t="s">
        <v>435</v>
      </c>
      <c r="D20" s="4" t="s">
        <v>24</v>
      </c>
      <c r="E20" s="4" t="s">
        <v>16</v>
      </c>
      <c r="F20" s="4" t="s">
        <v>17</v>
      </c>
      <c r="G20" s="4" t="s">
        <v>18</v>
      </c>
      <c r="H20" s="4" t="s">
        <v>48</v>
      </c>
      <c r="I20" s="5" t="str">
        <f t="shared" si="0"/>
        <v>2025-01</v>
      </c>
      <c r="J20" s="4" t="s">
        <v>49</v>
      </c>
      <c r="K20" s="5" t="s">
        <v>343</v>
      </c>
      <c r="L20" s="2">
        <v>54000</v>
      </c>
      <c r="M20" s="3">
        <v>4</v>
      </c>
      <c r="N20" s="2">
        <v>216000</v>
      </c>
      <c r="O20" s="2">
        <v>21600</v>
      </c>
      <c r="P20" s="2">
        <v>237600</v>
      </c>
      <c r="Q20" s="2">
        <f>P20*12%</f>
        <v>28512</v>
      </c>
    </row>
    <row r="21" spans="1:17" x14ac:dyDescent="0.4">
      <c r="A21" s="4" t="s">
        <v>32</v>
      </c>
      <c r="B21" s="4" t="s">
        <v>14</v>
      </c>
      <c r="C21" s="31" t="s">
        <v>435</v>
      </c>
      <c r="D21" s="4" t="s">
        <v>33</v>
      </c>
      <c r="E21" s="4" t="s">
        <v>16</v>
      </c>
      <c r="F21" s="4" t="s">
        <v>17</v>
      </c>
      <c r="G21" s="4" t="s">
        <v>18</v>
      </c>
      <c r="H21" s="4" t="s">
        <v>48</v>
      </c>
      <c r="I21" s="5" t="str">
        <f t="shared" si="0"/>
        <v>2025-01</v>
      </c>
      <c r="J21" s="4" t="s">
        <v>50</v>
      </c>
      <c r="K21" s="5" t="s">
        <v>343</v>
      </c>
      <c r="L21" s="2">
        <v>44000</v>
      </c>
      <c r="M21" s="3">
        <v>1</v>
      </c>
      <c r="N21" s="2">
        <v>44000</v>
      </c>
      <c r="O21" s="2">
        <v>4400</v>
      </c>
      <c r="P21" s="2">
        <v>48400</v>
      </c>
      <c r="Q21" s="2">
        <f>P21*12%</f>
        <v>5808</v>
      </c>
    </row>
    <row r="22" spans="1:17" x14ac:dyDescent="0.4">
      <c r="A22" s="4" t="s">
        <v>13</v>
      </c>
      <c r="B22" s="4" t="s">
        <v>14</v>
      </c>
      <c r="C22" s="30" t="s">
        <v>434</v>
      </c>
      <c r="D22" s="4" t="s">
        <v>15</v>
      </c>
      <c r="E22" s="4" t="s">
        <v>16</v>
      </c>
      <c r="F22" s="4" t="s">
        <v>17</v>
      </c>
      <c r="G22" s="4" t="s">
        <v>18</v>
      </c>
      <c r="H22" s="4" t="s">
        <v>48</v>
      </c>
      <c r="I22" s="5" t="str">
        <f t="shared" si="0"/>
        <v>2025-01</v>
      </c>
      <c r="J22" s="4" t="s">
        <v>50</v>
      </c>
      <c r="K22" s="5" t="s">
        <v>343</v>
      </c>
      <c r="L22" s="2">
        <v>42000</v>
      </c>
      <c r="M22" s="3">
        <v>5</v>
      </c>
      <c r="N22" s="2">
        <v>210000</v>
      </c>
      <c r="O22" s="2">
        <v>21000</v>
      </c>
      <c r="P22" s="2">
        <v>231000</v>
      </c>
      <c r="Q22" s="2">
        <f>P22*12%</f>
        <v>27720</v>
      </c>
    </row>
    <row r="23" spans="1:17" x14ac:dyDescent="0.4">
      <c r="A23" s="4" t="s">
        <v>23</v>
      </c>
      <c r="B23" s="4" t="s">
        <v>14</v>
      </c>
      <c r="C23" s="31" t="s">
        <v>435</v>
      </c>
      <c r="D23" s="4" t="s">
        <v>24</v>
      </c>
      <c r="E23" s="4" t="s">
        <v>16</v>
      </c>
      <c r="F23" s="4" t="s">
        <v>17</v>
      </c>
      <c r="G23" s="4" t="s">
        <v>18</v>
      </c>
      <c r="H23" s="4" t="s">
        <v>48</v>
      </c>
      <c r="I23" s="5" t="str">
        <f t="shared" si="0"/>
        <v>2025-01</v>
      </c>
      <c r="J23" s="4" t="s">
        <v>50</v>
      </c>
      <c r="K23" s="5" t="s">
        <v>343</v>
      </c>
      <c r="L23" s="2">
        <v>54000</v>
      </c>
      <c r="M23" s="3">
        <v>2</v>
      </c>
      <c r="N23" s="2">
        <v>108000</v>
      </c>
      <c r="O23" s="2">
        <v>10800</v>
      </c>
      <c r="P23" s="2">
        <v>118800</v>
      </c>
      <c r="Q23" s="2">
        <f>P23*12%</f>
        <v>14256</v>
      </c>
    </row>
    <row r="24" spans="1:17" x14ac:dyDescent="0.4">
      <c r="A24" s="4" t="s">
        <v>51</v>
      </c>
      <c r="B24" s="4" t="s">
        <v>14</v>
      </c>
      <c r="C24" s="30" t="s">
        <v>434</v>
      </c>
      <c r="D24" s="4" t="s">
        <v>52</v>
      </c>
      <c r="E24" s="4" t="s">
        <v>16</v>
      </c>
      <c r="F24" s="4" t="s">
        <v>17</v>
      </c>
      <c r="G24" s="4" t="s">
        <v>18</v>
      </c>
      <c r="H24" s="4" t="s">
        <v>48</v>
      </c>
      <c r="I24" s="5" t="str">
        <f t="shared" si="0"/>
        <v>2025-01</v>
      </c>
      <c r="J24" s="4" t="s">
        <v>50</v>
      </c>
      <c r="K24" s="5" t="s">
        <v>343</v>
      </c>
      <c r="L24" s="2">
        <v>71250</v>
      </c>
      <c r="M24" s="3">
        <v>1</v>
      </c>
      <c r="N24" s="2">
        <v>71250</v>
      </c>
      <c r="O24" s="2">
        <v>7125</v>
      </c>
      <c r="P24" s="2">
        <v>78375</v>
      </c>
      <c r="Q24" s="2">
        <f>P24*12%</f>
        <v>9405</v>
      </c>
    </row>
    <row r="25" spans="1:17" x14ac:dyDescent="0.4">
      <c r="A25" s="4" t="s">
        <v>13</v>
      </c>
      <c r="B25" s="4" t="s">
        <v>14</v>
      </c>
      <c r="C25" s="30" t="s">
        <v>434</v>
      </c>
      <c r="D25" s="4" t="s">
        <v>15</v>
      </c>
      <c r="E25" s="4" t="s">
        <v>16</v>
      </c>
      <c r="F25" s="4" t="s">
        <v>17</v>
      </c>
      <c r="G25" s="4" t="s">
        <v>18</v>
      </c>
      <c r="H25" s="4" t="s">
        <v>53</v>
      </c>
      <c r="I25" s="5" t="str">
        <f t="shared" si="0"/>
        <v>2025-01</v>
      </c>
      <c r="J25" s="4" t="s">
        <v>20</v>
      </c>
      <c r="K25" s="5" t="s">
        <v>342</v>
      </c>
      <c r="L25" s="2">
        <v>42000</v>
      </c>
      <c r="M25" s="3">
        <v>1</v>
      </c>
      <c r="N25" s="2">
        <v>42000</v>
      </c>
      <c r="O25" s="2">
        <v>4200</v>
      </c>
      <c r="P25" s="2">
        <v>46200</v>
      </c>
      <c r="Q25" s="2">
        <f>P25*8.5%</f>
        <v>3927.0000000000005</v>
      </c>
    </row>
    <row r="26" spans="1:17" x14ac:dyDescent="0.4">
      <c r="A26" s="4" t="s">
        <v>21</v>
      </c>
      <c r="B26" s="4" t="s">
        <v>14</v>
      </c>
      <c r="C26" s="31" t="s">
        <v>435</v>
      </c>
      <c r="D26" s="4" t="s">
        <v>22</v>
      </c>
      <c r="E26" s="4" t="s">
        <v>16</v>
      </c>
      <c r="F26" s="4" t="s">
        <v>17</v>
      </c>
      <c r="G26" s="4" t="s">
        <v>18</v>
      </c>
      <c r="H26" s="4" t="s">
        <v>53</v>
      </c>
      <c r="I26" s="5" t="str">
        <f t="shared" si="0"/>
        <v>2025-01</v>
      </c>
      <c r="J26" s="4" t="s">
        <v>20</v>
      </c>
      <c r="K26" s="5" t="s">
        <v>342</v>
      </c>
      <c r="L26" s="2">
        <v>54000</v>
      </c>
      <c r="M26" s="3">
        <v>2</v>
      </c>
      <c r="N26" s="2">
        <v>108000</v>
      </c>
      <c r="O26" s="2">
        <v>10800</v>
      </c>
      <c r="P26" s="2">
        <v>118800</v>
      </c>
      <c r="Q26" s="2">
        <f>P26*8.5%</f>
        <v>10098</v>
      </c>
    </row>
    <row r="27" spans="1:17" x14ac:dyDescent="0.4">
      <c r="A27" s="4" t="s">
        <v>23</v>
      </c>
      <c r="B27" s="4" t="s">
        <v>14</v>
      </c>
      <c r="C27" s="31" t="s">
        <v>435</v>
      </c>
      <c r="D27" s="4" t="s">
        <v>24</v>
      </c>
      <c r="E27" s="4" t="s">
        <v>16</v>
      </c>
      <c r="F27" s="4" t="s">
        <v>17</v>
      </c>
      <c r="G27" s="4" t="s">
        <v>18</v>
      </c>
      <c r="H27" s="4" t="s">
        <v>53</v>
      </c>
      <c r="I27" s="5" t="str">
        <f t="shared" si="0"/>
        <v>2025-01</v>
      </c>
      <c r="J27" s="4" t="s">
        <v>20</v>
      </c>
      <c r="K27" s="5" t="s">
        <v>342</v>
      </c>
      <c r="L27" s="2">
        <v>54000</v>
      </c>
      <c r="M27" s="3">
        <v>2</v>
      </c>
      <c r="N27" s="2">
        <v>108000</v>
      </c>
      <c r="O27" s="2">
        <v>10800</v>
      </c>
      <c r="P27" s="2">
        <v>118800</v>
      </c>
      <c r="Q27" s="2">
        <f>P27*8.5%</f>
        <v>10098</v>
      </c>
    </row>
    <row r="28" spans="1:17" x14ac:dyDescent="0.4">
      <c r="A28" s="4" t="s">
        <v>54</v>
      </c>
      <c r="B28" s="4" t="s">
        <v>26</v>
      </c>
      <c r="C28" s="32" t="s">
        <v>436</v>
      </c>
      <c r="D28" s="4" t="s">
        <v>55</v>
      </c>
      <c r="E28" s="4" t="s">
        <v>28</v>
      </c>
      <c r="F28" s="4" t="s">
        <v>31</v>
      </c>
      <c r="G28" s="4" t="s">
        <v>18</v>
      </c>
      <c r="H28" s="4" t="s">
        <v>53</v>
      </c>
      <c r="I28" s="5" t="str">
        <f t="shared" si="0"/>
        <v>2025-01</v>
      </c>
      <c r="J28" s="4" t="s">
        <v>20</v>
      </c>
      <c r="K28" s="5" t="s">
        <v>342</v>
      </c>
      <c r="L28" s="2">
        <v>5145</v>
      </c>
      <c r="M28" s="3">
        <v>1</v>
      </c>
      <c r="N28" s="2">
        <v>5145</v>
      </c>
      <c r="O28" s="2">
        <v>0</v>
      </c>
      <c r="P28" s="2">
        <v>5145</v>
      </c>
      <c r="Q28" s="2">
        <f>P28*8.5%</f>
        <v>437.32500000000005</v>
      </c>
    </row>
    <row r="29" spans="1:17" x14ac:dyDescent="0.4">
      <c r="A29" s="4" t="s">
        <v>56</v>
      </c>
      <c r="B29" s="4" t="s">
        <v>26</v>
      </c>
      <c r="C29" s="32" t="s">
        <v>436</v>
      </c>
      <c r="D29" s="4" t="s">
        <v>57</v>
      </c>
      <c r="E29" s="4" t="s">
        <v>44</v>
      </c>
      <c r="F29" s="4" t="s">
        <v>31</v>
      </c>
      <c r="G29" s="4" t="s">
        <v>18</v>
      </c>
      <c r="H29" s="4" t="s">
        <v>53</v>
      </c>
      <c r="I29" s="5" t="str">
        <f t="shared" si="0"/>
        <v>2025-01</v>
      </c>
      <c r="J29" s="4" t="s">
        <v>20</v>
      </c>
      <c r="K29" s="5" t="s">
        <v>342</v>
      </c>
      <c r="L29" s="2">
        <v>2678</v>
      </c>
      <c r="M29" s="3">
        <v>25</v>
      </c>
      <c r="N29" s="2">
        <v>66950</v>
      </c>
      <c r="O29" s="2">
        <v>0</v>
      </c>
      <c r="P29" s="2">
        <v>66950</v>
      </c>
      <c r="Q29" s="2">
        <f>P29*8.5%</f>
        <v>5690.75</v>
      </c>
    </row>
    <row r="30" spans="1:17" hidden="1" x14ac:dyDescent="0.4">
      <c r="A30" s="4" t="s">
        <v>32</v>
      </c>
      <c r="B30" s="4" t="s">
        <v>14</v>
      </c>
      <c r="C30" s="31" t="s">
        <v>435</v>
      </c>
      <c r="D30" s="4" t="s">
        <v>33</v>
      </c>
      <c r="E30" s="4" t="s">
        <v>16</v>
      </c>
      <c r="F30" s="4" t="s">
        <v>17</v>
      </c>
      <c r="G30" s="4" t="s">
        <v>18</v>
      </c>
      <c r="H30" s="4" t="s">
        <v>53</v>
      </c>
      <c r="I30" s="5" t="str">
        <f t="shared" si="0"/>
        <v>2025-01</v>
      </c>
      <c r="J30" s="4" t="s">
        <v>34</v>
      </c>
      <c r="K30" s="5" t="s">
        <v>342</v>
      </c>
      <c r="L30" s="2">
        <v>44000</v>
      </c>
      <c r="M30" s="3">
        <v>2</v>
      </c>
      <c r="N30" s="2">
        <v>88000</v>
      </c>
      <c r="O30" s="2">
        <v>8800</v>
      </c>
      <c r="P30" s="2">
        <v>96800</v>
      </c>
      <c r="Q30" s="2">
        <f>P30*8.5%</f>
        <v>8228</v>
      </c>
    </row>
    <row r="31" spans="1:17" hidden="1" x14ac:dyDescent="0.4">
      <c r="A31" s="4" t="s">
        <v>58</v>
      </c>
      <c r="B31" s="4" t="s">
        <v>14</v>
      </c>
      <c r="C31" s="30" t="s">
        <v>434</v>
      </c>
      <c r="D31" s="4" t="s">
        <v>36</v>
      </c>
      <c r="E31" s="4" t="s">
        <v>16</v>
      </c>
      <c r="F31" s="4" t="s">
        <v>17</v>
      </c>
      <c r="G31" s="4" t="s">
        <v>18</v>
      </c>
      <c r="H31" s="4" t="s">
        <v>53</v>
      </c>
      <c r="I31" s="5" t="str">
        <f t="shared" si="0"/>
        <v>2025-01</v>
      </c>
      <c r="J31" s="4" t="s">
        <v>34</v>
      </c>
      <c r="K31" s="5" t="s">
        <v>342</v>
      </c>
      <c r="L31" s="2">
        <v>120880</v>
      </c>
      <c r="M31" s="3">
        <v>1</v>
      </c>
      <c r="N31" s="2">
        <v>120880</v>
      </c>
      <c r="O31" s="2">
        <v>12088</v>
      </c>
      <c r="P31" s="2">
        <v>132968</v>
      </c>
      <c r="Q31" s="2">
        <f>P31*8.5%</f>
        <v>11302.28</v>
      </c>
    </row>
    <row r="32" spans="1:17" hidden="1" x14ac:dyDescent="0.4">
      <c r="A32" s="4" t="s">
        <v>13</v>
      </c>
      <c r="B32" s="4" t="s">
        <v>14</v>
      </c>
      <c r="C32" s="30" t="s">
        <v>434</v>
      </c>
      <c r="D32" s="4" t="s">
        <v>15</v>
      </c>
      <c r="E32" s="4" t="s">
        <v>16</v>
      </c>
      <c r="F32" s="4" t="s">
        <v>17</v>
      </c>
      <c r="G32" s="4" t="s">
        <v>18</v>
      </c>
      <c r="H32" s="4" t="s">
        <v>53</v>
      </c>
      <c r="I32" s="5" t="str">
        <f t="shared" si="0"/>
        <v>2025-01</v>
      </c>
      <c r="J32" s="4" t="s">
        <v>34</v>
      </c>
      <c r="K32" s="5" t="s">
        <v>342</v>
      </c>
      <c r="L32" s="2">
        <v>42000</v>
      </c>
      <c r="M32" s="3">
        <v>5</v>
      </c>
      <c r="N32" s="2">
        <v>210000</v>
      </c>
      <c r="O32" s="2">
        <v>21000</v>
      </c>
      <c r="P32" s="2">
        <v>231000</v>
      </c>
      <c r="Q32" s="2">
        <f>P32*8.5%</f>
        <v>19635</v>
      </c>
    </row>
    <row r="33" spans="1:17" hidden="1" x14ac:dyDescent="0.4">
      <c r="A33" s="4" t="s">
        <v>21</v>
      </c>
      <c r="B33" s="4" t="s">
        <v>14</v>
      </c>
      <c r="C33" s="31" t="s">
        <v>435</v>
      </c>
      <c r="D33" s="4" t="s">
        <v>22</v>
      </c>
      <c r="E33" s="4" t="s">
        <v>16</v>
      </c>
      <c r="F33" s="4" t="s">
        <v>17</v>
      </c>
      <c r="G33" s="4" t="s">
        <v>18</v>
      </c>
      <c r="H33" s="4" t="s">
        <v>53</v>
      </c>
      <c r="I33" s="5" t="str">
        <f t="shared" si="0"/>
        <v>2025-01</v>
      </c>
      <c r="J33" s="4" t="s">
        <v>34</v>
      </c>
      <c r="K33" s="5" t="s">
        <v>342</v>
      </c>
      <c r="L33" s="2">
        <v>54000</v>
      </c>
      <c r="M33" s="3">
        <v>1</v>
      </c>
      <c r="N33" s="2">
        <v>54000</v>
      </c>
      <c r="O33" s="2">
        <v>5400</v>
      </c>
      <c r="P33" s="2">
        <v>59400</v>
      </c>
      <c r="Q33" s="2">
        <f>P33*8.5%</f>
        <v>5049</v>
      </c>
    </row>
    <row r="34" spans="1:17" hidden="1" x14ac:dyDescent="0.4">
      <c r="A34" s="4" t="s">
        <v>23</v>
      </c>
      <c r="B34" s="4" t="s">
        <v>14</v>
      </c>
      <c r="C34" s="31" t="s">
        <v>435</v>
      </c>
      <c r="D34" s="4" t="s">
        <v>24</v>
      </c>
      <c r="E34" s="4" t="s">
        <v>16</v>
      </c>
      <c r="F34" s="4" t="s">
        <v>17</v>
      </c>
      <c r="G34" s="4" t="s">
        <v>18</v>
      </c>
      <c r="H34" s="4" t="s">
        <v>53</v>
      </c>
      <c r="I34" s="5" t="str">
        <f t="shared" si="0"/>
        <v>2025-01</v>
      </c>
      <c r="J34" s="4" t="s">
        <v>34</v>
      </c>
      <c r="K34" s="5" t="s">
        <v>342</v>
      </c>
      <c r="L34" s="2">
        <v>54000</v>
      </c>
      <c r="M34" s="3">
        <v>4</v>
      </c>
      <c r="N34" s="2">
        <v>216000</v>
      </c>
      <c r="O34" s="2">
        <v>21600</v>
      </c>
      <c r="P34" s="2">
        <v>237600</v>
      </c>
      <c r="Q34" s="2">
        <f>P34*8.5%</f>
        <v>20196</v>
      </c>
    </row>
    <row r="35" spans="1:17" hidden="1" x14ac:dyDescent="0.4">
      <c r="A35" s="4" t="s">
        <v>51</v>
      </c>
      <c r="B35" s="4" t="s">
        <v>14</v>
      </c>
      <c r="C35" s="30" t="s">
        <v>434</v>
      </c>
      <c r="D35" s="4" t="s">
        <v>52</v>
      </c>
      <c r="E35" s="4" t="s">
        <v>16</v>
      </c>
      <c r="F35" s="4" t="s">
        <v>17</v>
      </c>
      <c r="G35" s="4" t="s">
        <v>18</v>
      </c>
      <c r="H35" s="4" t="s">
        <v>53</v>
      </c>
      <c r="I35" s="5" t="str">
        <f t="shared" si="0"/>
        <v>2025-01</v>
      </c>
      <c r="J35" s="4" t="s">
        <v>34</v>
      </c>
      <c r="K35" s="5" t="s">
        <v>342</v>
      </c>
      <c r="L35" s="2">
        <v>71250</v>
      </c>
      <c r="M35" s="3">
        <v>1</v>
      </c>
      <c r="N35" s="2">
        <v>71250</v>
      </c>
      <c r="O35" s="2">
        <v>7125</v>
      </c>
      <c r="P35" s="2">
        <v>78375</v>
      </c>
      <c r="Q35" s="2">
        <f>P35*8.5%</f>
        <v>6661.8750000000009</v>
      </c>
    </row>
    <row r="36" spans="1:17" hidden="1" x14ac:dyDescent="0.4">
      <c r="A36" s="4" t="s">
        <v>42</v>
      </c>
      <c r="B36" s="4" t="s">
        <v>14</v>
      </c>
      <c r="C36" s="30" t="s">
        <v>434</v>
      </c>
      <c r="D36" s="4" t="s">
        <v>43</v>
      </c>
      <c r="E36" s="4" t="s">
        <v>44</v>
      </c>
      <c r="F36" s="4" t="s">
        <v>31</v>
      </c>
      <c r="G36" s="4" t="s">
        <v>18</v>
      </c>
      <c r="H36" s="4" t="s">
        <v>53</v>
      </c>
      <c r="I36" s="5" t="str">
        <f t="shared" si="0"/>
        <v>2025-01</v>
      </c>
      <c r="J36" s="4" t="s">
        <v>34</v>
      </c>
      <c r="K36" s="5" t="s">
        <v>342</v>
      </c>
      <c r="L36" s="2">
        <v>6800</v>
      </c>
      <c r="M36" s="3">
        <v>81.7</v>
      </c>
      <c r="N36" s="2">
        <v>555560</v>
      </c>
      <c r="O36" s="2">
        <v>0</v>
      </c>
      <c r="P36" s="2">
        <v>555560</v>
      </c>
      <c r="Q36" s="2">
        <f>P36*8.5%</f>
        <v>47222.600000000006</v>
      </c>
    </row>
    <row r="37" spans="1:17" hidden="1" x14ac:dyDescent="0.4">
      <c r="A37" s="4" t="s">
        <v>32</v>
      </c>
      <c r="B37" s="4" t="s">
        <v>14</v>
      </c>
      <c r="C37" s="31" t="s">
        <v>435</v>
      </c>
      <c r="D37" s="4" t="s">
        <v>33</v>
      </c>
      <c r="E37" s="4" t="s">
        <v>16</v>
      </c>
      <c r="F37" s="4" t="s">
        <v>17</v>
      </c>
      <c r="G37" s="4" t="s">
        <v>18</v>
      </c>
      <c r="H37" s="4" t="s">
        <v>53</v>
      </c>
      <c r="I37" s="5" t="str">
        <f t="shared" si="0"/>
        <v>2025-01</v>
      </c>
      <c r="J37" s="4" t="s">
        <v>59</v>
      </c>
      <c r="K37" s="5" t="s">
        <v>343</v>
      </c>
      <c r="L37" s="2">
        <v>44000</v>
      </c>
      <c r="M37" s="3">
        <v>1</v>
      </c>
      <c r="N37" s="2">
        <v>44000</v>
      </c>
      <c r="O37" s="2">
        <v>4400</v>
      </c>
      <c r="P37" s="2">
        <v>48400</v>
      </c>
      <c r="Q37" s="2">
        <f>P37*12%</f>
        <v>5808</v>
      </c>
    </row>
    <row r="38" spans="1:17" hidden="1" x14ac:dyDescent="0.4">
      <c r="A38" s="4" t="s">
        <v>13</v>
      </c>
      <c r="B38" s="4" t="s">
        <v>14</v>
      </c>
      <c r="C38" s="30" t="s">
        <v>434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53</v>
      </c>
      <c r="I38" s="5" t="str">
        <f t="shared" si="0"/>
        <v>2025-01</v>
      </c>
      <c r="J38" s="4" t="s">
        <v>59</v>
      </c>
      <c r="K38" s="5" t="s">
        <v>343</v>
      </c>
      <c r="L38" s="2">
        <v>42000</v>
      </c>
      <c r="M38" s="3">
        <v>2</v>
      </c>
      <c r="N38" s="2">
        <v>84000</v>
      </c>
      <c r="O38" s="2">
        <v>8400</v>
      </c>
      <c r="P38" s="2">
        <v>92400</v>
      </c>
      <c r="Q38" s="2">
        <f>P38*12%</f>
        <v>11088</v>
      </c>
    </row>
    <row r="39" spans="1:17" hidden="1" x14ac:dyDescent="0.4">
      <c r="A39" s="4" t="s">
        <v>23</v>
      </c>
      <c r="B39" s="4" t="s">
        <v>14</v>
      </c>
      <c r="C39" s="31" t="s">
        <v>435</v>
      </c>
      <c r="D39" s="4" t="s">
        <v>24</v>
      </c>
      <c r="E39" s="4" t="s">
        <v>16</v>
      </c>
      <c r="F39" s="4" t="s">
        <v>17</v>
      </c>
      <c r="G39" s="4" t="s">
        <v>18</v>
      </c>
      <c r="H39" s="4" t="s">
        <v>53</v>
      </c>
      <c r="I39" s="5" t="str">
        <f t="shared" si="0"/>
        <v>2025-01</v>
      </c>
      <c r="J39" s="4" t="s">
        <v>59</v>
      </c>
      <c r="K39" s="5" t="s">
        <v>343</v>
      </c>
      <c r="L39" s="2">
        <v>54000</v>
      </c>
      <c r="M39" s="3">
        <v>1</v>
      </c>
      <c r="N39" s="2">
        <v>54000</v>
      </c>
      <c r="O39" s="2">
        <v>5400</v>
      </c>
      <c r="P39" s="2">
        <v>59400</v>
      </c>
      <c r="Q39" s="2">
        <f>P39*12%</f>
        <v>7128</v>
      </c>
    </row>
    <row r="40" spans="1:17" hidden="1" x14ac:dyDescent="0.4">
      <c r="A40" s="4" t="s">
        <v>51</v>
      </c>
      <c r="B40" s="4" t="s">
        <v>14</v>
      </c>
      <c r="C40" s="30" t="s">
        <v>434</v>
      </c>
      <c r="D40" s="4" t="s">
        <v>52</v>
      </c>
      <c r="E40" s="4" t="s">
        <v>16</v>
      </c>
      <c r="F40" s="4" t="s">
        <v>17</v>
      </c>
      <c r="G40" s="4" t="s">
        <v>18</v>
      </c>
      <c r="H40" s="4" t="s">
        <v>53</v>
      </c>
      <c r="I40" s="5" t="str">
        <f t="shared" si="0"/>
        <v>2025-01</v>
      </c>
      <c r="J40" s="4" t="s">
        <v>59</v>
      </c>
      <c r="K40" s="5" t="s">
        <v>343</v>
      </c>
      <c r="L40" s="2">
        <v>71250</v>
      </c>
      <c r="M40" s="3">
        <v>1</v>
      </c>
      <c r="N40" s="2">
        <v>71250</v>
      </c>
      <c r="O40" s="2">
        <v>7125</v>
      </c>
      <c r="P40" s="2">
        <v>78375</v>
      </c>
      <c r="Q40" s="2">
        <f>P40*12%</f>
        <v>9405</v>
      </c>
    </row>
    <row r="41" spans="1:17" hidden="1" x14ac:dyDescent="0.4">
      <c r="A41" s="4" t="s">
        <v>23</v>
      </c>
      <c r="B41" s="4" t="s">
        <v>14</v>
      </c>
      <c r="C41" s="31" t="s">
        <v>435</v>
      </c>
      <c r="D41" s="4" t="s">
        <v>24</v>
      </c>
      <c r="E41" s="4" t="s">
        <v>16</v>
      </c>
      <c r="F41" s="4" t="s">
        <v>17</v>
      </c>
      <c r="G41" s="4" t="s">
        <v>18</v>
      </c>
      <c r="H41" s="4" t="s">
        <v>53</v>
      </c>
      <c r="I41" s="5" t="str">
        <f t="shared" si="0"/>
        <v>2025-01</v>
      </c>
      <c r="J41" s="4" t="s">
        <v>60</v>
      </c>
      <c r="K41" s="5" t="s">
        <v>343</v>
      </c>
      <c r="L41" s="2">
        <v>54000</v>
      </c>
      <c r="M41" s="3">
        <v>10</v>
      </c>
      <c r="N41" s="2">
        <v>540000</v>
      </c>
      <c r="O41" s="2">
        <v>54000</v>
      </c>
      <c r="P41" s="2">
        <v>594000</v>
      </c>
      <c r="Q41" s="2">
        <f>P41*12%</f>
        <v>71280</v>
      </c>
    </row>
    <row r="42" spans="1:17" x14ac:dyDescent="0.4">
      <c r="A42" s="4" t="s">
        <v>21</v>
      </c>
      <c r="B42" s="4" t="s">
        <v>14</v>
      </c>
      <c r="C42" s="31" t="s">
        <v>435</v>
      </c>
      <c r="D42" s="4" t="s">
        <v>22</v>
      </c>
      <c r="E42" s="4" t="s">
        <v>16</v>
      </c>
      <c r="F42" s="4" t="s">
        <v>17</v>
      </c>
      <c r="G42" s="4" t="s">
        <v>18</v>
      </c>
      <c r="H42" s="4" t="s">
        <v>61</v>
      </c>
      <c r="I42" s="5" t="str">
        <f t="shared" si="0"/>
        <v>2025-01</v>
      </c>
      <c r="J42" s="4" t="s">
        <v>20</v>
      </c>
      <c r="K42" s="5" t="s">
        <v>342</v>
      </c>
      <c r="L42" s="2">
        <v>54000</v>
      </c>
      <c r="M42" s="3">
        <v>1</v>
      </c>
      <c r="N42" s="2">
        <v>54000</v>
      </c>
      <c r="O42" s="2">
        <v>5400</v>
      </c>
      <c r="P42" s="2">
        <v>59400</v>
      </c>
      <c r="Q42" s="2">
        <f>P42*8.5%</f>
        <v>5049</v>
      </c>
    </row>
    <row r="43" spans="1:17" x14ac:dyDescent="0.4">
      <c r="A43" s="4" t="s">
        <v>23</v>
      </c>
      <c r="B43" s="4" t="s">
        <v>14</v>
      </c>
      <c r="C43" s="31" t="s">
        <v>435</v>
      </c>
      <c r="D43" s="4" t="s">
        <v>24</v>
      </c>
      <c r="E43" s="4" t="s">
        <v>16</v>
      </c>
      <c r="F43" s="4" t="s">
        <v>17</v>
      </c>
      <c r="G43" s="4" t="s">
        <v>18</v>
      </c>
      <c r="H43" s="4" t="s">
        <v>61</v>
      </c>
      <c r="I43" s="5" t="str">
        <f t="shared" si="0"/>
        <v>2025-01</v>
      </c>
      <c r="J43" s="4" t="s">
        <v>20</v>
      </c>
      <c r="K43" s="5" t="s">
        <v>342</v>
      </c>
      <c r="L43" s="2">
        <v>54000</v>
      </c>
      <c r="M43" s="3">
        <v>2</v>
      </c>
      <c r="N43" s="2">
        <v>108000</v>
      </c>
      <c r="O43" s="2">
        <v>10800</v>
      </c>
      <c r="P43" s="2">
        <v>118800</v>
      </c>
      <c r="Q43" s="2">
        <f>P43*8.5%</f>
        <v>10098</v>
      </c>
    </row>
    <row r="44" spans="1:17" x14ac:dyDescent="0.4">
      <c r="A44" s="4" t="s">
        <v>62</v>
      </c>
      <c r="B44" s="4" t="s">
        <v>26</v>
      </c>
      <c r="C44" s="32" t="s">
        <v>436</v>
      </c>
      <c r="D44" s="4" t="s">
        <v>63</v>
      </c>
      <c r="E44" s="4" t="s">
        <v>28</v>
      </c>
      <c r="F44" s="4" t="s">
        <v>31</v>
      </c>
      <c r="G44" s="4" t="s">
        <v>18</v>
      </c>
      <c r="H44" s="4" t="s">
        <v>61</v>
      </c>
      <c r="I44" s="5" t="str">
        <f t="shared" si="0"/>
        <v>2025-01</v>
      </c>
      <c r="J44" s="4" t="s">
        <v>20</v>
      </c>
      <c r="K44" s="5" t="s">
        <v>342</v>
      </c>
      <c r="L44" s="2">
        <v>2502</v>
      </c>
      <c r="M44" s="3">
        <v>6</v>
      </c>
      <c r="N44" s="2">
        <v>15012</v>
      </c>
      <c r="O44" s="2">
        <v>0</v>
      </c>
      <c r="P44" s="2">
        <v>15012</v>
      </c>
      <c r="Q44" s="2">
        <f>P44*8.5%</f>
        <v>1276.02</v>
      </c>
    </row>
    <row r="45" spans="1:17" hidden="1" x14ac:dyDescent="0.4">
      <c r="A45" s="4" t="s">
        <v>64</v>
      </c>
      <c r="B45" s="4" t="s">
        <v>65</v>
      </c>
      <c r="C45" s="32" t="s">
        <v>436</v>
      </c>
      <c r="D45" s="4" t="s">
        <v>66</v>
      </c>
      <c r="E45" s="4" t="s">
        <v>16</v>
      </c>
      <c r="F45" s="4" t="s">
        <v>17</v>
      </c>
      <c r="G45" s="4" t="s">
        <v>18</v>
      </c>
      <c r="H45" s="4" t="s">
        <v>61</v>
      </c>
      <c r="I45" s="5" t="str">
        <f t="shared" si="0"/>
        <v>2025-01</v>
      </c>
      <c r="J45" s="4" t="s">
        <v>34</v>
      </c>
      <c r="K45" s="5" t="s">
        <v>342</v>
      </c>
      <c r="L45" s="2">
        <v>9939</v>
      </c>
      <c r="M45" s="3">
        <v>1</v>
      </c>
      <c r="N45" s="2">
        <v>9939</v>
      </c>
      <c r="O45" s="2">
        <v>994</v>
      </c>
      <c r="P45" s="2">
        <v>10933</v>
      </c>
      <c r="Q45" s="2">
        <f>P45*8.5%</f>
        <v>929.30500000000006</v>
      </c>
    </row>
    <row r="46" spans="1:17" hidden="1" x14ac:dyDescent="0.4">
      <c r="A46" s="4" t="s">
        <v>32</v>
      </c>
      <c r="B46" s="4" t="s">
        <v>14</v>
      </c>
      <c r="C46" s="31" t="s">
        <v>435</v>
      </c>
      <c r="D46" s="4" t="s">
        <v>33</v>
      </c>
      <c r="E46" s="4" t="s">
        <v>16</v>
      </c>
      <c r="F46" s="4" t="s">
        <v>17</v>
      </c>
      <c r="G46" s="4" t="s">
        <v>18</v>
      </c>
      <c r="H46" s="4" t="s">
        <v>61</v>
      </c>
      <c r="I46" s="5" t="str">
        <f t="shared" si="0"/>
        <v>2025-01</v>
      </c>
      <c r="J46" s="4" t="s">
        <v>34</v>
      </c>
      <c r="K46" s="5" t="s">
        <v>342</v>
      </c>
      <c r="L46" s="2">
        <v>44000</v>
      </c>
      <c r="M46" s="3">
        <v>1</v>
      </c>
      <c r="N46" s="2">
        <v>44000</v>
      </c>
      <c r="O46" s="2">
        <v>4400</v>
      </c>
      <c r="P46" s="2">
        <v>48400</v>
      </c>
      <c r="Q46" s="2">
        <f>P46*8.5%</f>
        <v>4114</v>
      </c>
    </row>
    <row r="47" spans="1:17" hidden="1" x14ac:dyDescent="0.4">
      <c r="A47" s="4" t="s">
        <v>13</v>
      </c>
      <c r="B47" s="4" t="s">
        <v>14</v>
      </c>
      <c r="C47" s="30" t="s">
        <v>434</v>
      </c>
      <c r="D47" s="4" t="s">
        <v>15</v>
      </c>
      <c r="E47" s="4" t="s">
        <v>16</v>
      </c>
      <c r="F47" s="4" t="s">
        <v>17</v>
      </c>
      <c r="G47" s="4" t="s">
        <v>18</v>
      </c>
      <c r="H47" s="4" t="s">
        <v>61</v>
      </c>
      <c r="I47" s="5" t="str">
        <f t="shared" si="0"/>
        <v>2025-01</v>
      </c>
      <c r="J47" s="4" t="s">
        <v>34</v>
      </c>
      <c r="K47" s="5" t="s">
        <v>342</v>
      </c>
      <c r="L47" s="2">
        <v>42000</v>
      </c>
      <c r="M47" s="3">
        <v>4</v>
      </c>
      <c r="N47" s="2">
        <v>168000</v>
      </c>
      <c r="O47" s="2">
        <v>16800</v>
      </c>
      <c r="P47" s="2">
        <v>184800</v>
      </c>
      <c r="Q47" s="2">
        <f>P47*8.5%</f>
        <v>15708.000000000002</v>
      </c>
    </row>
    <row r="48" spans="1:17" hidden="1" x14ac:dyDescent="0.4">
      <c r="A48" s="4" t="s">
        <v>21</v>
      </c>
      <c r="B48" s="4" t="s">
        <v>14</v>
      </c>
      <c r="C48" s="31" t="s">
        <v>435</v>
      </c>
      <c r="D48" s="4" t="s">
        <v>22</v>
      </c>
      <c r="E48" s="4" t="s">
        <v>16</v>
      </c>
      <c r="F48" s="4" t="s">
        <v>17</v>
      </c>
      <c r="G48" s="4" t="s">
        <v>18</v>
      </c>
      <c r="H48" s="4" t="s">
        <v>61</v>
      </c>
      <c r="I48" s="5" t="str">
        <f t="shared" si="0"/>
        <v>2025-01</v>
      </c>
      <c r="J48" s="4" t="s">
        <v>34</v>
      </c>
      <c r="K48" s="5" t="s">
        <v>342</v>
      </c>
      <c r="L48" s="2">
        <v>54000</v>
      </c>
      <c r="M48" s="3">
        <v>1</v>
      </c>
      <c r="N48" s="2">
        <v>54000</v>
      </c>
      <c r="O48" s="2">
        <v>5400</v>
      </c>
      <c r="P48" s="2">
        <v>59400</v>
      </c>
      <c r="Q48" s="2">
        <f>P48*8.5%</f>
        <v>5049</v>
      </c>
    </row>
    <row r="49" spans="1:17" hidden="1" x14ac:dyDescent="0.4">
      <c r="A49" s="4" t="s">
        <v>23</v>
      </c>
      <c r="B49" s="4" t="s">
        <v>14</v>
      </c>
      <c r="C49" s="31" t="s">
        <v>435</v>
      </c>
      <c r="D49" s="4" t="s">
        <v>24</v>
      </c>
      <c r="E49" s="4" t="s">
        <v>16</v>
      </c>
      <c r="F49" s="4" t="s">
        <v>17</v>
      </c>
      <c r="G49" s="4" t="s">
        <v>18</v>
      </c>
      <c r="H49" s="4" t="s">
        <v>61</v>
      </c>
      <c r="I49" s="5" t="str">
        <f t="shared" si="0"/>
        <v>2025-01</v>
      </c>
      <c r="J49" s="4" t="s">
        <v>34</v>
      </c>
      <c r="K49" s="5" t="s">
        <v>342</v>
      </c>
      <c r="L49" s="2">
        <v>54000</v>
      </c>
      <c r="M49" s="3">
        <v>4</v>
      </c>
      <c r="N49" s="2">
        <v>216000</v>
      </c>
      <c r="O49" s="2">
        <v>21600</v>
      </c>
      <c r="P49" s="2">
        <v>237600</v>
      </c>
      <c r="Q49" s="2">
        <f>P49*8.5%</f>
        <v>20196</v>
      </c>
    </row>
    <row r="50" spans="1:17" hidden="1" x14ac:dyDescent="0.4">
      <c r="A50" s="4" t="s">
        <v>67</v>
      </c>
      <c r="B50" s="4" t="s">
        <v>26</v>
      </c>
      <c r="C50" s="32" t="s">
        <v>436</v>
      </c>
      <c r="D50" s="4" t="s">
        <v>63</v>
      </c>
      <c r="E50" s="4" t="s">
        <v>28</v>
      </c>
      <c r="F50" s="4" t="s">
        <v>17</v>
      </c>
      <c r="G50" s="4" t="s">
        <v>18</v>
      </c>
      <c r="H50" s="4" t="s">
        <v>61</v>
      </c>
      <c r="I50" s="5" t="str">
        <f t="shared" si="0"/>
        <v>2025-01</v>
      </c>
      <c r="J50" s="4" t="s">
        <v>34</v>
      </c>
      <c r="K50" s="5" t="s">
        <v>342</v>
      </c>
      <c r="L50" s="2">
        <v>7391</v>
      </c>
      <c r="M50" s="3">
        <v>1</v>
      </c>
      <c r="N50" s="2">
        <v>7391</v>
      </c>
      <c r="O50" s="2">
        <v>739</v>
      </c>
      <c r="P50" s="2">
        <v>8130</v>
      </c>
      <c r="Q50" s="2">
        <f>P50*8.5%</f>
        <v>691.05000000000007</v>
      </c>
    </row>
    <row r="51" spans="1:17" hidden="1" x14ac:dyDescent="0.4">
      <c r="A51" s="4" t="s">
        <v>68</v>
      </c>
      <c r="B51" s="4" t="s">
        <v>26</v>
      </c>
      <c r="C51" s="32" t="s">
        <v>436</v>
      </c>
      <c r="D51" s="4" t="s">
        <v>69</v>
      </c>
      <c r="E51" s="4" t="s">
        <v>28</v>
      </c>
      <c r="F51" s="4" t="s">
        <v>17</v>
      </c>
      <c r="G51" s="4" t="s">
        <v>18</v>
      </c>
      <c r="H51" s="4" t="s">
        <v>61</v>
      </c>
      <c r="I51" s="5" t="str">
        <f t="shared" si="0"/>
        <v>2025-01</v>
      </c>
      <c r="J51" s="4" t="s">
        <v>34</v>
      </c>
      <c r="K51" s="5" t="s">
        <v>342</v>
      </c>
      <c r="L51" s="2">
        <v>4677</v>
      </c>
      <c r="M51" s="3">
        <v>2</v>
      </c>
      <c r="N51" s="2">
        <v>9354</v>
      </c>
      <c r="O51" s="2">
        <v>935</v>
      </c>
      <c r="P51" s="2">
        <v>10289</v>
      </c>
      <c r="Q51" s="2">
        <f>P51*8.5%</f>
        <v>874.56500000000005</v>
      </c>
    </row>
    <row r="52" spans="1:17" hidden="1" x14ac:dyDescent="0.4">
      <c r="A52" s="4" t="s">
        <v>70</v>
      </c>
      <c r="B52" s="4" t="s">
        <v>26</v>
      </c>
      <c r="C52" s="32" t="s">
        <v>436</v>
      </c>
      <c r="D52" s="4" t="s">
        <v>71</v>
      </c>
      <c r="E52" s="4" t="s">
        <v>28</v>
      </c>
      <c r="F52" s="4" t="s">
        <v>31</v>
      </c>
      <c r="G52" s="4" t="s">
        <v>18</v>
      </c>
      <c r="H52" s="4" t="s">
        <v>61</v>
      </c>
      <c r="I52" s="5" t="str">
        <f t="shared" si="0"/>
        <v>2025-01</v>
      </c>
      <c r="J52" s="4" t="s">
        <v>34</v>
      </c>
      <c r="K52" s="5" t="s">
        <v>342</v>
      </c>
      <c r="L52" s="2">
        <v>6478</v>
      </c>
      <c r="M52" s="3">
        <v>2</v>
      </c>
      <c r="N52" s="2">
        <v>12956</v>
      </c>
      <c r="O52" s="2">
        <v>0</v>
      </c>
      <c r="P52" s="2">
        <v>12956</v>
      </c>
      <c r="Q52" s="2">
        <f>P52*8.5%</f>
        <v>1101.26</v>
      </c>
    </row>
    <row r="53" spans="1:17" hidden="1" x14ac:dyDescent="0.4">
      <c r="A53" s="4" t="s">
        <v>42</v>
      </c>
      <c r="B53" s="4" t="s">
        <v>14</v>
      </c>
      <c r="C53" s="30" t="s">
        <v>434</v>
      </c>
      <c r="D53" s="4" t="s">
        <v>43</v>
      </c>
      <c r="E53" s="4" t="s">
        <v>44</v>
      </c>
      <c r="F53" s="4" t="s">
        <v>31</v>
      </c>
      <c r="G53" s="4" t="s">
        <v>18</v>
      </c>
      <c r="H53" s="4" t="s">
        <v>61</v>
      </c>
      <c r="I53" s="5" t="str">
        <f t="shared" si="0"/>
        <v>2025-01</v>
      </c>
      <c r="J53" s="4" t="s">
        <v>34</v>
      </c>
      <c r="K53" s="5" t="s">
        <v>342</v>
      </c>
      <c r="L53" s="2">
        <v>6800</v>
      </c>
      <c r="M53" s="3">
        <v>47.7</v>
      </c>
      <c r="N53" s="2">
        <v>324360</v>
      </c>
      <c r="O53" s="2">
        <v>0</v>
      </c>
      <c r="P53" s="2">
        <v>324360</v>
      </c>
      <c r="Q53" s="2">
        <f>P53*8.5%</f>
        <v>27570.600000000002</v>
      </c>
    </row>
    <row r="54" spans="1:17" hidden="1" x14ac:dyDescent="0.4">
      <c r="A54" s="4" t="s">
        <v>32</v>
      </c>
      <c r="B54" s="4" t="s">
        <v>14</v>
      </c>
      <c r="C54" s="31" t="s">
        <v>435</v>
      </c>
      <c r="D54" s="4" t="s">
        <v>33</v>
      </c>
      <c r="E54" s="4" t="s">
        <v>16</v>
      </c>
      <c r="F54" s="4" t="s">
        <v>17</v>
      </c>
      <c r="G54" s="4" t="s">
        <v>18</v>
      </c>
      <c r="H54" s="4" t="s">
        <v>61</v>
      </c>
      <c r="I54" s="5" t="str">
        <f t="shared" si="0"/>
        <v>2025-01</v>
      </c>
      <c r="J54" s="4" t="s">
        <v>49</v>
      </c>
      <c r="K54" s="5" t="s">
        <v>343</v>
      </c>
      <c r="L54" s="2">
        <v>44000</v>
      </c>
      <c r="M54" s="3">
        <v>6</v>
      </c>
      <c r="N54" s="2">
        <v>264000</v>
      </c>
      <c r="O54" s="2">
        <v>26400</v>
      </c>
      <c r="P54" s="2">
        <v>290400</v>
      </c>
      <c r="Q54" s="2">
        <f>P54*12%</f>
        <v>34848</v>
      </c>
    </row>
    <row r="55" spans="1:17" hidden="1" x14ac:dyDescent="0.4">
      <c r="A55" s="4" t="s">
        <v>13</v>
      </c>
      <c r="B55" s="4" t="s">
        <v>14</v>
      </c>
      <c r="C55" s="30" t="s">
        <v>434</v>
      </c>
      <c r="D55" s="4" t="s">
        <v>15</v>
      </c>
      <c r="E55" s="4" t="s">
        <v>16</v>
      </c>
      <c r="F55" s="4" t="s">
        <v>17</v>
      </c>
      <c r="G55" s="4" t="s">
        <v>18</v>
      </c>
      <c r="H55" s="4" t="s">
        <v>61</v>
      </c>
      <c r="I55" s="5" t="str">
        <f t="shared" si="0"/>
        <v>2025-01</v>
      </c>
      <c r="J55" s="4" t="s">
        <v>49</v>
      </c>
      <c r="K55" s="5" t="s">
        <v>343</v>
      </c>
      <c r="L55" s="2">
        <v>42000</v>
      </c>
      <c r="M55" s="3">
        <v>5</v>
      </c>
      <c r="N55" s="2">
        <v>210000</v>
      </c>
      <c r="O55" s="2">
        <v>21000</v>
      </c>
      <c r="P55" s="2">
        <v>231000</v>
      </c>
      <c r="Q55" s="2">
        <f>P55*12%</f>
        <v>27720</v>
      </c>
    </row>
    <row r="56" spans="1:17" hidden="1" x14ac:dyDescent="0.4">
      <c r="A56" s="4" t="s">
        <v>35</v>
      </c>
      <c r="B56" s="4" t="s">
        <v>14</v>
      </c>
      <c r="C56" s="30" t="s">
        <v>434</v>
      </c>
      <c r="D56" s="4" t="s">
        <v>36</v>
      </c>
      <c r="E56" s="4" t="s">
        <v>16</v>
      </c>
      <c r="F56" s="4" t="s">
        <v>17</v>
      </c>
      <c r="G56" s="4" t="s">
        <v>18</v>
      </c>
      <c r="H56" s="4" t="s">
        <v>61</v>
      </c>
      <c r="I56" s="5" t="str">
        <f t="shared" si="0"/>
        <v>2025-01</v>
      </c>
      <c r="J56" s="4" t="s">
        <v>49</v>
      </c>
      <c r="K56" s="5" t="s">
        <v>343</v>
      </c>
      <c r="L56" s="2">
        <v>116220</v>
      </c>
      <c r="M56" s="3">
        <v>1</v>
      </c>
      <c r="N56" s="2">
        <v>116220</v>
      </c>
      <c r="O56" s="2">
        <v>11622</v>
      </c>
      <c r="P56" s="2">
        <v>127842</v>
      </c>
      <c r="Q56" s="2">
        <f>P56*12%</f>
        <v>15341.039999999999</v>
      </c>
    </row>
    <row r="57" spans="1:17" hidden="1" x14ac:dyDescent="0.4">
      <c r="A57" s="4" t="s">
        <v>23</v>
      </c>
      <c r="B57" s="4" t="s">
        <v>14</v>
      </c>
      <c r="C57" s="31" t="s">
        <v>435</v>
      </c>
      <c r="D57" s="4" t="s">
        <v>24</v>
      </c>
      <c r="E57" s="4" t="s">
        <v>16</v>
      </c>
      <c r="F57" s="4" t="s">
        <v>17</v>
      </c>
      <c r="G57" s="4" t="s">
        <v>18</v>
      </c>
      <c r="H57" s="4" t="s">
        <v>61</v>
      </c>
      <c r="I57" s="5" t="str">
        <f t="shared" si="0"/>
        <v>2025-01</v>
      </c>
      <c r="J57" s="4" t="s">
        <v>49</v>
      </c>
      <c r="K57" s="5" t="s">
        <v>343</v>
      </c>
      <c r="L57" s="2">
        <v>54000</v>
      </c>
      <c r="M57" s="3">
        <v>3</v>
      </c>
      <c r="N57" s="2">
        <v>162000</v>
      </c>
      <c r="O57" s="2">
        <v>16200</v>
      </c>
      <c r="P57" s="2">
        <v>178200</v>
      </c>
      <c r="Q57" s="2">
        <f>P57*12%</f>
        <v>21384</v>
      </c>
    </row>
    <row r="58" spans="1:17" hidden="1" x14ac:dyDescent="0.4">
      <c r="A58" s="4" t="s">
        <v>51</v>
      </c>
      <c r="B58" s="4" t="s">
        <v>14</v>
      </c>
      <c r="C58" s="30" t="s">
        <v>434</v>
      </c>
      <c r="D58" s="4" t="s">
        <v>52</v>
      </c>
      <c r="E58" s="4" t="s">
        <v>16</v>
      </c>
      <c r="F58" s="4" t="s">
        <v>17</v>
      </c>
      <c r="G58" s="4" t="s">
        <v>18</v>
      </c>
      <c r="H58" s="4" t="s">
        <v>61</v>
      </c>
      <c r="I58" s="5" t="str">
        <f t="shared" si="0"/>
        <v>2025-01</v>
      </c>
      <c r="J58" s="4" t="s">
        <v>49</v>
      </c>
      <c r="K58" s="5" t="s">
        <v>343</v>
      </c>
      <c r="L58" s="2">
        <v>71250</v>
      </c>
      <c r="M58" s="3">
        <v>1</v>
      </c>
      <c r="N58" s="2">
        <v>71250</v>
      </c>
      <c r="O58" s="2">
        <v>7125</v>
      </c>
      <c r="P58" s="2">
        <v>78375</v>
      </c>
      <c r="Q58" s="2">
        <f>P58*12%</f>
        <v>9405</v>
      </c>
    </row>
    <row r="59" spans="1:17" x14ac:dyDescent="0.4">
      <c r="A59" s="4" t="s">
        <v>13</v>
      </c>
      <c r="B59" s="4" t="s">
        <v>14</v>
      </c>
      <c r="C59" s="30" t="s">
        <v>434</v>
      </c>
      <c r="D59" s="4" t="s">
        <v>15</v>
      </c>
      <c r="E59" s="4" t="s">
        <v>16</v>
      </c>
      <c r="F59" s="4" t="s">
        <v>17</v>
      </c>
      <c r="G59" s="4" t="s">
        <v>18</v>
      </c>
      <c r="H59" s="4" t="s">
        <v>72</v>
      </c>
      <c r="I59" s="5" t="str">
        <f t="shared" si="0"/>
        <v>2025-01</v>
      </c>
      <c r="J59" s="4" t="s">
        <v>20</v>
      </c>
      <c r="K59" s="5" t="s">
        <v>342</v>
      </c>
      <c r="L59" s="2">
        <v>42000</v>
      </c>
      <c r="M59" s="3">
        <v>1</v>
      </c>
      <c r="N59" s="2">
        <v>42000</v>
      </c>
      <c r="O59" s="2">
        <v>4200</v>
      </c>
      <c r="P59" s="2">
        <v>46200</v>
      </c>
      <c r="Q59" s="2">
        <f>P59*8.5%</f>
        <v>3927.0000000000005</v>
      </c>
    </row>
    <row r="60" spans="1:17" x14ac:dyDescent="0.4">
      <c r="A60" s="4" t="s">
        <v>21</v>
      </c>
      <c r="B60" s="4" t="s">
        <v>14</v>
      </c>
      <c r="C60" s="31" t="s">
        <v>435</v>
      </c>
      <c r="D60" s="4" t="s">
        <v>22</v>
      </c>
      <c r="E60" s="4" t="s">
        <v>16</v>
      </c>
      <c r="F60" s="4" t="s">
        <v>17</v>
      </c>
      <c r="G60" s="4" t="s">
        <v>18</v>
      </c>
      <c r="H60" s="4" t="s">
        <v>72</v>
      </c>
      <c r="I60" s="5" t="str">
        <f t="shared" si="0"/>
        <v>2025-01</v>
      </c>
      <c r="J60" s="4" t="s">
        <v>20</v>
      </c>
      <c r="K60" s="5" t="s">
        <v>342</v>
      </c>
      <c r="L60" s="2">
        <v>54000</v>
      </c>
      <c r="M60" s="3">
        <v>1</v>
      </c>
      <c r="N60" s="2">
        <v>54000</v>
      </c>
      <c r="O60" s="2">
        <v>5400</v>
      </c>
      <c r="P60" s="2">
        <v>59400</v>
      </c>
      <c r="Q60" s="2">
        <f>P60*8.5%</f>
        <v>5049</v>
      </c>
    </row>
    <row r="61" spans="1:17" x14ac:dyDescent="0.4">
      <c r="A61" s="4" t="s">
        <v>23</v>
      </c>
      <c r="B61" s="4" t="s">
        <v>14</v>
      </c>
      <c r="C61" s="31" t="s">
        <v>435</v>
      </c>
      <c r="D61" s="4" t="s">
        <v>24</v>
      </c>
      <c r="E61" s="4" t="s">
        <v>16</v>
      </c>
      <c r="F61" s="4" t="s">
        <v>17</v>
      </c>
      <c r="G61" s="4" t="s">
        <v>18</v>
      </c>
      <c r="H61" s="4" t="s">
        <v>72</v>
      </c>
      <c r="I61" s="5" t="str">
        <f t="shared" si="0"/>
        <v>2025-01</v>
      </c>
      <c r="J61" s="4" t="s">
        <v>20</v>
      </c>
      <c r="K61" s="5" t="s">
        <v>342</v>
      </c>
      <c r="L61" s="2">
        <v>54000</v>
      </c>
      <c r="M61" s="3">
        <v>2</v>
      </c>
      <c r="N61" s="2">
        <v>108000</v>
      </c>
      <c r="O61" s="2">
        <v>10800</v>
      </c>
      <c r="P61" s="2">
        <v>118800</v>
      </c>
      <c r="Q61" s="2">
        <f>P61*8.5%</f>
        <v>10098</v>
      </c>
    </row>
    <row r="62" spans="1:17" x14ac:dyDescent="0.4">
      <c r="A62" s="4" t="s">
        <v>56</v>
      </c>
      <c r="B62" s="4" t="s">
        <v>26</v>
      </c>
      <c r="C62" s="32" t="s">
        <v>436</v>
      </c>
      <c r="D62" s="4" t="s">
        <v>57</v>
      </c>
      <c r="E62" s="4" t="s">
        <v>44</v>
      </c>
      <c r="F62" s="4" t="s">
        <v>31</v>
      </c>
      <c r="G62" s="4" t="s">
        <v>18</v>
      </c>
      <c r="H62" s="4" t="s">
        <v>72</v>
      </c>
      <c r="I62" s="5" t="str">
        <f t="shared" si="0"/>
        <v>2025-01</v>
      </c>
      <c r="J62" s="4" t="s">
        <v>20</v>
      </c>
      <c r="K62" s="5" t="s">
        <v>342</v>
      </c>
      <c r="L62" s="2">
        <v>2678</v>
      </c>
      <c r="M62" s="3">
        <v>24</v>
      </c>
      <c r="N62" s="2">
        <v>64272</v>
      </c>
      <c r="O62" s="2">
        <v>0</v>
      </c>
      <c r="P62" s="2">
        <v>64272</v>
      </c>
      <c r="Q62" s="2">
        <f>P62*8.5%</f>
        <v>5463.1200000000008</v>
      </c>
    </row>
    <row r="63" spans="1:17" hidden="1" x14ac:dyDescent="0.4">
      <c r="A63" s="4" t="s">
        <v>32</v>
      </c>
      <c r="B63" s="4" t="s">
        <v>14</v>
      </c>
      <c r="C63" s="31" t="s">
        <v>435</v>
      </c>
      <c r="D63" s="4" t="s">
        <v>33</v>
      </c>
      <c r="E63" s="4" t="s">
        <v>16</v>
      </c>
      <c r="F63" s="4" t="s">
        <v>17</v>
      </c>
      <c r="G63" s="4" t="s">
        <v>18</v>
      </c>
      <c r="H63" s="4" t="s">
        <v>72</v>
      </c>
      <c r="I63" s="5" t="str">
        <f t="shared" si="0"/>
        <v>2025-01</v>
      </c>
      <c r="J63" s="4" t="s">
        <v>34</v>
      </c>
      <c r="K63" s="5" t="s">
        <v>342</v>
      </c>
      <c r="L63" s="2">
        <v>44000</v>
      </c>
      <c r="M63" s="3">
        <v>2</v>
      </c>
      <c r="N63" s="2">
        <v>88000</v>
      </c>
      <c r="O63" s="2">
        <v>8800</v>
      </c>
      <c r="P63" s="2">
        <v>96800</v>
      </c>
      <c r="Q63" s="2">
        <f>P63*8.5%</f>
        <v>8228</v>
      </c>
    </row>
    <row r="64" spans="1:17" hidden="1" x14ac:dyDescent="0.4">
      <c r="A64" s="4" t="s">
        <v>13</v>
      </c>
      <c r="B64" s="4" t="s">
        <v>14</v>
      </c>
      <c r="C64" s="30" t="s">
        <v>434</v>
      </c>
      <c r="D64" s="4" t="s">
        <v>15</v>
      </c>
      <c r="E64" s="4" t="s">
        <v>16</v>
      </c>
      <c r="F64" s="4" t="s">
        <v>17</v>
      </c>
      <c r="G64" s="4" t="s">
        <v>18</v>
      </c>
      <c r="H64" s="4" t="s">
        <v>72</v>
      </c>
      <c r="I64" s="5" t="str">
        <f t="shared" si="0"/>
        <v>2025-01</v>
      </c>
      <c r="J64" s="4" t="s">
        <v>34</v>
      </c>
      <c r="K64" s="5" t="s">
        <v>342</v>
      </c>
      <c r="L64" s="2">
        <v>42000</v>
      </c>
      <c r="M64" s="3">
        <v>1</v>
      </c>
      <c r="N64" s="2">
        <v>42000</v>
      </c>
      <c r="O64" s="2">
        <v>4200</v>
      </c>
      <c r="P64" s="2">
        <v>46200</v>
      </c>
      <c r="Q64" s="2">
        <f>P64*8.5%</f>
        <v>3927.0000000000005</v>
      </c>
    </row>
    <row r="65" spans="1:17" hidden="1" x14ac:dyDescent="0.4">
      <c r="A65" s="4" t="s">
        <v>35</v>
      </c>
      <c r="B65" s="4" t="s">
        <v>14</v>
      </c>
      <c r="C65" s="30" t="s">
        <v>434</v>
      </c>
      <c r="D65" s="4" t="s">
        <v>36</v>
      </c>
      <c r="E65" s="4" t="s">
        <v>16</v>
      </c>
      <c r="F65" s="4" t="s">
        <v>17</v>
      </c>
      <c r="G65" s="4" t="s">
        <v>18</v>
      </c>
      <c r="H65" s="4" t="s">
        <v>72</v>
      </c>
      <c r="I65" s="5" t="str">
        <f t="shared" si="0"/>
        <v>2025-01</v>
      </c>
      <c r="J65" s="4" t="s">
        <v>34</v>
      </c>
      <c r="K65" s="5" t="s">
        <v>342</v>
      </c>
      <c r="L65" s="2">
        <v>116220</v>
      </c>
      <c r="M65" s="3">
        <v>1</v>
      </c>
      <c r="N65" s="2">
        <v>116220</v>
      </c>
      <c r="O65" s="2">
        <v>11622</v>
      </c>
      <c r="P65" s="2">
        <v>127842</v>
      </c>
      <c r="Q65" s="2">
        <f>P65*8.5%</f>
        <v>10866.570000000002</v>
      </c>
    </row>
    <row r="66" spans="1:17" hidden="1" x14ac:dyDescent="0.4">
      <c r="A66" s="4" t="s">
        <v>23</v>
      </c>
      <c r="B66" s="4" t="s">
        <v>14</v>
      </c>
      <c r="C66" s="31" t="s">
        <v>435</v>
      </c>
      <c r="D66" s="4" t="s">
        <v>24</v>
      </c>
      <c r="E66" s="4" t="s">
        <v>16</v>
      </c>
      <c r="F66" s="4" t="s">
        <v>17</v>
      </c>
      <c r="G66" s="4" t="s">
        <v>18</v>
      </c>
      <c r="H66" s="4" t="s">
        <v>72</v>
      </c>
      <c r="I66" s="5" t="str">
        <f t="shared" ref="I66:I129" si="1">TEXT(H66,"yyyy-mm")</f>
        <v>2025-01</v>
      </c>
      <c r="J66" s="4" t="s">
        <v>34</v>
      </c>
      <c r="K66" s="5" t="s">
        <v>342</v>
      </c>
      <c r="L66" s="2">
        <v>54000</v>
      </c>
      <c r="M66" s="3">
        <v>4</v>
      </c>
      <c r="N66" s="2">
        <v>216000</v>
      </c>
      <c r="O66" s="2">
        <v>21600</v>
      </c>
      <c r="P66" s="2">
        <v>237600</v>
      </c>
      <c r="Q66" s="2">
        <f>P66*8.5%</f>
        <v>20196</v>
      </c>
    </row>
    <row r="67" spans="1:17" hidden="1" x14ac:dyDescent="0.4">
      <c r="A67" s="4" t="s">
        <v>51</v>
      </c>
      <c r="B67" s="4" t="s">
        <v>14</v>
      </c>
      <c r="C67" s="30" t="s">
        <v>434</v>
      </c>
      <c r="D67" s="4" t="s">
        <v>52</v>
      </c>
      <c r="E67" s="4" t="s">
        <v>16</v>
      </c>
      <c r="F67" s="4" t="s">
        <v>17</v>
      </c>
      <c r="G67" s="4" t="s">
        <v>18</v>
      </c>
      <c r="H67" s="4" t="s">
        <v>72</v>
      </c>
      <c r="I67" s="5" t="str">
        <f t="shared" si="1"/>
        <v>2025-01</v>
      </c>
      <c r="J67" s="4" t="s">
        <v>34</v>
      </c>
      <c r="K67" s="5" t="s">
        <v>342</v>
      </c>
      <c r="L67" s="2">
        <v>71250</v>
      </c>
      <c r="M67" s="3">
        <v>1</v>
      </c>
      <c r="N67" s="2">
        <v>71250</v>
      </c>
      <c r="O67" s="2">
        <v>7125</v>
      </c>
      <c r="P67" s="2">
        <v>78375</v>
      </c>
      <c r="Q67" s="2">
        <f>P67*8.5%</f>
        <v>6661.8750000000009</v>
      </c>
    </row>
    <row r="68" spans="1:17" hidden="1" x14ac:dyDescent="0.4">
      <c r="A68" s="4" t="s">
        <v>73</v>
      </c>
      <c r="B68" s="4" t="s">
        <v>26</v>
      </c>
      <c r="C68" s="32" t="s">
        <v>436</v>
      </c>
      <c r="D68" s="4" t="s">
        <v>57</v>
      </c>
      <c r="E68" s="4" t="s">
        <v>28</v>
      </c>
      <c r="F68" s="4" t="s">
        <v>17</v>
      </c>
      <c r="G68" s="4" t="s">
        <v>18</v>
      </c>
      <c r="H68" s="4" t="s">
        <v>72</v>
      </c>
      <c r="I68" s="5" t="str">
        <f t="shared" si="1"/>
        <v>2025-01</v>
      </c>
      <c r="J68" s="4" t="s">
        <v>34</v>
      </c>
      <c r="K68" s="5" t="s">
        <v>342</v>
      </c>
      <c r="L68" s="2">
        <v>6899</v>
      </c>
      <c r="M68" s="3">
        <v>3</v>
      </c>
      <c r="N68" s="2">
        <v>20697</v>
      </c>
      <c r="O68" s="2">
        <v>2070</v>
      </c>
      <c r="P68" s="2">
        <v>22767</v>
      </c>
      <c r="Q68" s="2">
        <f>P68*8.5%</f>
        <v>1935.1950000000002</v>
      </c>
    </row>
    <row r="69" spans="1:17" hidden="1" x14ac:dyDescent="0.4">
      <c r="A69" s="4" t="s">
        <v>40</v>
      </c>
      <c r="B69" s="4" t="s">
        <v>26</v>
      </c>
      <c r="C69" s="32" t="s">
        <v>436</v>
      </c>
      <c r="D69" s="4" t="s">
        <v>41</v>
      </c>
      <c r="E69" s="4" t="s">
        <v>28</v>
      </c>
      <c r="F69" s="4" t="s">
        <v>17</v>
      </c>
      <c r="G69" s="4" t="s">
        <v>18</v>
      </c>
      <c r="H69" s="4" t="s">
        <v>72</v>
      </c>
      <c r="I69" s="5" t="str">
        <f t="shared" si="1"/>
        <v>2025-01</v>
      </c>
      <c r="J69" s="4" t="s">
        <v>34</v>
      </c>
      <c r="K69" s="5" t="s">
        <v>342</v>
      </c>
      <c r="L69" s="2">
        <v>17539</v>
      </c>
      <c r="M69" s="3">
        <v>2</v>
      </c>
      <c r="N69" s="2">
        <v>35078</v>
      </c>
      <c r="O69" s="2">
        <v>3508</v>
      </c>
      <c r="P69" s="2">
        <v>38586</v>
      </c>
      <c r="Q69" s="2">
        <f>P69*8.5%</f>
        <v>3279.8100000000004</v>
      </c>
    </row>
    <row r="70" spans="1:17" hidden="1" x14ac:dyDescent="0.4">
      <c r="A70" s="4" t="s">
        <v>42</v>
      </c>
      <c r="B70" s="4" t="s">
        <v>14</v>
      </c>
      <c r="C70" s="30" t="s">
        <v>434</v>
      </c>
      <c r="D70" s="4" t="s">
        <v>43</v>
      </c>
      <c r="E70" s="4" t="s">
        <v>44</v>
      </c>
      <c r="F70" s="4" t="s">
        <v>31</v>
      </c>
      <c r="G70" s="4" t="s">
        <v>18</v>
      </c>
      <c r="H70" s="4" t="s">
        <v>72</v>
      </c>
      <c r="I70" s="5" t="str">
        <f t="shared" si="1"/>
        <v>2025-01</v>
      </c>
      <c r="J70" s="4" t="s">
        <v>34</v>
      </c>
      <c r="K70" s="5" t="s">
        <v>342</v>
      </c>
      <c r="L70" s="2">
        <v>6800</v>
      </c>
      <c r="M70" s="3">
        <v>34.200000000000003</v>
      </c>
      <c r="N70" s="2">
        <v>232560</v>
      </c>
      <c r="O70" s="2">
        <v>0</v>
      </c>
      <c r="P70" s="2">
        <v>232560</v>
      </c>
      <c r="Q70" s="2">
        <f>P70*8.5%</f>
        <v>19767.600000000002</v>
      </c>
    </row>
    <row r="71" spans="1:17" hidden="1" x14ac:dyDescent="0.4">
      <c r="A71" s="4" t="s">
        <v>32</v>
      </c>
      <c r="B71" s="4" t="s">
        <v>14</v>
      </c>
      <c r="C71" s="31" t="s">
        <v>435</v>
      </c>
      <c r="D71" s="4" t="s">
        <v>33</v>
      </c>
      <c r="E71" s="4" t="s">
        <v>16</v>
      </c>
      <c r="F71" s="4" t="s">
        <v>17</v>
      </c>
      <c r="G71" s="4" t="s">
        <v>18</v>
      </c>
      <c r="H71" s="4" t="s">
        <v>72</v>
      </c>
      <c r="I71" s="5" t="str">
        <f t="shared" si="1"/>
        <v>2025-01</v>
      </c>
      <c r="J71" s="4" t="s">
        <v>59</v>
      </c>
      <c r="K71" s="5" t="s">
        <v>343</v>
      </c>
      <c r="L71" s="2">
        <v>44000</v>
      </c>
      <c r="M71" s="3">
        <v>2</v>
      </c>
      <c r="N71" s="2">
        <v>88000</v>
      </c>
      <c r="O71" s="2">
        <v>8800</v>
      </c>
      <c r="P71" s="2">
        <v>96800</v>
      </c>
      <c r="Q71" s="2">
        <f>P71*12%</f>
        <v>11616</v>
      </c>
    </row>
    <row r="72" spans="1:17" hidden="1" x14ac:dyDescent="0.4">
      <c r="A72" s="4" t="s">
        <v>13</v>
      </c>
      <c r="B72" s="4" t="s">
        <v>14</v>
      </c>
      <c r="C72" s="30" t="s">
        <v>434</v>
      </c>
      <c r="D72" s="4" t="s">
        <v>15</v>
      </c>
      <c r="E72" s="4" t="s">
        <v>16</v>
      </c>
      <c r="F72" s="4" t="s">
        <v>17</v>
      </c>
      <c r="G72" s="4" t="s">
        <v>18</v>
      </c>
      <c r="H72" s="4" t="s">
        <v>72</v>
      </c>
      <c r="I72" s="5" t="str">
        <f t="shared" si="1"/>
        <v>2025-01</v>
      </c>
      <c r="J72" s="4" t="s">
        <v>59</v>
      </c>
      <c r="K72" s="5" t="s">
        <v>343</v>
      </c>
      <c r="L72" s="2">
        <v>42000</v>
      </c>
      <c r="M72" s="3">
        <v>2</v>
      </c>
      <c r="N72" s="2">
        <v>84000</v>
      </c>
      <c r="O72" s="2">
        <v>8400</v>
      </c>
      <c r="P72" s="2">
        <v>92400</v>
      </c>
      <c r="Q72" s="2">
        <f>P72*12%</f>
        <v>11088</v>
      </c>
    </row>
    <row r="73" spans="1:17" hidden="1" x14ac:dyDescent="0.4">
      <c r="A73" s="4" t="s">
        <v>23</v>
      </c>
      <c r="B73" s="4" t="s">
        <v>14</v>
      </c>
      <c r="C73" s="31" t="s">
        <v>435</v>
      </c>
      <c r="D73" s="4" t="s">
        <v>24</v>
      </c>
      <c r="E73" s="4" t="s">
        <v>16</v>
      </c>
      <c r="F73" s="4" t="s">
        <v>17</v>
      </c>
      <c r="G73" s="4" t="s">
        <v>18</v>
      </c>
      <c r="H73" s="4" t="s">
        <v>72</v>
      </c>
      <c r="I73" s="5" t="str">
        <f t="shared" si="1"/>
        <v>2025-01</v>
      </c>
      <c r="J73" s="4" t="s">
        <v>59</v>
      </c>
      <c r="K73" s="5" t="s">
        <v>343</v>
      </c>
      <c r="L73" s="2">
        <v>54000</v>
      </c>
      <c r="M73" s="3">
        <v>1</v>
      </c>
      <c r="N73" s="2">
        <v>54000</v>
      </c>
      <c r="O73" s="2">
        <v>5400</v>
      </c>
      <c r="P73" s="2">
        <v>59400</v>
      </c>
      <c r="Q73" s="2">
        <f>P73*12%</f>
        <v>7128</v>
      </c>
    </row>
    <row r="74" spans="1:17" hidden="1" x14ac:dyDescent="0.4">
      <c r="A74" s="4" t="s">
        <v>32</v>
      </c>
      <c r="B74" s="4" t="s">
        <v>14</v>
      </c>
      <c r="C74" s="31" t="s">
        <v>435</v>
      </c>
      <c r="D74" s="4" t="s">
        <v>33</v>
      </c>
      <c r="E74" s="4" t="s">
        <v>16</v>
      </c>
      <c r="F74" s="4" t="s">
        <v>17</v>
      </c>
      <c r="G74" s="4" t="s">
        <v>18</v>
      </c>
      <c r="H74" s="4" t="s">
        <v>72</v>
      </c>
      <c r="I74" s="5" t="str">
        <f t="shared" si="1"/>
        <v>2025-01</v>
      </c>
      <c r="J74" s="4" t="s">
        <v>50</v>
      </c>
      <c r="K74" s="5" t="s">
        <v>343</v>
      </c>
      <c r="L74" s="2">
        <v>44000</v>
      </c>
      <c r="M74" s="3">
        <v>2</v>
      </c>
      <c r="N74" s="2">
        <v>88000</v>
      </c>
      <c r="O74" s="2">
        <v>8800</v>
      </c>
      <c r="P74" s="2">
        <v>96800</v>
      </c>
      <c r="Q74" s="2">
        <f>P74*12%</f>
        <v>11616</v>
      </c>
    </row>
    <row r="75" spans="1:17" hidden="1" x14ac:dyDescent="0.4">
      <c r="A75" s="4" t="s">
        <v>13</v>
      </c>
      <c r="B75" s="4" t="s">
        <v>14</v>
      </c>
      <c r="C75" s="30" t="s">
        <v>434</v>
      </c>
      <c r="D75" s="4" t="s">
        <v>15</v>
      </c>
      <c r="E75" s="4" t="s">
        <v>16</v>
      </c>
      <c r="F75" s="4" t="s">
        <v>17</v>
      </c>
      <c r="G75" s="4" t="s">
        <v>18</v>
      </c>
      <c r="H75" s="4" t="s">
        <v>72</v>
      </c>
      <c r="I75" s="5" t="str">
        <f t="shared" si="1"/>
        <v>2025-01</v>
      </c>
      <c r="J75" s="4" t="s">
        <v>50</v>
      </c>
      <c r="K75" s="5" t="s">
        <v>343</v>
      </c>
      <c r="L75" s="2">
        <v>42000</v>
      </c>
      <c r="M75" s="3">
        <v>3</v>
      </c>
      <c r="N75" s="2">
        <v>126000</v>
      </c>
      <c r="O75" s="2">
        <v>12600</v>
      </c>
      <c r="P75" s="2">
        <v>138600</v>
      </c>
      <c r="Q75" s="2">
        <f>P75*12%</f>
        <v>16632</v>
      </c>
    </row>
    <row r="76" spans="1:17" hidden="1" x14ac:dyDescent="0.4">
      <c r="A76" s="4" t="s">
        <v>35</v>
      </c>
      <c r="B76" s="4" t="s">
        <v>14</v>
      </c>
      <c r="C76" s="30" t="s">
        <v>434</v>
      </c>
      <c r="D76" s="4" t="s">
        <v>36</v>
      </c>
      <c r="E76" s="4" t="s">
        <v>16</v>
      </c>
      <c r="F76" s="4" t="s">
        <v>17</v>
      </c>
      <c r="G76" s="4" t="s">
        <v>18</v>
      </c>
      <c r="H76" s="4" t="s">
        <v>72</v>
      </c>
      <c r="I76" s="5" t="str">
        <f t="shared" si="1"/>
        <v>2025-01</v>
      </c>
      <c r="J76" s="4" t="s">
        <v>50</v>
      </c>
      <c r="K76" s="5" t="s">
        <v>343</v>
      </c>
      <c r="L76" s="2">
        <v>116220</v>
      </c>
      <c r="M76" s="3">
        <v>1</v>
      </c>
      <c r="N76" s="2">
        <v>116220</v>
      </c>
      <c r="O76" s="2">
        <v>11622</v>
      </c>
      <c r="P76" s="2">
        <v>127842</v>
      </c>
      <c r="Q76" s="2">
        <f>P76*12%</f>
        <v>15341.039999999999</v>
      </c>
    </row>
    <row r="77" spans="1:17" hidden="1" x14ac:dyDescent="0.4">
      <c r="A77" s="4" t="s">
        <v>23</v>
      </c>
      <c r="B77" s="4" t="s">
        <v>14</v>
      </c>
      <c r="C77" s="31" t="s">
        <v>435</v>
      </c>
      <c r="D77" s="4" t="s">
        <v>24</v>
      </c>
      <c r="E77" s="4" t="s">
        <v>16</v>
      </c>
      <c r="F77" s="4" t="s">
        <v>17</v>
      </c>
      <c r="G77" s="4" t="s">
        <v>18</v>
      </c>
      <c r="H77" s="4" t="s">
        <v>72</v>
      </c>
      <c r="I77" s="5" t="str">
        <f t="shared" si="1"/>
        <v>2025-01</v>
      </c>
      <c r="J77" s="4" t="s">
        <v>50</v>
      </c>
      <c r="K77" s="5" t="s">
        <v>343</v>
      </c>
      <c r="L77" s="2">
        <v>54000</v>
      </c>
      <c r="M77" s="3">
        <v>3</v>
      </c>
      <c r="N77" s="2">
        <v>162000</v>
      </c>
      <c r="O77" s="2">
        <v>16200</v>
      </c>
      <c r="P77" s="2">
        <v>178200</v>
      </c>
      <c r="Q77" s="2">
        <f>P77*12%</f>
        <v>21384</v>
      </c>
    </row>
    <row r="78" spans="1:17" x14ac:dyDescent="0.4">
      <c r="A78" s="4" t="s">
        <v>21</v>
      </c>
      <c r="B78" s="4" t="s">
        <v>14</v>
      </c>
      <c r="C78" s="31" t="s">
        <v>435</v>
      </c>
      <c r="D78" s="4" t="s">
        <v>22</v>
      </c>
      <c r="E78" s="4" t="s">
        <v>16</v>
      </c>
      <c r="F78" s="4" t="s">
        <v>17</v>
      </c>
      <c r="G78" s="4" t="s">
        <v>18</v>
      </c>
      <c r="H78" s="4" t="s">
        <v>74</v>
      </c>
      <c r="I78" s="5" t="str">
        <f t="shared" si="1"/>
        <v>2025-01</v>
      </c>
      <c r="J78" s="4" t="s">
        <v>20</v>
      </c>
      <c r="K78" s="5" t="s">
        <v>342</v>
      </c>
      <c r="L78" s="2">
        <v>54000</v>
      </c>
      <c r="M78" s="3">
        <v>1</v>
      </c>
      <c r="N78" s="2">
        <v>54000</v>
      </c>
      <c r="O78" s="2">
        <v>5400</v>
      </c>
      <c r="P78" s="2">
        <v>59400</v>
      </c>
      <c r="Q78" s="2">
        <f>P78*8.5%</f>
        <v>5049</v>
      </c>
    </row>
    <row r="79" spans="1:17" x14ac:dyDescent="0.4">
      <c r="A79" s="4" t="s">
        <v>23</v>
      </c>
      <c r="B79" s="4" t="s">
        <v>14</v>
      </c>
      <c r="C79" s="31" t="s">
        <v>435</v>
      </c>
      <c r="D79" s="4" t="s">
        <v>24</v>
      </c>
      <c r="E79" s="4" t="s">
        <v>16</v>
      </c>
      <c r="F79" s="4" t="s">
        <v>17</v>
      </c>
      <c r="G79" s="4" t="s">
        <v>18</v>
      </c>
      <c r="H79" s="4" t="s">
        <v>74</v>
      </c>
      <c r="I79" s="5" t="str">
        <f t="shared" si="1"/>
        <v>2025-01</v>
      </c>
      <c r="J79" s="4" t="s">
        <v>20</v>
      </c>
      <c r="K79" s="5" t="s">
        <v>342</v>
      </c>
      <c r="L79" s="2">
        <v>54000</v>
      </c>
      <c r="M79" s="3">
        <v>1</v>
      </c>
      <c r="N79" s="2">
        <v>54000</v>
      </c>
      <c r="O79" s="2">
        <v>5400</v>
      </c>
      <c r="P79" s="2">
        <v>59400</v>
      </c>
      <c r="Q79" s="2">
        <f>P79*8.5%</f>
        <v>5049</v>
      </c>
    </row>
    <row r="80" spans="1:17" x14ac:dyDescent="0.4">
      <c r="A80" s="4" t="s">
        <v>56</v>
      </c>
      <c r="B80" s="4" t="s">
        <v>26</v>
      </c>
      <c r="C80" s="32" t="s">
        <v>436</v>
      </c>
      <c r="D80" s="4" t="s">
        <v>57</v>
      </c>
      <c r="E80" s="4" t="s">
        <v>44</v>
      </c>
      <c r="F80" s="4" t="s">
        <v>31</v>
      </c>
      <c r="G80" s="4" t="s">
        <v>18</v>
      </c>
      <c r="H80" s="4" t="s">
        <v>74</v>
      </c>
      <c r="I80" s="5" t="str">
        <f t="shared" si="1"/>
        <v>2025-01</v>
      </c>
      <c r="J80" s="4" t="s">
        <v>20</v>
      </c>
      <c r="K80" s="5" t="s">
        <v>342</v>
      </c>
      <c r="L80" s="2">
        <v>2678</v>
      </c>
      <c r="M80" s="3">
        <v>24</v>
      </c>
      <c r="N80" s="2">
        <v>64272</v>
      </c>
      <c r="O80" s="2">
        <v>0</v>
      </c>
      <c r="P80" s="2">
        <v>64272</v>
      </c>
      <c r="Q80" s="2">
        <f>P80*8.5%</f>
        <v>5463.1200000000008</v>
      </c>
    </row>
    <row r="81" spans="1:17" hidden="1" x14ac:dyDescent="0.4">
      <c r="A81" s="4" t="s">
        <v>32</v>
      </c>
      <c r="B81" s="4" t="s">
        <v>14</v>
      </c>
      <c r="C81" s="31" t="s">
        <v>435</v>
      </c>
      <c r="D81" s="4" t="s">
        <v>33</v>
      </c>
      <c r="E81" s="4" t="s">
        <v>16</v>
      </c>
      <c r="F81" s="4" t="s">
        <v>17</v>
      </c>
      <c r="G81" s="4" t="s">
        <v>18</v>
      </c>
      <c r="H81" s="4" t="s">
        <v>74</v>
      </c>
      <c r="I81" s="5" t="str">
        <f t="shared" si="1"/>
        <v>2025-01</v>
      </c>
      <c r="J81" s="4" t="s">
        <v>34</v>
      </c>
      <c r="K81" s="5" t="s">
        <v>342</v>
      </c>
      <c r="L81" s="2">
        <v>44000</v>
      </c>
      <c r="M81" s="3">
        <v>1</v>
      </c>
      <c r="N81" s="2">
        <v>44000</v>
      </c>
      <c r="O81" s="2">
        <v>4400</v>
      </c>
      <c r="P81" s="2">
        <v>48400</v>
      </c>
      <c r="Q81" s="2">
        <f>P81*8.5%</f>
        <v>4114</v>
      </c>
    </row>
    <row r="82" spans="1:17" hidden="1" x14ac:dyDescent="0.4">
      <c r="A82" s="4" t="s">
        <v>13</v>
      </c>
      <c r="B82" s="4" t="s">
        <v>14</v>
      </c>
      <c r="C82" s="30" t="s">
        <v>434</v>
      </c>
      <c r="D82" s="4" t="s">
        <v>15</v>
      </c>
      <c r="E82" s="4" t="s">
        <v>16</v>
      </c>
      <c r="F82" s="4" t="s">
        <v>17</v>
      </c>
      <c r="G82" s="4" t="s">
        <v>18</v>
      </c>
      <c r="H82" s="4" t="s">
        <v>74</v>
      </c>
      <c r="I82" s="5" t="str">
        <f t="shared" si="1"/>
        <v>2025-01</v>
      </c>
      <c r="J82" s="4" t="s">
        <v>34</v>
      </c>
      <c r="K82" s="5" t="s">
        <v>342</v>
      </c>
      <c r="L82" s="2">
        <v>42000</v>
      </c>
      <c r="M82" s="3">
        <v>7</v>
      </c>
      <c r="N82" s="2">
        <v>294000</v>
      </c>
      <c r="O82" s="2">
        <v>29400</v>
      </c>
      <c r="P82" s="2">
        <v>323400</v>
      </c>
      <c r="Q82" s="2">
        <f>P82*8.5%</f>
        <v>27489.000000000004</v>
      </c>
    </row>
    <row r="83" spans="1:17" hidden="1" x14ac:dyDescent="0.4">
      <c r="A83" s="4" t="s">
        <v>21</v>
      </c>
      <c r="B83" s="4" t="s">
        <v>14</v>
      </c>
      <c r="C83" s="31" t="s">
        <v>435</v>
      </c>
      <c r="D83" s="4" t="s">
        <v>22</v>
      </c>
      <c r="E83" s="4" t="s">
        <v>16</v>
      </c>
      <c r="F83" s="4" t="s">
        <v>17</v>
      </c>
      <c r="G83" s="4" t="s">
        <v>18</v>
      </c>
      <c r="H83" s="4" t="s">
        <v>74</v>
      </c>
      <c r="I83" s="5" t="str">
        <f t="shared" si="1"/>
        <v>2025-01</v>
      </c>
      <c r="J83" s="4" t="s">
        <v>34</v>
      </c>
      <c r="K83" s="5" t="s">
        <v>342</v>
      </c>
      <c r="L83" s="2">
        <v>54000</v>
      </c>
      <c r="M83" s="3">
        <v>1</v>
      </c>
      <c r="N83" s="2">
        <v>54000</v>
      </c>
      <c r="O83" s="2">
        <v>5400</v>
      </c>
      <c r="P83" s="2">
        <v>59400</v>
      </c>
      <c r="Q83" s="2">
        <f>P83*8.5%</f>
        <v>5049</v>
      </c>
    </row>
    <row r="84" spans="1:17" hidden="1" x14ac:dyDescent="0.4">
      <c r="A84" s="4" t="s">
        <v>23</v>
      </c>
      <c r="B84" s="4" t="s">
        <v>14</v>
      </c>
      <c r="C84" s="31" t="s">
        <v>435</v>
      </c>
      <c r="D84" s="4" t="s">
        <v>24</v>
      </c>
      <c r="E84" s="4" t="s">
        <v>16</v>
      </c>
      <c r="F84" s="4" t="s">
        <v>17</v>
      </c>
      <c r="G84" s="4" t="s">
        <v>18</v>
      </c>
      <c r="H84" s="4" t="s">
        <v>74</v>
      </c>
      <c r="I84" s="5" t="str">
        <f t="shared" si="1"/>
        <v>2025-01</v>
      </c>
      <c r="J84" s="4" t="s">
        <v>34</v>
      </c>
      <c r="K84" s="5" t="s">
        <v>342</v>
      </c>
      <c r="L84" s="2">
        <v>54000</v>
      </c>
      <c r="M84" s="3">
        <v>8</v>
      </c>
      <c r="N84" s="2">
        <v>432000</v>
      </c>
      <c r="O84" s="2">
        <v>43200</v>
      </c>
      <c r="P84" s="2">
        <v>475200</v>
      </c>
      <c r="Q84" s="2">
        <f>P84*8.5%</f>
        <v>40392</v>
      </c>
    </row>
    <row r="85" spans="1:17" hidden="1" x14ac:dyDescent="0.4">
      <c r="A85" s="4" t="s">
        <v>42</v>
      </c>
      <c r="B85" s="4" t="s">
        <v>14</v>
      </c>
      <c r="C85" s="30" t="s">
        <v>434</v>
      </c>
      <c r="D85" s="4" t="s">
        <v>43</v>
      </c>
      <c r="E85" s="4" t="s">
        <v>44</v>
      </c>
      <c r="F85" s="4" t="s">
        <v>31</v>
      </c>
      <c r="G85" s="4" t="s">
        <v>18</v>
      </c>
      <c r="H85" s="4" t="s">
        <v>74</v>
      </c>
      <c r="I85" s="5" t="str">
        <f t="shared" si="1"/>
        <v>2025-01</v>
      </c>
      <c r="J85" s="4" t="s">
        <v>34</v>
      </c>
      <c r="K85" s="5" t="s">
        <v>342</v>
      </c>
      <c r="L85" s="2">
        <v>6800</v>
      </c>
      <c r="M85" s="3">
        <v>80</v>
      </c>
      <c r="N85" s="2">
        <v>544000</v>
      </c>
      <c r="O85" s="2">
        <v>0</v>
      </c>
      <c r="P85" s="2">
        <v>544000</v>
      </c>
      <c r="Q85" s="2">
        <f>P85*8.5%</f>
        <v>46240</v>
      </c>
    </row>
    <row r="86" spans="1:17" hidden="1" x14ac:dyDescent="0.4">
      <c r="A86" s="4" t="s">
        <v>32</v>
      </c>
      <c r="B86" s="4" t="s">
        <v>14</v>
      </c>
      <c r="C86" s="31" t="s">
        <v>435</v>
      </c>
      <c r="D86" s="4" t="s">
        <v>33</v>
      </c>
      <c r="E86" s="4" t="s">
        <v>16</v>
      </c>
      <c r="F86" s="4" t="s">
        <v>17</v>
      </c>
      <c r="G86" s="4" t="s">
        <v>18</v>
      </c>
      <c r="H86" s="4" t="s">
        <v>74</v>
      </c>
      <c r="I86" s="5" t="str">
        <f t="shared" si="1"/>
        <v>2025-01</v>
      </c>
      <c r="J86" s="4" t="s">
        <v>50</v>
      </c>
      <c r="K86" s="5" t="s">
        <v>343</v>
      </c>
      <c r="L86" s="2">
        <v>44000</v>
      </c>
      <c r="M86" s="3">
        <v>1</v>
      </c>
      <c r="N86" s="2">
        <v>44000</v>
      </c>
      <c r="O86" s="2">
        <v>4400</v>
      </c>
      <c r="P86" s="2">
        <v>48400</v>
      </c>
      <c r="Q86" s="2">
        <f>P86*12%</f>
        <v>5808</v>
      </c>
    </row>
    <row r="87" spans="1:17" hidden="1" x14ac:dyDescent="0.4">
      <c r="A87" s="4" t="s">
        <v>13</v>
      </c>
      <c r="B87" s="4" t="s">
        <v>14</v>
      </c>
      <c r="C87" s="30" t="s">
        <v>434</v>
      </c>
      <c r="D87" s="4" t="s">
        <v>15</v>
      </c>
      <c r="E87" s="4" t="s">
        <v>16</v>
      </c>
      <c r="F87" s="4" t="s">
        <v>17</v>
      </c>
      <c r="G87" s="4" t="s">
        <v>18</v>
      </c>
      <c r="H87" s="4" t="s">
        <v>74</v>
      </c>
      <c r="I87" s="5" t="str">
        <f t="shared" si="1"/>
        <v>2025-01</v>
      </c>
      <c r="J87" s="4" t="s">
        <v>50</v>
      </c>
      <c r="K87" s="5" t="s">
        <v>343</v>
      </c>
      <c r="L87" s="2">
        <v>42000</v>
      </c>
      <c r="M87" s="3">
        <v>7</v>
      </c>
      <c r="N87" s="2">
        <v>294000</v>
      </c>
      <c r="O87" s="2">
        <v>29400</v>
      </c>
      <c r="P87" s="2">
        <v>323400</v>
      </c>
      <c r="Q87" s="2">
        <f>P87*12%</f>
        <v>38808</v>
      </c>
    </row>
    <row r="88" spans="1:17" hidden="1" x14ac:dyDescent="0.4">
      <c r="A88" s="4" t="s">
        <v>23</v>
      </c>
      <c r="B88" s="4" t="s">
        <v>14</v>
      </c>
      <c r="C88" s="31" t="s">
        <v>435</v>
      </c>
      <c r="D88" s="4" t="s">
        <v>24</v>
      </c>
      <c r="E88" s="4" t="s">
        <v>16</v>
      </c>
      <c r="F88" s="4" t="s">
        <v>17</v>
      </c>
      <c r="G88" s="4" t="s">
        <v>18</v>
      </c>
      <c r="H88" s="4" t="s">
        <v>74</v>
      </c>
      <c r="I88" s="5" t="str">
        <f t="shared" si="1"/>
        <v>2025-01</v>
      </c>
      <c r="J88" s="4" t="s">
        <v>50</v>
      </c>
      <c r="K88" s="5" t="s">
        <v>343</v>
      </c>
      <c r="L88" s="2">
        <v>54000</v>
      </c>
      <c r="M88" s="3">
        <v>2</v>
      </c>
      <c r="N88" s="2">
        <v>108000</v>
      </c>
      <c r="O88" s="2">
        <v>10800</v>
      </c>
      <c r="P88" s="2">
        <v>118800</v>
      </c>
      <c r="Q88" s="2">
        <f>P88*12%</f>
        <v>14256</v>
      </c>
    </row>
    <row r="89" spans="1:17" hidden="1" x14ac:dyDescent="0.4">
      <c r="A89" s="4" t="s">
        <v>51</v>
      </c>
      <c r="B89" s="4" t="s">
        <v>14</v>
      </c>
      <c r="C89" s="30" t="s">
        <v>434</v>
      </c>
      <c r="D89" s="4" t="s">
        <v>52</v>
      </c>
      <c r="E89" s="4" t="s">
        <v>16</v>
      </c>
      <c r="F89" s="4" t="s">
        <v>17</v>
      </c>
      <c r="G89" s="4" t="s">
        <v>18</v>
      </c>
      <c r="H89" s="4" t="s">
        <v>74</v>
      </c>
      <c r="I89" s="5" t="str">
        <f t="shared" si="1"/>
        <v>2025-01</v>
      </c>
      <c r="J89" s="4" t="s">
        <v>50</v>
      </c>
      <c r="K89" s="5" t="s">
        <v>343</v>
      </c>
      <c r="L89" s="2">
        <v>71250</v>
      </c>
      <c r="M89" s="3">
        <v>1</v>
      </c>
      <c r="N89" s="2">
        <v>71250</v>
      </c>
      <c r="O89" s="2">
        <v>7125</v>
      </c>
      <c r="P89" s="2">
        <v>78375</v>
      </c>
      <c r="Q89" s="2">
        <f>P89*12%</f>
        <v>9405</v>
      </c>
    </row>
    <row r="90" spans="1:17" x14ac:dyDescent="0.4">
      <c r="A90" s="4" t="s">
        <v>21</v>
      </c>
      <c r="B90" s="4" t="s">
        <v>14</v>
      </c>
      <c r="C90" s="31" t="s">
        <v>435</v>
      </c>
      <c r="D90" s="4" t="s">
        <v>22</v>
      </c>
      <c r="E90" s="4" t="s">
        <v>16</v>
      </c>
      <c r="F90" s="4" t="s">
        <v>17</v>
      </c>
      <c r="G90" s="4" t="s">
        <v>18</v>
      </c>
      <c r="H90" s="4" t="s">
        <v>75</v>
      </c>
      <c r="I90" s="5" t="str">
        <f t="shared" si="1"/>
        <v>2025-01</v>
      </c>
      <c r="J90" s="4" t="s">
        <v>20</v>
      </c>
      <c r="K90" s="5" t="s">
        <v>342</v>
      </c>
      <c r="L90" s="2">
        <v>54000</v>
      </c>
      <c r="M90" s="3">
        <v>1</v>
      </c>
      <c r="N90" s="2">
        <v>54000</v>
      </c>
      <c r="O90" s="2">
        <v>5400</v>
      </c>
      <c r="P90" s="2">
        <v>59400</v>
      </c>
      <c r="Q90" s="2">
        <f>P90*8.5%</f>
        <v>5049</v>
      </c>
    </row>
    <row r="91" spans="1:17" x14ac:dyDescent="0.4">
      <c r="A91" s="4" t="s">
        <v>23</v>
      </c>
      <c r="B91" s="4" t="s">
        <v>14</v>
      </c>
      <c r="C91" s="31" t="s">
        <v>435</v>
      </c>
      <c r="D91" s="4" t="s">
        <v>24</v>
      </c>
      <c r="E91" s="4" t="s">
        <v>16</v>
      </c>
      <c r="F91" s="4" t="s">
        <v>17</v>
      </c>
      <c r="G91" s="4" t="s">
        <v>18</v>
      </c>
      <c r="H91" s="4" t="s">
        <v>75</v>
      </c>
      <c r="I91" s="5" t="str">
        <f t="shared" si="1"/>
        <v>2025-01</v>
      </c>
      <c r="J91" s="4" t="s">
        <v>20</v>
      </c>
      <c r="K91" s="5" t="s">
        <v>342</v>
      </c>
      <c r="L91" s="2">
        <v>54000</v>
      </c>
      <c r="M91" s="3">
        <v>2</v>
      </c>
      <c r="N91" s="2">
        <v>108000</v>
      </c>
      <c r="O91" s="2">
        <v>10800</v>
      </c>
      <c r="P91" s="2">
        <v>118800</v>
      </c>
      <c r="Q91" s="2">
        <f>P91*8.5%</f>
        <v>10098</v>
      </c>
    </row>
    <row r="92" spans="1:17" x14ac:dyDescent="0.4">
      <c r="A92" s="4" t="s">
        <v>76</v>
      </c>
      <c r="B92" s="4" t="s">
        <v>65</v>
      </c>
      <c r="C92" s="32" t="s">
        <v>436</v>
      </c>
      <c r="D92" s="4" t="s">
        <v>27</v>
      </c>
      <c r="E92" s="4" t="s">
        <v>28</v>
      </c>
      <c r="F92" s="4" t="s">
        <v>17</v>
      </c>
      <c r="G92" s="4" t="s">
        <v>18</v>
      </c>
      <c r="H92" s="4" t="s">
        <v>75</v>
      </c>
      <c r="I92" s="5" t="str">
        <f t="shared" si="1"/>
        <v>2025-01</v>
      </c>
      <c r="J92" s="4" t="s">
        <v>20</v>
      </c>
      <c r="K92" s="5" t="s">
        <v>342</v>
      </c>
      <c r="L92" s="2">
        <v>16955</v>
      </c>
      <c r="M92" s="3">
        <v>1</v>
      </c>
      <c r="N92" s="2">
        <v>16955</v>
      </c>
      <c r="O92" s="2">
        <v>1696</v>
      </c>
      <c r="P92" s="2">
        <v>18651</v>
      </c>
      <c r="Q92" s="2">
        <f>P92*8.5%</f>
        <v>1585.335</v>
      </c>
    </row>
    <row r="93" spans="1:17" x14ac:dyDescent="0.4">
      <c r="A93" s="4" t="s">
        <v>62</v>
      </c>
      <c r="B93" s="4" t="s">
        <v>26</v>
      </c>
      <c r="C93" s="32" t="s">
        <v>436</v>
      </c>
      <c r="D93" s="4" t="s">
        <v>63</v>
      </c>
      <c r="E93" s="4" t="s">
        <v>28</v>
      </c>
      <c r="F93" s="4" t="s">
        <v>31</v>
      </c>
      <c r="G93" s="4" t="s">
        <v>18</v>
      </c>
      <c r="H93" s="4" t="s">
        <v>75</v>
      </c>
      <c r="I93" s="5" t="str">
        <f t="shared" si="1"/>
        <v>2025-01</v>
      </c>
      <c r="J93" s="4" t="s">
        <v>20</v>
      </c>
      <c r="K93" s="5" t="s">
        <v>342</v>
      </c>
      <c r="L93" s="2">
        <v>2502</v>
      </c>
      <c r="M93" s="3">
        <v>4</v>
      </c>
      <c r="N93" s="2">
        <v>10008</v>
      </c>
      <c r="O93" s="2">
        <v>0</v>
      </c>
      <c r="P93" s="2">
        <v>10008</v>
      </c>
      <c r="Q93" s="2">
        <f>P93*8.5%</f>
        <v>850.68000000000006</v>
      </c>
    </row>
    <row r="94" spans="1:17" hidden="1" x14ac:dyDescent="0.4">
      <c r="A94" s="4" t="s">
        <v>64</v>
      </c>
      <c r="B94" s="4" t="s">
        <v>65</v>
      </c>
      <c r="C94" s="32" t="s">
        <v>436</v>
      </c>
      <c r="D94" s="4" t="s">
        <v>66</v>
      </c>
      <c r="E94" s="4" t="s">
        <v>16</v>
      </c>
      <c r="F94" s="4" t="s">
        <v>17</v>
      </c>
      <c r="G94" s="4" t="s">
        <v>18</v>
      </c>
      <c r="H94" s="4" t="s">
        <v>75</v>
      </c>
      <c r="I94" s="5" t="str">
        <f t="shared" si="1"/>
        <v>2025-01</v>
      </c>
      <c r="J94" s="4" t="s">
        <v>34</v>
      </c>
      <c r="K94" s="5" t="s">
        <v>342</v>
      </c>
      <c r="L94" s="2">
        <v>9939</v>
      </c>
      <c r="M94" s="3">
        <v>1</v>
      </c>
      <c r="N94" s="2">
        <v>9939</v>
      </c>
      <c r="O94" s="2">
        <v>994</v>
      </c>
      <c r="P94" s="2">
        <v>10933</v>
      </c>
      <c r="Q94" s="2">
        <f>P94*8.5%</f>
        <v>929.30500000000006</v>
      </c>
    </row>
    <row r="95" spans="1:17" hidden="1" x14ac:dyDescent="0.4">
      <c r="A95" s="4" t="s">
        <v>32</v>
      </c>
      <c r="B95" s="4" t="s">
        <v>14</v>
      </c>
      <c r="C95" s="31" t="s">
        <v>435</v>
      </c>
      <c r="D95" s="4" t="s">
        <v>33</v>
      </c>
      <c r="E95" s="4" t="s">
        <v>16</v>
      </c>
      <c r="F95" s="4" t="s">
        <v>17</v>
      </c>
      <c r="G95" s="4" t="s">
        <v>18</v>
      </c>
      <c r="H95" s="4" t="s">
        <v>75</v>
      </c>
      <c r="I95" s="5" t="str">
        <f t="shared" si="1"/>
        <v>2025-01</v>
      </c>
      <c r="J95" s="4" t="s">
        <v>34</v>
      </c>
      <c r="K95" s="5" t="s">
        <v>342</v>
      </c>
      <c r="L95" s="2">
        <v>44000</v>
      </c>
      <c r="M95" s="3">
        <v>2</v>
      </c>
      <c r="N95" s="2">
        <v>88000</v>
      </c>
      <c r="O95" s="2">
        <v>8800</v>
      </c>
      <c r="P95" s="2">
        <v>96800</v>
      </c>
      <c r="Q95" s="2">
        <f>P95*8.5%</f>
        <v>8228</v>
      </c>
    </row>
    <row r="96" spans="1:17" hidden="1" x14ac:dyDescent="0.4">
      <c r="A96" s="4" t="s">
        <v>13</v>
      </c>
      <c r="B96" s="4" t="s">
        <v>14</v>
      </c>
      <c r="C96" s="30" t="s">
        <v>434</v>
      </c>
      <c r="D96" s="4" t="s">
        <v>15</v>
      </c>
      <c r="E96" s="4" t="s">
        <v>16</v>
      </c>
      <c r="F96" s="4" t="s">
        <v>17</v>
      </c>
      <c r="G96" s="4" t="s">
        <v>18</v>
      </c>
      <c r="H96" s="4" t="s">
        <v>75</v>
      </c>
      <c r="I96" s="5" t="str">
        <f t="shared" si="1"/>
        <v>2025-01</v>
      </c>
      <c r="J96" s="4" t="s">
        <v>34</v>
      </c>
      <c r="K96" s="5" t="s">
        <v>342</v>
      </c>
      <c r="L96" s="2">
        <v>42000</v>
      </c>
      <c r="M96" s="3">
        <v>4</v>
      </c>
      <c r="N96" s="2">
        <v>168000</v>
      </c>
      <c r="O96" s="2">
        <v>16800</v>
      </c>
      <c r="P96" s="2">
        <v>184800</v>
      </c>
      <c r="Q96" s="2">
        <f>P96*8.5%</f>
        <v>15708.000000000002</v>
      </c>
    </row>
    <row r="97" spans="1:17" hidden="1" x14ac:dyDescent="0.4">
      <c r="A97" s="4" t="s">
        <v>21</v>
      </c>
      <c r="B97" s="4" t="s">
        <v>14</v>
      </c>
      <c r="C97" s="31" t="s">
        <v>435</v>
      </c>
      <c r="D97" s="4" t="s">
        <v>22</v>
      </c>
      <c r="E97" s="4" t="s">
        <v>16</v>
      </c>
      <c r="F97" s="4" t="s">
        <v>17</v>
      </c>
      <c r="G97" s="4" t="s">
        <v>18</v>
      </c>
      <c r="H97" s="4" t="s">
        <v>75</v>
      </c>
      <c r="I97" s="5" t="str">
        <f t="shared" si="1"/>
        <v>2025-01</v>
      </c>
      <c r="J97" s="4" t="s">
        <v>34</v>
      </c>
      <c r="K97" s="5" t="s">
        <v>342</v>
      </c>
      <c r="L97" s="2">
        <v>54000</v>
      </c>
      <c r="M97" s="3">
        <v>1</v>
      </c>
      <c r="N97" s="2">
        <v>54000</v>
      </c>
      <c r="O97" s="2">
        <v>5400</v>
      </c>
      <c r="P97" s="2">
        <v>59400</v>
      </c>
      <c r="Q97" s="2">
        <f>P97*8.5%</f>
        <v>5049</v>
      </c>
    </row>
    <row r="98" spans="1:17" hidden="1" x14ac:dyDescent="0.4">
      <c r="A98" s="4" t="s">
        <v>23</v>
      </c>
      <c r="B98" s="4" t="s">
        <v>14</v>
      </c>
      <c r="C98" s="31" t="s">
        <v>435</v>
      </c>
      <c r="D98" s="4" t="s">
        <v>24</v>
      </c>
      <c r="E98" s="4" t="s">
        <v>16</v>
      </c>
      <c r="F98" s="4" t="s">
        <v>17</v>
      </c>
      <c r="G98" s="4" t="s">
        <v>18</v>
      </c>
      <c r="H98" s="4" t="s">
        <v>75</v>
      </c>
      <c r="I98" s="5" t="str">
        <f t="shared" si="1"/>
        <v>2025-01</v>
      </c>
      <c r="J98" s="4" t="s">
        <v>34</v>
      </c>
      <c r="K98" s="5" t="s">
        <v>342</v>
      </c>
      <c r="L98" s="2">
        <v>54000</v>
      </c>
      <c r="M98" s="3">
        <v>3</v>
      </c>
      <c r="N98" s="2">
        <v>162000</v>
      </c>
      <c r="O98" s="2">
        <v>16200</v>
      </c>
      <c r="P98" s="2">
        <v>178200</v>
      </c>
      <c r="Q98" s="2">
        <f>P98*8.5%</f>
        <v>15147.000000000002</v>
      </c>
    </row>
    <row r="99" spans="1:17" hidden="1" x14ac:dyDescent="0.4">
      <c r="A99" s="4" t="s">
        <v>51</v>
      </c>
      <c r="B99" s="4" t="s">
        <v>14</v>
      </c>
      <c r="C99" s="30" t="s">
        <v>434</v>
      </c>
      <c r="D99" s="4" t="s">
        <v>52</v>
      </c>
      <c r="E99" s="4" t="s">
        <v>16</v>
      </c>
      <c r="F99" s="4" t="s">
        <v>17</v>
      </c>
      <c r="G99" s="4" t="s">
        <v>18</v>
      </c>
      <c r="H99" s="4" t="s">
        <v>75</v>
      </c>
      <c r="I99" s="5" t="str">
        <f t="shared" si="1"/>
        <v>2025-01</v>
      </c>
      <c r="J99" s="4" t="s">
        <v>34</v>
      </c>
      <c r="K99" s="5" t="s">
        <v>342</v>
      </c>
      <c r="L99" s="2">
        <v>71250</v>
      </c>
      <c r="M99" s="3">
        <v>1</v>
      </c>
      <c r="N99" s="2">
        <v>71250</v>
      </c>
      <c r="O99" s="2">
        <v>7125</v>
      </c>
      <c r="P99" s="2">
        <v>78375</v>
      </c>
      <c r="Q99" s="2">
        <f>P99*8.5%</f>
        <v>6661.8750000000009</v>
      </c>
    </row>
    <row r="100" spans="1:17" hidden="1" x14ac:dyDescent="0.4">
      <c r="A100" s="4" t="s">
        <v>68</v>
      </c>
      <c r="B100" s="4" t="s">
        <v>26</v>
      </c>
      <c r="C100" s="32" t="s">
        <v>436</v>
      </c>
      <c r="D100" s="4" t="s">
        <v>69</v>
      </c>
      <c r="E100" s="4" t="s">
        <v>28</v>
      </c>
      <c r="F100" s="4" t="s">
        <v>17</v>
      </c>
      <c r="G100" s="4" t="s">
        <v>18</v>
      </c>
      <c r="H100" s="4" t="s">
        <v>75</v>
      </c>
      <c r="I100" s="5" t="str">
        <f t="shared" si="1"/>
        <v>2025-01</v>
      </c>
      <c r="J100" s="4" t="s">
        <v>34</v>
      </c>
      <c r="K100" s="5" t="s">
        <v>342</v>
      </c>
      <c r="L100" s="2">
        <v>4677</v>
      </c>
      <c r="M100" s="3">
        <v>2</v>
      </c>
      <c r="N100" s="2">
        <v>9354</v>
      </c>
      <c r="O100" s="2">
        <v>935</v>
      </c>
      <c r="P100" s="2">
        <v>10289</v>
      </c>
      <c r="Q100" s="2">
        <f>P100*8.5%</f>
        <v>874.56500000000005</v>
      </c>
    </row>
    <row r="101" spans="1:17" hidden="1" x14ac:dyDescent="0.4">
      <c r="A101" s="4" t="s">
        <v>77</v>
      </c>
      <c r="B101" s="4" t="s">
        <v>26</v>
      </c>
      <c r="C101" s="32" t="s">
        <v>436</v>
      </c>
      <c r="D101" s="4" t="s">
        <v>78</v>
      </c>
      <c r="E101" s="4" t="s">
        <v>28</v>
      </c>
      <c r="F101" s="4" t="s">
        <v>17</v>
      </c>
      <c r="G101" s="4" t="s">
        <v>18</v>
      </c>
      <c r="H101" s="4" t="s">
        <v>75</v>
      </c>
      <c r="I101" s="5" t="str">
        <f t="shared" si="1"/>
        <v>2025-01</v>
      </c>
      <c r="J101" s="4" t="s">
        <v>34</v>
      </c>
      <c r="K101" s="5" t="s">
        <v>342</v>
      </c>
      <c r="L101" s="2">
        <v>15201</v>
      </c>
      <c r="M101" s="3">
        <v>1</v>
      </c>
      <c r="N101" s="2">
        <v>15201</v>
      </c>
      <c r="O101" s="2">
        <v>1520</v>
      </c>
      <c r="P101" s="2">
        <v>16721</v>
      </c>
      <c r="Q101" s="2">
        <f>P101*8.5%</f>
        <v>1421.2850000000001</v>
      </c>
    </row>
    <row r="102" spans="1:17" hidden="1" x14ac:dyDescent="0.4">
      <c r="A102" s="4" t="s">
        <v>42</v>
      </c>
      <c r="B102" s="4" t="s">
        <v>14</v>
      </c>
      <c r="C102" s="30" t="s">
        <v>434</v>
      </c>
      <c r="D102" s="4" t="s">
        <v>43</v>
      </c>
      <c r="E102" s="4" t="s">
        <v>44</v>
      </c>
      <c r="F102" s="4" t="s">
        <v>31</v>
      </c>
      <c r="G102" s="4" t="s">
        <v>18</v>
      </c>
      <c r="H102" s="4" t="s">
        <v>75</v>
      </c>
      <c r="I102" s="5" t="str">
        <f t="shared" si="1"/>
        <v>2025-01</v>
      </c>
      <c r="J102" s="4" t="s">
        <v>34</v>
      </c>
      <c r="K102" s="5" t="s">
        <v>342</v>
      </c>
      <c r="L102" s="2">
        <v>6800</v>
      </c>
      <c r="M102" s="3">
        <v>61.5</v>
      </c>
      <c r="N102" s="2">
        <v>418200</v>
      </c>
      <c r="O102" s="2">
        <v>0</v>
      </c>
      <c r="P102" s="2">
        <v>418200</v>
      </c>
      <c r="Q102" s="2">
        <f>P102*8.5%</f>
        <v>35547</v>
      </c>
    </row>
    <row r="103" spans="1:17" x14ac:dyDescent="0.4">
      <c r="A103" s="4" t="s">
        <v>13</v>
      </c>
      <c r="B103" s="4" t="s">
        <v>14</v>
      </c>
      <c r="C103" s="30" t="s">
        <v>434</v>
      </c>
      <c r="D103" s="4" t="s">
        <v>15</v>
      </c>
      <c r="E103" s="4" t="s">
        <v>16</v>
      </c>
      <c r="F103" s="4" t="s">
        <v>17</v>
      </c>
      <c r="G103" s="4" t="s">
        <v>18</v>
      </c>
      <c r="H103" s="4" t="s">
        <v>79</v>
      </c>
      <c r="I103" s="5" t="str">
        <f t="shared" si="1"/>
        <v>2025-01</v>
      </c>
      <c r="J103" s="4" t="s">
        <v>20</v>
      </c>
      <c r="K103" s="5" t="s">
        <v>342</v>
      </c>
      <c r="L103" s="2">
        <v>42000</v>
      </c>
      <c r="M103" s="3">
        <v>1</v>
      </c>
      <c r="N103" s="2">
        <v>42000</v>
      </c>
      <c r="O103" s="2">
        <v>4200</v>
      </c>
      <c r="P103" s="2">
        <v>46200</v>
      </c>
      <c r="Q103" s="2">
        <f>P103*8.5%</f>
        <v>3927.0000000000005</v>
      </c>
    </row>
    <row r="104" spans="1:17" x14ac:dyDescent="0.4">
      <c r="A104" s="4" t="s">
        <v>21</v>
      </c>
      <c r="B104" s="4" t="s">
        <v>14</v>
      </c>
      <c r="C104" s="31" t="s">
        <v>435</v>
      </c>
      <c r="D104" s="4" t="s">
        <v>22</v>
      </c>
      <c r="E104" s="4" t="s">
        <v>16</v>
      </c>
      <c r="F104" s="4" t="s">
        <v>17</v>
      </c>
      <c r="G104" s="4" t="s">
        <v>18</v>
      </c>
      <c r="H104" s="4" t="s">
        <v>79</v>
      </c>
      <c r="I104" s="5" t="str">
        <f t="shared" si="1"/>
        <v>2025-01</v>
      </c>
      <c r="J104" s="4" t="s">
        <v>20</v>
      </c>
      <c r="K104" s="5" t="s">
        <v>342</v>
      </c>
      <c r="L104" s="2">
        <v>54000</v>
      </c>
      <c r="M104" s="3">
        <v>1</v>
      </c>
      <c r="N104" s="2">
        <v>54000</v>
      </c>
      <c r="O104" s="2">
        <v>5400</v>
      </c>
      <c r="P104" s="2">
        <v>59400</v>
      </c>
      <c r="Q104" s="2">
        <f>P104*8.5%</f>
        <v>5049</v>
      </c>
    </row>
    <row r="105" spans="1:17" x14ac:dyDescent="0.4">
      <c r="A105" s="4" t="s">
        <v>23</v>
      </c>
      <c r="B105" s="4" t="s">
        <v>14</v>
      </c>
      <c r="C105" s="31" t="s">
        <v>435</v>
      </c>
      <c r="D105" s="4" t="s">
        <v>24</v>
      </c>
      <c r="E105" s="4" t="s">
        <v>16</v>
      </c>
      <c r="F105" s="4" t="s">
        <v>17</v>
      </c>
      <c r="G105" s="4" t="s">
        <v>18</v>
      </c>
      <c r="H105" s="4" t="s">
        <v>79</v>
      </c>
      <c r="I105" s="5" t="str">
        <f t="shared" si="1"/>
        <v>2025-01</v>
      </c>
      <c r="J105" s="4" t="s">
        <v>20</v>
      </c>
      <c r="K105" s="5" t="s">
        <v>342</v>
      </c>
      <c r="L105" s="2">
        <v>54000</v>
      </c>
      <c r="M105" s="3">
        <v>2</v>
      </c>
      <c r="N105" s="2">
        <v>108000</v>
      </c>
      <c r="O105" s="2">
        <v>10800</v>
      </c>
      <c r="P105" s="2">
        <v>118800</v>
      </c>
      <c r="Q105" s="2">
        <f>P105*8.5%</f>
        <v>10098</v>
      </c>
    </row>
    <row r="106" spans="1:17" x14ac:dyDescent="0.4">
      <c r="A106" s="4" t="s">
        <v>54</v>
      </c>
      <c r="B106" s="4" t="s">
        <v>26</v>
      </c>
      <c r="C106" s="32" t="s">
        <v>436</v>
      </c>
      <c r="D106" s="4" t="s">
        <v>55</v>
      </c>
      <c r="E106" s="4" t="s">
        <v>28</v>
      </c>
      <c r="F106" s="4" t="s">
        <v>31</v>
      </c>
      <c r="G106" s="4" t="s">
        <v>18</v>
      </c>
      <c r="H106" s="4" t="s">
        <v>79</v>
      </c>
      <c r="I106" s="5" t="str">
        <f t="shared" si="1"/>
        <v>2025-01</v>
      </c>
      <c r="J106" s="4" t="s">
        <v>20</v>
      </c>
      <c r="K106" s="5" t="s">
        <v>342</v>
      </c>
      <c r="L106" s="2">
        <v>5145</v>
      </c>
      <c r="M106" s="3">
        <v>1</v>
      </c>
      <c r="N106" s="2">
        <v>5145</v>
      </c>
      <c r="O106" s="2">
        <v>0</v>
      </c>
      <c r="P106" s="2">
        <v>5145</v>
      </c>
      <c r="Q106" s="2">
        <f>P106*8.5%</f>
        <v>437.32500000000005</v>
      </c>
    </row>
    <row r="107" spans="1:17" x14ac:dyDescent="0.4">
      <c r="A107" s="4" t="s">
        <v>56</v>
      </c>
      <c r="B107" s="4" t="s">
        <v>26</v>
      </c>
      <c r="C107" s="32" t="s">
        <v>436</v>
      </c>
      <c r="D107" s="4" t="s">
        <v>57</v>
      </c>
      <c r="E107" s="4" t="s">
        <v>44</v>
      </c>
      <c r="F107" s="4" t="s">
        <v>31</v>
      </c>
      <c r="G107" s="4" t="s">
        <v>18</v>
      </c>
      <c r="H107" s="4" t="s">
        <v>79</v>
      </c>
      <c r="I107" s="5" t="str">
        <f t="shared" si="1"/>
        <v>2025-01</v>
      </c>
      <c r="J107" s="4" t="s">
        <v>20</v>
      </c>
      <c r="K107" s="5" t="s">
        <v>342</v>
      </c>
      <c r="L107" s="2">
        <v>3286</v>
      </c>
      <c r="M107" s="3">
        <v>24</v>
      </c>
      <c r="N107" s="2">
        <v>78864</v>
      </c>
      <c r="O107" s="2">
        <v>0</v>
      </c>
      <c r="P107" s="2">
        <v>78864</v>
      </c>
      <c r="Q107" s="2">
        <f>P107*8.5%</f>
        <v>6703.4400000000005</v>
      </c>
    </row>
    <row r="108" spans="1:17" hidden="1" x14ac:dyDescent="0.4">
      <c r="A108" s="4" t="s">
        <v>80</v>
      </c>
      <c r="B108" s="4" t="s">
        <v>26</v>
      </c>
      <c r="C108" s="32" t="s">
        <v>436</v>
      </c>
      <c r="D108" s="4" t="s">
        <v>81</v>
      </c>
      <c r="E108" s="4" t="s">
        <v>16</v>
      </c>
      <c r="F108" s="4" t="s">
        <v>17</v>
      </c>
      <c r="G108" s="4" t="s">
        <v>18</v>
      </c>
      <c r="H108" s="4" t="s">
        <v>79</v>
      </c>
      <c r="I108" s="5" t="str">
        <f t="shared" si="1"/>
        <v>2025-01</v>
      </c>
      <c r="J108" s="4" t="s">
        <v>34</v>
      </c>
      <c r="K108" s="5" t="s">
        <v>342</v>
      </c>
      <c r="L108" s="2">
        <v>17305</v>
      </c>
      <c r="M108" s="3">
        <v>1</v>
      </c>
      <c r="N108" s="2">
        <v>17305</v>
      </c>
      <c r="O108" s="2">
        <v>1731</v>
      </c>
      <c r="P108" s="2">
        <v>19036</v>
      </c>
      <c r="Q108" s="2">
        <f>P108*8.5%</f>
        <v>1618.0600000000002</v>
      </c>
    </row>
    <row r="109" spans="1:17" hidden="1" x14ac:dyDescent="0.4">
      <c r="A109" s="4" t="s">
        <v>82</v>
      </c>
      <c r="B109" s="4" t="s">
        <v>26</v>
      </c>
      <c r="C109" s="32" t="s">
        <v>436</v>
      </c>
      <c r="D109" s="4" t="s">
        <v>81</v>
      </c>
      <c r="E109" s="4" t="s">
        <v>16</v>
      </c>
      <c r="F109" s="4" t="s">
        <v>17</v>
      </c>
      <c r="G109" s="4" t="s">
        <v>18</v>
      </c>
      <c r="H109" s="4" t="s">
        <v>79</v>
      </c>
      <c r="I109" s="5" t="str">
        <f t="shared" si="1"/>
        <v>2025-01</v>
      </c>
      <c r="J109" s="4" t="s">
        <v>34</v>
      </c>
      <c r="K109" s="5" t="s">
        <v>342</v>
      </c>
      <c r="L109" s="2">
        <v>20462</v>
      </c>
      <c r="M109" s="3">
        <v>1</v>
      </c>
      <c r="N109" s="2">
        <v>20462</v>
      </c>
      <c r="O109" s="2">
        <v>2046</v>
      </c>
      <c r="P109" s="2">
        <v>22508</v>
      </c>
      <c r="Q109" s="2">
        <f>P109*8.5%</f>
        <v>1913.18</v>
      </c>
    </row>
    <row r="110" spans="1:17" hidden="1" x14ac:dyDescent="0.4">
      <c r="A110" s="4" t="s">
        <v>32</v>
      </c>
      <c r="B110" s="4" t="s">
        <v>14</v>
      </c>
      <c r="C110" s="31" t="s">
        <v>435</v>
      </c>
      <c r="D110" s="4" t="s">
        <v>33</v>
      </c>
      <c r="E110" s="4" t="s">
        <v>16</v>
      </c>
      <c r="F110" s="4" t="s">
        <v>17</v>
      </c>
      <c r="G110" s="4" t="s">
        <v>18</v>
      </c>
      <c r="H110" s="4" t="s">
        <v>79</v>
      </c>
      <c r="I110" s="5" t="str">
        <f t="shared" si="1"/>
        <v>2025-01</v>
      </c>
      <c r="J110" s="4" t="s">
        <v>34</v>
      </c>
      <c r="K110" s="5" t="s">
        <v>342</v>
      </c>
      <c r="L110" s="2">
        <v>44000</v>
      </c>
      <c r="M110" s="3">
        <v>2</v>
      </c>
      <c r="N110" s="2">
        <v>88000</v>
      </c>
      <c r="O110" s="2">
        <v>8800</v>
      </c>
      <c r="P110" s="2">
        <v>96800</v>
      </c>
      <c r="Q110" s="2">
        <f>P110*8.5%</f>
        <v>8228</v>
      </c>
    </row>
    <row r="111" spans="1:17" hidden="1" x14ac:dyDescent="0.4">
      <c r="A111" s="4" t="s">
        <v>58</v>
      </c>
      <c r="B111" s="4" t="s">
        <v>14</v>
      </c>
      <c r="C111" s="30" t="s">
        <v>434</v>
      </c>
      <c r="D111" s="4" t="s">
        <v>36</v>
      </c>
      <c r="E111" s="4" t="s">
        <v>16</v>
      </c>
      <c r="F111" s="4" t="s">
        <v>17</v>
      </c>
      <c r="G111" s="4" t="s">
        <v>18</v>
      </c>
      <c r="H111" s="4" t="s">
        <v>79</v>
      </c>
      <c r="I111" s="5" t="str">
        <f t="shared" si="1"/>
        <v>2025-01</v>
      </c>
      <c r="J111" s="4" t="s">
        <v>34</v>
      </c>
      <c r="K111" s="5" t="s">
        <v>342</v>
      </c>
      <c r="L111" s="2">
        <v>120880</v>
      </c>
      <c r="M111" s="3">
        <v>1</v>
      </c>
      <c r="N111" s="2">
        <v>120880</v>
      </c>
      <c r="O111" s="2">
        <v>12088</v>
      </c>
      <c r="P111" s="2">
        <v>132968</v>
      </c>
      <c r="Q111" s="2">
        <f>P111*8.5%</f>
        <v>11302.28</v>
      </c>
    </row>
    <row r="112" spans="1:17" hidden="1" x14ac:dyDescent="0.4">
      <c r="A112" s="4" t="s">
        <v>13</v>
      </c>
      <c r="B112" s="4" t="s">
        <v>14</v>
      </c>
      <c r="C112" s="30" t="s">
        <v>434</v>
      </c>
      <c r="D112" s="4" t="s">
        <v>15</v>
      </c>
      <c r="E112" s="4" t="s">
        <v>16</v>
      </c>
      <c r="F112" s="4" t="s">
        <v>17</v>
      </c>
      <c r="G112" s="4" t="s">
        <v>18</v>
      </c>
      <c r="H112" s="4" t="s">
        <v>79</v>
      </c>
      <c r="I112" s="5" t="str">
        <f t="shared" si="1"/>
        <v>2025-01</v>
      </c>
      <c r="J112" s="4" t="s">
        <v>34</v>
      </c>
      <c r="K112" s="5" t="s">
        <v>342</v>
      </c>
      <c r="L112" s="2">
        <v>42000</v>
      </c>
      <c r="M112" s="3">
        <v>3</v>
      </c>
      <c r="N112" s="2">
        <v>126000</v>
      </c>
      <c r="O112" s="2">
        <v>12600</v>
      </c>
      <c r="P112" s="2">
        <v>138600</v>
      </c>
      <c r="Q112" s="2">
        <f>P112*8.5%</f>
        <v>11781</v>
      </c>
    </row>
    <row r="113" spans="1:17" hidden="1" x14ac:dyDescent="0.4">
      <c r="A113" s="4" t="s">
        <v>21</v>
      </c>
      <c r="B113" s="4" t="s">
        <v>14</v>
      </c>
      <c r="C113" s="31" t="s">
        <v>435</v>
      </c>
      <c r="D113" s="4" t="s">
        <v>22</v>
      </c>
      <c r="E113" s="4" t="s">
        <v>16</v>
      </c>
      <c r="F113" s="4" t="s">
        <v>17</v>
      </c>
      <c r="G113" s="4" t="s">
        <v>18</v>
      </c>
      <c r="H113" s="4" t="s">
        <v>79</v>
      </c>
      <c r="I113" s="5" t="str">
        <f t="shared" si="1"/>
        <v>2025-01</v>
      </c>
      <c r="J113" s="4" t="s">
        <v>34</v>
      </c>
      <c r="K113" s="5" t="s">
        <v>342</v>
      </c>
      <c r="L113" s="2">
        <v>54000</v>
      </c>
      <c r="M113" s="3">
        <v>1</v>
      </c>
      <c r="N113" s="2">
        <v>54000</v>
      </c>
      <c r="O113" s="2">
        <v>5400</v>
      </c>
      <c r="P113" s="2">
        <v>59400</v>
      </c>
      <c r="Q113" s="2">
        <f>P113*8.5%</f>
        <v>5049</v>
      </c>
    </row>
    <row r="114" spans="1:17" hidden="1" x14ac:dyDescent="0.4">
      <c r="A114" s="4" t="s">
        <v>23</v>
      </c>
      <c r="B114" s="4" t="s">
        <v>14</v>
      </c>
      <c r="C114" s="31" t="s">
        <v>435</v>
      </c>
      <c r="D114" s="4" t="s">
        <v>24</v>
      </c>
      <c r="E114" s="4" t="s">
        <v>16</v>
      </c>
      <c r="F114" s="4" t="s">
        <v>17</v>
      </c>
      <c r="G114" s="4" t="s">
        <v>18</v>
      </c>
      <c r="H114" s="4" t="s">
        <v>79</v>
      </c>
      <c r="I114" s="5" t="str">
        <f t="shared" si="1"/>
        <v>2025-01</v>
      </c>
      <c r="J114" s="4" t="s">
        <v>34</v>
      </c>
      <c r="K114" s="5" t="s">
        <v>342</v>
      </c>
      <c r="L114" s="2">
        <v>54000</v>
      </c>
      <c r="M114" s="3">
        <v>4</v>
      </c>
      <c r="N114" s="2">
        <v>216000</v>
      </c>
      <c r="O114" s="2">
        <v>21600</v>
      </c>
      <c r="P114" s="2">
        <v>237600</v>
      </c>
      <c r="Q114" s="2">
        <f>P114*8.5%</f>
        <v>20196</v>
      </c>
    </row>
    <row r="115" spans="1:17" hidden="1" x14ac:dyDescent="0.4">
      <c r="A115" s="4" t="s">
        <v>40</v>
      </c>
      <c r="B115" s="4" t="s">
        <v>26</v>
      </c>
      <c r="C115" s="32" t="s">
        <v>436</v>
      </c>
      <c r="D115" s="4" t="s">
        <v>41</v>
      </c>
      <c r="E115" s="4" t="s">
        <v>28</v>
      </c>
      <c r="F115" s="4" t="s">
        <v>17</v>
      </c>
      <c r="G115" s="4" t="s">
        <v>18</v>
      </c>
      <c r="H115" s="4" t="s">
        <v>79</v>
      </c>
      <c r="I115" s="5" t="str">
        <f t="shared" si="1"/>
        <v>2025-01</v>
      </c>
      <c r="J115" s="4" t="s">
        <v>34</v>
      </c>
      <c r="K115" s="5" t="s">
        <v>342</v>
      </c>
      <c r="L115" s="2">
        <v>17539</v>
      </c>
      <c r="M115" s="3">
        <v>2</v>
      </c>
      <c r="N115" s="2">
        <v>35078</v>
      </c>
      <c r="O115" s="2">
        <v>3508</v>
      </c>
      <c r="P115" s="2">
        <v>38586</v>
      </c>
      <c r="Q115" s="2">
        <f>P115*8.5%</f>
        <v>3279.8100000000004</v>
      </c>
    </row>
    <row r="116" spans="1:17" hidden="1" x14ac:dyDescent="0.4">
      <c r="A116" s="4" t="s">
        <v>42</v>
      </c>
      <c r="B116" s="4" t="s">
        <v>14</v>
      </c>
      <c r="C116" s="30" t="s">
        <v>434</v>
      </c>
      <c r="D116" s="4" t="s">
        <v>43</v>
      </c>
      <c r="E116" s="4" t="s">
        <v>44</v>
      </c>
      <c r="F116" s="4" t="s">
        <v>31</v>
      </c>
      <c r="G116" s="4" t="s">
        <v>18</v>
      </c>
      <c r="H116" s="4" t="s">
        <v>79</v>
      </c>
      <c r="I116" s="5" t="str">
        <f t="shared" si="1"/>
        <v>2025-01</v>
      </c>
      <c r="J116" s="4" t="s">
        <v>34</v>
      </c>
      <c r="K116" s="5" t="s">
        <v>342</v>
      </c>
      <c r="L116" s="2">
        <v>6800</v>
      </c>
      <c r="M116" s="3">
        <v>29.1</v>
      </c>
      <c r="N116" s="2">
        <v>197880</v>
      </c>
      <c r="O116" s="2">
        <v>0</v>
      </c>
      <c r="P116" s="2">
        <v>197880</v>
      </c>
      <c r="Q116" s="2">
        <f>P116*8.5%</f>
        <v>16819.800000000003</v>
      </c>
    </row>
    <row r="117" spans="1:17" hidden="1" x14ac:dyDescent="0.4">
      <c r="A117" s="4" t="s">
        <v>32</v>
      </c>
      <c r="B117" s="4" t="s">
        <v>14</v>
      </c>
      <c r="C117" s="31" t="s">
        <v>435</v>
      </c>
      <c r="D117" s="4" t="s">
        <v>33</v>
      </c>
      <c r="E117" s="4" t="s">
        <v>16</v>
      </c>
      <c r="F117" s="4" t="s">
        <v>17</v>
      </c>
      <c r="G117" s="4" t="s">
        <v>18</v>
      </c>
      <c r="H117" s="4" t="s">
        <v>79</v>
      </c>
      <c r="I117" s="5" t="str">
        <f t="shared" si="1"/>
        <v>2025-01</v>
      </c>
      <c r="J117" s="4" t="s">
        <v>59</v>
      </c>
      <c r="K117" s="5" t="s">
        <v>343</v>
      </c>
      <c r="L117" s="2">
        <v>44000</v>
      </c>
      <c r="M117" s="3">
        <v>2</v>
      </c>
      <c r="N117" s="2">
        <v>88000</v>
      </c>
      <c r="O117" s="2">
        <v>8800</v>
      </c>
      <c r="P117" s="2">
        <v>96800</v>
      </c>
      <c r="Q117" s="2">
        <f>P117*12%</f>
        <v>11616</v>
      </c>
    </row>
    <row r="118" spans="1:17" hidden="1" x14ac:dyDescent="0.4">
      <c r="A118" s="4" t="s">
        <v>13</v>
      </c>
      <c r="B118" s="4" t="s">
        <v>14</v>
      </c>
      <c r="C118" s="30" t="s">
        <v>434</v>
      </c>
      <c r="D118" s="4" t="s">
        <v>15</v>
      </c>
      <c r="E118" s="4" t="s">
        <v>16</v>
      </c>
      <c r="F118" s="4" t="s">
        <v>17</v>
      </c>
      <c r="G118" s="4" t="s">
        <v>18</v>
      </c>
      <c r="H118" s="4" t="s">
        <v>79</v>
      </c>
      <c r="I118" s="5" t="str">
        <f t="shared" si="1"/>
        <v>2025-01</v>
      </c>
      <c r="J118" s="4" t="s">
        <v>59</v>
      </c>
      <c r="K118" s="5" t="s">
        <v>343</v>
      </c>
      <c r="L118" s="2">
        <v>42000</v>
      </c>
      <c r="M118" s="3">
        <v>4</v>
      </c>
      <c r="N118" s="2">
        <v>168000</v>
      </c>
      <c r="O118" s="2">
        <v>16800</v>
      </c>
      <c r="P118" s="2">
        <v>184800</v>
      </c>
      <c r="Q118" s="2">
        <f>P118*12%</f>
        <v>22176</v>
      </c>
    </row>
    <row r="119" spans="1:17" hidden="1" x14ac:dyDescent="0.4">
      <c r="A119" s="4" t="s">
        <v>23</v>
      </c>
      <c r="B119" s="4" t="s">
        <v>14</v>
      </c>
      <c r="C119" s="31" t="s">
        <v>435</v>
      </c>
      <c r="D119" s="4" t="s">
        <v>24</v>
      </c>
      <c r="E119" s="4" t="s">
        <v>16</v>
      </c>
      <c r="F119" s="4" t="s">
        <v>17</v>
      </c>
      <c r="G119" s="4" t="s">
        <v>18</v>
      </c>
      <c r="H119" s="4" t="s">
        <v>79</v>
      </c>
      <c r="I119" s="5" t="str">
        <f t="shared" si="1"/>
        <v>2025-01</v>
      </c>
      <c r="J119" s="4" t="s">
        <v>59</v>
      </c>
      <c r="K119" s="5" t="s">
        <v>343</v>
      </c>
      <c r="L119" s="2">
        <v>54000</v>
      </c>
      <c r="M119" s="3">
        <v>2</v>
      </c>
      <c r="N119" s="2">
        <v>108000</v>
      </c>
      <c r="O119" s="2">
        <v>10800</v>
      </c>
      <c r="P119" s="2">
        <v>118800</v>
      </c>
      <c r="Q119" s="2">
        <f>P119*12%</f>
        <v>14256</v>
      </c>
    </row>
    <row r="120" spans="1:17" hidden="1" x14ac:dyDescent="0.4">
      <c r="A120" s="4" t="s">
        <v>51</v>
      </c>
      <c r="B120" s="4" t="s">
        <v>14</v>
      </c>
      <c r="C120" s="30" t="s">
        <v>434</v>
      </c>
      <c r="D120" s="4" t="s">
        <v>52</v>
      </c>
      <c r="E120" s="4" t="s">
        <v>16</v>
      </c>
      <c r="F120" s="4" t="s">
        <v>17</v>
      </c>
      <c r="G120" s="4" t="s">
        <v>18</v>
      </c>
      <c r="H120" s="4" t="s">
        <v>79</v>
      </c>
      <c r="I120" s="5" t="str">
        <f t="shared" si="1"/>
        <v>2025-01</v>
      </c>
      <c r="J120" s="4" t="s">
        <v>59</v>
      </c>
      <c r="K120" s="5" t="s">
        <v>343</v>
      </c>
      <c r="L120" s="2">
        <v>71250</v>
      </c>
      <c r="M120" s="3">
        <v>1</v>
      </c>
      <c r="N120" s="2">
        <v>71250</v>
      </c>
      <c r="O120" s="2">
        <v>7125</v>
      </c>
      <c r="P120" s="2">
        <v>78375</v>
      </c>
      <c r="Q120" s="2">
        <f>P120*12%</f>
        <v>9405</v>
      </c>
    </row>
    <row r="121" spans="1:17" hidden="1" x14ac:dyDescent="0.4">
      <c r="A121" s="4" t="s">
        <v>32</v>
      </c>
      <c r="B121" s="4" t="s">
        <v>14</v>
      </c>
      <c r="C121" s="31" t="s">
        <v>435</v>
      </c>
      <c r="D121" s="4" t="s">
        <v>33</v>
      </c>
      <c r="E121" s="4" t="s">
        <v>16</v>
      </c>
      <c r="F121" s="4" t="s">
        <v>17</v>
      </c>
      <c r="G121" s="4" t="s">
        <v>18</v>
      </c>
      <c r="H121" s="4" t="s">
        <v>79</v>
      </c>
      <c r="I121" s="5" t="str">
        <f t="shared" si="1"/>
        <v>2025-01</v>
      </c>
      <c r="J121" s="4" t="s">
        <v>49</v>
      </c>
      <c r="K121" s="5" t="s">
        <v>343</v>
      </c>
      <c r="L121" s="2">
        <v>44000</v>
      </c>
      <c r="M121" s="3">
        <v>10</v>
      </c>
      <c r="N121" s="2">
        <v>440000</v>
      </c>
      <c r="O121" s="2">
        <v>44000</v>
      </c>
      <c r="P121" s="2">
        <v>484000</v>
      </c>
      <c r="Q121" s="2">
        <f>P121*12%</f>
        <v>58080</v>
      </c>
    </row>
    <row r="122" spans="1:17" hidden="1" x14ac:dyDescent="0.4">
      <c r="A122" s="4" t="s">
        <v>13</v>
      </c>
      <c r="B122" s="4" t="s">
        <v>14</v>
      </c>
      <c r="C122" s="30" t="s">
        <v>434</v>
      </c>
      <c r="D122" s="4" t="s">
        <v>15</v>
      </c>
      <c r="E122" s="4" t="s">
        <v>16</v>
      </c>
      <c r="F122" s="4" t="s">
        <v>17</v>
      </c>
      <c r="G122" s="4" t="s">
        <v>18</v>
      </c>
      <c r="H122" s="4" t="s">
        <v>79</v>
      </c>
      <c r="I122" s="5" t="str">
        <f t="shared" si="1"/>
        <v>2025-01</v>
      </c>
      <c r="J122" s="4" t="s">
        <v>49</v>
      </c>
      <c r="K122" s="5" t="s">
        <v>343</v>
      </c>
      <c r="L122" s="2">
        <v>42000</v>
      </c>
      <c r="M122" s="3">
        <v>4</v>
      </c>
      <c r="N122" s="2">
        <v>168000</v>
      </c>
      <c r="O122" s="2">
        <v>16800</v>
      </c>
      <c r="P122" s="2">
        <v>184800</v>
      </c>
      <c r="Q122" s="2">
        <f>P122*12%</f>
        <v>22176</v>
      </c>
    </row>
    <row r="123" spans="1:17" hidden="1" x14ac:dyDescent="0.4">
      <c r="A123" s="4" t="s">
        <v>23</v>
      </c>
      <c r="B123" s="4" t="s">
        <v>14</v>
      </c>
      <c r="C123" s="31" t="s">
        <v>435</v>
      </c>
      <c r="D123" s="4" t="s">
        <v>24</v>
      </c>
      <c r="E123" s="4" t="s">
        <v>16</v>
      </c>
      <c r="F123" s="4" t="s">
        <v>17</v>
      </c>
      <c r="G123" s="4" t="s">
        <v>18</v>
      </c>
      <c r="H123" s="4" t="s">
        <v>79</v>
      </c>
      <c r="I123" s="5" t="str">
        <f t="shared" si="1"/>
        <v>2025-01</v>
      </c>
      <c r="J123" s="4" t="s">
        <v>49</v>
      </c>
      <c r="K123" s="5" t="s">
        <v>343</v>
      </c>
      <c r="L123" s="2">
        <v>54000</v>
      </c>
      <c r="M123" s="3">
        <v>2</v>
      </c>
      <c r="N123" s="2">
        <v>108000</v>
      </c>
      <c r="O123" s="2">
        <v>10800</v>
      </c>
      <c r="P123" s="2">
        <v>118800</v>
      </c>
      <c r="Q123" s="2">
        <f>P123*12%</f>
        <v>14256</v>
      </c>
    </row>
    <row r="124" spans="1:17" hidden="1" x14ac:dyDescent="0.4">
      <c r="A124" s="4" t="s">
        <v>51</v>
      </c>
      <c r="B124" s="4" t="s">
        <v>14</v>
      </c>
      <c r="C124" s="30" t="s">
        <v>434</v>
      </c>
      <c r="D124" s="4" t="s">
        <v>52</v>
      </c>
      <c r="E124" s="4" t="s">
        <v>16</v>
      </c>
      <c r="F124" s="4" t="s">
        <v>17</v>
      </c>
      <c r="G124" s="4" t="s">
        <v>18</v>
      </c>
      <c r="H124" s="4" t="s">
        <v>79</v>
      </c>
      <c r="I124" s="5" t="str">
        <f t="shared" si="1"/>
        <v>2025-01</v>
      </c>
      <c r="J124" s="4" t="s">
        <v>49</v>
      </c>
      <c r="K124" s="5" t="s">
        <v>343</v>
      </c>
      <c r="L124" s="2">
        <v>71250</v>
      </c>
      <c r="M124" s="3">
        <v>1</v>
      </c>
      <c r="N124" s="2">
        <v>71250</v>
      </c>
      <c r="O124" s="2">
        <v>7125</v>
      </c>
      <c r="P124" s="2">
        <v>78375</v>
      </c>
      <c r="Q124" s="2">
        <f>P124*12%</f>
        <v>9405</v>
      </c>
    </row>
    <row r="125" spans="1:17" hidden="1" x14ac:dyDescent="0.4">
      <c r="A125" s="4" t="s">
        <v>13</v>
      </c>
      <c r="B125" s="4" t="s">
        <v>14</v>
      </c>
      <c r="C125" s="30" t="s">
        <v>434</v>
      </c>
      <c r="D125" s="4" t="s">
        <v>15</v>
      </c>
      <c r="E125" s="4" t="s">
        <v>16</v>
      </c>
      <c r="F125" s="4" t="s">
        <v>17</v>
      </c>
      <c r="G125" s="4" t="s">
        <v>18</v>
      </c>
      <c r="H125" s="4" t="s">
        <v>83</v>
      </c>
      <c r="I125" s="5" t="str">
        <f t="shared" si="1"/>
        <v>2025-01</v>
      </c>
      <c r="J125" s="4" t="s">
        <v>34</v>
      </c>
      <c r="K125" s="5" t="s">
        <v>342</v>
      </c>
      <c r="L125" s="2">
        <v>42000</v>
      </c>
      <c r="M125" s="3">
        <v>4</v>
      </c>
      <c r="N125" s="2">
        <v>168000</v>
      </c>
      <c r="O125" s="2">
        <v>16800</v>
      </c>
      <c r="P125" s="2">
        <v>184800</v>
      </c>
      <c r="Q125" s="2">
        <f>P125*8.5%</f>
        <v>15708.000000000002</v>
      </c>
    </row>
    <row r="126" spans="1:17" hidden="1" x14ac:dyDescent="0.4">
      <c r="A126" s="4" t="s">
        <v>21</v>
      </c>
      <c r="B126" s="4" t="s">
        <v>14</v>
      </c>
      <c r="C126" s="31" t="s">
        <v>435</v>
      </c>
      <c r="D126" s="4" t="s">
        <v>22</v>
      </c>
      <c r="E126" s="4" t="s">
        <v>16</v>
      </c>
      <c r="F126" s="4" t="s">
        <v>17</v>
      </c>
      <c r="G126" s="4" t="s">
        <v>18</v>
      </c>
      <c r="H126" s="4" t="s">
        <v>83</v>
      </c>
      <c r="I126" s="5" t="str">
        <f t="shared" si="1"/>
        <v>2025-01</v>
      </c>
      <c r="J126" s="4" t="s">
        <v>34</v>
      </c>
      <c r="K126" s="5" t="s">
        <v>342</v>
      </c>
      <c r="L126" s="2">
        <v>54000</v>
      </c>
      <c r="M126" s="3">
        <v>1</v>
      </c>
      <c r="N126" s="2">
        <v>54000</v>
      </c>
      <c r="O126" s="2">
        <v>5400</v>
      </c>
      <c r="P126" s="2">
        <v>59400</v>
      </c>
      <c r="Q126" s="2">
        <f>P126*8.5%</f>
        <v>5049</v>
      </c>
    </row>
    <row r="127" spans="1:17" hidden="1" x14ac:dyDescent="0.4">
      <c r="A127" s="4" t="s">
        <v>23</v>
      </c>
      <c r="B127" s="4" t="s">
        <v>14</v>
      </c>
      <c r="C127" s="31" t="s">
        <v>435</v>
      </c>
      <c r="D127" s="4" t="s">
        <v>24</v>
      </c>
      <c r="E127" s="4" t="s">
        <v>16</v>
      </c>
      <c r="F127" s="4" t="s">
        <v>17</v>
      </c>
      <c r="G127" s="4" t="s">
        <v>18</v>
      </c>
      <c r="H127" s="4" t="s">
        <v>83</v>
      </c>
      <c r="I127" s="5" t="str">
        <f t="shared" si="1"/>
        <v>2025-01</v>
      </c>
      <c r="J127" s="4" t="s">
        <v>34</v>
      </c>
      <c r="K127" s="5" t="s">
        <v>342</v>
      </c>
      <c r="L127" s="2">
        <v>54000</v>
      </c>
      <c r="M127" s="3">
        <v>4</v>
      </c>
      <c r="N127" s="2">
        <v>216000</v>
      </c>
      <c r="O127" s="2">
        <v>21600</v>
      </c>
      <c r="P127" s="2">
        <v>237600</v>
      </c>
      <c r="Q127" s="2">
        <f>P127*8.5%</f>
        <v>20196</v>
      </c>
    </row>
    <row r="128" spans="1:17" hidden="1" x14ac:dyDescent="0.4">
      <c r="A128" s="4" t="s">
        <v>51</v>
      </c>
      <c r="B128" s="4" t="s">
        <v>14</v>
      </c>
      <c r="C128" s="30" t="s">
        <v>434</v>
      </c>
      <c r="D128" s="4" t="s">
        <v>52</v>
      </c>
      <c r="E128" s="4" t="s">
        <v>16</v>
      </c>
      <c r="F128" s="4" t="s">
        <v>17</v>
      </c>
      <c r="G128" s="4" t="s">
        <v>18</v>
      </c>
      <c r="H128" s="4" t="s">
        <v>83</v>
      </c>
      <c r="I128" s="5" t="str">
        <f t="shared" si="1"/>
        <v>2025-01</v>
      </c>
      <c r="J128" s="4" t="s">
        <v>34</v>
      </c>
      <c r="K128" s="5" t="s">
        <v>342</v>
      </c>
      <c r="L128" s="2">
        <v>71250</v>
      </c>
      <c r="M128" s="3">
        <v>1</v>
      </c>
      <c r="N128" s="2">
        <v>71250</v>
      </c>
      <c r="O128" s="2">
        <v>7125</v>
      </c>
      <c r="P128" s="2">
        <v>78375</v>
      </c>
      <c r="Q128" s="2">
        <f>P128*8.5%</f>
        <v>6661.8750000000009</v>
      </c>
    </row>
    <row r="129" spans="1:17" hidden="1" x14ac:dyDescent="0.4">
      <c r="A129" s="4" t="s">
        <v>84</v>
      </c>
      <c r="B129" s="4" t="s">
        <v>26</v>
      </c>
      <c r="C129" s="32" t="s">
        <v>436</v>
      </c>
      <c r="D129" s="4" t="s">
        <v>85</v>
      </c>
      <c r="E129" s="4" t="s">
        <v>28</v>
      </c>
      <c r="F129" s="4" t="s">
        <v>17</v>
      </c>
      <c r="G129" s="4" t="s">
        <v>18</v>
      </c>
      <c r="H129" s="4" t="s">
        <v>83</v>
      </c>
      <c r="I129" s="5" t="str">
        <f t="shared" si="1"/>
        <v>2025-01</v>
      </c>
      <c r="J129" s="4" t="s">
        <v>34</v>
      </c>
      <c r="K129" s="5" t="s">
        <v>342</v>
      </c>
      <c r="L129" s="2">
        <v>4920</v>
      </c>
      <c r="M129" s="3">
        <v>1</v>
      </c>
      <c r="N129" s="2">
        <v>4920</v>
      </c>
      <c r="O129" s="2">
        <v>492</v>
      </c>
      <c r="P129" s="2">
        <v>5412</v>
      </c>
      <c r="Q129" s="2">
        <f>P129*8.5%</f>
        <v>460.02000000000004</v>
      </c>
    </row>
    <row r="130" spans="1:17" hidden="1" x14ac:dyDescent="0.4">
      <c r="A130" s="4" t="s">
        <v>37</v>
      </c>
      <c r="B130" s="4" t="s">
        <v>26</v>
      </c>
      <c r="C130" s="32" t="s">
        <v>436</v>
      </c>
      <c r="D130" s="4" t="s">
        <v>38</v>
      </c>
      <c r="E130" s="4" t="s">
        <v>28</v>
      </c>
      <c r="F130" s="4" t="s">
        <v>17</v>
      </c>
      <c r="G130" s="4" t="s">
        <v>18</v>
      </c>
      <c r="H130" s="4" t="s">
        <v>83</v>
      </c>
      <c r="I130" s="5" t="str">
        <f t="shared" ref="I130:I193" si="2">TEXT(H130,"yyyy-mm")</f>
        <v>2025-01</v>
      </c>
      <c r="J130" s="4" t="s">
        <v>34</v>
      </c>
      <c r="K130" s="5" t="s">
        <v>342</v>
      </c>
      <c r="L130" s="2">
        <v>386</v>
      </c>
      <c r="M130" s="3">
        <v>20</v>
      </c>
      <c r="N130" s="2">
        <v>7720</v>
      </c>
      <c r="O130" s="2">
        <v>772</v>
      </c>
      <c r="P130" s="2">
        <v>8492</v>
      </c>
      <c r="Q130" s="2">
        <f>P130*8.5%</f>
        <v>721.82</v>
      </c>
    </row>
    <row r="131" spans="1:17" hidden="1" x14ac:dyDescent="0.4">
      <c r="A131" s="4" t="s">
        <v>86</v>
      </c>
      <c r="B131" s="4" t="s">
        <v>26</v>
      </c>
      <c r="C131" s="32" t="s">
        <v>436</v>
      </c>
      <c r="D131" s="4" t="s">
        <v>78</v>
      </c>
      <c r="E131" s="4" t="s">
        <v>28</v>
      </c>
      <c r="F131" s="4" t="s">
        <v>17</v>
      </c>
      <c r="G131" s="4" t="s">
        <v>18</v>
      </c>
      <c r="H131" s="4" t="s">
        <v>83</v>
      </c>
      <c r="I131" s="5" t="str">
        <f t="shared" si="2"/>
        <v>2025-01</v>
      </c>
      <c r="J131" s="4" t="s">
        <v>34</v>
      </c>
      <c r="K131" s="5" t="s">
        <v>342</v>
      </c>
      <c r="L131" s="2">
        <v>15201</v>
      </c>
      <c r="M131" s="3">
        <v>1</v>
      </c>
      <c r="N131" s="2">
        <v>15201</v>
      </c>
      <c r="O131" s="2">
        <v>1520</v>
      </c>
      <c r="P131" s="2">
        <v>16721</v>
      </c>
      <c r="Q131" s="2">
        <f>P131*8.5%</f>
        <v>1421.2850000000001</v>
      </c>
    </row>
    <row r="132" spans="1:17" hidden="1" x14ac:dyDescent="0.4">
      <c r="A132" s="4" t="s">
        <v>87</v>
      </c>
      <c r="B132" s="4" t="s">
        <v>26</v>
      </c>
      <c r="C132" s="32" t="s">
        <v>436</v>
      </c>
      <c r="D132" s="4" t="s">
        <v>88</v>
      </c>
      <c r="E132" s="4" t="s">
        <v>28</v>
      </c>
      <c r="F132" s="4" t="s">
        <v>17</v>
      </c>
      <c r="G132" s="4" t="s">
        <v>18</v>
      </c>
      <c r="H132" s="4" t="s">
        <v>83</v>
      </c>
      <c r="I132" s="5" t="str">
        <f t="shared" si="2"/>
        <v>2025-01</v>
      </c>
      <c r="J132" s="4" t="s">
        <v>34</v>
      </c>
      <c r="K132" s="5" t="s">
        <v>342</v>
      </c>
      <c r="L132" s="2">
        <v>13914</v>
      </c>
      <c r="M132" s="3">
        <v>1</v>
      </c>
      <c r="N132" s="2">
        <v>13914</v>
      </c>
      <c r="O132" s="2">
        <v>1391</v>
      </c>
      <c r="P132" s="2">
        <v>15305</v>
      </c>
      <c r="Q132" s="2">
        <f>P132*8.5%</f>
        <v>1300.9250000000002</v>
      </c>
    </row>
    <row r="133" spans="1:17" hidden="1" x14ac:dyDescent="0.4">
      <c r="A133" s="4" t="s">
        <v>42</v>
      </c>
      <c r="B133" s="4" t="s">
        <v>14</v>
      </c>
      <c r="C133" s="30" t="s">
        <v>434</v>
      </c>
      <c r="D133" s="4" t="s">
        <v>43</v>
      </c>
      <c r="E133" s="4" t="s">
        <v>44</v>
      </c>
      <c r="F133" s="4" t="s">
        <v>31</v>
      </c>
      <c r="G133" s="4" t="s">
        <v>18</v>
      </c>
      <c r="H133" s="4" t="s">
        <v>83</v>
      </c>
      <c r="I133" s="5" t="str">
        <f t="shared" si="2"/>
        <v>2025-01</v>
      </c>
      <c r="J133" s="4" t="s">
        <v>34</v>
      </c>
      <c r="K133" s="5" t="s">
        <v>342</v>
      </c>
      <c r="L133" s="2">
        <v>6800</v>
      </c>
      <c r="M133" s="3">
        <v>58.7</v>
      </c>
      <c r="N133" s="2">
        <v>399160</v>
      </c>
      <c r="O133" s="2">
        <v>0</v>
      </c>
      <c r="P133" s="2">
        <v>399160</v>
      </c>
      <c r="Q133" s="2">
        <f>P133*8.5%</f>
        <v>33928.600000000006</v>
      </c>
    </row>
    <row r="134" spans="1:17" x14ac:dyDescent="0.4">
      <c r="A134" s="4" t="s">
        <v>21</v>
      </c>
      <c r="B134" s="4" t="s">
        <v>14</v>
      </c>
      <c r="C134" s="31" t="s">
        <v>435</v>
      </c>
      <c r="D134" s="4" t="s">
        <v>22</v>
      </c>
      <c r="E134" s="4" t="s">
        <v>16</v>
      </c>
      <c r="F134" s="4" t="s">
        <v>17</v>
      </c>
      <c r="G134" s="4" t="s">
        <v>18</v>
      </c>
      <c r="H134" s="4" t="s">
        <v>89</v>
      </c>
      <c r="I134" s="5" t="str">
        <f t="shared" si="2"/>
        <v>2025-01</v>
      </c>
      <c r="J134" s="4" t="s">
        <v>20</v>
      </c>
      <c r="K134" s="5" t="s">
        <v>342</v>
      </c>
      <c r="L134" s="2">
        <v>54000</v>
      </c>
      <c r="M134" s="3">
        <v>1</v>
      </c>
      <c r="N134" s="2">
        <v>54000</v>
      </c>
      <c r="O134" s="2">
        <v>5400</v>
      </c>
      <c r="P134" s="2">
        <v>59400</v>
      </c>
      <c r="Q134" s="2">
        <f>P134*8.5%</f>
        <v>5049</v>
      </c>
    </row>
    <row r="135" spans="1:17" x14ac:dyDescent="0.4">
      <c r="A135" s="4" t="s">
        <v>23</v>
      </c>
      <c r="B135" s="4" t="s">
        <v>14</v>
      </c>
      <c r="C135" s="31" t="s">
        <v>435</v>
      </c>
      <c r="D135" s="4" t="s">
        <v>24</v>
      </c>
      <c r="E135" s="4" t="s">
        <v>16</v>
      </c>
      <c r="F135" s="4" t="s">
        <v>17</v>
      </c>
      <c r="G135" s="4" t="s">
        <v>18</v>
      </c>
      <c r="H135" s="4" t="s">
        <v>89</v>
      </c>
      <c r="I135" s="5" t="str">
        <f t="shared" si="2"/>
        <v>2025-01</v>
      </c>
      <c r="J135" s="4" t="s">
        <v>20</v>
      </c>
      <c r="K135" s="5" t="s">
        <v>342</v>
      </c>
      <c r="L135" s="2">
        <v>54000</v>
      </c>
      <c r="M135" s="3">
        <v>2</v>
      </c>
      <c r="N135" s="2">
        <v>108000</v>
      </c>
      <c r="O135" s="2">
        <v>10800</v>
      </c>
      <c r="P135" s="2">
        <v>118800</v>
      </c>
      <c r="Q135" s="2">
        <f>P135*8.5%</f>
        <v>10098</v>
      </c>
    </row>
    <row r="136" spans="1:17" x14ac:dyDescent="0.4">
      <c r="A136" s="4" t="s">
        <v>62</v>
      </c>
      <c r="B136" s="4" t="s">
        <v>26</v>
      </c>
      <c r="C136" s="32" t="s">
        <v>436</v>
      </c>
      <c r="D136" s="4" t="s">
        <v>63</v>
      </c>
      <c r="E136" s="4" t="s">
        <v>28</v>
      </c>
      <c r="F136" s="4" t="s">
        <v>31</v>
      </c>
      <c r="G136" s="4" t="s">
        <v>18</v>
      </c>
      <c r="H136" s="4" t="s">
        <v>89</v>
      </c>
      <c r="I136" s="5" t="str">
        <f t="shared" si="2"/>
        <v>2025-01</v>
      </c>
      <c r="J136" s="4" t="s">
        <v>20</v>
      </c>
      <c r="K136" s="5" t="s">
        <v>342</v>
      </c>
      <c r="L136" s="2">
        <v>4139</v>
      </c>
      <c r="M136" s="3">
        <v>6</v>
      </c>
      <c r="N136" s="2">
        <v>24834</v>
      </c>
      <c r="O136" s="2">
        <v>0</v>
      </c>
      <c r="P136" s="2">
        <v>24834</v>
      </c>
      <c r="Q136" s="2">
        <f>P136*8.5%</f>
        <v>2110.8900000000003</v>
      </c>
    </row>
    <row r="137" spans="1:17" hidden="1" x14ac:dyDescent="0.4">
      <c r="A137" s="4" t="s">
        <v>64</v>
      </c>
      <c r="B137" s="4" t="s">
        <v>65</v>
      </c>
      <c r="C137" s="32" t="s">
        <v>436</v>
      </c>
      <c r="D137" s="4" t="s">
        <v>66</v>
      </c>
      <c r="E137" s="4" t="s">
        <v>16</v>
      </c>
      <c r="F137" s="4" t="s">
        <v>17</v>
      </c>
      <c r="G137" s="4" t="s">
        <v>18</v>
      </c>
      <c r="H137" s="4" t="s">
        <v>89</v>
      </c>
      <c r="I137" s="5" t="str">
        <f t="shared" si="2"/>
        <v>2025-01</v>
      </c>
      <c r="J137" s="4" t="s">
        <v>34</v>
      </c>
      <c r="K137" s="5" t="s">
        <v>342</v>
      </c>
      <c r="L137" s="2">
        <v>9939</v>
      </c>
      <c r="M137" s="3">
        <v>1</v>
      </c>
      <c r="N137" s="2">
        <v>9939</v>
      </c>
      <c r="O137" s="2">
        <v>994</v>
      </c>
      <c r="P137" s="2">
        <v>10933</v>
      </c>
      <c r="Q137" s="2">
        <f>P137*8.5%</f>
        <v>929.30500000000006</v>
      </c>
    </row>
    <row r="138" spans="1:17" hidden="1" x14ac:dyDescent="0.4">
      <c r="A138" s="4" t="s">
        <v>32</v>
      </c>
      <c r="B138" s="4" t="s">
        <v>14</v>
      </c>
      <c r="C138" s="31" t="s">
        <v>435</v>
      </c>
      <c r="D138" s="4" t="s">
        <v>33</v>
      </c>
      <c r="E138" s="4" t="s">
        <v>16</v>
      </c>
      <c r="F138" s="4" t="s">
        <v>17</v>
      </c>
      <c r="G138" s="4" t="s">
        <v>18</v>
      </c>
      <c r="H138" s="4" t="s">
        <v>89</v>
      </c>
      <c r="I138" s="5" t="str">
        <f t="shared" si="2"/>
        <v>2025-01</v>
      </c>
      <c r="J138" s="4" t="s">
        <v>34</v>
      </c>
      <c r="K138" s="5" t="s">
        <v>342</v>
      </c>
      <c r="L138" s="2">
        <v>44000</v>
      </c>
      <c r="M138" s="3">
        <v>3</v>
      </c>
      <c r="N138" s="2">
        <v>132000</v>
      </c>
      <c r="O138" s="2">
        <v>13200</v>
      </c>
      <c r="P138" s="2">
        <v>145200</v>
      </c>
      <c r="Q138" s="2">
        <f>P138*8.5%</f>
        <v>12342</v>
      </c>
    </row>
    <row r="139" spans="1:17" hidden="1" x14ac:dyDescent="0.4">
      <c r="A139" s="4" t="s">
        <v>58</v>
      </c>
      <c r="B139" s="4" t="s">
        <v>14</v>
      </c>
      <c r="C139" s="30" t="s">
        <v>434</v>
      </c>
      <c r="D139" s="4" t="s">
        <v>36</v>
      </c>
      <c r="E139" s="4" t="s">
        <v>16</v>
      </c>
      <c r="F139" s="4" t="s">
        <v>17</v>
      </c>
      <c r="G139" s="4" t="s">
        <v>18</v>
      </c>
      <c r="H139" s="4" t="s">
        <v>89</v>
      </c>
      <c r="I139" s="5" t="str">
        <f t="shared" si="2"/>
        <v>2025-01</v>
      </c>
      <c r="J139" s="4" t="s">
        <v>34</v>
      </c>
      <c r="K139" s="5" t="s">
        <v>342</v>
      </c>
      <c r="L139" s="2">
        <v>120880</v>
      </c>
      <c r="M139" s="3">
        <v>1</v>
      </c>
      <c r="N139" s="2">
        <v>120880</v>
      </c>
      <c r="O139" s="2">
        <v>12088</v>
      </c>
      <c r="P139" s="2">
        <v>132968</v>
      </c>
      <c r="Q139" s="2">
        <f>P139*8.5%</f>
        <v>11302.28</v>
      </c>
    </row>
    <row r="140" spans="1:17" hidden="1" x14ac:dyDescent="0.4">
      <c r="A140" s="4" t="s">
        <v>13</v>
      </c>
      <c r="B140" s="4" t="s">
        <v>14</v>
      </c>
      <c r="C140" s="30" t="s">
        <v>434</v>
      </c>
      <c r="D140" s="4" t="s">
        <v>15</v>
      </c>
      <c r="E140" s="4" t="s">
        <v>16</v>
      </c>
      <c r="F140" s="4" t="s">
        <v>17</v>
      </c>
      <c r="G140" s="4" t="s">
        <v>18</v>
      </c>
      <c r="H140" s="4" t="s">
        <v>89</v>
      </c>
      <c r="I140" s="5" t="str">
        <f t="shared" si="2"/>
        <v>2025-01</v>
      </c>
      <c r="J140" s="4" t="s">
        <v>34</v>
      </c>
      <c r="K140" s="5" t="s">
        <v>342</v>
      </c>
      <c r="L140" s="2">
        <v>42000</v>
      </c>
      <c r="M140" s="3">
        <v>5</v>
      </c>
      <c r="N140" s="2">
        <v>210000</v>
      </c>
      <c r="O140" s="2">
        <v>21000</v>
      </c>
      <c r="P140" s="2">
        <v>231000</v>
      </c>
      <c r="Q140" s="2">
        <f>P140*8.5%</f>
        <v>19635</v>
      </c>
    </row>
    <row r="141" spans="1:17" hidden="1" x14ac:dyDescent="0.4">
      <c r="A141" s="4" t="s">
        <v>21</v>
      </c>
      <c r="B141" s="4" t="s">
        <v>14</v>
      </c>
      <c r="C141" s="31" t="s">
        <v>435</v>
      </c>
      <c r="D141" s="4" t="s">
        <v>22</v>
      </c>
      <c r="E141" s="4" t="s">
        <v>16</v>
      </c>
      <c r="F141" s="4" t="s">
        <v>17</v>
      </c>
      <c r="G141" s="4" t="s">
        <v>18</v>
      </c>
      <c r="H141" s="4" t="s">
        <v>89</v>
      </c>
      <c r="I141" s="5" t="str">
        <f t="shared" si="2"/>
        <v>2025-01</v>
      </c>
      <c r="J141" s="4" t="s">
        <v>34</v>
      </c>
      <c r="K141" s="5" t="s">
        <v>342</v>
      </c>
      <c r="L141" s="2">
        <v>54000</v>
      </c>
      <c r="M141" s="3">
        <v>1</v>
      </c>
      <c r="N141" s="2">
        <v>54000</v>
      </c>
      <c r="O141" s="2">
        <v>5400</v>
      </c>
      <c r="P141" s="2">
        <v>59400</v>
      </c>
      <c r="Q141" s="2">
        <f>P141*8.5%</f>
        <v>5049</v>
      </c>
    </row>
    <row r="142" spans="1:17" hidden="1" x14ac:dyDescent="0.4">
      <c r="A142" s="4" t="s">
        <v>35</v>
      </c>
      <c r="B142" s="4" t="s">
        <v>14</v>
      </c>
      <c r="C142" s="30" t="s">
        <v>434</v>
      </c>
      <c r="D142" s="4" t="s">
        <v>36</v>
      </c>
      <c r="E142" s="4" t="s">
        <v>16</v>
      </c>
      <c r="F142" s="4" t="s">
        <v>17</v>
      </c>
      <c r="G142" s="4" t="s">
        <v>18</v>
      </c>
      <c r="H142" s="4" t="s">
        <v>89</v>
      </c>
      <c r="I142" s="5" t="str">
        <f t="shared" si="2"/>
        <v>2025-01</v>
      </c>
      <c r="J142" s="4" t="s">
        <v>34</v>
      </c>
      <c r="K142" s="5" t="s">
        <v>342</v>
      </c>
      <c r="L142" s="2">
        <v>116220</v>
      </c>
      <c r="M142" s="3">
        <v>1</v>
      </c>
      <c r="N142" s="2">
        <v>116220</v>
      </c>
      <c r="O142" s="2">
        <v>11622</v>
      </c>
      <c r="P142" s="2">
        <v>127842</v>
      </c>
      <c r="Q142" s="2">
        <f>P142*8.5%</f>
        <v>10866.570000000002</v>
      </c>
    </row>
    <row r="143" spans="1:17" hidden="1" x14ac:dyDescent="0.4">
      <c r="A143" s="4" t="s">
        <v>23</v>
      </c>
      <c r="B143" s="4" t="s">
        <v>14</v>
      </c>
      <c r="C143" s="31" t="s">
        <v>435</v>
      </c>
      <c r="D143" s="4" t="s">
        <v>24</v>
      </c>
      <c r="E143" s="4" t="s">
        <v>16</v>
      </c>
      <c r="F143" s="4" t="s">
        <v>17</v>
      </c>
      <c r="G143" s="4" t="s">
        <v>18</v>
      </c>
      <c r="H143" s="4" t="s">
        <v>89</v>
      </c>
      <c r="I143" s="5" t="str">
        <f t="shared" si="2"/>
        <v>2025-01</v>
      </c>
      <c r="J143" s="4" t="s">
        <v>34</v>
      </c>
      <c r="K143" s="5" t="s">
        <v>342</v>
      </c>
      <c r="L143" s="2">
        <v>54000</v>
      </c>
      <c r="M143" s="3">
        <v>4</v>
      </c>
      <c r="N143" s="2">
        <v>216000</v>
      </c>
      <c r="O143" s="2">
        <v>21600</v>
      </c>
      <c r="P143" s="2">
        <v>237600</v>
      </c>
      <c r="Q143" s="2">
        <f>P143*8.5%</f>
        <v>20196</v>
      </c>
    </row>
    <row r="144" spans="1:17" hidden="1" x14ac:dyDescent="0.4">
      <c r="A144" s="4" t="s">
        <v>67</v>
      </c>
      <c r="B144" s="4" t="s">
        <v>26</v>
      </c>
      <c r="C144" s="32" t="s">
        <v>436</v>
      </c>
      <c r="D144" s="4" t="s">
        <v>63</v>
      </c>
      <c r="E144" s="4" t="s">
        <v>28</v>
      </c>
      <c r="F144" s="4" t="s">
        <v>17</v>
      </c>
      <c r="G144" s="4" t="s">
        <v>18</v>
      </c>
      <c r="H144" s="4" t="s">
        <v>89</v>
      </c>
      <c r="I144" s="5" t="str">
        <f t="shared" si="2"/>
        <v>2025-01</v>
      </c>
      <c r="J144" s="4" t="s">
        <v>34</v>
      </c>
      <c r="K144" s="5" t="s">
        <v>342</v>
      </c>
      <c r="L144" s="2">
        <v>7391</v>
      </c>
      <c r="M144" s="3">
        <v>1</v>
      </c>
      <c r="N144" s="2">
        <v>7391</v>
      </c>
      <c r="O144" s="2">
        <v>739</v>
      </c>
      <c r="P144" s="2">
        <v>8130</v>
      </c>
      <c r="Q144" s="2">
        <f>P144*8.5%</f>
        <v>691.05000000000007</v>
      </c>
    </row>
    <row r="145" spans="1:17" hidden="1" x14ac:dyDescent="0.4">
      <c r="A145" s="4" t="s">
        <v>42</v>
      </c>
      <c r="B145" s="4" t="s">
        <v>14</v>
      </c>
      <c r="C145" s="30" t="s">
        <v>434</v>
      </c>
      <c r="D145" s="4" t="s">
        <v>43</v>
      </c>
      <c r="E145" s="4" t="s">
        <v>44</v>
      </c>
      <c r="F145" s="4" t="s">
        <v>31</v>
      </c>
      <c r="G145" s="4" t="s">
        <v>18</v>
      </c>
      <c r="H145" s="4" t="s">
        <v>89</v>
      </c>
      <c r="I145" s="5" t="str">
        <f t="shared" si="2"/>
        <v>2025-01</v>
      </c>
      <c r="J145" s="4" t="s">
        <v>34</v>
      </c>
      <c r="K145" s="5" t="s">
        <v>342</v>
      </c>
      <c r="L145" s="2">
        <v>6800</v>
      </c>
      <c r="M145" s="3">
        <v>72.2</v>
      </c>
      <c r="N145" s="2">
        <v>490960</v>
      </c>
      <c r="O145" s="2">
        <v>0</v>
      </c>
      <c r="P145" s="2">
        <v>490960</v>
      </c>
      <c r="Q145" s="2">
        <f>P145*8.5%</f>
        <v>41731.600000000006</v>
      </c>
    </row>
    <row r="146" spans="1:17" hidden="1" x14ac:dyDescent="0.4">
      <c r="A146" s="4" t="s">
        <v>45</v>
      </c>
      <c r="B146" s="4" t="s">
        <v>26</v>
      </c>
      <c r="C146" s="32" t="s">
        <v>436</v>
      </c>
      <c r="D146" s="4" t="s">
        <v>46</v>
      </c>
      <c r="E146" s="4" t="s">
        <v>47</v>
      </c>
      <c r="F146" s="4" t="s">
        <v>17</v>
      </c>
      <c r="G146" s="4" t="s">
        <v>18</v>
      </c>
      <c r="H146" s="4" t="s">
        <v>89</v>
      </c>
      <c r="I146" s="5" t="str">
        <f t="shared" si="2"/>
        <v>2025-01</v>
      </c>
      <c r="J146" s="4" t="s">
        <v>34</v>
      </c>
      <c r="K146" s="5" t="s">
        <v>342</v>
      </c>
      <c r="L146" s="2">
        <v>2806</v>
      </c>
      <c r="M146" s="3">
        <v>2</v>
      </c>
      <c r="N146" s="2">
        <v>5612</v>
      </c>
      <c r="O146" s="2">
        <v>561</v>
      </c>
      <c r="P146" s="2">
        <v>6173</v>
      </c>
      <c r="Q146" s="2">
        <f>P146*8.5%</f>
        <v>524.70500000000004</v>
      </c>
    </row>
    <row r="147" spans="1:17" hidden="1" x14ac:dyDescent="0.4">
      <c r="A147" s="4" t="s">
        <v>32</v>
      </c>
      <c r="B147" s="4" t="s">
        <v>14</v>
      </c>
      <c r="C147" s="31" t="s">
        <v>435</v>
      </c>
      <c r="D147" s="4" t="s">
        <v>33</v>
      </c>
      <c r="E147" s="4" t="s">
        <v>16</v>
      </c>
      <c r="F147" s="4" t="s">
        <v>17</v>
      </c>
      <c r="G147" s="4" t="s">
        <v>18</v>
      </c>
      <c r="H147" s="4" t="s">
        <v>89</v>
      </c>
      <c r="I147" s="5" t="str">
        <f t="shared" si="2"/>
        <v>2025-01</v>
      </c>
      <c r="J147" s="4" t="s">
        <v>49</v>
      </c>
      <c r="K147" s="5" t="s">
        <v>343</v>
      </c>
      <c r="L147" s="2">
        <v>44000</v>
      </c>
      <c r="M147" s="3">
        <v>4</v>
      </c>
      <c r="N147" s="2">
        <v>176000</v>
      </c>
      <c r="O147" s="2">
        <v>17600</v>
      </c>
      <c r="P147" s="2">
        <v>193600</v>
      </c>
      <c r="Q147" s="2">
        <f>P147*12%</f>
        <v>23232</v>
      </c>
    </row>
    <row r="148" spans="1:17" hidden="1" x14ac:dyDescent="0.4">
      <c r="A148" s="4" t="s">
        <v>13</v>
      </c>
      <c r="B148" s="4" t="s">
        <v>14</v>
      </c>
      <c r="C148" s="30" t="s">
        <v>434</v>
      </c>
      <c r="D148" s="4" t="s">
        <v>15</v>
      </c>
      <c r="E148" s="4" t="s">
        <v>16</v>
      </c>
      <c r="F148" s="4" t="s">
        <v>17</v>
      </c>
      <c r="G148" s="4" t="s">
        <v>18</v>
      </c>
      <c r="H148" s="4" t="s">
        <v>89</v>
      </c>
      <c r="I148" s="5" t="str">
        <f t="shared" si="2"/>
        <v>2025-01</v>
      </c>
      <c r="J148" s="4" t="s">
        <v>49</v>
      </c>
      <c r="K148" s="5" t="s">
        <v>343</v>
      </c>
      <c r="L148" s="2">
        <v>42000</v>
      </c>
      <c r="M148" s="3">
        <v>5</v>
      </c>
      <c r="N148" s="2">
        <v>210000</v>
      </c>
      <c r="O148" s="2">
        <v>21000</v>
      </c>
      <c r="P148" s="2">
        <v>231000</v>
      </c>
      <c r="Q148" s="2">
        <f>P148*12%</f>
        <v>27720</v>
      </c>
    </row>
    <row r="149" spans="1:17" hidden="1" x14ac:dyDescent="0.4">
      <c r="A149" s="4" t="s">
        <v>23</v>
      </c>
      <c r="B149" s="4" t="s">
        <v>14</v>
      </c>
      <c r="C149" s="31" t="s">
        <v>435</v>
      </c>
      <c r="D149" s="4" t="s">
        <v>24</v>
      </c>
      <c r="E149" s="4" t="s">
        <v>16</v>
      </c>
      <c r="F149" s="4" t="s">
        <v>17</v>
      </c>
      <c r="G149" s="4" t="s">
        <v>18</v>
      </c>
      <c r="H149" s="4" t="s">
        <v>89</v>
      </c>
      <c r="I149" s="5" t="str">
        <f t="shared" si="2"/>
        <v>2025-01</v>
      </c>
      <c r="J149" s="4" t="s">
        <v>49</v>
      </c>
      <c r="K149" s="5" t="s">
        <v>343</v>
      </c>
      <c r="L149" s="2">
        <v>54000</v>
      </c>
      <c r="M149" s="3">
        <v>2</v>
      </c>
      <c r="N149" s="2">
        <v>108000</v>
      </c>
      <c r="O149" s="2">
        <v>10800</v>
      </c>
      <c r="P149" s="2">
        <v>118800</v>
      </c>
      <c r="Q149" s="2">
        <f>P149*12%</f>
        <v>14256</v>
      </c>
    </row>
    <row r="150" spans="1:17" x14ac:dyDescent="0.4">
      <c r="A150" s="4" t="s">
        <v>13</v>
      </c>
      <c r="B150" s="4" t="s">
        <v>14</v>
      </c>
      <c r="C150" s="30" t="s">
        <v>434</v>
      </c>
      <c r="D150" s="4" t="s">
        <v>15</v>
      </c>
      <c r="E150" s="4" t="s">
        <v>16</v>
      </c>
      <c r="F150" s="4" t="s">
        <v>17</v>
      </c>
      <c r="G150" s="4" t="s">
        <v>18</v>
      </c>
      <c r="H150" s="4" t="s">
        <v>90</v>
      </c>
      <c r="I150" s="5" t="str">
        <f t="shared" si="2"/>
        <v>2025-01</v>
      </c>
      <c r="J150" s="4" t="s">
        <v>20</v>
      </c>
      <c r="K150" s="5" t="s">
        <v>342</v>
      </c>
      <c r="L150" s="2">
        <v>42000</v>
      </c>
      <c r="M150" s="3">
        <v>1</v>
      </c>
      <c r="N150" s="2">
        <v>42000</v>
      </c>
      <c r="O150" s="2">
        <v>4200</v>
      </c>
      <c r="P150" s="2">
        <v>46200</v>
      </c>
      <c r="Q150" s="2">
        <f>P150*8.5%</f>
        <v>3927.0000000000005</v>
      </c>
    </row>
    <row r="151" spans="1:17" x14ac:dyDescent="0.4">
      <c r="A151" s="4" t="s">
        <v>21</v>
      </c>
      <c r="B151" s="4" t="s">
        <v>14</v>
      </c>
      <c r="C151" s="31" t="s">
        <v>435</v>
      </c>
      <c r="D151" s="4" t="s">
        <v>22</v>
      </c>
      <c r="E151" s="4" t="s">
        <v>16</v>
      </c>
      <c r="F151" s="4" t="s">
        <v>17</v>
      </c>
      <c r="G151" s="4" t="s">
        <v>18</v>
      </c>
      <c r="H151" s="4" t="s">
        <v>90</v>
      </c>
      <c r="I151" s="5" t="str">
        <f t="shared" si="2"/>
        <v>2025-01</v>
      </c>
      <c r="J151" s="4" t="s">
        <v>20</v>
      </c>
      <c r="K151" s="5" t="s">
        <v>342</v>
      </c>
      <c r="L151" s="2">
        <v>54000</v>
      </c>
      <c r="M151" s="3">
        <v>1</v>
      </c>
      <c r="N151" s="2">
        <v>54000</v>
      </c>
      <c r="O151" s="2">
        <v>5400</v>
      </c>
      <c r="P151" s="2">
        <v>59400</v>
      </c>
      <c r="Q151" s="2">
        <f>P151*8.5%</f>
        <v>5049</v>
      </c>
    </row>
    <row r="152" spans="1:17" x14ac:dyDescent="0.4">
      <c r="A152" s="4" t="s">
        <v>23</v>
      </c>
      <c r="B152" s="4" t="s">
        <v>14</v>
      </c>
      <c r="C152" s="31" t="s">
        <v>435</v>
      </c>
      <c r="D152" s="4" t="s">
        <v>24</v>
      </c>
      <c r="E152" s="4" t="s">
        <v>16</v>
      </c>
      <c r="F152" s="4" t="s">
        <v>17</v>
      </c>
      <c r="G152" s="4" t="s">
        <v>18</v>
      </c>
      <c r="H152" s="4" t="s">
        <v>90</v>
      </c>
      <c r="I152" s="5" t="str">
        <f t="shared" si="2"/>
        <v>2025-01</v>
      </c>
      <c r="J152" s="4" t="s">
        <v>20</v>
      </c>
      <c r="K152" s="5" t="s">
        <v>342</v>
      </c>
      <c r="L152" s="2">
        <v>54000</v>
      </c>
      <c r="M152" s="3">
        <v>2</v>
      </c>
      <c r="N152" s="2">
        <v>108000</v>
      </c>
      <c r="O152" s="2">
        <v>10800</v>
      </c>
      <c r="P152" s="2">
        <v>118800</v>
      </c>
      <c r="Q152" s="2">
        <f>P152*8.5%</f>
        <v>10098</v>
      </c>
    </row>
    <row r="153" spans="1:17" x14ac:dyDescent="0.4">
      <c r="A153" s="4" t="s">
        <v>56</v>
      </c>
      <c r="B153" s="4" t="s">
        <v>26</v>
      </c>
      <c r="C153" s="32" t="s">
        <v>436</v>
      </c>
      <c r="D153" s="4" t="s">
        <v>57</v>
      </c>
      <c r="E153" s="4" t="s">
        <v>44</v>
      </c>
      <c r="F153" s="4" t="s">
        <v>31</v>
      </c>
      <c r="G153" s="4" t="s">
        <v>18</v>
      </c>
      <c r="H153" s="4" t="s">
        <v>90</v>
      </c>
      <c r="I153" s="5" t="str">
        <f t="shared" si="2"/>
        <v>2025-01</v>
      </c>
      <c r="J153" s="4" t="s">
        <v>20</v>
      </c>
      <c r="K153" s="5" t="s">
        <v>342</v>
      </c>
      <c r="L153" s="2">
        <v>3286</v>
      </c>
      <c r="M153" s="3">
        <v>24</v>
      </c>
      <c r="N153" s="2">
        <v>78864</v>
      </c>
      <c r="O153" s="2">
        <v>0</v>
      </c>
      <c r="P153" s="2">
        <v>78864</v>
      </c>
      <c r="Q153" s="2">
        <f>P153*8.5%</f>
        <v>6703.4400000000005</v>
      </c>
    </row>
    <row r="154" spans="1:17" hidden="1" x14ac:dyDescent="0.4">
      <c r="A154" s="4" t="s">
        <v>13</v>
      </c>
      <c r="B154" s="4" t="s">
        <v>14</v>
      </c>
      <c r="C154" s="30" t="s">
        <v>434</v>
      </c>
      <c r="D154" s="4" t="s">
        <v>15</v>
      </c>
      <c r="E154" s="4" t="s">
        <v>16</v>
      </c>
      <c r="F154" s="4" t="s">
        <v>17</v>
      </c>
      <c r="G154" s="4" t="s">
        <v>18</v>
      </c>
      <c r="H154" s="4" t="s">
        <v>90</v>
      </c>
      <c r="I154" s="5" t="str">
        <f t="shared" si="2"/>
        <v>2025-01</v>
      </c>
      <c r="J154" s="4" t="s">
        <v>34</v>
      </c>
      <c r="K154" s="5" t="s">
        <v>342</v>
      </c>
      <c r="L154" s="2">
        <v>42000</v>
      </c>
      <c r="M154" s="3">
        <v>2</v>
      </c>
      <c r="N154" s="2">
        <v>84000</v>
      </c>
      <c r="O154" s="2">
        <v>8400</v>
      </c>
      <c r="P154" s="2">
        <v>92400</v>
      </c>
      <c r="Q154" s="2">
        <f>P154*8.5%</f>
        <v>7854.0000000000009</v>
      </c>
    </row>
    <row r="155" spans="1:17" hidden="1" x14ac:dyDescent="0.4">
      <c r="A155" s="4" t="s">
        <v>21</v>
      </c>
      <c r="B155" s="4" t="s">
        <v>14</v>
      </c>
      <c r="C155" s="31" t="s">
        <v>435</v>
      </c>
      <c r="D155" s="4" t="s">
        <v>22</v>
      </c>
      <c r="E155" s="4" t="s">
        <v>16</v>
      </c>
      <c r="F155" s="4" t="s">
        <v>17</v>
      </c>
      <c r="G155" s="4" t="s">
        <v>18</v>
      </c>
      <c r="H155" s="4" t="s">
        <v>90</v>
      </c>
      <c r="I155" s="5" t="str">
        <f t="shared" si="2"/>
        <v>2025-01</v>
      </c>
      <c r="J155" s="4" t="s">
        <v>34</v>
      </c>
      <c r="K155" s="5" t="s">
        <v>342</v>
      </c>
      <c r="L155" s="2">
        <v>54000</v>
      </c>
      <c r="M155" s="3">
        <v>1</v>
      </c>
      <c r="N155" s="2">
        <v>54000</v>
      </c>
      <c r="O155" s="2">
        <v>5400</v>
      </c>
      <c r="P155" s="2">
        <v>59400</v>
      </c>
      <c r="Q155" s="2">
        <f>P155*8.5%</f>
        <v>5049</v>
      </c>
    </row>
    <row r="156" spans="1:17" hidden="1" x14ac:dyDescent="0.4">
      <c r="A156" s="4" t="s">
        <v>23</v>
      </c>
      <c r="B156" s="4" t="s">
        <v>14</v>
      </c>
      <c r="C156" s="31" t="s">
        <v>435</v>
      </c>
      <c r="D156" s="4" t="s">
        <v>24</v>
      </c>
      <c r="E156" s="4" t="s">
        <v>16</v>
      </c>
      <c r="F156" s="4" t="s">
        <v>17</v>
      </c>
      <c r="G156" s="4" t="s">
        <v>18</v>
      </c>
      <c r="H156" s="4" t="s">
        <v>90</v>
      </c>
      <c r="I156" s="5" t="str">
        <f t="shared" si="2"/>
        <v>2025-01</v>
      </c>
      <c r="J156" s="4" t="s">
        <v>34</v>
      </c>
      <c r="K156" s="5" t="s">
        <v>342</v>
      </c>
      <c r="L156" s="2">
        <v>54000</v>
      </c>
      <c r="M156" s="3">
        <v>3</v>
      </c>
      <c r="N156" s="2">
        <v>162000</v>
      </c>
      <c r="O156" s="2">
        <v>16200</v>
      </c>
      <c r="P156" s="2">
        <v>178200</v>
      </c>
      <c r="Q156" s="2">
        <f>P156*8.5%</f>
        <v>15147.000000000002</v>
      </c>
    </row>
    <row r="157" spans="1:17" hidden="1" x14ac:dyDescent="0.4">
      <c r="A157" s="4" t="s">
        <v>51</v>
      </c>
      <c r="B157" s="4" t="s">
        <v>14</v>
      </c>
      <c r="C157" s="30" t="s">
        <v>434</v>
      </c>
      <c r="D157" s="4" t="s">
        <v>52</v>
      </c>
      <c r="E157" s="4" t="s">
        <v>16</v>
      </c>
      <c r="F157" s="4" t="s">
        <v>17</v>
      </c>
      <c r="G157" s="4" t="s">
        <v>18</v>
      </c>
      <c r="H157" s="4" t="s">
        <v>90</v>
      </c>
      <c r="I157" s="5" t="str">
        <f t="shared" si="2"/>
        <v>2025-01</v>
      </c>
      <c r="J157" s="4" t="s">
        <v>34</v>
      </c>
      <c r="K157" s="5" t="s">
        <v>342</v>
      </c>
      <c r="L157" s="2">
        <v>71250</v>
      </c>
      <c r="M157" s="3">
        <v>1</v>
      </c>
      <c r="N157" s="2">
        <v>71250</v>
      </c>
      <c r="O157" s="2">
        <v>7125</v>
      </c>
      <c r="P157" s="2">
        <v>78375</v>
      </c>
      <c r="Q157" s="2">
        <f>P157*8.5%</f>
        <v>6661.8750000000009</v>
      </c>
    </row>
    <row r="158" spans="1:17" hidden="1" x14ac:dyDescent="0.4">
      <c r="A158" s="4" t="s">
        <v>91</v>
      </c>
      <c r="B158" s="4" t="s">
        <v>26</v>
      </c>
      <c r="C158" s="32" t="s">
        <v>436</v>
      </c>
      <c r="D158" s="4" t="s">
        <v>92</v>
      </c>
      <c r="E158" s="4" t="s">
        <v>28</v>
      </c>
      <c r="F158" s="4" t="s">
        <v>31</v>
      </c>
      <c r="G158" s="4" t="s">
        <v>18</v>
      </c>
      <c r="H158" s="4" t="s">
        <v>90</v>
      </c>
      <c r="I158" s="5" t="str">
        <f t="shared" si="2"/>
        <v>2025-01</v>
      </c>
      <c r="J158" s="4" t="s">
        <v>34</v>
      </c>
      <c r="K158" s="5" t="s">
        <v>342</v>
      </c>
      <c r="L158" s="2">
        <v>4046</v>
      </c>
      <c r="M158" s="3">
        <v>2</v>
      </c>
      <c r="N158" s="2">
        <v>8092</v>
      </c>
      <c r="O158" s="2">
        <v>0</v>
      </c>
      <c r="P158" s="2">
        <v>8092</v>
      </c>
      <c r="Q158" s="2">
        <f>P158*8.5%</f>
        <v>687.82</v>
      </c>
    </row>
    <row r="159" spans="1:17" hidden="1" x14ac:dyDescent="0.4">
      <c r="A159" s="4" t="s">
        <v>70</v>
      </c>
      <c r="B159" s="4" t="s">
        <v>26</v>
      </c>
      <c r="C159" s="32" t="s">
        <v>436</v>
      </c>
      <c r="D159" s="4" t="s">
        <v>71</v>
      </c>
      <c r="E159" s="4" t="s">
        <v>28</v>
      </c>
      <c r="F159" s="4" t="s">
        <v>31</v>
      </c>
      <c r="G159" s="4" t="s">
        <v>18</v>
      </c>
      <c r="H159" s="4" t="s">
        <v>90</v>
      </c>
      <c r="I159" s="5" t="str">
        <f t="shared" si="2"/>
        <v>2025-01</v>
      </c>
      <c r="J159" s="4" t="s">
        <v>34</v>
      </c>
      <c r="K159" s="5" t="s">
        <v>342</v>
      </c>
      <c r="L159" s="2">
        <v>6478</v>
      </c>
      <c r="M159" s="3">
        <v>3</v>
      </c>
      <c r="N159" s="2">
        <v>19434</v>
      </c>
      <c r="O159" s="2">
        <v>0</v>
      </c>
      <c r="P159" s="2">
        <v>19434</v>
      </c>
      <c r="Q159" s="2">
        <f>P159*8.5%</f>
        <v>1651.89</v>
      </c>
    </row>
    <row r="160" spans="1:17" hidden="1" x14ac:dyDescent="0.4">
      <c r="A160" s="4" t="s">
        <v>42</v>
      </c>
      <c r="B160" s="4" t="s">
        <v>14</v>
      </c>
      <c r="C160" s="30" t="s">
        <v>434</v>
      </c>
      <c r="D160" s="4" t="s">
        <v>43</v>
      </c>
      <c r="E160" s="4" t="s">
        <v>44</v>
      </c>
      <c r="F160" s="4" t="s">
        <v>31</v>
      </c>
      <c r="G160" s="4" t="s">
        <v>18</v>
      </c>
      <c r="H160" s="4" t="s">
        <v>90</v>
      </c>
      <c r="I160" s="5" t="str">
        <f t="shared" si="2"/>
        <v>2025-01</v>
      </c>
      <c r="J160" s="4" t="s">
        <v>34</v>
      </c>
      <c r="K160" s="5" t="s">
        <v>342</v>
      </c>
      <c r="L160" s="2">
        <v>6800</v>
      </c>
      <c r="M160" s="3">
        <v>14.7</v>
      </c>
      <c r="N160" s="2">
        <v>99960</v>
      </c>
      <c r="O160" s="2">
        <v>0</v>
      </c>
      <c r="P160" s="2">
        <v>99960</v>
      </c>
      <c r="Q160" s="2">
        <f>P160*8.5%</f>
        <v>8496.6</v>
      </c>
    </row>
    <row r="161" spans="1:17" hidden="1" x14ac:dyDescent="0.4">
      <c r="A161" s="4" t="s">
        <v>93</v>
      </c>
      <c r="B161" s="4" t="s">
        <v>26</v>
      </c>
      <c r="C161" s="32" t="s">
        <v>436</v>
      </c>
      <c r="D161" s="4" t="s">
        <v>94</v>
      </c>
      <c r="E161" s="4" t="s">
        <v>47</v>
      </c>
      <c r="F161" s="4" t="s">
        <v>17</v>
      </c>
      <c r="G161" s="4" t="s">
        <v>18</v>
      </c>
      <c r="H161" s="4" t="s">
        <v>90</v>
      </c>
      <c r="I161" s="5" t="str">
        <f t="shared" si="2"/>
        <v>2025-01</v>
      </c>
      <c r="J161" s="4" t="s">
        <v>34</v>
      </c>
      <c r="K161" s="5" t="s">
        <v>342</v>
      </c>
      <c r="L161" s="2">
        <v>4630</v>
      </c>
      <c r="M161" s="3">
        <v>2</v>
      </c>
      <c r="N161" s="2">
        <v>9260</v>
      </c>
      <c r="O161" s="2">
        <v>926</v>
      </c>
      <c r="P161" s="2">
        <v>10186</v>
      </c>
      <c r="Q161" s="2">
        <f>P161*8.5%</f>
        <v>865.81000000000006</v>
      </c>
    </row>
    <row r="162" spans="1:17" hidden="1" x14ac:dyDescent="0.4">
      <c r="A162" s="4" t="s">
        <v>23</v>
      </c>
      <c r="B162" s="4" t="s">
        <v>14</v>
      </c>
      <c r="C162" s="31" t="s">
        <v>435</v>
      </c>
      <c r="D162" s="4" t="s">
        <v>24</v>
      </c>
      <c r="E162" s="4" t="s">
        <v>16</v>
      </c>
      <c r="F162" s="4" t="s">
        <v>17</v>
      </c>
      <c r="G162" s="4" t="s">
        <v>18</v>
      </c>
      <c r="H162" s="4" t="s">
        <v>90</v>
      </c>
      <c r="I162" s="5" t="str">
        <f t="shared" si="2"/>
        <v>2025-01</v>
      </c>
      <c r="J162" s="4" t="s">
        <v>60</v>
      </c>
      <c r="K162" s="5" t="s">
        <v>343</v>
      </c>
      <c r="L162" s="2">
        <v>54000</v>
      </c>
      <c r="M162" s="3">
        <v>13</v>
      </c>
      <c r="N162" s="2">
        <v>702000</v>
      </c>
      <c r="O162" s="2">
        <v>70200</v>
      </c>
      <c r="P162" s="2">
        <v>772200</v>
      </c>
      <c r="Q162" s="2">
        <f>P162*12%</f>
        <v>92664</v>
      </c>
    </row>
    <row r="163" spans="1:17" hidden="1" x14ac:dyDescent="0.4">
      <c r="A163" s="4" t="s">
        <v>51</v>
      </c>
      <c r="B163" s="4" t="s">
        <v>14</v>
      </c>
      <c r="C163" s="30" t="s">
        <v>434</v>
      </c>
      <c r="D163" s="4" t="s">
        <v>52</v>
      </c>
      <c r="E163" s="4" t="s">
        <v>16</v>
      </c>
      <c r="F163" s="4" t="s">
        <v>17</v>
      </c>
      <c r="G163" s="4" t="s">
        <v>18</v>
      </c>
      <c r="H163" s="4" t="s">
        <v>90</v>
      </c>
      <c r="I163" s="5" t="str">
        <f t="shared" si="2"/>
        <v>2025-01</v>
      </c>
      <c r="J163" s="4" t="s">
        <v>60</v>
      </c>
      <c r="K163" s="5" t="s">
        <v>343</v>
      </c>
      <c r="L163" s="2">
        <v>71250</v>
      </c>
      <c r="M163" s="3">
        <v>1</v>
      </c>
      <c r="N163" s="2">
        <v>71250</v>
      </c>
      <c r="O163" s="2">
        <v>7125</v>
      </c>
      <c r="P163" s="2">
        <v>78375</v>
      </c>
      <c r="Q163" s="2">
        <f>P163*12%</f>
        <v>9405</v>
      </c>
    </row>
    <row r="164" spans="1:17" hidden="1" x14ac:dyDescent="0.4">
      <c r="A164" s="4" t="s">
        <v>32</v>
      </c>
      <c r="B164" s="4" t="s">
        <v>14</v>
      </c>
      <c r="C164" s="31" t="s">
        <v>435</v>
      </c>
      <c r="D164" s="4" t="s">
        <v>33</v>
      </c>
      <c r="E164" s="4" t="s">
        <v>16</v>
      </c>
      <c r="F164" s="4" t="s">
        <v>17</v>
      </c>
      <c r="G164" s="4" t="s">
        <v>18</v>
      </c>
      <c r="H164" s="4" t="s">
        <v>90</v>
      </c>
      <c r="I164" s="5" t="str">
        <f t="shared" si="2"/>
        <v>2025-01</v>
      </c>
      <c r="J164" s="4" t="s">
        <v>50</v>
      </c>
      <c r="K164" s="5" t="s">
        <v>343</v>
      </c>
      <c r="L164" s="2">
        <v>44000</v>
      </c>
      <c r="M164" s="3">
        <v>2</v>
      </c>
      <c r="N164" s="2">
        <v>88000</v>
      </c>
      <c r="O164" s="2">
        <v>8800</v>
      </c>
      <c r="P164" s="2">
        <v>96800</v>
      </c>
      <c r="Q164" s="2">
        <f>P164*12%</f>
        <v>11616</v>
      </c>
    </row>
    <row r="165" spans="1:17" hidden="1" x14ac:dyDescent="0.4">
      <c r="A165" s="4" t="s">
        <v>13</v>
      </c>
      <c r="B165" s="4" t="s">
        <v>14</v>
      </c>
      <c r="C165" s="30" t="s">
        <v>434</v>
      </c>
      <c r="D165" s="4" t="s">
        <v>15</v>
      </c>
      <c r="E165" s="4" t="s">
        <v>16</v>
      </c>
      <c r="F165" s="4" t="s">
        <v>17</v>
      </c>
      <c r="G165" s="4" t="s">
        <v>18</v>
      </c>
      <c r="H165" s="4" t="s">
        <v>90</v>
      </c>
      <c r="I165" s="5" t="str">
        <f t="shared" si="2"/>
        <v>2025-01</v>
      </c>
      <c r="J165" s="4" t="s">
        <v>50</v>
      </c>
      <c r="K165" s="5" t="s">
        <v>343</v>
      </c>
      <c r="L165" s="2">
        <v>42000</v>
      </c>
      <c r="M165" s="3">
        <v>10</v>
      </c>
      <c r="N165" s="2">
        <v>420000</v>
      </c>
      <c r="O165" s="2">
        <v>42000</v>
      </c>
      <c r="P165" s="2">
        <v>462000</v>
      </c>
      <c r="Q165" s="2">
        <f>P165*12%</f>
        <v>55440</v>
      </c>
    </row>
    <row r="166" spans="1:17" hidden="1" x14ac:dyDescent="0.4">
      <c r="A166" s="4" t="s">
        <v>23</v>
      </c>
      <c r="B166" s="4" t="s">
        <v>14</v>
      </c>
      <c r="C166" s="31" t="s">
        <v>435</v>
      </c>
      <c r="D166" s="4" t="s">
        <v>24</v>
      </c>
      <c r="E166" s="4" t="s">
        <v>16</v>
      </c>
      <c r="F166" s="4" t="s">
        <v>17</v>
      </c>
      <c r="G166" s="4" t="s">
        <v>18</v>
      </c>
      <c r="H166" s="4" t="s">
        <v>90</v>
      </c>
      <c r="I166" s="5" t="str">
        <f t="shared" si="2"/>
        <v>2025-01</v>
      </c>
      <c r="J166" s="4" t="s">
        <v>50</v>
      </c>
      <c r="K166" s="5" t="s">
        <v>343</v>
      </c>
      <c r="L166" s="2">
        <v>54000</v>
      </c>
      <c r="M166" s="3">
        <v>3</v>
      </c>
      <c r="N166" s="2">
        <v>162000</v>
      </c>
      <c r="O166" s="2">
        <v>16200</v>
      </c>
      <c r="P166" s="2">
        <v>178200</v>
      </c>
      <c r="Q166" s="2">
        <f>P166*12%</f>
        <v>21384</v>
      </c>
    </row>
    <row r="167" spans="1:17" hidden="1" x14ac:dyDescent="0.4">
      <c r="A167" s="4" t="s">
        <v>51</v>
      </c>
      <c r="B167" s="4" t="s">
        <v>14</v>
      </c>
      <c r="C167" s="30" t="s">
        <v>434</v>
      </c>
      <c r="D167" s="4" t="s">
        <v>52</v>
      </c>
      <c r="E167" s="4" t="s">
        <v>16</v>
      </c>
      <c r="F167" s="4" t="s">
        <v>17</v>
      </c>
      <c r="G167" s="4" t="s">
        <v>18</v>
      </c>
      <c r="H167" s="4" t="s">
        <v>90</v>
      </c>
      <c r="I167" s="5" t="str">
        <f t="shared" si="2"/>
        <v>2025-01</v>
      </c>
      <c r="J167" s="4" t="s">
        <v>50</v>
      </c>
      <c r="K167" s="5" t="s">
        <v>343</v>
      </c>
      <c r="L167" s="2">
        <v>71250</v>
      </c>
      <c r="M167" s="3">
        <v>2</v>
      </c>
      <c r="N167" s="2">
        <v>142500</v>
      </c>
      <c r="O167" s="2">
        <v>14250</v>
      </c>
      <c r="P167" s="2">
        <v>156750</v>
      </c>
      <c r="Q167" s="2">
        <f>P167*12%</f>
        <v>18810</v>
      </c>
    </row>
    <row r="168" spans="1:17" hidden="1" x14ac:dyDescent="0.4">
      <c r="A168" s="4" t="s">
        <v>58</v>
      </c>
      <c r="B168" s="4" t="s">
        <v>14</v>
      </c>
      <c r="C168" s="30" t="s">
        <v>434</v>
      </c>
      <c r="D168" s="4" t="s">
        <v>36</v>
      </c>
      <c r="E168" s="4" t="s">
        <v>16</v>
      </c>
      <c r="F168" s="4" t="s">
        <v>17</v>
      </c>
      <c r="G168" s="4" t="s">
        <v>18</v>
      </c>
      <c r="H168" s="4" t="s">
        <v>95</v>
      </c>
      <c r="I168" s="5" t="str">
        <f t="shared" si="2"/>
        <v>2025-01</v>
      </c>
      <c r="J168" s="4" t="s">
        <v>96</v>
      </c>
      <c r="K168" s="5" t="s">
        <v>342</v>
      </c>
      <c r="L168" s="2">
        <v>120880</v>
      </c>
      <c r="M168" s="3">
        <v>1</v>
      </c>
      <c r="N168" s="2">
        <v>120880</v>
      </c>
      <c r="O168" s="2">
        <v>12088</v>
      </c>
      <c r="P168" s="2">
        <v>132968</v>
      </c>
      <c r="Q168" s="2">
        <f>P168*8.5%</f>
        <v>11302.28</v>
      </c>
    </row>
    <row r="169" spans="1:17" hidden="1" x14ac:dyDescent="0.4">
      <c r="A169" s="4" t="s">
        <v>23</v>
      </c>
      <c r="B169" s="4" t="s">
        <v>14</v>
      </c>
      <c r="C169" s="31" t="s">
        <v>435</v>
      </c>
      <c r="D169" s="4" t="s">
        <v>24</v>
      </c>
      <c r="E169" s="4" t="s">
        <v>16</v>
      </c>
      <c r="F169" s="4" t="s">
        <v>17</v>
      </c>
      <c r="G169" s="4" t="s">
        <v>18</v>
      </c>
      <c r="H169" s="4" t="s">
        <v>95</v>
      </c>
      <c r="I169" s="5" t="str">
        <f t="shared" si="2"/>
        <v>2025-01</v>
      </c>
      <c r="J169" s="4" t="s">
        <v>96</v>
      </c>
      <c r="K169" s="5" t="s">
        <v>342</v>
      </c>
      <c r="L169" s="2">
        <v>54000</v>
      </c>
      <c r="M169" s="3">
        <v>1</v>
      </c>
      <c r="N169" s="2">
        <v>54000</v>
      </c>
      <c r="O169" s="2">
        <v>5400</v>
      </c>
      <c r="P169" s="2">
        <v>59400</v>
      </c>
      <c r="Q169" s="2">
        <f>P169*8.5%</f>
        <v>5049</v>
      </c>
    </row>
    <row r="170" spans="1:17" hidden="1" x14ac:dyDescent="0.4">
      <c r="A170" s="4" t="s">
        <v>51</v>
      </c>
      <c r="B170" s="4" t="s">
        <v>14</v>
      </c>
      <c r="C170" s="30" t="s">
        <v>434</v>
      </c>
      <c r="D170" s="4" t="s">
        <v>52</v>
      </c>
      <c r="E170" s="4" t="s">
        <v>16</v>
      </c>
      <c r="F170" s="4" t="s">
        <v>17</v>
      </c>
      <c r="G170" s="4" t="s">
        <v>18</v>
      </c>
      <c r="H170" s="4" t="s">
        <v>95</v>
      </c>
      <c r="I170" s="5" t="str">
        <f t="shared" si="2"/>
        <v>2025-01</v>
      </c>
      <c r="J170" s="4" t="s">
        <v>96</v>
      </c>
      <c r="K170" s="5" t="s">
        <v>342</v>
      </c>
      <c r="L170" s="2">
        <v>71250</v>
      </c>
      <c r="M170" s="3">
        <v>1</v>
      </c>
      <c r="N170" s="2">
        <v>71250</v>
      </c>
      <c r="O170" s="2">
        <v>7125</v>
      </c>
      <c r="P170" s="2">
        <v>78375</v>
      </c>
      <c r="Q170" s="2">
        <f>P170*8.5%</f>
        <v>6661.8750000000009</v>
      </c>
    </row>
    <row r="171" spans="1:17" x14ac:dyDescent="0.4">
      <c r="A171" s="4" t="s">
        <v>58</v>
      </c>
      <c r="B171" s="4" t="s">
        <v>14</v>
      </c>
      <c r="C171" s="30" t="s">
        <v>434</v>
      </c>
      <c r="D171" s="4" t="s">
        <v>36</v>
      </c>
      <c r="E171" s="4" t="s">
        <v>16</v>
      </c>
      <c r="F171" s="4" t="s">
        <v>17</v>
      </c>
      <c r="G171" s="4" t="s">
        <v>18</v>
      </c>
      <c r="H171" s="4" t="s">
        <v>95</v>
      </c>
      <c r="I171" s="5" t="str">
        <f t="shared" si="2"/>
        <v>2025-01</v>
      </c>
      <c r="J171" s="4" t="s">
        <v>20</v>
      </c>
      <c r="K171" s="5" t="s">
        <v>342</v>
      </c>
      <c r="L171" s="2">
        <v>120880</v>
      </c>
      <c r="M171" s="3">
        <v>1</v>
      </c>
      <c r="N171" s="2">
        <v>120880</v>
      </c>
      <c r="O171" s="2">
        <v>12088</v>
      </c>
      <c r="P171" s="2">
        <v>132968</v>
      </c>
      <c r="Q171" s="2">
        <f>P171*8.5%</f>
        <v>11302.28</v>
      </c>
    </row>
    <row r="172" spans="1:17" x14ac:dyDescent="0.4">
      <c r="A172" s="4" t="s">
        <v>21</v>
      </c>
      <c r="B172" s="4" t="s">
        <v>14</v>
      </c>
      <c r="C172" s="31" t="s">
        <v>435</v>
      </c>
      <c r="D172" s="4" t="s">
        <v>22</v>
      </c>
      <c r="E172" s="4" t="s">
        <v>16</v>
      </c>
      <c r="F172" s="4" t="s">
        <v>17</v>
      </c>
      <c r="G172" s="4" t="s">
        <v>18</v>
      </c>
      <c r="H172" s="4" t="s">
        <v>95</v>
      </c>
      <c r="I172" s="5" t="str">
        <f t="shared" si="2"/>
        <v>2025-01</v>
      </c>
      <c r="J172" s="4" t="s">
        <v>20</v>
      </c>
      <c r="K172" s="5" t="s">
        <v>342</v>
      </c>
      <c r="L172" s="2">
        <v>54000</v>
      </c>
      <c r="M172" s="3">
        <v>2</v>
      </c>
      <c r="N172" s="2">
        <v>108000</v>
      </c>
      <c r="O172" s="2">
        <v>10800</v>
      </c>
      <c r="P172" s="2">
        <v>118800</v>
      </c>
      <c r="Q172" s="2">
        <f>P172*8.5%</f>
        <v>10098</v>
      </c>
    </row>
    <row r="173" spans="1:17" x14ac:dyDescent="0.4">
      <c r="A173" s="4" t="s">
        <v>23</v>
      </c>
      <c r="B173" s="4" t="s">
        <v>14</v>
      </c>
      <c r="C173" s="31" t="s">
        <v>435</v>
      </c>
      <c r="D173" s="4" t="s">
        <v>24</v>
      </c>
      <c r="E173" s="4" t="s">
        <v>16</v>
      </c>
      <c r="F173" s="4" t="s">
        <v>17</v>
      </c>
      <c r="G173" s="4" t="s">
        <v>18</v>
      </c>
      <c r="H173" s="4" t="s">
        <v>95</v>
      </c>
      <c r="I173" s="5" t="str">
        <f t="shared" si="2"/>
        <v>2025-01</v>
      </c>
      <c r="J173" s="4" t="s">
        <v>20</v>
      </c>
      <c r="K173" s="5" t="s">
        <v>342</v>
      </c>
      <c r="L173" s="2">
        <v>54000</v>
      </c>
      <c r="M173" s="3">
        <v>2</v>
      </c>
      <c r="N173" s="2">
        <v>108000</v>
      </c>
      <c r="O173" s="2">
        <v>10800</v>
      </c>
      <c r="P173" s="2">
        <v>118800</v>
      </c>
      <c r="Q173" s="2">
        <f>P173*8.5%</f>
        <v>10098</v>
      </c>
    </row>
    <row r="174" spans="1:17" hidden="1" x14ac:dyDescent="0.4">
      <c r="A174" s="4" t="s">
        <v>32</v>
      </c>
      <c r="B174" s="4" t="s">
        <v>14</v>
      </c>
      <c r="C174" s="31" t="s">
        <v>435</v>
      </c>
      <c r="D174" s="4" t="s">
        <v>33</v>
      </c>
      <c r="E174" s="4" t="s">
        <v>16</v>
      </c>
      <c r="F174" s="4" t="s">
        <v>17</v>
      </c>
      <c r="G174" s="4" t="s">
        <v>18</v>
      </c>
      <c r="H174" s="4" t="s">
        <v>95</v>
      </c>
      <c r="I174" s="5" t="str">
        <f t="shared" si="2"/>
        <v>2025-01</v>
      </c>
      <c r="J174" s="4" t="s">
        <v>59</v>
      </c>
      <c r="K174" s="5" t="s">
        <v>343</v>
      </c>
      <c r="L174" s="2">
        <v>44000</v>
      </c>
      <c r="M174" s="3">
        <v>1</v>
      </c>
      <c r="N174" s="2">
        <v>44000</v>
      </c>
      <c r="O174" s="2">
        <v>4400</v>
      </c>
      <c r="P174" s="2">
        <v>48400</v>
      </c>
      <c r="Q174" s="2">
        <f>P174*12%</f>
        <v>5808</v>
      </c>
    </row>
    <row r="175" spans="1:17" hidden="1" x14ac:dyDescent="0.4">
      <c r="A175" s="4" t="s">
        <v>13</v>
      </c>
      <c r="B175" s="4" t="s">
        <v>14</v>
      </c>
      <c r="C175" s="30" t="s">
        <v>434</v>
      </c>
      <c r="D175" s="4" t="s">
        <v>15</v>
      </c>
      <c r="E175" s="4" t="s">
        <v>16</v>
      </c>
      <c r="F175" s="4" t="s">
        <v>17</v>
      </c>
      <c r="G175" s="4" t="s">
        <v>18</v>
      </c>
      <c r="H175" s="4" t="s">
        <v>95</v>
      </c>
      <c r="I175" s="5" t="str">
        <f t="shared" si="2"/>
        <v>2025-01</v>
      </c>
      <c r="J175" s="4" t="s">
        <v>59</v>
      </c>
      <c r="K175" s="5" t="s">
        <v>343</v>
      </c>
      <c r="L175" s="2">
        <v>42000</v>
      </c>
      <c r="M175" s="3">
        <v>4</v>
      </c>
      <c r="N175" s="2">
        <v>168000</v>
      </c>
      <c r="O175" s="2">
        <v>16800</v>
      </c>
      <c r="P175" s="2">
        <v>184800</v>
      </c>
      <c r="Q175" s="2">
        <f>P175*12%</f>
        <v>22176</v>
      </c>
    </row>
    <row r="176" spans="1:17" hidden="1" x14ac:dyDescent="0.4">
      <c r="A176" s="4" t="s">
        <v>35</v>
      </c>
      <c r="B176" s="4" t="s">
        <v>14</v>
      </c>
      <c r="C176" s="30" t="s">
        <v>434</v>
      </c>
      <c r="D176" s="4" t="s">
        <v>36</v>
      </c>
      <c r="E176" s="4" t="s">
        <v>16</v>
      </c>
      <c r="F176" s="4" t="s">
        <v>17</v>
      </c>
      <c r="G176" s="4" t="s">
        <v>18</v>
      </c>
      <c r="H176" s="4" t="s">
        <v>95</v>
      </c>
      <c r="I176" s="5" t="str">
        <f t="shared" si="2"/>
        <v>2025-01</v>
      </c>
      <c r="J176" s="4" t="s">
        <v>59</v>
      </c>
      <c r="K176" s="5" t="s">
        <v>343</v>
      </c>
      <c r="L176" s="2">
        <v>116220</v>
      </c>
      <c r="M176" s="3">
        <v>1</v>
      </c>
      <c r="N176" s="2">
        <v>116220</v>
      </c>
      <c r="O176" s="2">
        <v>11622</v>
      </c>
      <c r="P176" s="2">
        <v>127842</v>
      </c>
      <c r="Q176" s="2">
        <f>P176*12%</f>
        <v>15341.039999999999</v>
      </c>
    </row>
    <row r="177" spans="1:17" hidden="1" x14ac:dyDescent="0.4">
      <c r="A177" s="4" t="s">
        <v>23</v>
      </c>
      <c r="B177" s="4" t="s">
        <v>14</v>
      </c>
      <c r="C177" s="31" t="s">
        <v>435</v>
      </c>
      <c r="D177" s="4" t="s">
        <v>24</v>
      </c>
      <c r="E177" s="4" t="s">
        <v>16</v>
      </c>
      <c r="F177" s="4" t="s">
        <v>17</v>
      </c>
      <c r="G177" s="4" t="s">
        <v>18</v>
      </c>
      <c r="H177" s="4" t="s">
        <v>95</v>
      </c>
      <c r="I177" s="5" t="str">
        <f t="shared" si="2"/>
        <v>2025-01</v>
      </c>
      <c r="J177" s="4" t="s">
        <v>59</v>
      </c>
      <c r="K177" s="5" t="s">
        <v>343</v>
      </c>
      <c r="L177" s="2">
        <v>54000</v>
      </c>
      <c r="M177" s="3">
        <v>2</v>
      </c>
      <c r="N177" s="2">
        <v>108000</v>
      </c>
      <c r="O177" s="2">
        <v>10800</v>
      </c>
      <c r="P177" s="2">
        <v>118800</v>
      </c>
      <c r="Q177" s="2">
        <f>P177*12%</f>
        <v>14256</v>
      </c>
    </row>
    <row r="178" spans="1:17" hidden="1" x14ac:dyDescent="0.4">
      <c r="A178" s="4" t="s">
        <v>32</v>
      </c>
      <c r="B178" s="4" t="s">
        <v>14</v>
      </c>
      <c r="C178" s="31" t="s">
        <v>435</v>
      </c>
      <c r="D178" s="4" t="s">
        <v>33</v>
      </c>
      <c r="E178" s="4" t="s">
        <v>16</v>
      </c>
      <c r="F178" s="4" t="s">
        <v>17</v>
      </c>
      <c r="G178" s="4" t="s">
        <v>18</v>
      </c>
      <c r="H178" s="4" t="s">
        <v>95</v>
      </c>
      <c r="I178" s="5" t="str">
        <f t="shared" si="2"/>
        <v>2025-01</v>
      </c>
      <c r="J178" s="4" t="s">
        <v>49</v>
      </c>
      <c r="K178" s="5" t="s">
        <v>343</v>
      </c>
      <c r="L178" s="2">
        <v>44000</v>
      </c>
      <c r="M178" s="3">
        <v>6</v>
      </c>
      <c r="N178" s="2">
        <v>264000</v>
      </c>
      <c r="O178" s="2">
        <v>26400</v>
      </c>
      <c r="P178" s="2">
        <v>290400</v>
      </c>
      <c r="Q178" s="2">
        <f>P178*12%</f>
        <v>34848</v>
      </c>
    </row>
    <row r="179" spans="1:17" hidden="1" x14ac:dyDescent="0.4">
      <c r="A179" s="4" t="s">
        <v>13</v>
      </c>
      <c r="B179" s="4" t="s">
        <v>14</v>
      </c>
      <c r="C179" s="30" t="s">
        <v>434</v>
      </c>
      <c r="D179" s="4" t="s">
        <v>15</v>
      </c>
      <c r="E179" s="4" t="s">
        <v>16</v>
      </c>
      <c r="F179" s="4" t="s">
        <v>17</v>
      </c>
      <c r="G179" s="4" t="s">
        <v>18</v>
      </c>
      <c r="H179" s="4" t="s">
        <v>95</v>
      </c>
      <c r="I179" s="5" t="str">
        <f t="shared" si="2"/>
        <v>2025-01</v>
      </c>
      <c r="J179" s="4" t="s">
        <v>49</v>
      </c>
      <c r="K179" s="5" t="s">
        <v>343</v>
      </c>
      <c r="L179" s="2">
        <v>42000</v>
      </c>
      <c r="M179" s="3">
        <v>6</v>
      </c>
      <c r="N179" s="2">
        <v>252000</v>
      </c>
      <c r="O179" s="2">
        <v>25200</v>
      </c>
      <c r="P179" s="2">
        <v>277200</v>
      </c>
      <c r="Q179" s="2">
        <f>P179*12%</f>
        <v>33264</v>
      </c>
    </row>
    <row r="180" spans="1:17" hidden="1" x14ac:dyDescent="0.4">
      <c r="A180" s="4" t="s">
        <v>35</v>
      </c>
      <c r="B180" s="4" t="s">
        <v>14</v>
      </c>
      <c r="C180" s="30" t="s">
        <v>434</v>
      </c>
      <c r="D180" s="4" t="s">
        <v>36</v>
      </c>
      <c r="E180" s="4" t="s">
        <v>16</v>
      </c>
      <c r="F180" s="4" t="s">
        <v>17</v>
      </c>
      <c r="G180" s="4" t="s">
        <v>18</v>
      </c>
      <c r="H180" s="4" t="s">
        <v>95</v>
      </c>
      <c r="I180" s="5" t="str">
        <f t="shared" si="2"/>
        <v>2025-01</v>
      </c>
      <c r="J180" s="4" t="s">
        <v>49</v>
      </c>
      <c r="K180" s="5" t="s">
        <v>343</v>
      </c>
      <c r="L180" s="2">
        <v>116220</v>
      </c>
      <c r="M180" s="3">
        <v>1</v>
      </c>
      <c r="N180" s="2">
        <v>116220</v>
      </c>
      <c r="O180" s="2">
        <v>11622</v>
      </c>
      <c r="P180" s="2">
        <v>127842</v>
      </c>
      <c r="Q180" s="2">
        <f>P180*12%</f>
        <v>15341.039999999999</v>
      </c>
    </row>
    <row r="181" spans="1:17" hidden="1" x14ac:dyDescent="0.4">
      <c r="A181" s="4" t="s">
        <v>23</v>
      </c>
      <c r="B181" s="4" t="s">
        <v>14</v>
      </c>
      <c r="C181" s="31" t="s">
        <v>435</v>
      </c>
      <c r="D181" s="4" t="s">
        <v>24</v>
      </c>
      <c r="E181" s="4" t="s">
        <v>16</v>
      </c>
      <c r="F181" s="4" t="s">
        <v>17</v>
      </c>
      <c r="G181" s="4" t="s">
        <v>18</v>
      </c>
      <c r="H181" s="4" t="s">
        <v>95</v>
      </c>
      <c r="I181" s="5" t="str">
        <f t="shared" si="2"/>
        <v>2025-01</v>
      </c>
      <c r="J181" s="4" t="s">
        <v>49</v>
      </c>
      <c r="K181" s="5" t="s">
        <v>343</v>
      </c>
      <c r="L181" s="2">
        <v>54000</v>
      </c>
      <c r="M181" s="3">
        <v>5</v>
      </c>
      <c r="N181" s="2">
        <v>270000</v>
      </c>
      <c r="O181" s="2">
        <v>27000</v>
      </c>
      <c r="P181" s="2">
        <v>297000</v>
      </c>
      <c r="Q181" s="2">
        <f>P181*12%</f>
        <v>35640</v>
      </c>
    </row>
    <row r="182" spans="1:17" hidden="1" x14ac:dyDescent="0.4">
      <c r="A182" s="4" t="s">
        <v>51</v>
      </c>
      <c r="B182" s="4" t="s">
        <v>14</v>
      </c>
      <c r="C182" s="30" t="s">
        <v>434</v>
      </c>
      <c r="D182" s="4" t="s">
        <v>52</v>
      </c>
      <c r="E182" s="4" t="s">
        <v>16</v>
      </c>
      <c r="F182" s="4" t="s">
        <v>17</v>
      </c>
      <c r="G182" s="4" t="s">
        <v>18</v>
      </c>
      <c r="H182" s="4" t="s">
        <v>95</v>
      </c>
      <c r="I182" s="5" t="str">
        <f t="shared" si="2"/>
        <v>2025-01</v>
      </c>
      <c r="J182" s="4" t="s">
        <v>49</v>
      </c>
      <c r="K182" s="5" t="s">
        <v>343</v>
      </c>
      <c r="L182" s="2">
        <v>71250</v>
      </c>
      <c r="M182" s="3">
        <v>1</v>
      </c>
      <c r="N182" s="2">
        <v>71250</v>
      </c>
      <c r="O182" s="2">
        <v>7125</v>
      </c>
      <c r="P182" s="2">
        <v>78375</v>
      </c>
      <c r="Q182" s="2">
        <f>P182*12%</f>
        <v>9405</v>
      </c>
    </row>
    <row r="183" spans="1:17" hidden="1" x14ac:dyDescent="0.4">
      <c r="A183" s="4" t="s">
        <v>32</v>
      </c>
      <c r="B183" s="4" t="s">
        <v>14</v>
      </c>
      <c r="C183" s="31" t="s">
        <v>435</v>
      </c>
      <c r="D183" s="4" t="s">
        <v>33</v>
      </c>
      <c r="E183" s="4" t="s">
        <v>16</v>
      </c>
      <c r="F183" s="4" t="s">
        <v>17</v>
      </c>
      <c r="G183" s="4" t="s">
        <v>18</v>
      </c>
      <c r="H183" s="4" t="s">
        <v>97</v>
      </c>
      <c r="I183" s="5" t="str">
        <f t="shared" si="2"/>
        <v>2025-01</v>
      </c>
      <c r="J183" s="4" t="s">
        <v>34</v>
      </c>
      <c r="K183" s="5" t="s">
        <v>342</v>
      </c>
      <c r="L183" s="2">
        <v>44000</v>
      </c>
      <c r="M183" s="3">
        <v>3</v>
      </c>
      <c r="N183" s="2">
        <v>132000</v>
      </c>
      <c r="O183" s="2">
        <v>13200</v>
      </c>
      <c r="P183" s="2">
        <v>145200</v>
      </c>
      <c r="Q183" s="2">
        <f>P183*8.5%</f>
        <v>12342</v>
      </c>
    </row>
    <row r="184" spans="1:17" hidden="1" x14ac:dyDescent="0.4">
      <c r="A184" s="4" t="s">
        <v>21</v>
      </c>
      <c r="B184" s="4" t="s">
        <v>14</v>
      </c>
      <c r="C184" s="31" t="s">
        <v>435</v>
      </c>
      <c r="D184" s="4" t="s">
        <v>22</v>
      </c>
      <c r="E184" s="4" t="s">
        <v>16</v>
      </c>
      <c r="F184" s="4" t="s">
        <v>17</v>
      </c>
      <c r="G184" s="4" t="s">
        <v>18</v>
      </c>
      <c r="H184" s="4" t="s">
        <v>97</v>
      </c>
      <c r="I184" s="5" t="str">
        <f t="shared" si="2"/>
        <v>2025-01</v>
      </c>
      <c r="J184" s="4" t="s">
        <v>34</v>
      </c>
      <c r="K184" s="5" t="s">
        <v>342</v>
      </c>
      <c r="L184" s="2">
        <v>54000</v>
      </c>
      <c r="M184" s="3">
        <v>1</v>
      </c>
      <c r="N184" s="2">
        <v>54000</v>
      </c>
      <c r="O184" s="2">
        <v>5400</v>
      </c>
      <c r="P184" s="2">
        <v>59400</v>
      </c>
      <c r="Q184" s="2">
        <f>P184*8.5%</f>
        <v>5049</v>
      </c>
    </row>
    <row r="185" spans="1:17" hidden="1" x14ac:dyDescent="0.4">
      <c r="A185" s="4" t="s">
        <v>23</v>
      </c>
      <c r="B185" s="4" t="s">
        <v>14</v>
      </c>
      <c r="C185" s="31" t="s">
        <v>435</v>
      </c>
      <c r="D185" s="4" t="s">
        <v>24</v>
      </c>
      <c r="E185" s="4" t="s">
        <v>16</v>
      </c>
      <c r="F185" s="4" t="s">
        <v>17</v>
      </c>
      <c r="G185" s="4" t="s">
        <v>18</v>
      </c>
      <c r="H185" s="4" t="s">
        <v>97</v>
      </c>
      <c r="I185" s="5" t="str">
        <f t="shared" si="2"/>
        <v>2025-01</v>
      </c>
      <c r="J185" s="4" t="s">
        <v>34</v>
      </c>
      <c r="K185" s="5" t="s">
        <v>342</v>
      </c>
      <c r="L185" s="2">
        <v>54000</v>
      </c>
      <c r="M185" s="3">
        <v>3</v>
      </c>
      <c r="N185" s="2">
        <v>162000</v>
      </c>
      <c r="O185" s="2">
        <v>16200</v>
      </c>
      <c r="P185" s="2">
        <v>178200</v>
      </c>
      <c r="Q185" s="2">
        <f>P185*8.5%</f>
        <v>15147.000000000002</v>
      </c>
    </row>
    <row r="186" spans="1:17" hidden="1" x14ac:dyDescent="0.4">
      <c r="A186" s="4" t="s">
        <v>51</v>
      </c>
      <c r="B186" s="4" t="s">
        <v>14</v>
      </c>
      <c r="C186" s="30" t="s">
        <v>434</v>
      </c>
      <c r="D186" s="4" t="s">
        <v>52</v>
      </c>
      <c r="E186" s="4" t="s">
        <v>16</v>
      </c>
      <c r="F186" s="4" t="s">
        <v>17</v>
      </c>
      <c r="G186" s="4" t="s">
        <v>18</v>
      </c>
      <c r="H186" s="4" t="s">
        <v>97</v>
      </c>
      <c r="I186" s="5" t="str">
        <f t="shared" si="2"/>
        <v>2025-01</v>
      </c>
      <c r="J186" s="4" t="s">
        <v>34</v>
      </c>
      <c r="K186" s="5" t="s">
        <v>342</v>
      </c>
      <c r="L186" s="2">
        <v>71250</v>
      </c>
      <c r="M186" s="3">
        <v>1</v>
      </c>
      <c r="N186" s="2">
        <v>71250</v>
      </c>
      <c r="O186" s="2">
        <v>7125</v>
      </c>
      <c r="P186" s="2">
        <v>78375</v>
      </c>
      <c r="Q186" s="2">
        <f>P186*8.5%</f>
        <v>6661.8750000000009</v>
      </c>
    </row>
    <row r="187" spans="1:17" hidden="1" x14ac:dyDescent="0.4">
      <c r="A187" s="4" t="s">
        <v>42</v>
      </c>
      <c r="B187" s="4" t="s">
        <v>14</v>
      </c>
      <c r="C187" s="30" t="s">
        <v>434</v>
      </c>
      <c r="D187" s="4" t="s">
        <v>43</v>
      </c>
      <c r="E187" s="4" t="s">
        <v>44</v>
      </c>
      <c r="F187" s="4" t="s">
        <v>31</v>
      </c>
      <c r="G187" s="4" t="s">
        <v>18</v>
      </c>
      <c r="H187" s="4" t="s">
        <v>97</v>
      </c>
      <c r="I187" s="5" t="str">
        <f t="shared" si="2"/>
        <v>2025-01</v>
      </c>
      <c r="J187" s="4" t="s">
        <v>34</v>
      </c>
      <c r="K187" s="5" t="s">
        <v>342</v>
      </c>
      <c r="L187" s="2">
        <v>6800</v>
      </c>
      <c r="M187" s="3">
        <v>61.1</v>
      </c>
      <c r="N187" s="2">
        <v>415480</v>
      </c>
      <c r="O187" s="2">
        <v>0</v>
      </c>
      <c r="P187" s="2">
        <v>415480</v>
      </c>
      <c r="Q187" s="2">
        <f>P187*8.5%</f>
        <v>35315.800000000003</v>
      </c>
    </row>
    <row r="188" spans="1:17" x14ac:dyDescent="0.4">
      <c r="A188" s="4" t="s">
        <v>21</v>
      </c>
      <c r="B188" s="4" t="s">
        <v>14</v>
      </c>
      <c r="C188" s="31" t="s">
        <v>435</v>
      </c>
      <c r="D188" s="4" t="s">
        <v>22</v>
      </c>
      <c r="E188" s="4" t="s">
        <v>16</v>
      </c>
      <c r="F188" s="4" t="s">
        <v>17</v>
      </c>
      <c r="G188" s="4" t="s">
        <v>18</v>
      </c>
      <c r="H188" s="4" t="s">
        <v>98</v>
      </c>
      <c r="I188" s="5" t="str">
        <f t="shared" si="2"/>
        <v>2025-01</v>
      </c>
      <c r="J188" s="4" t="s">
        <v>20</v>
      </c>
      <c r="K188" s="5" t="s">
        <v>342</v>
      </c>
      <c r="L188" s="2">
        <v>54000</v>
      </c>
      <c r="M188" s="3">
        <v>1</v>
      </c>
      <c r="N188" s="2">
        <v>54000</v>
      </c>
      <c r="O188" s="2">
        <v>5400</v>
      </c>
      <c r="P188" s="2">
        <v>59400</v>
      </c>
      <c r="Q188" s="2">
        <f>P188*8.5%</f>
        <v>5049</v>
      </c>
    </row>
    <row r="189" spans="1:17" x14ac:dyDescent="0.4">
      <c r="A189" s="4" t="s">
        <v>23</v>
      </c>
      <c r="B189" s="4" t="s">
        <v>14</v>
      </c>
      <c r="C189" s="31" t="s">
        <v>435</v>
      </c>
      <c r="D189" s="4" t="s">
        <v>24</v>
      </c>
      <c r="E189" s="4" t="s">
        <v>16</v>
      </c>
      <c r="F189" s="4" t="s">
        <v>17</v>
      </c>
      <c r="G189" s="4" t="s">
        <v>18</v>
      </c>
      <c r="H189" s="4" t="s">
        <v>98</v>
      </c>
      <c r="I189" s="5" t="str">
        <f t="shared" si="2"/>
        <v>2025-01</v>
      </c>
      <c r="J189" s="4" t="s">
        <v>20</v>
      </c>
      <c r="K189" s="5" t="s">
        <v>342</v>
      </c>
      <c r="L189" s="2">
        <v>54000</v>
      </c>
      <c r="M189" s="3">
        <v>2</v>
      </c>
      <c r="N189" s="2">
        <v>108000</v>
      </c>
      <c r="O189" s="2">
        <v>10800</v>
      </c>
      <c r="P189" s="2">
        <v>118800</v>
      </c>
      <c r="Q189" s="2">
        <f>P189*8.5%</f>
        <v>10098</v>
      </c>
    </row>
    <row r="190" spans="1:17" x14ac:dyDescent="0.4">
      <c r="A190" s="4" t="s">
        <v>51</v>
      </c>
      <c r="B190" s="4" t="s">
        <v>14</v>
      </c>
      <c r="C190" s="30" t="s">
        <v>434</v>
      </c>
      <c r="D190" s="4" t="s">
        <v>52</v>
      </c>
      <c r="E190" s="4" t="s">
        <v>16</v>
      </c>
      <c r="F190" s="4" t="s">
        <v>17</v>
      </c>
      <c r="G190" s="4" t="s">
        <v>18</v>
      </c>
      <c r="H190" s="4" t="s">
        <v>98</v>
      </c>
      <c r="I190" s="5" t="str">
        <f t="shared" si="2"/>
        <v>2025-01</v>
      </c>
      <c r="J190" s="4" t="s">
        <v>20</v>
      </c>
      <c r="K190" s="5" t="s">
        <v>342</v>
      </c>
      <c r="L190" s="2">
        <v>71250</v>
      </c>
      <c r="M190" s="3">
        <v>1</v>
      </c>
      <c r="N190" s="2">
        <v>71250</v>
      </c>
      <c r="O190" s="2">
        <v>7125</v>
      </c>
      <c r="P190" s="2">
        <v>78375</v>
      </c>
      <c r="Q190" s="2">
        <f>P190*8.5%</f>
        <v>6661.8750000000009</v>
      </c>
    </row>
    <row r="191" spans="1:17" x14ac:dyDescent="0.4">
      <c r="A191" s="4" t="s">
        <v>54</v>
      </c>
      <c r="B191" s="4" t="s">
        <v>26</v>
      </c>
      <c r="C191" s="32" t="s">
        <v>436</v>
      </c>
      <c r="D191" s="4" t="s">
        <v>55</v>
      </c>
      <c r="E191" s="4" t="s">
        <v>28</v>
      </c>
      <c r="F191" s="4" t="s">
        <v>31</v>
      </c>
      <c r="G191" s="4" t="s">
        <v>18</v>
      </c>
      <c r="H191" s="4" t="s">
        <v>98</v>
      </c>
      <c r="I191" s="5" t="str">
        <f t="shared" si="2"/>
        <v>2025-01</v>
      </c>
      <c r="J191" s="4" t="s">
        <v>20</v>
      </c>
      <c r="K191" s="5" t="s">
        <v>342</v>
      </c>
      <c r="L191" s="2">
        <v>5145</v>
      </c>
      <c r="M191" s="3">
        <v>1</v>
      </c>
      <c r="N191" s="2">
        <v>5145</v>
      </c>
      <c r="O191" s="2">
        <v>0</v>
      </c>
      <c r="P191" s="2">
        <v>5145</v>
      </c>
      <c r="Q191" s="2">
        <f>P191*8.5%</f>
        <v>437.32500000000005</v>
      </c>
    </row>
    <row r="192" spans="1:17" x14ac:dyDescent="0.4">
      <c r="A192" s="4" t="s">
        <v>56</v>
      </c>
      <c r="B192" s="4" t="s">
        <v>26</v>
      </c>
      <c r="C192" s="32" t="s">
        <v>436</v>
      </c>
      <c r="D192" s="4" t="s">
        <v>57</v>
      </c>
      <c r="E192" s="4" t="s">
        <v>44</v>
      </c>
      <c r="F192" s="4" t="s">
        <v>31</v>
      </c>
      <c r="G192" s="4" t="s">
        <v>18</v>
      </c>
      <c r="H192" s="4" t="s">
        <v>98</v>
      </c>
      <c r="I192" s="5" t="str">
        <f t="shared" si="2"/>
        <v>2025-01</v>
      </c>
      <c r="J192" s="4" t="s">
        <v>20</v>
      </c>
      <c r="K192" s="5" t="s">
        <v>342</v>
      </c>
      <c r="L192" s="2">
        <v>3286</v>
      </c>
      <c r="M192" s="3">
        <v>24</v>
      </c>
      <c r="N192" s="2">
        <v>78864</v>
      </c>
      <c r="O192" s="2">
        <v>0</v>
      </c>
      <c r="P192" s="2">
        <v>78864</v>
      </c>
      <c r="Q192" s="2">
        <f>P192*8.5%</f>
        <v>6703.4400000000005</v>
      </c>
    </row>
    <row r="193" spans="1:17" hidden="1" x14ac:dyDescent="0.4">
      <c r="A193" s="4" t="s">
        <v>32</v>
      </c>
      <c r="B193" s="4" t="s">
        <v>14</v>
      </c>
      <c r="C193" s="31" t="s">
        <v>435</v>
      </c>
      <c r="D193" s="4" t="s">
        <v>33</v>
      </c>
      <c r="E193" s="4" t="s">
        <v>16</v>
      </c>
      <c r="F193" s="4" t="s">
        <v>17</v>
      </c>
      <c r="G193" s="4" t="s">
        <v>18</v>
      </c>
      <c r="H193" s="4" t="s">
        <v>98</v>
      </c>
      <c r="I193" s="5" t="str">
        <f t="shared" si="2"/>
        <v>2025-01</v>
      </c>
      <c r="J193" s="4" t="s">
        <v>50</v>
      </c>
      <c r="K193" s="5" t="s">
        <v>343</v>
      </c>
      <c r="L193" s="2">
        <v>44000</v>
      </c>
      <c r="M193" s="3">
        <v>1</v>
      </c>
      <c r="N193" s="2">
        <v>44000</v>
      </c>
      <c r="O193" s="2">
        <v>4400</v>
      </c>
      <c r="P193" s="2">
        <v>48400</v>
      </c>
      <c r="Q193" s="2">
        <f>P193*12%</f>
        <v>5808</v>
      </c>
    </row>
    <row r="194" spans="1:17" hidden="1" x14ac:dyDescent="0.4">
      <c r="A194" s="4" t="s">
        <v>13</v>
      </c>
      <c r="B194" s="4" t="s">
        <v>14</v>
      </c>
      <c r="C194" s="30" t="s">
        <v>434</v>
      </c>
      <c r="D194" s="4" t="s">
        <v>15</v>
      </c>
      <c r="E194" s="4" t="s">
        <v>16</v>
      </c>
      <c r="F194" s="4" t="s">
        <v>17</v>
      </c>
      <c r="G194" s="4" t="s">
        <v>18</v>
      </c>
      <c r="H194" s="4" t="s">
        <v>98</v>
      </c>
      <c r="I194" s="5" t="str">
        <f t="shared" ref="I194:I257" si="3">TEXT(H194,"yyyy-mm")</f>
        <v>2025-01</v>
      </c>
      <c r="J194" s="4" t="s">
        <v>50</v>
      </c>
      <c r="K194" s="5" t="s">
        <v>343</v>
      </c>
      <c r="L194" s="2">
        <v>42000</v>
      </c>
      <c r="M194" s="3">
        <v>10</v>
      </c>
      <c r="N194" s="2">
        <v>420000</v>
      </c>
      <c r="O194" s="2">
        <v>42000</v>
      </c>
      <c r="P194" s="2">
        <v>462000</v>
      </c>
      <c r="Q194" s="2">
        <f>P194*12%</f>
        <v>55440</v>
      </c>
    </row>
    <row r="195" spans="1:17" hidden="1" x14ac:dyDescent="0.4">
      <c r="A195" s="4" t="s">
        <v>23</v>
      </c>
      <c r="B195" s="4" t="s">
        <v>14</v>
      </c>
      <c r="C195" s="31" t="s">
        <v>435</v>
      </c>
      <c r="D195" s="4" t="s">
        <v>24</v>
      </c>
      <c r="E195" s="4" t="s">
        <v>16</v>
      </c>
      <c r="F195" s="4" t="s">
        <v>17</v>
      </c>
      <c r="G195" s="4" t="s">
        <v>18</v>
      </c>
      <c r="H195" s="4" t="s">
        <v>98</v>
      </c>
      <c r="I195" s="5" t="str">
        <f t="shared" si="3"/>
        <v>2025-01</v>
      </c>
      <c r="J195" s="4" t="s">
        <v>50</v>
      </c>
      <c r="K195" s="5" t="s">
        <v>343</v>
      </c>
      <c r="L195" s="2">
        <v>54000</v>
      </c>
      <c r="M195" s="3">
        <v>3</v>
      </c>
      <c r="N195" s="2">
        <v>162000</v>
      </c>
      <c r="O195" s="2">
        <v>16200</v>
      </c>
      <c r="P195" s="2">
        <v>178200</v>
      </c>
      <c r="Q195" s="2">
        <f>P195*12%</f>
        <v>21384</v>
      </c>
    </row>
    <row r="196" spans="1:17" hidden="1" x14ac:dyDescent="0.4">
      <c r="A196" s="4" t="s">
        <v>51</v>
      </c>
      <c r="B196" s="4" t="s">
        <v>14</v>
      </c>
      <c r="C196" s="30" t="s">
        <v>434</v>
      </c>
      <c r="D196" s="4" t="s">
        <v>52</v>
      </c>
      <c r="E196" s="4" t="s">
        <v>16</v>
      </c>
      <c r="F196" s="4" t="s">
        <v>17</v>
      </c>
      <c r="G196" s="4" t="s">
        <v>18</v>
      </c>
      <c r="H196" s="4" t="s">
        <v>98</v>
      </c>
      <c r="I196" s="5" t="str">
        <f t="shared" si="3"/>
        <v>2025-01</v>
      </c>
      <c r="J196" s="4" t="s">
        <v>50</v>
      </c>
      <c r="K196" s="5" t="s">
        <v>343</v>
      </c>
      <c r="L196" s="2">
        <v>71250</v>
      </c>
      <c r="M196" s="3">
        <v>1</v>
      </c>
      <c r="N196" s="2">
        <v>71250</v>
      </c>
      <c r="O196" s="2">
        <v>7125</v>
      </c>
      <c r="P196" s="2">
        <v>78375</v>
      </c>
      <c r="Q196" s="2">
        <f>P196*12%</f>
        <v>9405</v>
      </c>
    </row>
    <row r="197" spans="1:17" x14ac:dyDescent="0.4">
      <c r="A197" s="4" t="s">
        <v>13</v>
      </c>
      <c r="B197" s="4" t="s">
        <v>14</v>
      </c>
      <c r="C197" s="30" t="s">
        <v>434</v>
      </c>
      <c r="D197" s="4" t="s">
        <v>15</v>
      </c>
      <c r="E197" s="4" t="s">
        <v>16</v>
      </c>
      <c r="F197" s="4" t="s">
        <v>17</v>
      </c>
      <c r="G197" s="4" t="s">
        <v>18</v>
      </c>
      <c r="H197" s="4" t="s">
        <v>99</v>
      </c>
      <c r="I197" s="5" t="str">
        <f t="shared" si="3"/>
        <v>2025-02</v>
      </c>
      <c r="J197" s="4" t="s">
        <v>20</v>
      </c>
      <c r="K197" s="5" t="s">
        <v>342</v>
      </c>
      <c r="L197" s="2">
        <v>42000</v>
      </c>
      <c r="M197" s="3">
        <v>1</v>
      </c>
      <c r="N197" s="2">
        <v>42000</v>
      </c>
      <c r="O197" s="2">
        <v>4200</v>
      </c>
      <c r="P197" s="2">
        <v>46200</v>
      </c>
      <c r="Q197" s="2">
        <f>P197*8.5%</f>
        <v>3927.0000000000005</v>
      </c>
    </row>
    <row r="198" spans="1:17" x14ac:dyDescent="0.4">
      <c r="A198" s="4" t="s">
        <v>23</v>
      </c>
      <c r="B198" s="4" t="s">
        <v>14</v>
      </c>
      <c r="C198" s="31" t="s">
        <v>435</v>
      </c>
      <c r="D198" s="4" t="s">
        <v>24</v>
      </c>
      <c r="E198" s="4" t="s">
        <v>16</v>
      </c>
      <c r="F198" s="4" t="s">
        <v>17</v>
      </c>
      <c r="G198" s="4" t="s">
        <v>18</v>
      </c>
      <c r="H198" s="4" t="s">
        <v>99</v>
      </c>
      <c r="I198" s="5" t="str">
        <f t="shared" si="3"/>
        <v>2025-02</v>
      </c>
      <c r="J198" s="4" t="s">
        <v>20</v>
      </c>
      <c r="K198" s="5" t="s">
        <v>342</v>
      </c>
      <c r="L198" s="2">
        <v>54000</v>
      </c>
      <c r="M198" s="3">
        <v>1</v>
      </c>
      <c r="N198" s="2">
        <v>54000</v>
      </c>
      <c r="O198" s="2">
        <v>5400</v>
      </c>
      <c r="P198" s="2">
        <v>59400</v>
      </c>
      <c r="Q198" s="2">
        <f>P198*8.5%</f>
        <v>5049</v>
      </c>
    </row>
    <row r="199" spans="1:17" x14ac:dyDescent="0.4">
      <c r="A199" s="4" t="s">
        <v>76</v>
      </c>
      <c r="B199" s="4" t="s">
        <v>65</v>
      </c>
      <c r="C199" s="32" t="s">
        <v>436</v>
      </c>
      <c r="D199" s="4" t="s">
        <v>27</v>
      </c>
      <c r="E199" s="4" t="s">
        <v>28</v>
      </c>
      <c r="F199" s="4" t="s">
        <v>17</v>
      </c>
      <c r="G199" s="4" t="s">
        <v>18</v>
      </c>
      <c r="H199" s="4" t="s">
        <v>99</v>
      </c>
      <c r="I199" s="5" t="str">
        <f t="shared" si="3"/>
        <v>2025-02</v>
      </c>
      <c r="J199" s="4" t="s">
        <v>20</v>
      </c>
      <c r="K199" s="5" t="s">
        <v>342</v>
      </c>
      <c r="L199" s="2">
        <v>16955</v>
      </c>
      <c r="M199" s="3">
        <v>1</v>
      </c>
      <c r="N199" s="2">
        <v>16955</v>
      </c>
      <c r="O199" s="2">
        <v>1696</v>
      </c>
      <c r="P199" s="2">
        <v>18651</v>
      </c>
      <c r="Q199" s="2">
        <f>P199*8.5%</f>
        <v>1585.335</v>
      </c>
    </row>
    <row r="200" spans="1:17" x14ac:dyDescent="0.4">
      <c r="A200" s="4" t="s">
        <v>100</v>
      </c>
      <c r="B200" s="4" t="s">
        <v>26</v>
      </c>
      <c r="C200" s="32" t="s">
        <v>436</v>
      </c>
      <c r="D200" s="4" t="s">
        <v>101</v>
      </c>
      <c r="E200" s="4" t="s">
        <v>28</v>
      </c>
      <c r="F200" s="4" t="s">
        <v>17</v>
      </c>
      <c r="G200" s="4" t="s">
        <v>18</v>
      </c>
      <c r="H200" s="4" t="s">
        <v>99</v>
      </c>
      <c r="I200" s="5" t="str">
        <f t="shared" si="3"/>
        <v>2025-02</v>
      </c>
      <c r="J200" s="4" t="s">
        <v>20</v>
      </c>
      <c r="K200" s="5" t="s">
        <v>342</v>
      </c>
      <c r="L200" s="2">
        <v>5496</v>
      </c>
      <c r="M200" s="3">
        <v>4</v>
      </c>
      <c r="N200" s="2">
        <v>21984</v>
      </c>
      <c r="O200" s="2">
        <v>2198</v>
      </c>
      <c r="P200" s="2">
        <v>24182</v>
      </c>
      <c r="Q200" s="2">
        <f>P200*8.5%</f>
        <v>2055.4700000000003</v>
      </c>
    </row>
    <row r="201" spans="1:17" x14ac:dyDescent="0.4">
      <c r="A201" s="4" t="s">
        <v>25</v>
      </c>
      <c r="B201" s="4" t="s">
        <v>26</v>
      </c>
      <c r="C201" s="32" t="s">
        <v>436</v>
      </c>
      <c r="D201" s="4" t="s">
        <v>27</v>
      </c>
      <c r="E201" s="4" t="s">
        <v>28</v>
      </c>
      <c r="F201" s="4" t="s">
        <v>17</v>
      </c>
      <c r="G201" s="4" t="s">
        <v>18</v>
      </c>
      <c r="H201" s="4" t="s">
        <v>99</v>
      </c>
      <c r="I201" s="5" t="str">
        <f t="shared" si="3"/>
        <v>2025-02</v>
      </c>
      <c r="J201" s="4" t="s">
        <v>20</v>
      </c>
      <c r="K201" s="5" t="s">
        <v>342</v>
      </c>
      <c r="L201" s="2">
        <v>2315</v>
      </c>
      <c r="M201" s="3">
        <v>1</v>
      </c>
      <c r="N201" s="2">
        <v>2315</v>
      </c>
      <c r="O201" s="2">
        <v>232</v>
      </c>
      <c r="P201" s="2">
        <v>2547</v>
      </c>
      <c r="Q201" s="2">
        <f>P201*8.5%</f>
        <v>216.495</v>
      </c>
    </row>
    <row r="202" spans="1:17" x14ac:dyDescent="0.4">
      <c r="A202" s="4" t="s">
        <v>29</v>
      </c>
      <c r="B202" s="4" t="s">
        <v>26</v>
      </c>
      <c r="C202" s="32" t="s">
        <v>436</v>
      </c>
      <c r="D202" s="4" t="s">
        <v>30</v>
      </c>
      <c r="E202" s="4" t="s">
        <v>28</v>
      </c>
      <c r="F202" s="4" t="s">
        <v>31</v>
      </c>
      <c r="G202" s="4" t="s">
        <v>18</v>
      </c>
      <c r="H202" s="4" t="s">
        <v>99</v>
      </c>
      <c r="I202" s="5" t="str">
        <f t="shared" si="3"/>
        <v>2025-02</v>
      </c>
      <c r="J202" s="4" t="s">
        <v>20</v>
      </c>
      <c r="K202" s="5" t="s">
        <v>342</v>
      </c>
      <c r="L202" s="2">
        <v>3636</v>
      </c>
      <c r="M202" s="3">
        <v>1</v>
      </c>
      <c r="N202" s="2">
        <v>3636</v>
      </c>
      <c r="O202" s="2">
        <v>0</v>
      </c>
      <c r="P202" s="2">
        <v>3636</v>
      </c>
      <c r="Q202" s="2">
        <f>P202*8.5%</f>
        <v>309.06</v>
      </c>
    </row>
    <row r="203" spans="1:17" hidden="1" x14ac:dyDescent="0.4">
      <c r="A203" s="4" t="s">
        <v>32</v>
      </c>
      <c r="B203" s="4" t="s">
        <v>14</v>
      </c>
      <c r="C203" s="31" t="s">
        <v>435</v>
      </c>
      <c r="D203" s="4" t="s">
        <v>33</v>
      </c>
      <c r="E203" s="4" t="s">
        <v>16</v>
      </c>
      <c r="F203" s="4" t="s">
        <v>17</v>
      </c>
      <c r="G203" s="4" t="s">
        <v>18</v>
      </c>
      <c r="H203" s="4" t="s">
        <v>99</v>
      </c>
      <c r="I203" s="5" t="str">
        <f t="shared" si="3"/>
        <v>2025-02</v>
      </c>
      <c r="J203" s="4" t="s">
        <v>34</v>
      </c>
      <c r="K203" s="5" t="s">
        <v>342</v>
      </c>
      <c r="L203" s="2">
        <v>44000</v>
      </c>
      <c r="M203" s="3">
        <v>1</v>
      </c>
      <c r="N203" s="2">
        <v>44000</v>
      </c>
      <c r="O203" s="2">
        <v>4400</v>
      </c>
      <c r="P203" s="2">
        <v>48400</v>
      </c>
      <c r="Q203" s="2">
        <f>P203*8.5%</f>
        <v>4114</v>
      </c>
    </row>
    <row r="204" spans="1:17" hidden="1" x14ac:dyDescent="0.4">
      <c r="A204" s="4" t="s">
        <v>58</v>
      </c>
      <c r="B204" s="4" t="s">
        <v>14</v>
      </c>
      <c r="C204" s="30" t="s">
        <v>434</v>
      </c>
      <c r="D204" s="4" t="s">
        <v>36</v>
      </c>
      <c r="E204" s="4" t="s">
        <v>16</v>
      </c>
      <c r="F204" s="4" t="s">
        <v>17</v>
      </c>
      <c r="G204" s="4" t="s">
        <v>18</v>
      </c>
      <c r="H204" s="4" t="s">
        <v>99</v>
      </c>
      <c r="I204" s="5" t="str">
        <f t="shared" si="3"/>
        <v>2025-02</v>
      </c>
      <c r="J204" s="4" t="s">
        <v>34</v>
      </c>
      <c r="K204" s="5" t="s">
        <v>342</v>
      </c>
      <c r="L204" s="2">
        <v>120880</v>
      </c>
      <c r="M204" s="3">
        <v>1</v>
      </c>
      <c r="N204" s="2">
        <v>120880</v>
      </c>
      <c r="O204" s="2">
        <v>12088</v>
      </c>
      <c r="P204" s="2">
        <v>132968</v>
      </c>
      <c r="Q204" s="2">
        <f>P204*8.5%</f>
        <v>11302.28</v>
      </c>
    </row>
    <row r="205" spans="1:17" hidden="1" x14ac:dyDescent="0.4">
      <c r="A205" s="4" t="s">
        <v>13</v>
      </c>
      <c r="B205" s="4" t="s">
        <v>14</v>
      </c>
      <c r="C205" s="30" t="s">
        <v>434</v>
      </c>
      <c r="D205" s="4" t="s">
        <v>15</v>
      </c>
      <c r="E205" s="4" t="s">
        <v>16</v>
      </c>
      <c r="F205" s="4" t="s">
        <v>17</v>
      </c>
      <c r="G205" s="4" t="s">
        <v>18</v>
      </c>
      <c r="H205" s="4" t="s">
        <v>99</v>
      </c>
      <c r="I205" s="5" t="str">
        <f t="shared" si="3"/>
        <v>2025-02</v>
      </c>
      <c r="J205" s="4" t="s">
        <v>34</v>
      </c>
      <c r="K205" s="5" t="s">
        <v>342</v>
      </c>
      <c r="L205" s="2">
        <v>42000</v>
      </c>
      <c r="M205" s="3">
        <v>5</v>
      </c>
      <c r="N205" s="2">
        <v>210000</v>
      </c>
      <c r="O205" s="2">
        <v>21000</v>
      </c>
      <c r="P205" s="2">
        <v>231000</v>
      </c>
      <c r="Q205" s="2">
        <f>P205*8.5%</f>
        <v>19635</v>
      </c>
    </row>
    <row r="206" spans="1:17" hidden="1" x14ac:dyDescent="0.4">
      <c r="A206" s="4" t="s">
        <v>21</v>
      </c>
      <c r="B206" s="4" t="s">
        <v>14</v>
      </c>
      <c r="C206" s="31" t="s">
        <v>435</v>
      </c>
      <c r="D206" s="4" t="s">
        <v>22</v>
      </c>
      <c r="E206" s="4" t="s">
        <v>16</v>
      </c>
      <c r="F206" s="4" t="s">
        <v>17</v>
      </c>
      <c r="G206" s="4" t="s">
        <v>18</v>
      </c>
      <c r="H206" s="4" t="s">
        <v>99</v>
      </c>
      <c r="I206" s="5" t="str">
        <f t="shared" si="3"/>
        <v>2025-02</v>
      </c>
      <c r="J206" s="4" t="s">
        <v>34</v>
      </c>
      <c r="K206" s="5" t="s">
        <v>342</v>
      </c>
      <c r="L206" s="2">
        <v>54000</v>
      </c>
      <c r="M206" s="3">
        <v>1</v>
      </c>
      <c r="N206" s="2">
        <v>54000</v>
      </c>
      <c r="O206" s="2">
        <v>5400</v>
      </c>
      <c r="P206" s="2">
        <v>59400</v>
      </c>
      <c r="Q206" s="2">
        <f>P206*8.5%</f>
        <v>5049</v>
      </c>
    </row>
    <row r="207" spans="1:17" hidden="1" x14ac:dyDescent="0.4">
      <c r="A207" s="4" t="s">
        <v>35</v>
      </c>
      <c r="B207" s="4" t="s">
        <v>14</v>
      </c>
      <c r="C207" s="30" t="s">
        <v>434</v>
      </c>
      <c r="D207" s="4" t="s">
        <v>36</v>
      </c>
      <c r="E207" s="4" t="s">
        <v>16</v>
      </c>
      <c r="F207" s="4" t="s">
        <v>17</v>
      </c>
      <c r="G207" s="4" t="s">
        <v>18</v>
      </c>
      <c r="H207" s="4" t="s">
        <v>99</v>
      </c>
      <c r="I207" s="5" t="str">
        <f t="shared" si="3"/>
        <v>2025-02</v>
      </c>
      <c r="J207" s="4" t="s">
        <v>34</v>
      </c>
      <c r="K207" s="5" t="s">
        <v>342</v>
      </c>
      <c r="L207" s="2">
        <v>116220</v>
      </c>
      <c r="M207" s="3">
        <v>1</v>
      </c>
      <c r="N207" s="2">
        <v>116220</v>
      </c>
      <c r="O207" s="2">
        <v>11622</v>
      </c>
      <c r="P207" s="2">
        <v>127842</v>
      </c>
      <c r="Q207" s="2">
        <f>P207*8.5%</f>
        <v>10866.570000000002</v>
      </c>
    </row>
    <row r="208" spans="1:17" hidden="1" x14ac:dyDescent="0.4">
      <c r="A208" s="4" t="s">
        <v>23</v>
      </c>
      <c r="B208" s="4" t="s">
        <v>14</v>
      </c>
      <c r="C208" s="31" t="s">
        <v>435</v>
      </c>
      <c r="D208" s="4" t="s">
        <v>24</v>
      </c>
      <c r="E208" s="4" t="s">
        <v>16</v>
      </c>
      <c r="F208" s="4" t="s">
        <v>17</v>
      </c>
      <c r="G208" s="4" t="s">
        <v>18</v>
      </c>
      <c r="H208" s="4" t="s">
        <v>99</v>
      </c>
      <c r="I208" s="5" t="str">
        <f t="shared" si="3"/>
        <v>2025-02</v>
      </c>
      <c r="J208" s="4" t="s">
        <v>34</v>
      </c>
      <c r="K208" s="5" t="s">
        <v>342</v>
      </c>
      <c r="L208" s="2">
        <v>54000</v>
      </c>
      <c r="M208" s="3">
        <v>2</v>
      </c>
      <c r="N208" s="2">
        <v>108000</v>
      </c>
      <c r="O208" s="2">
        <v>10800</v>
      </c>
      <c r="P208" s="2">
        <v>118800</v>
      </c>
      <c r="Q208" s="2">
        <f>P208*8.5%</f>
        <v>10098</v>
      </c>
    </row>
    <row r="209" spans="1:17" hidden="1" x14ac:dyDescent="0.4">
      <c r="A209" s="4" t="s">
        <v>73</v>
      </c>
      <c r="B209" s="4" t="s">
        <v>26</v>
      </c>
      <c r="C209" s="32" t="s">
        <v>436</v>
      </c>
      <c r="D209" s="4" t="s">
        <v>57</v>
      </c>
      <c r="E209" s="4" t="s">
        <v>28</v>
      </c>
      <c r="F209" s="4" t="s">
        <v>17</v>
      </c>
      <c r="G209" s="4" t="s">
        <v>18</v>
      </c>
      <c r="H209" s="4" t="s">
        <v>99</v>
      </c>
      <c r="I209" s="5" t="str">
        <f t="shared" si="3"/>
        <v>2025-02</v>
      </c>
      <c r="J209" s="4" t="s">
        <v>34</v>
      </c>
      <c r="K209" s="5" t="s">
        <v>342</v>
      </c>
      <c r="L209" s="2">
        <v>6899</v>
      </c>
      <c r="M209" s="3">
        <v>3</v>
      </c>
      <c r="N209" s="2">
        <v>20697</v>
      </c>
      <c r="O209" s="2">
        <v>2070</v>
      </c>
      <c r="P209" s="2">
        <v>22767</v>
      </c>
      <c r="Q209" s="2">
        <f>P209*8.5%</f>
        <v>1935.1950000000002</v>
      </c>
    </row>
    <row r="210" spans="1:17" hidden="1" x14ac:dyDescent="0.4">
      <c r="A210" s="4" t="s">
        <v>40</v>
      </c>
      <c r="B210" s="4" t="s">
        <v>26</v>
      </c>
      <c r="C210" s="32" t="s">
        <v>436</v>
      </c>
      <c r="D210" s="4" t="s">
        <v>41</v>
      </c>
      <c r="E210" s="4" t="s">
        <v>28</v>
      </c>
      <c r="F210" s="4" t="s">
        <v>17</v>
      </c>
      <c r="G210" s="4" t="s">
        <v>18</v>
      </c>
      <c r="H210" s="4" t="s">
        <v>99</v>
      </c>
      <c r="I210" s="5" t="str">
        <f t="shared" si="3"/>
        <v>2025-02</v>
      </c>
      <c r="J210" s="4" t="s">
        <v>34</v>
      </c>
      <c r="K210" s="5" t="s">
        <v>342</v>
      </c>
      <c r="L210" s="2">
        <v>17539</v>
      </c>
      <c r="M210" s="3">
        <v>1</v>
      </c>
      <c r="N210" s="2">
        <v>17539</v>
      </c>
      <c r="O210" s="2">
        <v>1754</v>
      </c>
      <c r="P210" s="2">
        <v>19293</v>
      </c>
      <c r="Q210" s="2">
        <f>P210*8.5%</f>
        <v>1639.9050000000002</v>
      </c>
    </row>
    <row r="211" spans="1:17" hidden="1" x14ac:dyDescent="0.4">
      <c r="A211" s="4" t="s">
        <v>42</v>
      </c>
      <c r="B211" s="4" t="s">
        <v>14</v>
      </c>
      <c r="C211" s="30" t="s">
        <v>434</v>
      </c>
      <c r="D211" s="4" t="s">
        <v>43</v>
      </c>
      <c r="E211" s="4" t="s">
        <v>44</v>
      </c>
      <c r="F211" s="4" t="s">
        <v>31</v>
      </c>
      <c r="G211" s="4" t="s">
        <v>18</v>
      </c>
      <c r="H211" s="4" t="s">
        <v>99</v>
      </c>
      <c r="I211" s="5" t="str">
        <f t="shared" si="3"/>
        <v>2025-02</v>
      </c>
      <c r="J211" s="4" t="s">
        <v>34</v>
      </c>
      <c r="K211" s="5" t="s">
        <v>342</v>
      </c>
      <c r="L211" s="2">
        <v>6800</v>
      </c>
      <c r="M211" s="3">
        <v>77.099999999999994</v>
      </c>
      <c r="N211" s="2">
        <v>524280</v>
      </c>
      <c r="O211" s="2">
        <v>0</v>
      </c>
      <c r="P211" s="2">
        <v>524280</v>
      </c>
      <c r="Q211" s="2">
        <f>P211*8.5%</f>
        <v>44563.8</v>
      </c>
    </row>
    <row r="212" spans="1:17" hidden="1" x14ac:dyDescent="0.4">
      <c r="A212" s="4" t="s">
        <v>32</v>
      </c>
      <c r="B212" s="4" t="s">
        <v>14</v>
      </c>
      <c r="C212" s="31" t="s">
        <v>435</v>
      </c>
      <c r="D212" s="4" t="s">
        <v>33</v>
      </c>
      <c r="E212" s="4" t="s">
        <v>16</v>
      </c>
      <c r="F212" s="4" t="s">
        <v>17</v>
      </c>
      <c r="G212" s="4" t="s">
        <v>18</v>
      </c>
      <c r="H212" s="4" t="s">
        <v>99</v>
      </c>
      <c r="I212" s="5" t="str">
        <f t="shared" si="3"/>
        <v>2025-02</v>
      </c>
      <c r="J212" s="4" t="s">
        <v>59</v>
      </c>
      <c r="K212" s="5" t="s">
        <v>343</v>
      </c>
      <c r="L212" s="2">
        <v>44000</v>
      </c>
      <c r="M212" s="3">
        <v>1</v>
      </c>
      <c r="N212" s="2">
        <v>44000</v>
      </c>
      <c r="O212" s="2">
        <v>4400</v>
      </c>
      <c r="P212" s="2">
        <v>48400</v>
      </c>
      <c r="Q212" s="2">
        <f>P212*12%</f>
        <v>5808</v>
      </c>
    </row>
    <row r="213" spans="1:17" hidden="1" x14ac:dyDescent="0.4">
      <c r="A213" s="4" t="s">
        <v>13</v>
      </c>
      <c r="B213" s="4" t="s">
        <v>14</v>
      </c>
      <c r="C213" s="30" t="s">
        <v>434</v>
      </c>
      <c r="D213" s="4" t="s">
        <v>15</v>
      </c>
      <c r="E213" s="4" t="s">
        <v>16</v>
      </c>
      <c r="F213" s="4" t="s">
        <v>17</v>
      </c>
      <c r="G213" s="4" t="s">
        <v>18</v>
      </c>
      <c r="H213" s="4" t="s">
        <v>99</v>
      </c>
      <c r="I213" s="5" t="str">
        <f t="shared" si="3"/>
        <v>2025-02</v>
      </c>
      <c r="J213" s="4" t="s">
        <v>59</v>
      </c>
      <c r="K213" s="5" t="s">
        <v>343</v>
      </c>
      <c r="L213" s="2">
        <v>42000</v>
      </c>
      <c r="M213" s="3">
        <v>4</v>
      </c>
      <c r="N213" s="2">
        <v>168000</v>
      </c>
      <c r="O213" s="2">
        <v>16800</v>
      </c>
      <c r="P213" s="2">
        <v>184800</v>
      </c>
      <c r="Q213" s="2">
        <f>P213*12%</f>
        <v>22176</v>
      </c>
    </row>
    <row r="214" spans="1:17" hidden="1" x14ac:dyDescent="0.4">
      <c r="A214" s="4" t="s">
        <v>35</v>
      </c>
      <c r="B214" s="4" t="s">
        <v>14</v>
      </c>
      <c r="C214" s="30" t="s">
        <v>434</v>
      </c>
      <c r="D214" s="4" t="s">
        <v>36</v>
      </c>
      <c r="E214" s="4" t="s">
        <v>16</v>
      </c>
      <c r="F214" s="4" t="s">
        <v>17</v>
      </c>
      <c r="G214" s="4" t="s">
        <v>18</v>
      </c>
      <c r="H214" s="4" t="s">
        <v>99</v>
      </c>
      <c r="I214" s="5" t="str">
        <f t="shared" si="3"/>
        <v>2025-02</v>
      </c>
      <c r="J214" s="4" t="s">
        <v>59</v>
      </c>
      <c r="K214" s="5" t="s">
        <v>343</v>
      </c>
      <c r="L214" s="2">
        <v>116220</v>
      </c>
      <c r="M214" s="3">
        <v>1</v>
      </c>
      <c r="N214" s="2">
        <v>116220</v>
      </c>
      <c r="O214" s="2">
        <v>11622</v>
      </c>
      <c r="P214" s="2">
        <v>127842</v>
      </c>
      <c r="Q214" s="2">
        <f>P214*12%</f>
        <v>15341.039999999999</v>
      </c>
    </row>
    <row r="215" spans="1:17" hidden="1" x14ac:dyDescent="0.4">
      <c r="A215" s="4" t="s">
        <v>23</v>
      </c>
      <c r="B215" s="4" t="s">
        <v>14</v>
      </c>
      <c r="C215" s="31" t="s">
        <v>435</v>
      </c>
      <c r="D215" s="4" t="s">
        <v>24</v>
      </c>
      <c r="E215" s="4" t="s">
        <v>16</v>
      </c>
      <c r="F215" s="4" t="s">
        <v>17</v>
      </c>
      <c r="G215" s="4" t="s">
        <v>18</v>
      </c>
      <c r="H215" s="4" t="s">
        <v>99</v>
      </c>
      <c r="I215" s="5" t="str">
        <f t="shared" si="3"/>
        <v>2025-02</v>
      </c>
      <c r="J215" s="4" t="s">
        <v>59</v>
      </c>
      <c r="K215" s="5" t="s">
        <v>343</v>
      </c>
      <c r="L215" s="2">
        <v>54000</v>
      </c>
      <c r="M215" s="3">
        <v>1</v>
      </c>
      <c r="N215" s="2">
        <v>54000</v>
      </c>
      <c r="O215" s="2">
        <v>5400</v>
      </c>
      <c r="P215" s="2">
        <v>59400</v>
      </c>
      <c r="Q215" s="2">
        <f>P215*12%</f>
        <v>7128</v>
      </c>
    </row>
    <row r="216" spans="1:17" hidden="1" x14ac:dyDescent="0.4">
      <c r="A216" s="4" t="s">
        <v>51</v>
      </c>
      <c r="B216" s="4" t="s">
        <v>14</v>
      </c>
      <c r="C216" s="30" t="s">
        <v>434</v>
      </c>
      <c r="D216" s="4" t="s">
        <v>52</v>
      </c>
      <c r="E216" s="4" t="s">
        <v>16</v>
      </c>
      <c r="F216" s="4" t="s">
        <v>17</v>
      </c>
      <c r="G216" s="4" t="s">
        <v>18</v>
      </c>
      <c r="H216" s="4" t="s">
        <v>99</v>
      </c>
      <c r="I216" s="5" t="str">
        <f t="shared" si="3"/>
        <v>2025-02</v>
      </c>
      <c r="J216" s="4" t="s">
        <v>59</v>
      </c>
      <c r="K216" s="5" t="s">
        <v>343</v>
      </c>
      <c r="L216" s="2">
        <v>71250</v>
      </c>
      <c r="M216" s="3">
        <v>1</v>
      </c>
      <c r="N216" s="2">
        <v>71250</v>
      </c>
      <c r="O216" s="2">
        <v>7125</v>
      </c>
      <c r="P216" s="2">
        <v>78375</v>
      </c>
      <c r="Q216" s="2">
        <f>P216*12%</f>
        <v>9405</v>
      </c>
    </row>
    <row r="217" spans="1:17" x14ac:dyDescent="0.4">
      <c r="A217" s="4" t="s">
        <v>21</v>
      </c>
      <c r="B217" s="4" t="s">
        <v>14</v>
      </c>
      <c r="C217" s="31" t="s">
        <v>435</v>
      </c>
      <c r="D217" s="4" t="s">
        <v>22</v>
      </c>
      <c r="E217" s="4" t="s">
        <v>16</v>
      </c>
      <c r="F217" s="4" t="s">
        <v>17</v>
      </c>
      <c r="G217" s="4" t="s">
        <v>18</v>
      </c>
      <c r="H217" s="4" t="s">
        <v>102</v>
      </c>
      <c r="I217" s="5" t="str">
        <f t="shared" si="3"/>
        <v>2025-02</v>
      </c>
      <c r="J217" s="4" t="s">
        <v>20</v>
      </c>
      <c r="K217" s="5" t="s">
        <v>342</v>
      </c>
      <c r="L217" s="2">
        <v>54000</v>
      </c>
      <c r="M217" s="3">
        <v>2</v>
      </c>
      <c r="N217" s="2">
        <v>108000</v>
      </c>
      <c r="O217" s="2">
        <v>10800</v>
      </c>
      <c r="P217" s="2">
        <v>118800</v>
      </c>
      <c r="Q217" s="2">
        <f>P217*8.5%</f>
        <v>10098</v>
      </c>
    </row>
    <row r="218" spans="1:17" x14ac:dyDescent="0.4">
      <c r="A218" s="4" t="s">
        <v>23</v>
      </c>
      <c r="B218" s="4" t="s">
        <v>14</v>
      </c>
      <c r="C218" s="31" t="s">
        <v>435</v>
      </c>
      <c r="D218" s="4" t="s">
        <v>24</v>
      </c>
      <c r="E218" s="4" t="s">
        <v>16</v>
      </c>
      <c r="F218" s="4" t="s">
        <v>17</v>
      </c>
      <c r="G218" s="4" t="s">
        <v>18</v>
      </c>
      <c r="H218" s="4" t="s">
        <v>102</v>
      </c>
      <c r="I218" s="5" t="str">
        <f t="shared" si="3"/>
        <v>2025-02</v>
      </c>
      <c r="J218" s="4" t="s">
        <v>20</v>
      </c>
      <c r="K218" s="5" t="s">
        <v>342</v>
      </c>
      <c r="L218" s="2">
        <v>54000</v>
      </c>
      <c r="M218" s="3">
        <v>1</v>
      </c>
      <c r="N218" s="2">
        <v>54000</v>
      </c>
      <c r="O218" s="2">
        <v>5400</v>
      </c>
      <c r="P218" s="2">
        <v>59400</v>
      </c>
      <c r="Q218" s="2">
        <f>P218*8.5%</f>
        <v>5049</v>
      </c>
    </row>
    <row r="219" spans="1:17" hidden="1" x14ac:dyDescent="0.4">
      <c r="A219" s="4" t="s">
        <v>103</v>
      </c>
      <c r="B219" s="4" t="s">
        <v>26</v>
      </c>
      <c r="C219" s="32" t="s">
        <v>436</v>
      </c>
      <c r="D219" s="4" t="s">
        <v>104</v>
      </c>
      <c r="E219" s="4" t="s">
        <v>16</v>
      </c>
      <c r="F219" s="4" t="s">
        <v>17</v>
      </c>
      <c r="G219" s="4" t="s">
        <v>18</v>
      </c>
      <c r="H219" s="4" t="s">
        <v>102</v>
      </c>
      <c r="I219" s="5" t="str">
        <f t="shared" si="3"/>
        <v>2025-02</v>
      </c>
      <c r="J219" s="4" t="s">
        <v>34</v>
      </c>
      <c r="K219" s="5" t="s">
        <v>342</v>
      </c>
      <c r="L219" s="2">
        <v>12277</v>
      </c>
      <c r="M219" s="3">
        <v>1</v>
      </c>
      <c r="N219" s="2">
        <v>12277</v>
      </c>
      <c r="O219" s="2">
        <v>1228</v>
      </c>
      <c r="P219" s="2">
        <v>13505</v>
      </c>
      <c r="Q219" s="2">
        <f>P219*8.5%</f>
        <v>1147.9250000000002</v>
      </c>
    </row>
    <row r="220" spans="1:17" hidden="1" x14ac:dyDescent="0.4">
      <c r="A220" s="4" t="s">
        <v>32</v>
      </c>
      <c r="B220" s="4" t="s">
        <v>14</v>
      </c>
      <c r="C220" s="31" t="s">
        <v>435</v>
      </c>
      <c r="D220" s="4" t="s">
        <v>33</v>
      </c>
      <c r="E220" s="4" t="s">
        <v>16</v>
      </c>
      <c r="F220" s="4" t="s">
        <v>17</v>
      </c>
      <c r="G220" s="4" t="s">
        <v>18</v>
      </c>
      <c r="H220" s="4" t="s">
        <v>102</v>
      </c>
      <c r="I220" s="5" t="str">
        <f t="shared" si="3"/>
        <v>2025-02</v>
      </c>
      <c r="J220" s="4" t="s">
        <v>34</v>
      </c>
      <c r="K220" s="5" t="s">
        <v>342</v>
      </c>
      <c r="L220" s="2">
        <v>44000</v>
      </c>
      <c r="M220" s="3">
        <v>2</v>
      </c>
      <c r="N220" s="2">
        <v>88000</v>
      </c>
      <c r="O220" s="2">
        <v>8800</v>
      </c>
      <c r="P220" s="2">
        <v>96800</v>
      </c>
      <c r="Q220" s="2">
        <f>P220*8.5%</f>
        <v>8228</v>
      </c>
    </row>
    <row r="221" spans="1:17" hidden="1" x14ac:dyDescent="0.4">
      <c r="A221" s="4" t="s">
        <v>13</v>
      </c>
      <c r="B221" s="4" t="s">
        <v>14</v>
      </c>
      <c r="C221" s="30" t="s">
        <v>434</v>
      </c>
      <c r="D221" s="4" t="s">
        <v>15</v>
      </c>
      <c r="E221" s="4" t="s">
        <v>16</v>
      </c>
      <c r="F221" s="4" t="s">
        <v>17</v>
      </c>
      <c r="G221" s="4" t="s">
        <v>18</v>
      </c>
      <c r="H221" s="4" t="s">
        <v>102</v>
      </c>
      <c r="I221" s="5" t="str">
        <f t="shared" si="3"/>
        <v>2025-02</v>
      </c>
      <c r="J221" s="4" t="s">
        <v>34</v>
      </c>
      <c r="K221" s="5" t="s">
        <v>342</v>
      </c>
      <c r="L221" s="2">
        <v>42000</v>
      </c>
      <c r="M221" s="3">
        <v>5</v>
      </c>
      <c r="N221" s="2">
        <v>210000</v>
      </c>
      <c r="O221" s="2">
        <v>21000</v>
      </c>
      <c r="P221" s="2">
        <v>231000</v>
      </c>
      <c r="Q221" s="2">
        <f>P221*8.5%</f>
        <v>19635</v>
      </c>
    </row>
    <row r="222" spans="1:17" hidden="1" x14ac:dyDescent="0.4">
      <c r="A222" s="4" t="s">
        <v>23</v>
      </c>
      <c r="B222" s="4" t="s">
        <v>14</v>
      </c>
      <c r="C222" s="31" t="s">
        <v>435</v>
      </c>
      <c r="D222" s="4" t="s">
        <v>24</v>
      </c>
      <c r="E222" s="4" t="s">
        <v>16</v>
      </c>
      <c r="F222" s="4" t="s">
        <v>17</v>
      </c>
      <c r="G222" s="4" t="s">
        <v>18</v>
      </c>
      <c r="H222" s="4" t="s">
        <v>102</v>
      </c>
      <c r="I222" s="5" t="str">
        <f t="shared" si="3"/>
        <v>2025-02</v>
      </c>
      <c r="J222" s="4" t="s">
        <v>34</v>
      </c>
      <c r="K222" s="5" t="s">
        <v>342</v>
      </c>
      <c r="L222" s="2">
        <v>54000</v>
      </c>
      <c r="M222" s="3">
        <v>4</v>
      </c>
      <c r="N222" s="2">
        <v>216000</v>
      </c>
      <c r="O222" s="2">
        <v>21600</v>
      </c>
      <c r="P222" s="2">
        <v>237600</v>
      </c>
      <c r="Q222" s="2">
        <f>P222*8.5%</f>
        <v>20196</v>
      </c>
    </row>
    <row r="223" spans="1:17" hidden="1" x14ac:dyDescent="0.4">
      <c r="A223" s="4" t="s">
        <v>68</v>
      </c>
      <c r="B223" s="4" t="s">
        <v>26</v>
      </c>
      <c r="C223" s="32" t="s">
        <v>436</v>
      </c>
      <c r="D223" s="4" t="s">
        <v>69</v>
      </c>
      <c r="E223" s="4" t="s">
        <v>28</v>
      </c>
      <c r="F223" s="4" t="s">
        <v>17</v>
      </c>
      <c r="G223" s="4" t="s">
        <v>18</v>
      </c>
      <c r="H223" s="4" t="s">
        <v>102</v>
      </c>
      <c r="I223" s="5" t="str">
        <f t="shared" si="3"/>
        <v>2025-02</v>
      </c>
      <c r="J223" s="4" t="s">
        <v>34</v>
      </c>
      <c r="K223" s="5" t="s">
        <v>342</v>
      </c>
      <c r="L223" s="2">
        <v>4677</v>
      </c>
      <c r="M223" s="3">
        <v>1</v>
      </c>
      <c r="N223" s="2">
        <v>4677</v>
      </c>
      <c r="O223" s="2">
        <v>468</v>
      </c>
      <c r="P223" s="2">
        <v>5145</v>
      </c>
      <c r="Q223" s="2">
        <f>P223*8.5%</f>
        <v>437.32500000000005</v>
      </c>
    </row>
    <row r="224" spans="1:17" hidden="1" x14ac:dyDescent="0.4">
      <c r="A224" s="4" t="s">
        <v>105</v>
      </c>
      <c r="B224" s="4" t="s">
        <v>26</v>
      </c>
      <c r="C224" s="32" t="s">
        <v>436</v>
      </c>
      <c r="D224" s="4" t="s">
        <v>27</v>
      </c>
      <c r="E224" s="4" t="s">
        <v>28</v>
      </c>
      <c r="F224" s="4" t="s">
        <v>17</v>
      </c>
      <c r="G224" s="4" t="s">
        <v>18</v>
      </c>
      <c r="H224" s="4" t="s">
        <v>102</v>
      </c>
      <c r="I224" s="5" t="str">
        <f t="shared" si="3"/>
        <v>2025-02</v>
      </c>
      <c r="J224" s="4" t="s">
        <v>34</v>
      </c>
      <c r="K224" s="5" t="s">
        <v>342</v>
      </c>
      <c r="L224" s="2">
        <v>5846</v>
      </c>
      <c r="M224" s="3">
        <v>2</v>
      </c>
      <c r="N224" s="2">
        <v>11692</v>
      </c>
      <c r="O224" s="2">
        <v>1169</v>
      </c>
      <c r="P224" s="2">
        <v>12861</v>
      </c>
      <c r="Q224" s="2">
        <f>P224*8.5%</f>
        <v>1093.1850000000002</v>
      </c>
    </row>
    <row r="225" spans="1:17" hidden="1" x14ac:dyDescent="0.4">
      <c r="A225" s="4" t="s">
        <v>40</v>
      </c>
      <c r="B225" s="4" t="s">
        <v>26</v>
      </c>
      <c r="C225" s="32" t="s">
        <v>436</v>
      </c>
      <c r="D225" s="4" t="s">
        <v>41</v>
      </c>
      <c r="E225" s="4" t="s">
        <v>28</v>
      </c>
      <c r="F225" s="4" t="s">
        <v>17</v>
      </c>
      <c r="G225" s="4" t="s">
        <v>18</v>
      </c>
      <c r="H225" s="4" t="s">
        <v>102</v>
      </c>
      <c r="I225" s="5" t="str">
        <f t="shared" si="3"/>
        <v>2025-02</v>
      </c>
      <c r="J225" s="4" t="s">
        <v>34</v>
      </c>
      <c r="K225" s="5" t="s">
        <v>342</v>
      </c>
      <c r="L225" s="2">
        <v>17539</v>
      </c>
      <c r="M225" s="3">
        <v>2</v>
      </c>
      <c r="N225" s="2">
        <v>35078</v>
      </c>
      <c r="O225" s="2">
        <v>3508</v>
      </c>
      <c r="P225" s="2">
        <v>38586</v>
      </c>
      <c r="Q225" s="2">
        <f>P225*8.5%</f>
        <v>3279.8100000000004</v>
      </c>
    </row>
    <row r="226" spans="1:17" hidden="1" x14ac:dyDescent="0.4">
      <c r="A226" s="4" t="s">
        <v>42</v>
      </c>
      <c r="B226" s="4" t="s">
        <v>14</v>
      </c>
      <c r="C226" s="30" t="s">
        <v>434</v>
      </c>
      <c r="D226" s="4" t="s">
        <v>43</v>
      </c>
      <c r="E226" s="4" t="s">
        <v>44</v>
      </c>
      <c r="F226" s="4" t="s">
        <v>31</v>
      </c>
      <c r="G226" s="4" t="s">
        <v>18</v>
      </c>
      <c r="H226" s="4" t="s">
        <v>102</v>
      </c>
      <c r="I226" s="5" t="str">
        <f t="shared" si="3"/>
        <v>2025-02</v>
      </c>
      <c r="J226" s="4" t="s">
        <v>34</v>
      </c>
      <c r="K226" s="5" t="s">
        <v>342</v>
      </c>
      <c r="L226" s="2">
        <v>6800</v>
      </c>
      <c r="M226" s="3">
        <v>60.2</v>
      </c>
      <c r="N226" s="2">
        <v>409360</v>
      </c>
      <c r="O226" s="2">
        <v>0</v>
      </c>
      <c r="P226" s="2">
        <v>409360</v>
      </c>
      <c r="Q226" s="2">
        <f>P226*8.5%</f>
        <v>34795.600000000006</v>
      </c>
    </row>
    <row r="227" spans="1:17" hidden="1" x14ac:dyDescent="0.4">
      <c r="A227" s="4" t="s">
        <v>32</v>
      </c>
      <c r="B227" s="4" t="s">
        <v>14</v>
      </c>
      <c r="C227" s="31" t="s">
        <v>435</v>
      </c>
      <c r="D227" s="4" t="s">
        <v>33</v>
      </c>
      <c r="E227" s="4" t="s">
        <v>16</v>
      </c>
      <c r="F227" s="4" t="s">
        <v>17</v>
      </c>
      <c r="G227" s="4" t="s">
        <v>18</v>
      </c>
      <c r="H227" s="4" t="s">
        <v>102</v>
      </c>
      <c r="I227" s="5" t="str">
        <f t="shared" si="3"/>
        <v>2025-02</v>
      </c>
      <c r="J227" s="4" t="s">
        <v>49</v>
      </c>
      <c r="K227" s="5" t="s">
        <v>343</v>
      </c>
      <c r="L227" s="2">
        <v>44000</v>
      </c>
      <c r="M227" s="3">
        <v>6</v>
      </c>
      <c r="N227" s="2">
        <v>264000</v>
      </c>
      <c r="O227" s="2">
        <v>26400</v>
      </c>
      <c r="P227" s="2">
        <v>290400</v>
      </c>
      <c r="Q227" s="2">
        <f>P227*12%</f>
        <v>34848</v>
      </c>
    </row>
    <row r="228" spans="1:17" hidden="1" x14ac:dyDescent="0.4">
      <c r="A228" s="4" t="s">
        <v>13</v>
      </c>
      <c r="B228" s="4" t="s">
        <v>14</v>
      </c>
      <c r="C228" s="30" t="s">
        <v>434</v>
      </c>
      <c r="D228" s="4" t="s">
        <v>15</v>
      </c>
      <c r="E228" s="4" t="s">
        <v>16</v>
      </c>
      <c r="F228" s="4" t="s">
        <v>17</v>
      </c>
      <c r="G228" s="4" t="s">
        <v>18</v>
      </c>
      <c r="H228" s="4" t="s">
        <v>102</v>
      </c>
      <c r="I228" s="5" t="str">
        <f t="shared" si="3"/>
        <v>2025-02</v>
      </c>
      <c r="J228" s="4" t="s">
        <v>49</v>
      </c>
      <c r="K228" s="5" t="s">
        <v>343</v>
      </c>
      <c r="L228" s="2">
        <v>42000</v>
      </c>
      <c r="M228" s="3">
        <v>6</v>
      </c>
      <c r="N228" s="2">
        <v>252000</v>
      </c>
      <c r="O228" s="2">
        <v>25200</v>
      </c>
      <c r="P228" s="2">
        <v>277200</v>
      </c>
      <c r="Q228" s="2">
        <f>P228*12%</f>
        <v>33264</v>
      </c>
    </row>
    <row r="229" spans="1:17" hidden="1" x14ac:dyDescent="0.4">
      <c r="A229" s="4" t="s">
        <v>35</v>
      </c>
      <c r="B229" s="4" t="s">
        <v>14</v>
      </c>
      <c r="C229" s="30" t="s">
        <v>434</v>
      </c>
      <c r="D229" s="4" t="s">
        <v>36</v>
      </c>
      <c r="E229" s="4" t="s">
        <v>16</v>
      </c>
      <c r="F229" s="4" t="s">
        <v>17</v>
      </c>
      <c r="G229" s="4" t="s">
        <v>18</v>
      </c>
      <c r="H229" s="4" t="s">
        <v>102</v>
      </c>
      <c r="I229" s="5" t="str">
        <f t="shared" si="3"/>
        <v>2025-02</v>
      </c>
      <c r="J229" s="4" t="s">
        <v>49</v>
      </c>
      <c r="K229" s="5" t="s">
        <v>343</v>
      </c>
      <c r="L229" s="2">
        <v>116220</v>
      </c>
      <c r="M229" s="3">
        <v>1</v>
      </c>
      <c r="N229" s="2">
        <v>116220</v>
      </c>
      <c r="O229" s="2">
        <v>11622</v>
      </c>
      <c r="P229" s="2">
        <v>127842</v>
      </c>
      <c r="Q229" s="2">
        <f>P229*12%</f>
        <v>15341.039999999999</v>
      </c>
    </row>
    <row r="230" spans="1:17" hidden="1" x14ac:dyDescent="0.4">
      <c r="A230" s="4" t="s">
        <v>23</v>
      </c>
      <c r="B230" s="4" t="s">
        <v>14</v>
      </c>
      <c r="C230" s="31" t="s">
        <v>435</v>
      </c>
      <c r="D230" s="4" t="s">
        <v>24</v>
      </c>
      <c r="E230" s="4" t="s">
        <v>16</v>
      </c>
      <c r="F230" s="4" t="s">
        <v>17</v>
      </c>
      <c r="G230" s="4" t="s">
        <v>18</v>
      </c>
      <c r="H230" s="4" t="s">
        <v>102</v>
      </c>
      <c r="I230" s="5" t="str">
        <f t="shared" si="3"/>
        <v>2025-02</v>
      </c>
      <c r="J230" s="4" t="s">
        <v>49</v>
      </c>
      <c r="K230" s="5" t="s">
        <v>343</v>
      </c>
      <c r="L230" s="2">
        <v>54000</v>
      </c>
      <c r="M230" s="3">
        <v>3</v>
      </c>
      <c r="N230" s="2">
        <v>162000</v>
      </c>
      <c r="O230" s="2">
        <v>16200</v>
      </c>
      <c r="P230" s="2">
        <v>178200</v>
      </c>
      <c r="Q230" s="2">
        <f>P230*12%</f>
        <v>21384</v>
      </c>
    </row>
    <row r="231" spans="1:17" x14ac:dyDescent="0.4">
      <c r="A231" s="4" t="s">
        <v>21</v>
      </c>
      <c r="B231" s="4" t="s">
        <v>14</v>
      </c>
      <c r="C231" s="31" t="s">
        <v>435</v>
      </c>
      <c r="D231" s="4" t="s">
        <v>22</v>
      </c>
      <c r="E231" s="4" t="s">
        <v>16</v>
      </c>
      <c r="F231" s="4" t="s">
        <v>17</v>
      </c>
      <c r="G231" s="4" t="s">
        <v>18</v>
      </c>
      <c r="H231" s="4" t="s">
        <v>106</v>
      </c>
      <c r="I231" s="5" t="str">
        <f t="shared" si="3"/>
        <v>2025-02</v>
      </c>
      <c r="J231" s="4" t="s">
        <v>20</v>
      </c>
      <c r="K231" s="5" t="s">
        <v>342</v>
      </c>
      <c r="L231" s="2">
        <v>54000</v>
      </c>
      <c r="M231" s="3">
        <v>1</v>
      </c>
      <c r="N231" s="2">
        <v>54000</v>
      </c>
      <c r="O231" s="2">
        <v>5400</v>
      </c>
      <c r="P231" s="2">
        <v>59400</v>
      </c>
      <c r="Q231" s="2">
        <f>P231*8.5%</f>
        <v>5049</v>
      </c>
    </row>
    <row r="232" spans="1:17" x14ac:dyDescent="0.4">
      <c r="A232" s="4" t="s">
        <v>23</v>
      </c>
      <c r="B232" s="4" t="s">
        <v>14</v>
      </c>
      <c r="C232" s="31" t="s">
        <v>435</v>
      </c>
      <c r="D232" s="4" t="s">
        <v>24</v>
      </c>
      <c r="E232" s="4" t="s">
        <v>16</v>
      </c>
      <c r="F232" s="4" t="s">
        <v>17</v>
      </c>
      <c r="G232" s="4" t="s">
        <v>18</v>
      </c>
      <c r="H232" s="4" t="s">
        <v>106</v>
      </c>
      <c r="I232" s="5" t="str">
        <f t="shared" si="3"/>
        <v>2025-02</v>
      </c>
      <c r="J232" s="4" t="s">
        <v>20</v>
      </c>
      <c r="K232" s="5" t="s">
        <v>342</v>
      </c>
      <c r="L232" s="2">
        <v>54000</v>
      </c>
      <c r="M232" s="3">
        <v>1</v>
      </c>
      <c r="N232" s="2">
        <v>54000</v>
      </c>
      <c r="O232" s="2">
        <v>5400</v>
      </c>
      <c r="P232" s="2">
        <v>59400</v>
      </c>
      <c r="Q232" s="2">
        <f>P232*8.5%</f>
        <v>5049</v>
      </c>
    </row>
    <row r="233" spans="1:17" x14ac:dyDescent="0.4">
      <c r="A233" s="4" t="s">
        <v>56</v>
      </c>
      <c r="B233" s="4" t="s">
        <v>26</v>
      </c>
      <c r="C233" s="32" t="s">
        <v>436</v>
      </c>
      <c r="D233" s="4" t="s">
        <v>57</v>
      </c>
      <c r="E233" s="4" t="s">
        <v>44</v>
      </c>
      <c r="F233" s="4" t="s">
        <v>31</v>
      </c>
      <c r="G233" s="4" t="s">
        <v>18</v>
      </c>
      <c r="H233" s="4" t="s">
        <v>106</v>
      </c>
      <c r="I233" s="5" t="str">
        <f t="shared" si="3"/>
        <v>2025-02</v>
      </c>
      <c r="J233" s="4" t="s">
        <v>20</v>
      </c>
      <c r="K233" s="5" t="s">
        <v>342</v>
      </c>
      <c r="L233" s="2">
        <v>3169</v>
      </c>
      <c r="M233" s="3">
        <v>10</v>
      </c>
      <c r="N233" s="2">
        <v>31690</v>
      </c>
      <c r="O233" s="2">
        <v>0</v>
      </c>
      <c r="P233" s="2">
        <v>31690</v>
      </c>
      <c r="Q233" s="2">
        <f>P233*8.5%</f>
        <v>2693.65</v>
      </c>
    </row>
    <row r="234" spans="1:17" hidden="1" x14ac:dyDescent="0.4">
      <c r="A234" s="4" t="s">
        <v>32</v>
      </c>
      <c r="B234" s="4" t="s">
        <v>14</v>
      </c>
      <c r="C234" s="31" t="s">
        <v>435</v>
      </c>
      <c r="D234" s="4" t="s">
        <v>33</v>
      </c>
      <c r="E234" s="4" t="s">
        <v>16</v>
      </c>
      <c r="F234" s="4" t="s">
        <v>17</v>
      </c>
      <c r="G234" s="4" t="s">
        <v>18</v>
      </c>
      <c r="H234" s="4" t="s">
        <v>106</v>
      </c>
      <c r="I234" s="5" t="str">
        <f t="shared" si="3"/>
        <v>2025-02</v>
      </c>
      <c r="J234" s="4" t="s">
        <v>34</v>
      </c>
      <c r="K234" s="5" t="s">
        <v>342</v>
      </c>
      <c r="L234" s="2">
        <v>44000</v>
      </c>
      <c r="M234" s="3">
        <v>2</v>
      </c>
      <c r="N234" s="2">
        <v>88000</v>
      </c>
      <c r="O234" s="2">
        <v>8800</v>
      </c>
      <c r="P234" s="2">
        <v>96800</v>
      </c>
      <c r="Q234" s="2">
        <f>P234*8.5%</f>
        <v>8228</v>
      </c>
    </row>
    <row r="235" spans="1:17" hidden="1" x14ac:dyDescent="0.4">
      <c r="A235" s="4" t="s">
        <v>13</v>
      </c>
      <c r="B235" s="4" t="s">
        <v>14</v>
      </c>
      <c r="C235" s="30" t="s">
        <v>434</v>
      </c>
      <c r="D235" s="4" t="s">
        <v>15</v>
      </c>
      <c r="E235" s="4" t="s">
        <v>16</v>
      </c>
      <c r="F235" s="4" t="s">
        <v>17</v>
      </c>
      <c r="G235" s="4" t="s">
        <v>18</v>
      </c>
      <c r="H235" s="4" t="s">
        <v>106</v>
      </c>
      <c r="I235" s="5" t="str">
        <f t="shared" si="3"/>
        <v>2025-02</v>
      </c>
      <c r="J235" s="4" t="s">
        <v>34</v>
      </c>
      <c r="K235" s="5" t="s">
        <v>342</v>
      </c>
      <c r="L235" s="2">
        <v>42000</v>
      </c>
      <c r="M235" s="3">
        <v>4</v>
      </c>
      <c r="N235" s="2">
        <v>168000</v>
      </c>
      <c r="O235" s="2">
        <v>16800</v>
      </c>
      <c r="P235" s="2">
        <v>184800</v>
      </c>
      <c r="Q235" s="2">
        <f>P235*8.5%</f>
        <v>15708.000000000002</v>
      </c>
    </row>
    <row r="236" spans="1:17" hidden="1" x14ac:dyDescent="0.4">
      <c r="A236" s="4" t="s">
        <v>21</v>
      </c>
      <c r="B236" s="4" t="s">
        <v>14</v>
      </c>
      <c r="C236" s="31" t="s">
        <v>435</v>
      </c>
      <c r="D236" s="4" t="s">
        <v>22</v>
      </c>
      <c r="E236" s="4" t="s">
        <v>16</v>
      </c>
      <c r="F236" s="4" t="s">
        <v>17</v>
      </c>
      <c r="G236" s="4" t="s">
        <v>18</v>
      </c>
      <c r="H236" s="4" t="s">
        <v>106</v>
      </c>
      <c r="I236" s="5" t="str">
        <f t="shared" si="3"/>
        <v>2025-02</v>
      </c>
      <c r="J236" s="4" t="s">
        <v>34</v>
      </c>
      <c r="K236" s="5" t="s">
        <v>342</v>
      </c>
      <c r="L236" s="2">
        <v>54000</v>
      </c>
      <c r="M236" s="3">
        <v>1</v>
      </c>
      <c r="N236" s="2">
        <v>54000</v>
      </c>
      <c r="O236" s="2">
        <v>5400</v>
      </c>
      <c r="P236" s="2">
        <v>59400</v>
      </c>
      <c r="Q236" s="2">
        <f>P236*8.5%</f>
        <v>5049</v>
      </c>
    </row>
    <row r="237" spans="1:17" hidden="1" x14ac:dyDescent="0.4">
      <c r="A237" s="4" t="s">
        <v>23</v>
      </c>
      <c r="B237" s="4" t="s">
        <v>14</v>
      </c>
      <c r="C237" s="31" t="s">
        <v>435</v>
      </c>
      <c r="D237" s="4" t="s">
        <v>24</v>
      </c>
      <c r="E237" s="4" t="s">
        <v>16</v>
      </c>
      <c r="F237" s="4" t="s">
        <v>17</v>
      </c>
      <c r="G237" s="4" t="s">
        <v>18</v>
      </c>
      <c r="H237" s="4" t="s">
        <v>106</v>
      </c>
      <c r="I237" s="5" t="str">
        <f t="shared" si="3"/>
        <v>2025-02</v>
      </c>
      <c r="J237" s="4" t="s">
        <v>34</v>
      </c>
      <c r="K237" s="5" t="s">
        <v>342</v>
      </c>
      <c r="L237" s="2">
        <v>54000</v>
      </c>
      <c r="M237" s="3">
        <v>8</v>
      </c>
      <c r="N237" s="2">
        <v>432000</v>
      </c>
      <c r="O237" s="2">
        <v>43200</v>
      </c>
      <c r="P237" s="2">
        <v>475200</v>
      </c>
      <c r="Q237" s="2">
        <f>P237*8.5%</f>
        <v>40392</v>
      </c>
    </row>
    <row r="238" spans="1:17" hidden="1" x14ac:dyDescent="0.4">
      <c r="A238" s="4" t="s">
        <v>51</v>
      </c>
      <c r="B238" s="4" t="s">
        <v>14</v>
      </c>
      <c r="C238" s="30" t="s">
        <v>434</v>
      </c>
      <c r="D238" s="4" t="s">
        <v>52</v>
      </c>
      <c r="E238" s="4" t="s">
        <v>16</v>
      </c>
      <c r="F238" s="4" t="s">
        <v>17</v>
      </c>
      <c r="G238" s="4" t="s">
        <v>18</v>
      </c>
      <c r="H238" s="4" t="s">
        <v>106</v>
      </c>
      <c r="I238" s="5" t="str">
        <f t="shared" si="3"/>
        <v>2025-02</v>
      </c>
      <c r="J238" s="4" t="s">
        <v>34</v>
      </c>
      <c r="K238" s="5" t="s">
        <v>342</v>
      </c>
      <c r="L238" s="2">
        <v>71250</v>
      </c>
      <c r="M238" s="3">
        <v>1</v>
      </c>
      <c r="N238" s="2">
        <v>71250</v>
      </c>
      <c r="O238" s="2">
        <v>7125</v>
      </c>
      <c r="P238" s="2">
        <v>78375</v>
      </c>
      <c r="Q238" s="2">
        <f>P238*8.5%</f>
        <v>6661.8750000000009</v>
      </c>
    </row>
    <row r="239" spans="1:17" hidden="1" x14ac:dyDescent="0.4">
      <c r="A239" s="4" t="s">
        <v>107</v>
      </c>
      <c r="B239" s="4" t="s">
        <v>26</v>
      </c>
      <c r="C239" s="32" t="s">
        <v>436</v>
      </c>
      <c r="D239" s="4" t="s">
        <v>108</v>
      </c>
      <c r="E239" s="4" t="s">
        <v>28</v>
      </c>
      <c r="F239" s="4" t="s">
        <v>31</v>
      </c>
      <c r="G239" s="4" t="s">
        <v>18</v>
      </c>
      <c r="H239" s="4" t="s">
        <v>106</v>
      </c>
      <c r="I239" s="5" t="str">
        <f t="shared" si="3"/>
        <v>2025-02</v>
      </c>
      <c r="J239" s="4" t="s">
        <v>34</v>
      </c>
      <c r="K239" s="5" t="s">
        <v>342</v>
      </c>
      <c r="L239" s="2">
        <v>33617</v>
      </c>
      <c r="M239" s="3">
        <v>1</v>
      </c>
      <c r="N239" s="2">
        <v>33617</v>
      </c>
      <c r="O239" s="2">
        <v>0</v>
      </c>
      <c r="P239" s="2">
        <v>33617</v>
      </c>
      <c r="Q239" s="2">
        <f>P239*8.5%</f>
        <v>2857.4450000000002</v>
      </c>
    </row>
    <row r="240" spans="1:17" hidden="1" x14ac:dyDescent="0.4">
      <c r="A240" s="4" t="s">
        <v>68</v>
      </c>
      <c r="B240" s="4" t="s">
        <v>26</v>
      </c>
      <c r="C240" s="32" t="s">
        <v>436</v>
      </c>
      <c r="D240" s="4" t="s">
        <v>69</v>
      </c>
      <c r="E240" s="4" t="s">
        <v>28</v>
      </c>
      <c r="F240" s="4" t="s">
        <v>17</v>
      </c>
      <c r="G240" s="4" t="s">
        <v>18</v>
      </c>
      <c r="H240" s="4" t="s">
        <v>106</v>
      </c>
      <c r="I240" s="5" t="str">
        <f t="shared" si="3"/>
        <v>2025-02</v>
      </c>
      <c r="J240" s="4" t="s">
        <v>34</v>
      </c>
      <c r="K240" s="5" t="s">
        <v>342</v>
      </c>
      <c r="L240" s="2">
        <v>4677</v>
      </c>
      <c r="M240" s="3">
        <v>2</v>
      </c>
      <c r="N240" s="2">
        <v>9354</v>
      </c>
      <c r="O240" s="2">
        <v>935</v>
      </c>
      <c r="P240" s="2">
        <v>10289</v>
      </c>
      <c r="Q240" s="2">
        <f>P240*8.5%</f>
        <v>874.56500000000005</v>
      </c>
    </row>
    <row r="241" spans="1:17" hidden="1" x14ac:dyDescent="0.4">
      <c r="A241" s="4" t="s">
        <v>42</v>
      </c>
      <c r="B241" s="4" t="s">
        <v>14</v>
      </c>
      <c r="C241" s="30" t="s">
        <v>434</v>
      </c>
      <c r="D241" s="4" t="s">
        <v>43</v>
      </c>
      <c r="E241" s="4" t="s">
        <v>44</v>
      </c>
      <c r="F241" s="4" t="s">
        <v>31</v>
      </c>
      <c r="G241" s="4" t="s">
        <v>18</v>
      </c>
      <c r="H241" s="4" t="s">
        <v>106</v>
      </c>
      <c r="I241" s="5" t="str">
        <f t="shared" si="3"/>
        <v>2025-02</v>
      </c>
      <c r="J241" s="4" t="s">
        <v>34</v>
      </c>
      <c r="K241" s="5" t="s">
        <v>342</v>
      </c>
      <c r="L241" s="2">
        <v>6800</v>
      </c>
      <c r="M241" s="3">
        <v>33.9</v>
      </c>
      <c r="N241" s="2">
        <v>230520</v>
      </c>
      <c r="O241" s="2">
        <v>0</v>
      </c>
      <c r="P241" s="2">
        <v>230520</v>
      </c>
      <c r="Q241" s="2">
        <f>P241*8.5%</f>
        <v>19594.2</v>
      </c>
    </row>
    <row r="242" spans="1:17" x14ac:dyDescent="0.4">
      <c r="A242" s="4" t="s">
        <v>13</v>
      </c>
      <c r="B242" s="4" t="s">
        <v>14</v>
      </c>
      <c r="C242" s="30" t="s">
        <v>434</v>
      </c>
      <c r="D242" s="4" t="s">
        <v>15</v>
      </c>
      <c r="E242" s="4" t="s">
        <v>16</v>
      </c>
      <c r="F242" s="4" t="s">
        <v>17</v>
      </c>
      <c r="G242" s="4" t="s">
        <v>18</v>
      </c>
      <c r="H242" s="4" t="s">
        <v>109</v>
      </c>
      <c r="I242" s="5" t="str">
        <f t="shared" si="3"/>
        <v>2025-02</v>
      </c>
      <c r="J242" s="4" t="s">
        <v>20</v>
      </c>
      <c r="K242" s="5" t="s">
        <v>342</v>
      </c>
      <c r="L242" s="2">
        <v>42000</v>
      </c>
      <c r="M242" s="3">
        <v>1</v>
      </c>
      <c r="N242" s="2">
        <v>42000</v>
      </c>
      <c r="O242" s="2">
        <v>4200</v>
      </c>
      <c r="P242" s="2">
        <v>46200</v>
      </c>
      <c r="Q242" s="2">
        <f>P242*8.5%</f>
        <v>3927.0000000000005</v>
      </c>
    </row>
    <row r="243" spans="1:17" x14ac:dyDescent="0.4">
      <c r="A243" s="4" t="s">
        <v>21</v>
      </c>
      <c r="B243" s="4" t="s">
        <v>14</v>
      </c>
      <c r="C243" s="31" t="s">
        <v>435</v>
      </c>
      <c r="D243" s="4" t="s">
        <v>22</v>
      </c>
      <c r="E243" s="4" t="s">
        <v>16</v>
      </c>
      <c r="F243" s="4" t="s">
        <v>17</v>
      </c>
      <c r="G243" s="4" t="s">
        <v>18</v>
      </c>
      <c r="H243" s="4" t="s">
        <v>109</v>
      </c>
      <c r="I243" s="5" t="str">
        <f t="shared" si="3"/>
        <v>2025-02</v>
      </c>
      <c r="J243" s="4" t="s">
        <v>20</v>
      </c>
      <c r="K243" s="5" t="s">
        <v>342</v>
      </c>
      <c r="L243" s="2">
        <v>54000</v>
      </c>
      <c r="M243" s="3">
        <v>1</v>
      </c>
      <c r="N243" s="2">
        <v>54000</v>
      </c>
      <c r="O243" s="2">
        <v>5400</v>
      </c>
      <c r="P243" s="2">
        <v>59400</v>
      </c>
      <c r="Q243" s="2">
        <f>P243*8.5%</f>
        <v>5049</v>
      </c>
    </row>
    <row r="244" spans="1:17" x14ac:dyDescent="0.4">
      <c r="A244" s="4" t="s">
        <v>23</v>
      </c>
      <c r="B244" s="4" t="s">
        <v>14</v>
      </c>
      <c r="C244" s="31" t="s">
        <v>435</v>
      </c>
      <c r="D244" s="4" t="s">
        <v>24</v>
      </c>
      <c r="E244" s="4" t="s">
        <v>16</v>
      </c>
      <c r="F244" s="4" t="s">
        <v>17</v>
      </c>
      <c r="G244" s="4" t="s">
        <v>18</v>
      </c>
      <c r="H244" s="4" t="s">
        <v>109</v>
      </c>
      <c r="I244" s="5" t="str">
        <f t="shared" si="3"/>
        <v>2025-02</v>
      </c>
      <c r="J244" s="4" t="s">
        <v>20</v>
      </c>
      <c r="K244" s="5" t="s">
        <v>342</v>
      </c>
      <c r="L244" s="2">
        <v>54000</v>
      </c>
      <c r="M244" s="3">
        <v>1</v>
      </c>
      <c r="N244" s="2">
        <v>54000</v>
      </c>
      <c r="O244" s="2">
        <v>5400</v>
      </c>
      <c r="P244" s="2">
        <v>59400</v>
      </c>
      <c r="Q244" s="2">
        <f>P244*8.5%</f>
        <v>5049</v>
      </c>
    </row>
    <row r="245" spans="1:17" hidden="1" x14ac:dyDescent="0.4">
      <c r="A245" s="4" t="s">
        <v>64</v>
      </c>
      <c r="B245" s="4" t="s">
        <v>65</v>
      </c>
      <c r="C245" s="32" t="s">
        <v>436</v>
      </c>
      <c r="D245" s="4" t="s">
        <v>66</v>
      </c>
      <c r="E245" s="4" t="s">
        <v>16</v>
      </c>
      <c r="F245" s="4" t="s">
        <v>17</v>
      </c>
      <c r="G245" s="4" t="s">
        <v>18</v>
      </c>
      <c r="H245" s="4" t="s">
        <v>109</v>
      </c>
      <c r="I245" s="5" t="str">
        <f t="shared" si="3"/>
        <v>2025-02</v>
      </c>
      <c r="J245" s="4" t="s">
        <v>34</v>
      </c>
      <c r="K245" s="5" t="s">
        <v>342</v>
      </c>
      <c r="L245" s="2">
        <v>10056</v>
      </c>
      <c r="M245" s="3">
        <v>1</v>
      </c>
      <c r="N245" s="2">
        <v>10056</v>
      </c>
      <c r="O245" s="2">
        <v>1006</v>
      </c>
      <c r="P245" s="2">
        <v>11062</v>
      </c>
      <c r="Q245" s="2">
        <f>P245*8.5%</f>
        <v>940.2700000000001</v>
      </c>
    </row>
    <row r="246" spans="1:17" hidden="1" x14ac:dyDescent="0.4">
      <c r="A246" s="4" t="s">
        <v>58</v>
      </c>
      <c r="B246" s="4" t="s">
        <v>14</v>
      </c>
      <c r="C246" s="30" t="s">
        <v>434</v>
      </c>
      <c r="D246" s="4" t="s">
        <v>36</v>
      </c>
      <c r="E246" s="4" t="s">
        <v>16</v>
      </c>
      <c r="F246" s="4" t="s">
        <v>17</v>
      </c>
      <c r="G246" s="4" t="s">
        <v>18</v>
      </c>
      <c r="H246" s="4" t="s">
        <v>109</v>
      </c>
      <c r="I246" s="5" t="str">
        <f t="shared" si="3"/>
        <v>2025-02</v>
      </c>
      <c r="J246" s="4" t="s">
        <v>34</v>
      </c>
      <c r="K246" s="5" t="s">
        <v>342</v>
      </c>
      <c r="L246" s="2">
        <v>120880</v>
      </c>
      <c r="M246" s="3">
        <v>1</v>
      </c>
      <c r="N246" s="2">
        <v>120880</v>
      </c>
      <c r="O246" s="2">
        <v>12088</v>
      </c>
      <c r="P246" s="2">
        <v>132968</v>
      </c>
      <c r="Q246" s="2">
        <f>P246*8.5%</f>
        <v>11302.28</v>
      </c>
    </row>
    <row r="247" spans="1:17" hidden="1" x14ac:dyDescent="0.4">
      <c r="A247" s="4" t="s">
        <v>13</v>
      </c>
      <c r="B247" s="4" t="s">
        <v>14</v>
      </c>
      <c r="C247" s="30" t="s">
        <v>434</v>
      </c>
      <c r="D247" s="4" t="s">
        <v>15</v>
      </c>
      <c r="E247" s="4" t="s">
        <v>16</v>
      </c>
      <c r="F247" s="4" t="s">
        <v>17</v>
      </c>
      <c r="G247" s="4" t="s">
        <v>18</v>
      </c>
      <c r="H247" s="4" t="s">
        <v>109</v>
      </c>
      <c r="I247" s="5" t="str">
        <f t="shared" si="3"/>
        <v>2025-02</v>
      </c>
      <c r="J247" s="4" t="s">
        <v>34</v>
      </c>
      <c r="K247" s="5" t="s">
        <v>342</v>
      </c>
      <c r="L247" s="2">
        <v>42000</v>
      </c>
      <c r="M247" s="3">
        <v>3</v>
      </c>
      <c r="N247" s="2">
        <v>126000</v>
      </c>
      <c r="O247" s="2">
        <v>12600</v>
      </c>
      <c r="P247" s="2">
        <v>138600</v>
      </c>
      <c r="Q247" s="2">
        <f>P247*8.5%</f>
        <v>11781</v>
      </c>
    </row>
    <row r="248" spans="1:17" hidden="1" x14ac:dyDescent="0.4">
      <c r="A248" s="4" t="s">
        <v>21</v>
      </c>
      <c r="B248" s="4" t="s">
        <v>14</v>
      </c>
      <c r="C248" s="31" t="s">
        <v>435</v>
      </c>
      <c r="D248" s="4" t="s">
        <v>22</v>
      </c>
      <c r="E248" s="4" t="s">
        <v>16</v>
      </c>
      <c r="F248" s="4" t="s">
        <v>17</v>
      </c>
      <c r="G248" s="4" t="s">
        <v>18</v>
      </c>
      <c r="H248" s="4" t="s">
        <v>109</v>
      </c>
      <c r="I248" s="5" t="str">
        <f t="shared" si="3"/>
        <v>2025-02</v>
      </c>
      <c r="J248" s="4" t="s">
        <v>34</v>
      </c>
      <c r="K248" s="5" t="s">
        <v>342</v>
      </c>
      <c r="L248" s="2">
        <v>54000</v>
      </c>
      <c r="M248" s="3">
        <v>1</v>
      </c>
      <c r="N248" s="2">
        <v>54000</v>
      </c>
      <c r="O248" s="2">
        <v>5400</v>
      </c>
      <c r="P248" s="2">
        <v>59400</v>
      </c>
      <c r="Q248" s="2">
        <f>P248*8.5%</f>
        <v>5049</v>
      </c>
    </row>
    <row r="249" spans="1:17" hidden="1" x14ac:dyDescent="0.4">
      <c r="A249" s="4" t="s">
        <v>23</v>
      </c>
      <c r="B249" s="4" t="s">
        <v>14</v>
      </c>
      <c r="C249" s="31" t="s">
        <v>435</v>
      </c>
      <c r="D249" s="4" t="s">
        <v>24</v>
      </c>
      <c r="E249" s="4" t="s">
        <v>16</v>
      </c>
      <c r="F249" s="4" t="s">
        <v>17</v>
      </c>
      <c r="G249" s="4" t="s">
        <v>18</v>
      </c>
      <c r="H249" s="4" t="s">
        <v>109</v>
      </c>
      <c r="I249" s="5" t="str">
        <f t="shared" si="3"/>
        <v>2025-02</v>
      </c>
      <c r="J249" s="4" t="s">
        <v>34</v>
      </c>
      <c r="K249" s="5" t="s">
        <v>342</v>
      </c>
      <c r="L249" s="2">
        <v>54000</v>
      </c>
      <c r="M249" s="3">
        <v>4</v>
      </c>
      <c r="N249" s="2">
        <v>216000</v>
      </c>
      <c r="O249" s="2">
        <v>21600</v>
      </c>
      <c r="P249" s="2">
        <v>237600</v>
      </c>
      <c r="Q249" s="2">
        <f>P249*8.5%</f>
        <v>20196</v>
      </c>
    </row>
    <row r="250" spans="1:17" hidden="1" x14ac:dyDescent="0.4">
      <c r="A250" s="4" t="s">
        <v>42</v>
      </c>
      <c r="B250" s="4" t="s">
        <v>14</v>
      </c>
      <c r="C250" s="30" t="s">
        <v>434</v>
      </c>
      <c r="D250" s="4" t="s">
        <v>43</v>
      </c>
      <c r="E250" s="4" t="s">
        <v>44</v>
      </c>
      <c r="F250" s="4" t="s">
        <v>31</v>
      </c>
      <c r="G250" s="4" t="s">
        <v>18</v>
      </c>
      <c r="H250" s="4" t="s">
        <v>109</v>
      </c>
      <c r="I250" s="5" t="str">
        <f t="shared" si="3"/>
        <v>2025-02</v>
      </c>
      <c r="J250" s="4" t="s">
        <v>34</v>
      </c>
      <c r="K250" s="5" t="s">
        <v>342</v>
      </c>
      <c r="L250" s="2">
        <v>6800</v>
      </c>
      <c r="M250" s="3">
        <v>64.5</v>
      </c>
      <c r="N250" s="2">
        <v>438600</v>
      </c>
      <c r="O250" s="2">
        <v>0</v>
      </c>
      <c r="P250" s="2">
        <v>438600</v>
      </c>
      <c r="Q250" s="2">
        <f>P250*8.5%</f>
        <v>37281</v>
      </c>
    </row>
    <row r="251" spans="1:17" x14ac:dyDescent="0.4">
      <c r="A251" s="4" t="s">
        <v>23</v>
      </c>
      <c r="B251" s="4" t="s">
        <v>14</v>
      </c>
      <c r="C251" s="31" t="s">
        <v>435</v>
      </c>
      <c r="D251" s="4" t="s">
        <v>24</v>
      </c>
      <c r="E251" s="4" t="s">
        <v>16</v>
      </c>
      <c r="F251" s="4" t="s">
        <v>17</v>
      </c>
      <c r="G251" s="4" t="s">
        <v>18</v>
      </c>
      <c r="H251" s="4" t="s">
        <v>110</v>
      </c>
      <c r="I251" s="5" t="str">
        <f t="shared" si="3"/>
        <v>2025-02</v>
      </c>
      <c r="J251" s="4" t="s">
        <v>20</v>
      </c>
      <c r="K251" s="5" t="s">
        <v>342</v>
      </c>
      <c r="L251" s="2">
        <v>54000</v>
      </c>
      <c r="M251" s="3">
        <v>1</v>
      </c>
      <c r="N251" s="2">
        <v>54000</v>
      </c>
      <c r="O251" s="2">
        <v>5400</v>
      </c>
      <c r="P251" s="2">
        <v>59400</v>
      </c>
      <c r="Q251" s="2">
        <f>P251*8.5%</f>
        <v>5049</v>
      </c>
    </row>
    <row r="252" spans="1:17" x14ac:dyDescent="0.4">
      <c r="A252" s="4" t="s">
        <v>76</v>
      </c>
      <c r="B252" s="4" t="s">
        <v>65</v>
      </c>
      <c r="C252" s="32" t="s">
        <v>436</v>
      </c>
      <c r="D252" s="4" t="s">
        <v>27</v>
      </c>
      <c r="E252" s="4" t="s">
        <v>28</v>
      </c>
      <c r="F252" s="4" t="s">
        <v>17</v>
      </c>
      <c r="G252" s="4" t="s">
        <v>18</v>
      </c>
      <c r="H252" s="4" t="s">
        <v>110</v>
      </c>
      <c r="I252" s="5" t="str">
        <f t="shared" si="3"/>
        <v>2025-02</v>
      </c>
      <c r="J252" s="4" t="s">
        <v>20</v>
      </c>
      <c r="K252" s="5" t="s">
        <v>342</v>
      </c>
      <c r="L252" s="2">
        <v>16955</v>
      </c>
      <c r="M252" s="3">
        <v>1</v>
      </c>
      <c r="N252" s="2">
        <v>16955</v>
      </c>
      <c r="O252" s="2">
        <v>1696</v>
      </c>
      <c r="P252" s="2">
        <v>18651</v>
      </c>
      <c r="Q252" s="2">
        <f>P252*8.5%</f>
        <v>1585.335</v>
      </c>
    </row>
    <row r="253" spans="1:17" x14ac:dyDescent="0.4">
      <c r="A253" s="4" t="s">
        <v>54</v>
      </c>
      <c r="B253" s="4" t="s">
        <v>26</v>
      </c>
      <c r="C253" s="32" t="s">
        <v>436</v>
      </c>
      <c r="D253" s="4" t="s">
        <v>55</v>
      </c>
      <c r="E253" s="4" t="s">
        <v>28</v>
      </c>
      <c r="F253" s="4" t="s">
        <v>31</v>
      </c>
      <c r="G253" s="4" t="s">
        <v>18</v>
      </c>
      <c r="H253" s="4" t="s">
        <v>110</v>
      </c>
      <c r="I253" s="5" t="str">
        <f t="shared" si="3"/>
        <v>2025-02</v>
      </c>
      <c r="J253" s="4" t="s">
        <v>20</v>
      </c>
      <c r="K253" s="5" t="s">
        <v>342</v>
      </c>
      <c r="L253" s="2">
        <v>5145</v>
      </c>
      <c r="M253" s="3">
        <v>1</v>
      </c>
      <c r="N253" s="2">
        <v>5145</v>
      </c>
      <c r="O253" s="2">
        <v>0</v>
      </c>
      <c r="P253" s="2">
        <v>5145</v>
      </c>
      <c r="Q253" s="2">
        <f>P253*8.5%</f>
        <v>437.32500000000005</v>
      </c>
    </row>
    <row r="254" spans="1:17" x14ac:dyDescent="0.4">
      <c r="A254" s="4" t="s">
        <v>56</v>
      </c>
      <c r="B254" s="4" t="s">
        <v>26</v>
      </c>
      <c r="C254" s="32" t="s">
        <v>436</v>
      </c>
      <c r="D254" s="4" t="s">
        <v>57</v>
      </c>
      <c r="E254" s="4" t="s">
        <v>44</v>
      </c>
      <c r="F254" s="4" t="s">
        <v>31</v>
      </c>
      <c r="G254" s="4" t="s">
        <v>18</v>
      </c>
      <c r="H254" s="4" t="s">
        <v>110</v>
      </c>
      <c r="I254" s="5" t="str">
        <f t="shared" si="3"/>
        <v>2025-02</v>
      </c>
      <c r="J254" s="4" t="s">
        <v>20</v>
      </c>
      <c r="K254" s="5" t="s">
        <v>342</v>
      </c>
      <c r="L254" s="2">
        <v>3169</v>
      </c>
      <c r="M254" s="3">
        <v>24</v>
      </c>
      <c r="N254" s="2">
        <v>76056</v>
      </c>
      <c r="O254" s="2">
        <v>0</v>
      </c>
      <c r="P254" s="2">
        <v>76056</v>
      </c>
      <c r="Q254" s="2">
        <f>P254*8.5%</f>
        <v>6464.76</v>
      </c>
    </row>
    <row r="255" spans="1:17" hidden="1" x14ac:dyDescent="0.4">
      <c r="A255" s="4" t="s">
        <v>80</v>
      </c>
      <c r="B255" s="4" t="s">
        <v>26</v>
      </c>
      <c r="C255" s="32" t="s">
        <v>436</v>
      </c>
      <c r="D255" s="4" t="s">
        <v>81</v>
      </c>
      <c r="E255" s="4" t="s">
        <v>16</v>
      </c>
      <c r="F255" s="4" t="s">
        <v>17</v>
      </c>
      <c r="G255" s="4" t="s">
        <v>18</v>
      </c>
      <c r="H255" s="4" t="s">
        <v>110</v>
      </c>
      <c r="I255" s="5" t="str">
        <f t="shared" si="3"/>
        <v>2025-02</v>
      </c>
      <c r="J255" s="4" t="s">
        <v>34</v>
      </c>
      <c r="K255" s="5" t="s">
        <v>342</v>
      </c>
      <c r="L255" s="2">
        <v>17305</v>
      </c>
      <c r="M255" s="3">
        <v>1</v>
      </c>
      <c r="N255" s="2">
        <v>17305</v>
      </c>
      <c r="O255" s="2">
        <v>1731</v>
      </c>
      <c r="P255" s="2">
        <v>19036</v>
      </c>
      <c r="Q255" s="2">
        <f>P255*8.5%</f>
        <v>1618.0600000000002</v>
      </c>
    </row>
    <row r="256" spans="1:17" hidden="1" x14ac:dyDescent="0.4">
      <c r="A256" s="4" t="s">
        <v>32</v>
      </c>
      <c r="B256" s="4" t="s">
        <v>14</v>
      </c>
      <c r="C256" s="31" t="s">
        <v>435</v>
      </c>
      <c r="D256" s="4" t="s">
        <v>33</v>
      </c>
      <c r="E256" s="4" t="s">
        <v>16</v>
      </c>
      <c r="F256" s="4" t="s">
        <v>17</v>
      </c>
      <c r="G256" s="4" t="s">
        <v>18</v>
      </c>
      <c r="H256" s="4" t="s">
        <v>110</v>
      </c>
      <c r="I256" s="5" t="str">
        <f t="shared" si="3"/>
        <v>2025-02</v>
      </c>
      <c r="J256" s="4" t="s">
        <v>34</v>
      </c>
      <c r="K256" s="5" t="s">
        <v>342</v>
      </c>
      <c r="L256" s="2">
        <v>44000</v>
      </c>
      <c r="M256" s="3">
        <v>2</v>
      </c>
      <c r="N256" s="2">
        <v>88000</v>
      </c>
      <c r="O256" s="2">
        <v>8800</v>
      </c>
      <c r="P256" s="2">
        <v>96800</v>
      </c>
      <c r="Q256" s="2">
        <f>P256*8.5%</f>
        <v>8228</v>
      </c>
    </row>
    <row r="257" spans="1:17" hidden="1" x14ac:dyDescent="0.4">
      <c r="A257" s="4" t="s">
        <v>13</v>
      </c>
      <c r="B257" s="4" t="s">
        <v>14</v>
      </c>
      <c r="C257" s="30" t="s">
        <v>434</v>
      </c>
      <c r="D257" s="4" t="s">
        <v>15</v>
      </c>
      <c r="E257" s="4" t="s">
        <v>16</v>
      </c>
      <c r="F257" s="4" t="s">
        <v>17</v>
      </c>
      <c r="G257" s="4" t="s">
        <v>18</v>
      </c>
      <c r="H257" s="4" t="s">
        <v>110</v>
      </c>
      <c r="I257" s="5" t="str">
        <f t="shared" si="3"/>
        <v>2025-02</v>
      </c>
      <c r="J257" s="4" t="s">
        <v>34</v>
      </c>
      <c r="K257" s="5" t="s">
        <v>342</v>
      </c>
      <c r="L257" s="2">
        <v>42000</v>
      </c>
      <c r="M257" s="3">
        <v>4</v>
      </c>
      <c r="N257" s="2">
        <v>168000</v>
      </c>
      <c r="O257" s="2">
        <v>16800</v>
      </c>
      <c r="P257" s="2">
        <v>184800</v>
      </c>
      <c r="Q257" s="2">
        <f>P257*8.5%</f>
        <v>15708.000000000002</v>
      </c>
    </row>
    <row r="258" spans="1:17" hidden="1" x14ac:dyDescent="0.4">
      <c r="A258" s="4" t="s">
        <v>21</v>
      </c>
      <c r="B258" s="4" t="s">
        <v>14</v>
      </c>
      <c r="C258" s="31" t="s">
        <v>435</v>
      </c>
      <c r="D258" s="4" t="s">
        <v>22</v>
      </c>
      <c r="E258" s="4" t="s">
        <v>16</v>
      </c>
      <c r="F258" s="4" t="s">
        <v>17</v>
      </c>
      <c r="G258" s="4" t="s">
        <v>18</v>
      </c>
      <c r="H258" s="4" t="s">
        <v>110</v>
      </c>
      <c r="I258" s="5" t="str">
        <f t="shared" ref="I258:I321" si="4">TEXT(H258,"yyyy-mm")</f>
        <v>2025-02</v>
      </c>
      <c r="J258" s="4" t="s">
        <v>34</v>
      </c>
      <c r="K258" s="5" t="s">
        <v>342</v>
      </c>
      <c r="L258" s="2">
        <v>54000</v>
      </c>
      <c r="M258" s="3">
        <v>1</v>
      </c>
      <c r="N258" s="2">
        <v>54000</v>
      </c>
      <c r="O258" s="2">
        <v>5400</v>
      </c>
      <c r="P258" s="2">
        <v>59400</v>
      </c>
      <c r="Q258" s="2">
        <f>P258*8.5%</f>
        <v>5049</v>
      </c>
    </row>
    <row r="259" spans="1:17" hidden="1" x14ac:dyDescent="0.4">
      <c r="A259" s="4" t="s">
        <v>23</v>
      </c>
      <c r="B259" s="4" t="s">
        <v>14</v>
      </c>
      <c r="C259" s="31" t="s">
        <v>435</v>
      </c>
      <c r="D259" s="4" t="s">
        <v>24</v>
      </c>
      <c r="E259" s="4" t="s">
        <v>16</v>
      </c>
      <c r="F259" s="4" t="s">
        <v>17</v>
      </c>
      <c r="G259" s="4" t="s">
        <v>18</v>
      </c>
      <c r="H259" s="4" t="s">
        <v>110</v>
      </c>
      <c r="I259" s="5" t="str">
        <f t="shared" si="4"/>
        <v>2025-02</v>
      </c>
      <c r="J259" s="4" t="s">
        <v>34</v>
      </c>
      <c r="K259" s="5" t="s">
        <v>342</v>
      </c>
      <c r="L259" s="2">
        <v>54000</v>
      </c>
      <c r="M259" s="3">
        <v>3</v>
      </c>
      <c r="N259" s="2">
        <v>162000</v>
      </c>
      <c r="O259" s="2">
        <v>16200</v>
      </c>
      <c r="P259" s="2">
        <v>178200</v>
      </c>
      <c r="Q259" s="2">
        <f>P259*8.5%</f>
        <v>15147.000000000002</v>
      </c>
    </row>
    <row r="260" spans="1:17" hidden="1" x14ac:dyDescent="0.4">
      <c r="A260" s="4" t="s">
        <v>51</v>
      </c>
      <c r="B260" s="4" t="s">
        <v>14</v>
      </c>
      <c r="C260" s="30" t="s">
        <v>434</v>
      </c>
      <c r="D260" s="4" t="s">
        <v>52</v>
      </c>
      <c r="E260" s="4" t="s">
        <v>16</v>
      </c>
      <c r="F260" s="4" t="s">
        <v>17</v>
      </c>
      <c r="G260" s="4" t="s">
        <v>18</v>
      </c>
      <c r="H260" s="4" t="s">
        <v>110</v>
      </c>
      <c r="I260" s="5" t="str">
        <f t="shared" si="4"/>
        <v>2025-02</v>
      </c>
      <c r="J260" s="4" t="s">
        <v>34</v>
      </c>
      <c r="K260" s="5" t="s">
        <v>342</v>
      </c>
      <c r="L260" s="2">
        <v>71250</v>
      </c>
      <c r="M260" s="3">
        <v>1</v>
      </c>
      <c r="N260" s="2">
        <v>71250</v>
      </c>
      <c r="O260" s="2">
        <v>7125</v>
      </c>
      <c r="P260" s="2">
        <v>78375</v>
      </c>
      <c r="Q260" s="2">
        <f>P260*8.5%</f>
        <v>6661.8750000000009</v>
      </c>
    </row>
    <row r="261" spans="1:17" hidden="1" x14ac:dyDescent="0.4">
      <c r="A261" s="4" t="s">
        <v>84</v>
      </c>
      <c r="B261" s="4" t="s">
        <v>26</v>
      </c>
      <c r="C261" s="32" t="s">
        <v>436</v>
      </c>
      <c r="D261" s="4" t="s">
        <v>85</v>
      </c>
      <c r="E261" s="4" t="s">
        <v>28</v>
      </c>
      <c r="F261" s="4" t="s">
        <v>17</v>
      </c>
      <c r="G261" s="4" t="s">
        <v>18</v>
      </c>
      <c r="H261" s="4" t="s">
        <v>110</v>
      </c>
      <c r="I261" s="5" t="str">
        <f t="shared" si="4"/>
        <v>2025-02</v>
      </c>
      <c r="J261" s="4" t="s">
        <v>34</v>
      </c>
      <c r="K261" s="5" t="s">
        <v>342</v>
      </c>
      <c r="L261" s="2">
        <v>4920</v>
      </c>
      <c r="M261" s="3">
        <v>1</v>
      </c>
      <c r="N261" s="2">
        <v>4920</v>
      </c>
      <c r="O261" s="2">
        <v>492</v>
      </c>
      <c r="P261" s="2">
        <v>5412</v>
      </c>
      <c r="Q261" s="2">
        <f>P261*8.5%</f>
        <v>460.02000000000004</v>
      </c>
    </row>
    <row r="262" spans="1:17" hidden="1" x14ac:dyDescent="0.4">
      <c r="A262" s="4" t="s">
        <v>67</v>
      </c>
      <c r="B262" s="4" t="s">
        <v>26</v>
      </c>
      <c r="C262" s="32" t="s">
        <v>436</v>
      </c>
      <c r="D262" s="4" t="s">
        <v>63</v>
      </c>
      <c r="E262" s="4" t="s">
        <v>28</v>
      </c>
      <c r="F262" s="4" t="s">
        <v>17</v>
      </c>
      <c r="G262" s="4" t="s">
        <v>18</v>
      </c>
      <c r="H262" s="4" t="s">
        <v>110</v>
      </c>
      <c r="I262" s="5" t="str">
        <f t="shared" si="4"/>
        <v>2025-02</v>
      </c>
      <c r="J262" s="4" t="s">
        <v>34</v>
      </c>
      <c r="K262" s="5" t="s">
        <v>342</v>
      </c>
      <c r="L262" s="2">
        <v>7391</v>
      </c>
      <c r="M262" s="3">
        <v>1</v>
      </c>
      <c r="N262" s="2">
        <v>7391</v>
      </c>
      <c r="O262" s="2">
        <v>739</v>
      </c>
      <c r="P262" s="2">
        <v>8130</v>
      </c>
      <c r="Q262" s="2">
        <f>P262*8.5%</f>
        <v>691.05000000000007</v>
      </c>
    </row>
    <row r="263" spans="1:17" hidden="1" x14ac:dyDescent="0.4">
      <c r="A263" s="4" t="s">
        <v>37</v>
      </c>
      <c r="B263" s="4" t="s">
        <v>26</v>
      </c>
      <c r="C263" s="32" t="s">
        <v>436</v>
      </c>
      <c r="D263" s="4" t="s">
        <v>38</v>
      </c>
      <c r="E263" s="4" t="s">
        <v>28</v>
      </c>
      <c r="F263" s="4" t="s">
        <v>17</v>
      </c>
      <c r="G263" s="4" t="s">
        <v>18</v>
      </c>
      <c r="H263" s="4" t="s">
        <v>110</v>
      </c>
      <c r="I263" s="5" t="str">
        <f t="shared" si="4"/>
        <v>2025-02</v>
      </c>
      <c r="J263" s="4" t="s">
        <v>34</v>
      </c>
      <c r="K263" s="5" t="s">
        <v>342</v>
      </c>
      <c r="L263" s="2">
        <v>386</v>
      </c>
      <c r="M263" s="3">
        <v>20</v>
      </c>
      <c r="N263" s="2">
        <v>7720</v>
      </c>
      <c r="O263" s="2">
        <v>772</v>
      </c>
      <c r="P263" s="2">
        <v>8492</v>
      </c>
      <c r="Q263" s="2">
        <f>P263*8.5%</f>
        <v>721.82</v>
      </c>
    </row>
    <row r="264" spans="1:17" hidden="1" x14ac:dyDescent="0.4">
      <c r="A264" s="4" t="s">
        <v>40</v>
      </c>
      <c r="B264" s="4" t="s">
        <v>26</v>
      </c>
      <c r="C264" s="32" t="s">
        <v>436</v>
      </c>
      <c r="D264" s="4" t="s">
        <v>41</v>
      </c>
      <c r="E264" s="4" t="s">
        <v>28</v>
      </c>
      <c r="F264" s="4" t="s">
        <v>17</v>
      </c>
      <c r="G264" s="4" t="s">
        <v>18</v>
      </c>
      <c r="H264" s="4" t="s">
        <v>110</v>
      </c>
      <c r="I264" s="5" t="str">
        <f t="shared" si="4"/>
        <v>2025-02</v>
      </c>
      <c r="J264" s="4" t="s">
        <v>34</v>
      </c>
      <c r="K264" s="5" t="s">
        <v>342</v>
      </c>
      <c r="L264" s="2">
        <v>17539</v>
      </c>
      <c r="M264" s="3">
        <v>2</v>
      </c>
      <c r="N264" s="2">
        <v>35078</v>
      </c>
      <c r="O264" s="2">
        <v>3508</v>
      </c>
      <c r="P264" s="2">
        <v>38586</v>
      </c>
      <c r="Q264" s="2">
        <f>P264*8.5%</f>
        <v>3279.8100000000004</v>
      </c>
    </row>
    <row r="265" spans="1:17" hidden="1" x14ac:dyDescent="0.4">
      <c r="A265" s="4" t="s">
        <v>42</v>
      </c>
      <c r="B265" s="4" t="s">
        <v>14</v>
      </c>
      <c r="C265" s="30" t="s">
        <v>434</v>
      </c>
      <c r="D265" s="4" t="s">
        <v>43</v>
      </c>
      <c r="E265" s="4" t="s">
        <v>44</v>
      </c>
      <c r="F265" s="4" t="s">
        <v>31</v>
      </c>
      <c r="G265" s="4" t="s">
        <v>18</v>
      </c>
      <c r="H265" s="4" t="s">
        <v>110</v>
      </c>
      <c r="I265" s="5" t="str">
        <f t="shared" si="4"/>
        <v>2025-02</v>
      </c>
      <c r="J265" s="4" t="s">
        <v>34</v>
      </c>
      <c r="K265" s="5" t="s">
        <v>342</v>
      </c>
      <c r="L265" s="2">
        <v>6800</v>
      </c>
      <c r="M265" s="3">
        <v>60.3</v>
      </c>
      <c r="N265" s="2">
        <v>410040</v>
      </c>
      <c r="O265" s="2">
        <v>0</v>
      </c>
      <c r="P265" s="2">
        <v>410040</v>
      </c>
      <c r="Q265" s="2">
        <f>P265*8.5%</f>
        <v>34853.4</v>
      </c>
    </row>
    <row r="266" spans="1:17" hidden="1" x14ac:dyDescent="0.4">
      <c r="A266" s="4" t="s">
        <v>32</v>
      </c>
      <c r="B266" s="4" t="s">
        <v>14</v>
      </c>
      <c r="C266" s="31" t="s">
        <v>435</v>
      </c>
      <c r="D266" s="4" t="s">
        <v>33</v>
      </c>
      <c r="E266" s="4" t="s">
        <v>16</v>
      </c>
      <c r="F266" s="4" t="s">
        <v>17</v>
      </c>
      <c r="G266" s="4" t="s">
        <v>18</v>
      </c>
      <c r="H266" s="4" t="s">
        <v>110</v>
      </c>
      <c r="I266" s="5" t="str">
        <f t="shared" si="4"/>
        <v>2025-02</v>
      </c>
      <c r="J266" s="4" t="s">
        <v>49</v>
      </c>
      <c r="K266" s="5" t="s">
        <v>343</v>
      </c>
      <c r="L266" s="2">
        <v>44000</v>
      </c>
      <c r="M266" s="3">
        <v>6</v>
      </c>
      <c r="N266" s="2">
        <v>264000</v>
      </c>
      <c r="O266" s="2">
        <v>26400</v>
      </c>
      <c r="P266" s="2">
        <v>290400</v>
      </c>
      <c r="Q266" s="2">
        <f>P266*12%</f>
        <v>34848</v>
      </c>
    </row>
    <row r="267" spans="1:17" hidden="1" x14ac:dyDescent="0.4">
      <c r="A267" s="4" t="s">
        <v>13</v>
      </c>
      <c r="B267" s="4" t="s">
        <v>14</v>
      </c>
      <c r="C267" s="30" t="s">
        <v>434</v>
      </c>
      <c r="D267" s="4" t="s">
        <v>15</v>
      </c>
      <c r="E267" s="4" t="s">
        <v>16</v>
      </c>
      <c r="F267" s="4" t="s">
        <v>17</v>
      </c>
      <c r="G267" s="4" t="s">
        <v>18</v>
      </c>
      <c r="H267" s="4" t="s">
        <v>110</v>
      </c>
      <c r="I267" s="5" t="str">
        <f t="shared" si="4"/>
        <v>2025-02</v>
      </c>
      <c r="J267" s="4" t="s">
        <v>49</v>
      </c>
      <c r="K267" s="5" t="s">
        <v>343</v>
      </c>
      <c r="L267" s="2">
        <v>42000</v>
      </c>
      <c r="M267" s="3">
        <v>4</v>
      </c>
      <c r="N267" s="2">
        <v>168000</v>
      </c>
      <c r="O267" s="2">
        <v>16800</v>
      </c>
      <c r="P267" s="2">
        <v>184800</v>
      </c>
      <c r="Q267" s="2">
        <f>P267*12%</f>
        <v>22176</v>
      </c>
    </row>
    <row r="268" spans="1:17" hidden="1" x14ac:dyDescent="0.4">
      <c r="A268" s="4" t="s">
        <v>35</v>
      </c>
      <c r="B268" s="4" t="s">
        <v>14</v>
      </c>
      <c r="C268" s="30" t="s">
        <v>434</v>
      </c>
      <c r="D268" s="4" t="s">
        <v>36</v>
      </c>
      <c r="E268" s="4" t="s">
        <v>16</v>
      </c>
      <c r="F268" s="4" t="s">
        <v>17</v>
      </c>
      <c r="G268" s="4" t="s">
        <v>18</v>
      </c>
      <c r="H268" s="4" t="s">
        <v>110</v>
      </c>
      <c r="I268" s="5" t="str">
        <f t="shared" si="4"/>
        <v>2025-02</v>
      </c>
      <c r="J268" s="4" t="s">
        <v>49</v>
      </c>
      <c r="K268" s="5" t="s">
        <v>343</v>
      </c>
      <c r="L268" s="2">
        <v>116220</v>
      </c>
      <c r="M268" s="3">
        <v>1</v>
      </c>
      <c r="N268" s="2">
        <v>116220</v>
      </c>
      <c r="O268" s="2">
        <v>11622</v>
      </c>
      <c r="P268" s="2">
        <v>127842</v>
      </c>
      <c r="Q268" s="2">
        <f>P268*12%</f>
        <v>15341.039999999999</v>
      </c>
    </row>
    <row r="269" spans="1:17" hidden="1" x14ac:dyDescent="0.4">
      <c r="A269" s="4" t="s">
        <v>23</v>
      </c>
      <c r="B269" s="4" t="s">
        <v>14</v>
      </c>
      <c r="C269" s="31" t="s">
        <v>435</v>
      </c>
      <c r="D269" s="4" t="s">
        <v>24</v>
      </c>
      <c r="E269" s="4" t="s">
        <v>16</v>
      </c>
      <c r="F269" s="4" t="s">
        <v>17</v>
      </c>
      <c r="G269" s="4" t="s">
        <v>18</v>
      </c>
      <c r="H269" s="4" t="s">
        <v>110</v>
      </c>
      <c r="I269" s="5" t="str">
        <f t="shared" si="4"/>
        <v>2025-02</v>
      </c>
      <c r="J269" s="4" t="s">
        <v>49</v>
      </c>
      <c r="K269" s="5" t="s">
        <v>343</v>
      </c>
      <c r="L269" s="2">
        <v>54000</v>
      </c>
      <c r="M269" s="3">
        <v>2</v>
      </c>
      <c r="N269" s="2">
        <v>108000</v>
      </c>
      <c r="O269" s="2">
        <v>10800</v>
      </c>
      <c r="P269" s="2">
        <v>118800</v>
      </c>
      <c r="Q269" s="2">
        <f>P269*12%</f>
        <v>14256</v>
      </c>
    </row>
    <row r="270" spans="1:17" x14ac:dyDescent="0.4">
      <c r="A270" s="4" t="s">
        <v>21</v>
      </c>
      <c r="B270" s="4" t="s">
        <v>14</v>
      </c>
      <c r="C270" s="31" t="s">
        <v>435</v>
      </c>
      <c r="D270" s="4" t="s">
        <v>22</v>
      </c>
      <c r="E270" s="4" t="s">
        <v>16</v>
      </c>
      <c r="F270" s="4" t="s">
        <v>17</v>
      </c>
      <c r="G270" s="4" t="s">
        <v>18</v>
      </c>
      <c r="H270" s="4" t="s">
        <v>111</v>
      </c>
      <c r="I270" s="5" t="str">
        <f t="shared" si="4"/>
        <v>2025-02</v>
      </c>
      <c r="J270" s="4" t="s">
        <v>20</v>
      </c>
      <c r="K270" s="5" t="s">
        <v>342</v>
      </c>
      <c r="L270" s="2">
        <v>54000</v>
      </c>
      <c r="M270" s="3">
        <v>1</v>
      </c>
      <c r="N270" s="2">
        <v>54000</v>
      </c>
      <c r="O270" s="2">
        <v>5400</v>
      </c>
      <c r="P270" s="2">
        <v>59400</v>
      </c>
      <c r="Q270" s="2">
        <f>P270*8.5%</f>
        <v>5049</v>
      </c>
    </row>
    <row r="271" spans="1:17" x14ac:dyDescent="0.4">
      <c r="A271" s="4" t="s">
        <v>23</v>
      </c>
      <c r="B271" s="4" t="s">
        <v>14</v>
      </c>
      <c r="C271" s="31" t="s">
        <v>435</v>
      </c>
      <c r="D271" s="4" t="s">
        <v>24</v>
      </c>
      <c r="E271" s="4" t="s">
        <v>16</v>
      </c>
      <c r="F271" s="4" t="s">
        <v>17</v>
      </c>
      <c r="G271" s="4" t="s">
        <v>18</v>
      </c>
      <c r="H271" s="4" t="s">
        <v>111</v>
      </c>
      <c r="I271" s="5" t="str">
        <f t="shared" si="4"/>
        <v>2025-02</v>
      </c>
      <c r="J271" s="4" t="s">
        <v>20</v>
      </c>
      <c r="K271" s="5" t="s">
        <v>342</v>
      </c>
      <c r="L271" s="2">
        <v>54000</v>
      </c>
      <c r="M271" s="3">
        <v>2</v>
      </c>
      <c r="N271" s="2">
        <v>108000</v>
      </c>
      <c r="O271" s="2">
        <v>10800</v>
      </c>
      <c r="P271" s="2">
        <v>118800</v>
      </c>
      <c r="Q271" s="2">
        <f>P271*8.5%</f>
        <v>10098</v>
      </c>
    </row>
    <row r="272" spans="1:17" hidden="1" x14ac:dyDescent="0.4">
      <c r="A272" s="4" t="s">
        <v>32</v>
      </c>
      <c r="B272" s="4" t="s">
        <v>14</v>
      </c>
      <c r="C272" s="31" t="s">
        <v>435</v>
      </c>
      <c r="D272" s="4" t="s">
        <v>33</v>
      </c>
      <c r="E272" s="4" t="s">
        <v>16</v>
      </c>
      <c r="F272" s="4" t="s">
        <v>17</v>
      </c>
      <c r="G272" s="4" t="s">
        <v>18</v>
      </c>
      <c r="H272" s="4" t="s">
        <v>111</v>
      </c>
      <c r="I272" s="5" t="str">
        <f t="shared" si="4"/>
        <v>2025-02</v>
      </c>
      <c r="J272" s="4" t="s">
        <v>34</v>
      </c>
      <c r="K272" s="5" t="s">
        <v>342</v>
      </c>
      <c r="L272" s="2">
        <v>44000</v>
      </c>
      <c r="M272" s="3">
        <v>3</v>
      </c>
      <c r="N272" s="2">
        <v>132000</v>
      </c>
      <c r="O272" s="2">
        <v>13200</v>
      </c>
      <c r="P272" s="2">
        <v>145200</v>
      </c>
      <c r="Q272" s="2">
        <f>P272*8.5%</f>
        <v>12342</v>
      </c>
    </row>
    <row r="273" spans="1:17" hidden="1" x14ac:dyDescent="0.4">
      <c r="A273" s="4" t="s">
        <v>58</v>
      </c>
      <c r="B273" s="4" t="s">
        <v>14</v>
      </c>
      <c r="C273" s="30" t="s">
        <v>434</v>
      </c>
      <c r="D273" s="4" t="s">
        <v>36</v>
      </c>
      <c r="E273" s="4" t="s">
        <v>16</v>
      </c>
      <c r="F273" s="4" t="s">
        <v>17</v>
      </c>
      <c r="G273" s="4" t="s">
        <v>18</v>
      </c>
      <c r="H273" s="4" t="s">
        <v>111</v>
      </c>
      <c r="I273" s="5" t="str">
        <f t="shared" si="4"/>
        <v>2025-02</v>
      </c>
      <c r="J273" s="4" t="s">
        <v>34</v>
      </c>
      <c r="K273" s="5" t="s">
        <v>342</v>
      </c>
      <c r="L273" s="2">
        <v>120880</v>
      </c>
      <c r="M273" s="3">
        <v>1</v>
      </c>
      <c r="N273" s="2">
        <v>120880</v>
      </c>
      <c r="O273" s="2">
        <v>12088</v>
      </c>
      <c r="P273" s="2">
        <v>132968</v>
      </c>
      <c r="Q273" s="2">
        <f>P273*8.5%</f>
        <v>11302.28</v>
      </c>
    </row>
    <row r="274" spans="1:17" hidden="1" x14ac:dyDescent="0.4">
      <c r="A274" s="4" t="s">
        <v>13</v>
      </c>
      <c r="B274" s="4" t="s">
        <v>14</v>
      </c>
      <c r="C274" s="30" t="s">
        <v>434</v>
      </c>
      <c r="D274" s="4" t="s">
        <v>15</v>
      </c>
      <c r="E274" s="4" t="s">
        <v>16</v>
      </c>
      <c r="F274" s="4" t="s">
        <v>17</v>
      </c>
      <c r="G274" s="4" t="s">
        <v>18</v>
      </c>
      <c r="H274" s="4" t="s">
        <v>111</v>
      </c>
      <c r="I274" s="5" t="str">
        <f t="shared" si="4"/>
        <v>2025-02</v>
      </c>
      <c r="J274" s="4" t="s">
        <v>34</v>
      </c>
      <c r="K274" s="5" t="s">
        <v>342</v>
      </c>
      <c r="L274" s="2">
        <v>42000</v>
      </c>
      <c r="M274" s="3">
        <v>4</v>
      </c>
      <c r="N274" s="2">
        <v>168000</v>
      </c>
      <c r="O274" s="2">
        <v>16800</v>
      </c>
      <c r="P274" s="2">
        <v>184800</v>
      </c>
      <c r="Q274" s="2">
        <f>P274*8.5%</f>
        <v>15708.000000000002</v>
      </c>
    </row>
    <row r="275" spans="1:17" hidden="1" x14ac:dyDescent="0.4">
      <c r="A275" s="4" t="s">
        <v>21</v>
      </c>
      <c r="B275" s="4" t="s">
        <v>14</v>
      </c>
      <c r="C275" s="31" t="s">
        <v>435</v>
      </c>
      <c r="D275" s="4" t="s">
        <v>22</v>
      </c>
      <c r="E275" s="4" t="s">
        <v>16</v>
      </c>
      <c r="F275" s="4" t="s">
        <v>17</v>
      </c>
      <c r="G275" s="4" t="s">
        <v>18</v>
      </c>
      <c r="H275" s="4" t="s">
        <v>111</v>
      </c>
      <c r="I275" s="5" t="str">
        <f t="shared" si="4"/>
        <v>2025-02</v>
      </c>
      <c r="J275" s="4" t="s">
        <v>34</v>
      </c>
      <c r="K275" s="5" t="s">
        <v>342</v>
      </c>
      <c r="L275" s="2">
        <v>54000</v>
      </c>
      <c r="M275" s="3">
        <v>1</v>
      </c>
      <c r="N275" s="2">
        <v>54000</v>
      </c>
      <c r="O275" s="2">
        <v>5400</v>
      </c>
      <c r="P275" s="2">
        <v>59400</v>
      </c>
      <c r="Q275" s="2">
        <f>P275*8.5%</f>
        <v>5049</v>
      </c>
    </row>
    <row r="276" spans="1:17" hidden="1" x14ac:dyDescent="0.4">
      <c r="A276" s="4" t="s">
        <v>35</v>
      </c>
      <c r="B276" s="4" t="s">
        <v>14</v>
      </c>
      <c r="C276" s="30" t="s">
        <v>434</v>
      </c>
      <c r="D276" s="4" t="s">
        <v>36</v>
      </c>
      <c r="E276" s="4" t="s">
        <v>16</v>
      </c>
      <c r="F276" s="4" t="s">
        <v>17</v>
      </c>
      <c r="G276" s="4" t="s">
        <v>18</v>
      </c>
      <c r="H276" s="4" t="s">
        <v>111</v>
      </c>
      <c r="I276" s="5" t="str">
        <f t="shared" si="4"/>
        <v>2025-02</v>
      </c>
      <c r="J276" s="4" t="s">
        <v>34</v>
      </c>
      <c r="K276" s="5" t="s">
        <v>342</v>
      </c>
      <c r="L276" s="2">
        <v>116220</v>
      </c>
      <c r="M276" s="3">
        <v>1</v>
      </c>
      <c r="N276" s="2">
        <v>116220</v>
      </c>
      <c r="O276" s="2">
        <v>11622</v>
      </c>
      <c r="P276" s="2">
        <v>127842</v>
      </c>
      <c r="Q276" s="2">
        <f>P276*8.5%</f>
        <v>10866.570000000002</v>
      </c>
    </row>
    <row r="277" spans="1:17" hidden="1" x14ac:dyDescent="0.4">
      <c r="A277" s="4" t="s">
        <v>23</v>
      </c>
      <c r="B277" s="4" t="s">
        <v>14</v>
      </c>
      <c r="C277" s="31" t="s">
        <v>435</v>
      </c>
      <c r="D277" s="4" t="s">
        <v>24</v>
      </c>
      <c r="E277" s="4" t="s">
        <v>16</v>
      </c>
      <c r="F277" s="4" t="s">
        <v>17</v>
      </c>
      <c r="G277" s="4" t="s">
        <v>18</v>
      </c>
      <c r="H277" s="4" t="s">
        <v>111</v>
      </c>
      <c r="I277" s="5" t="str">
        <f t="shared" si="4"/>
        <v>2025-02</v>
      </c>
      <c r="J277" s="4" t="s">
        <v>34</v>
      </c>
      <c r="K277" s="5" t="s">
        <v>342</v>
      </c>
      <c r="L277" s="2">
        <v>54000</v>
      </c>
      <c r="M277" s="3">
        <v>3</v>
      </c>
      <c r="N277" s="2">
        <v>162000</v>
      </c>
      <c r="O277" s="2">
        <v>16200</v>
      </c>
      <c r="P277" s="2">
        <v>178200</v>
      </c>
      <c r="Q277" s="2">
        <f>P277*8.5%</f>
        <v>15147.000000000002</v>
      </c>
    </row>
    <row r="278" spans="1:17" hidden="1" x14ac:dyDescent="0.4">
      <c r="A278" s="4" t="s">
        <v>68</v>
      </c>
      <c r="B278" s="4" t="s">
        <v>26</v>
      </c>
      <c r="C278" s="32" t="s">
        <v>436</v>
      </c>
      <c r="D278" s="4" t="s">
        <v>69</v>
      </c>
      <c r="E278" s="4" t="s">
        <v>28</v>
      </c>
      <c r="F278" s="4" t="s">
        <v>17</v>
      </c>
      <c r="G278" s="4" t="s">
        <v>18</v>
      </c>
      <c r="H278" s="4" t="s">
        <v>111</v>
      </c>
      <c r="I278" s="5" t="str">
        <f t="shared" si="4"/>
        <v>2025-02</v>
      </c>
      <c r="J278" s="4" t="s">
        <v>34</v>
      </c>
      <c r="K278" s="5" t="s">
        <v>342</v>
      </c>
      <c r="L278" s="2">
        <v>4677</v>
      </c>
      <c r="M278" s="3">
        <v>2</v>
      </c>
      <c r="N278" s="2">
        <v>9354</v>
      </c>
      <c r="O278" s="2">
        <v>935</v>
      </c>
      <c r="P278" s="2">
        <v>10289</v>
      </c>
      <c r="Q278" s="2">
        <f>P278*8.5%</f>
        <v>874.56500000000005</v>
      </c>
    </row>
    <row r="279" spans="1:17" hidden="1" x14ac:dyDescent="0.4">
      <c r="A279" s="4" t="s">
        <v>42</v>
      </c>
      <c r="B279" s="4" t="s">
        <v>14</v>
      </c>
      <c r="C279" s="30" t="s">
        <v>434</v>
      </c>
      <c r="D279" s="4" t="s">
        <v>43</v>
      </c>
      <c r="E279" s="4" t="s">
        <v>44</v>
      </c>
      <c r="F279" s="4" t="s">
        <v>31</v>
      </c>
      <c r="G279" s="4" t="s">
        <v>18</v>
      </c>
      <c r="H279" s="4" t="s">
        <v>111</v>
      </c>
      <c r="I279" s="5" t="str">
        <f t="shared" si="4"/>
        <v>2025-02</v>
      </c>
      <c r="J279" s="4" t="s">
        <v>34</v>
      </c>
      <c r="K279" s="5" t="s">
        <v>342</v>
      </c>
      <c r="L279" s="2">
        <v>6800</v>
      </c>
      <c r="M279" s="3">
        <v>34.700000000000003</v>
      </c>
      <c r="N279" s="2">
        <v>235960</v>
      </c>
      <c r="O279" s="2">
        <v>0</v>
      </c>
      <c r="P279" s="2">
        <v>235960</v>
      </c>
      <c r="Q279" s="2">
        <f>P279*8.5%</f>
        <v>20056.600000000002</v>
      </c>
    </row>
    <row r="280" spans="1:17" hidden="1" x14ac:dyDescent="0.4">
      <c r="A280" s="4" t="s">
        <v>45</v>
      </c>
      <c r="B280" s="4" t="s">
        <v>26</v>
      </c>
      <c r="C280" s="32" t="s">
        <v>436</v>
      </c>
      <c r="D280" s="4" t="s">
        <v>46</v>
      </c>
      <c r="E280" s="4" t="s">
        <v>47</v>
      </c>
      <c r="F280" s="4" t="s">
        <v>17</v>
      </c>
      <c r="G280" s="4" t="s">
        <v>18</v>
      </c>
      <c r="H280" s="4" t="s">
        <v>111</v>
      </c>
      <c r="I280" s="5" t="str">
        <f t="shared" si="4"/>
        <v>2025-02</v>
      </c>
      <c r="J280" s="4" t="s">
        <v>34</v>
      </c>
      <c r="K280" s="5" t="s">
        <v>342</v>
      </c>
      <c r="L280" s="2">
        <v>6431</v>
      </c>
      <c r="M280" s="3">
        <v>3</v>
      </c>
      <c r="N280" s="2">
        <v>19293</v>
      </c>
      <c r="O280" s="2">
        <v>1929</v>
      </c>
      <c r="P280" s="2">
        <v>21222</v>
      </c>
      <c r="Q280" s="2">
        <f>P280*8.5%</f>
        <v>1803.8700000000001</v>
      </c>
    </row>
    <row r="281" spans="1:17" hidden="1" x14ac:dyDescent="0.4">
      <c r="A281" s="4" t="s">
        <v>32</v>
      </c>
      <c r="B281" s="4" t="s">
        <v>14</v>
      </c>
      <c r="C281" s="31" t="s">
        <v>435</v>
      </c>
      <c r="D281" s="4" t="s">
        <v>33</v>
      </c>
      <c r="E281" s="4" t="s">
        <v>16</v>
      </c>
      <c r="F281" s="4" t="s">
        <v>17</v>
      </c>
      <c r="G281" s="4" t="s">
        <v>18</v>
      </c>
      <c r="H281" s="4" t="s">
        <v>111</v>
      </c>
      <c r="I281" s="5" t="str">
        <f t="shared" si="4"/>
        <v>2025-02</v>
      </c>
      <c r="J281" s="4" t="s">
        <v>59</v>
      </c>
      <c r="K281" s="5" t="s">
        <v>343</v>
      </c>
      <c r="L281" s="2">
        <v>44000</v>
      </c>
      <c r="M281" s="3">
        <v>2</v>
      </c>
      <c r="N281" s="2">
        <v>88000</v>
      </c>
      <c r="O281" s="2">
        <v>8800</v>
      </c>
      <c r="P281" s="2">
        <v>96800</v>
      </c>
      <c r="Q281" s="2">
        <f>P281*12%</f>
        <v>11616</v>
      </c>
    </row>
    <row r="282" spans="1:17" hidden="1" x14ac:dyDescent="0.4">
      <c r="A282" s="4" t="s">
        <v>13</v>
      </c>
      <c r="B282" s="4" t="s">
        <v>14</v>
      </c>
      <c r="C282" s="30" t="s">
        <v>434</v>
      </c>
      <c r="D282" s="4" t="s">
        <v>15</v>
      </c>
      <c r="E282" s="4" t="s">
        <v>16</v>
      </c>
      <c r="F282" s="4" t="s">
        <v>17</v>
      </c>
      <c r="G282" s="4" t="s">
        <v>18</v>
      </c>
      <c r="H282" s="4" t="s">
        <v>111</v>
      </c>
      <c r="I282" s="5" t="str">
        <f t="shared" si="4"/>
        <v>2025-02</v>
      </c>
      <c r="J282" s="4" t="s">
        <v>59</v>
      </c>
      <c r="K282" s="5" t="s">
        <v>343</v>
      </c>
      <c r="L282" s="2">
        <v>42000</v>
      </c>
      <c r="M282" s="3">
        <v>4</v>
      </c>
      <c r="N282" s="2">
        <v>168000</v>
      </c>
      <c r="O282" s="2">
        <v>16800</v>
      </c>
      <c r="P282" s="2">
        <v>184800</v>
      </c>
      <c r="Q282" s="2">
        <f>P282*12%</f>
        <v>22176</v>
      </c>
    </row>
    <row r="283" spans="1:17" hidden="1" x14ac:dyDescent="0.4">
      <c r="A283" s="4" t="s">
        <v>23</v>
      </c>
      <c r="B283" s="4" t="s">
        <v>14</v>
      </c>
      <c r="C283" s="31" t="s">
        <v>435</v>
      </c>
      <c r="D283" s="4" t="s">
        <v>24</v>
      </c>
      <c r="E283" s="4" t="s">
        <v>16</v>
      </c>
      <c r="F283" s="4" t="s">
        <v>17</v>
      </c>
      <c r="G283" s="4" t="s">
        <v>18</v>
      </c>
      <c r="H283" s="4" t="s">
        <v>111</v>
      </c>
      <c r="I283" s="5" t="str">
        <f t="shared" si="4"/>
        <v>2025-02</v>
      </c>
      <c r="J283" s="4" t="s">
        <v>59</v>
      </c>
      <c r="K283" s="5" t="s">
        <v>343</v>
      </c>
      <c r="L283" s="2">
        <v>54000</v>
      </c>
      <c r="M283" s="3">
        <v>2</v>
      </c>
      <c r="N283" s="2">
        <v>108000</v>
      </c>
      <c r="O283" s="2">
        <v>10800</v>
      </c>
      <c r="P283" s="2">
        <v>118800</v>
      </c>
      <c r="Q283" s="2">
        <f>P283*12%</f>
        <v>14256</v>
      </c>
    </row>
    <row r="284" spans="1:17" hidden="1" x14ac:dyDescent="0.4">
      <c r="A284" s="4" t="s">
        <v>112</v>
      </c>
      <c r="B284" s="4" t="s">
        <v>26</v>
      </c>
      <c r="C284" s="32" t="s">
        <v>436</v>
      </c>
      <c r="D284" s="4" t="s">
        <v>113</v>
      </c>
      <c r="E284" s="4" t="s">
        <v>28</v>
      </c>
      <c r="F284" s="4" t="s">
        <v>17</v>
      </c>
      <c r="G284" s="4" t="s">
        <v>18</v>
      </c>
      <c r="H284" s="4" t="s">
        <v>111</v>
      </c>
      <c r="I284" s="5" t="str">
        <f t="shared" si="4"/>
        <v>2025-02</v>
      </c>
      <c r="J284" s="4" t="s">
        <v>59</v>
      </c>
      <c r="K284" s="5" t="s">
        <v>343</v>
      </c>
      <c r="L284" s="2">
        <v>367</v>
      </c>
      <c r="M284" s="3">
        <v>20</v>
      </c>
      <c r="N284" s="2">
        <v>7340</v>
      </c>
      <c r="O284" s="2">
        <v>734</v>
      </c>
      <c r="P284" s="2">
        <v>8074</v>
      </c>
      <c r="Q284" s="2">
        <f>P284*12%</f>
        <v>968.88</v>
      </c>
    </row>
    <row r="285" spans="1:17" hidden="1" x14ac:dyDescent="0.4">
      <c r="A285" s="4" t="s">
        <v>100</v>
      </c>
      <c r="B285" s="4" t="s">
        <v>26</v>
      </c>
      <c r="C285" s="32" t="s">
        <v>436</v>
      </c>
      <c r="D285" s="4" t="s">
        <v>101</v>
      </c>
      <c r="E285" s="4" t="s">
        <v>28</v>
      </c>
      <c r="F285" s="4" t="s">
        <v>17</v>
      </c>
      <c r="G285" s="4" t="s">
        <v>18</v>
      </c>
      <c r="H285" s="4" t="s">
        <v>111</v>
      </c>
      <c r="I285" s="5" t="str">
        <f t="shared" si="4"/>
        <v>2025-02</v>
      </c>
      <c r="J285" s="4" t="s">
        <v>59</v>
      </c>
      <c r="K285" s="5" t="s">
        <v>343</v>
      </c>
      <c r="L285" s="2">
        <v>5496</v>
      </c>
      <c r="M285" s="3">
        <v>4</v>
      </c>
      <c r="N285" s="2">
        <v>21984</v>
      </c>
      <c r="O285" s="2">
        <v>2198</v>
      </c>
      <c r="P285" s="2">
        <v>24182</v>
      </c>
      <c r="Q285" s="2">
        <f>P285*12%</f>
        <v>2901.8399999999997</v>
      </c>
    </row>
    <row r="286" spans="1:17" x14ac:dyDescent="0.4">
      <c r="A286" s="4" t="s">
        <v>13</v>
      </c>
      <c r="B286" s="4" t="s">
        <v>14</v>
      </c>
      <c r="C286" s="30" t="s">
        <v>434</v>
      </c>
      <c r="D286" s="4" t="s">
        <v>15</v>
      </c>
      <c r="E286" s="4" t="s">
        <v>16</v>
      </c>
      <c r="F286" s="4" t="s">
        <v>17</v>
      </c>
      <c r="G286" s="4" t="s">
        <v>18</v>
      </c>
      <c r="H286" s="4" t="s">
        <v>114</v>
      </c>
      <c r="I286" s="5" t="str">
        <f t="shared" si="4"/>
        <v>2025-02</v>
      </c>
      <c r="J286" s="4" t="s">
        <v>20</v>
      </c>
      <c r="K286" s="5" t="s">
        <v>342</v>
      </c>
      <c r="L286" s="2">
        <v>42000</v>
      </c>
      <c r="M286" s="3">
        <v>1</v>
      </c>
      <c r="N286" s="2">
        <v>42000</v>
      </c>
      <c r="O286" s="2">
        <v>4200</v>
      </c>
      <c r="P286" s="2">
        <v>46200</v>
      </c>
      <c r="Q286" s="2">
        <f>P286*8.5%</f>
        <v>3927.0000000000005</v>
      </c>
    </row>
    <row r="287" spans="1:17" x14ac:dyDescent="0.4">
      <c r="A287" s="4" t="s">
        <v>21</v>
      </c>
      <c r="B287" s="4" t="s">
        <v>14</v>
      </c>
      <c r="C287" s="31" t="s">
        <v>435</v>
      </c>
      <c r="D287" s="4" t="s">
        <v>22</v>
      </c>
      <c r="E287" s="4" t="s">
        <v>16</v>
      </c>
      <c r="F287" s="4" t="s">
        <v>17</v>
      </c>
      <c r="G287" s="4" t="s">
        <v>18</v>
      </c>
      <c r="H287" s="4" t="s">
        <v>114</v>
      </c>
      <c r="I287" s="5" t="str">
        <f t="shared" si="4"/>
        <v>2025-02</v>
      </c>
      <c r="J287" s="4" t="s">
        <v>20</v>
      </c>
      <c r="K287" s="5" t="s">
        <v>342</v>
      </c>
      <c r="L287" s="2">
        <v>54000</v>
      </c>
      <c r="M287" s="3">
        <v>1</v>
      </c>
      <c r="N287" s="2">
        <v>54000</v>
      </c>
      <c r="O287" s="2">
        <v>5400</v>
      </c>
      <c r="P287" s="2">
        <v>59400</v>
      </c>
      <c r="Q287" s="2">
        <f>P287*8.5%</f>
        <v>5049</v>
      </c>
    </row>
    <row r="288" spans="1:17" x14ac:dyDescent="0.4">
      <c r="A288" s="4" t="s">
        <v>23</v>
      </c>
      <c r="B288" s="4" t="s">
        <v>14</v>
      </c>
      <c r="C288" s="31" t="s">
        <v>435</v>
      </c>
      <c r="D288" s="4" t="s">
        <v>24</v>
      </c>
      <c r="E288" s="4" t="s">
        <v>16</v>
      </c>
      <c r="F288" s="4" t="s">
        <v>17</v>
      </c>
      <c r="G288" s="4" t="s">
        <v>18</v>
      </c>
      <c r="H288" s="4" t="s">
        <v>114</v>
      </c>
      <c r="I288" s="5" t="str">
        <f t="shared" si="4"/>
        <v>2025-02</v>
      </c>
      <c r="J288" s="4" t="s">
        <v>20</v>
      </c>
      <c r="K288" s="5" t="s">
        <v>342</v>
      </c>
      <c r="L288" s="2">
        <v>54000</v>
      </c>
      <c r="M288" s="3">
        <v>2</v>
      </c>
      <c r="N288" s="2">
        <v>108000</v>
      </c>
      <c r="O288" s="2">
        <v>10800</v>
      </c>
      <c r="P288" s="2">
        <v>118800</v>
      </c>
      <c r="Q288" s="2">
        <f>P288*8.5%</f>
        <v>10098</v>
      </c>
    </row>
    <row r="289" spans="1:17" x14ac:dyDescent="0.4">
      <c r="A289" s="4" t="s">
        <v>56</v>
      </c>
      <c r="B289" s="4" t="s">
        <v>26</v>
      </c>
      <c r="C289" s="32" t="s">
        <v>436</v>
      </c>
      <c r="D289" s="4" t="s">
        <v>57</v>
      </c>
      <c r="E289" s="4" t="s">
        <v>44</v>
      </c>
      <c r="F289" s="4" t="s">
        <v>31</v>
      </c>
      <c r="G289" s="4" t="s">
        <v>18</v>
      </c>
      <c r="H289" s="4" t="s">
        <v>114</v>
      </c>
      <c r="I289" s="5" t="str">
        <f t="shared" si="4"/>
        <v>2025-02</v>
      </c>
      <c r="J289" s="4" t="s">
        <v>20</v>
      </c>
      <c r="K289" s="5" t="s">
        <v>342</v>
      </c>
      <c r="L289" s="2">
        <v>3169</v>
      </c>
      <c r="M289" s="3">
        <v>10</v>
      </c>
      <c r="N289" s="2">
        <v>31690</v>
      </c>
      <c r="O289" s="2">
        <v>0</v>
      </c>
      <c r="P289" s="2">
        <v>31690</v>
      </c>
      <c r="Q289" s="2">
        <f>P289*8.5%</f>
        <v>2693.65</v>
      </c>
    </row>
    <row r="290" spans="1:17" hidden="1" x14ac:dyDescent="0.4">
      <c r="A290" s="4" t="s">
        <v>64</v>
      </c>
      <c r="B290" s="4" t="s">
        <v>65</v>
      </c>
      <c r="C290" s="32" t="s">
        <v>436</v>
      </c>
      <c r="D290" s="4" t="s">
        <v>66</v>
      </c>
      <c r="E290" s="4" t="s">
        <v>16</v>
      </c>
      <c r="F290" s="4" t="s">
        <v>17</v>
      </c>
      <c r="G290" s="4" t="s">
        <v>18</v>
      </c>
      <c r="H290" s="4" t="s">
        <v>114</v>
      </c>
      <c r="I290" s="5" t="str">
        <f t="shared" si="4"/>
        <v>2025-02</v>
      </c>
      <c r="J290" s="4" t="s">
        <v>34</v>
      </c>
      <c r="K290" s="5" t="s">
        <v>342</v>
      </c>
      <c r="L290" s="2">
        <v>10056</v>
      </c>
      <c r="M290" s="3">
        <v>1</v>
      </c>
      <c r="N290" s="2">
        <v>10056</v>
      </c>
      <c r="O290" s="2">
        <v>1006</v>
      </c>
      <c r="P290" s="2">
        <v>11062</v>
      </c>
      <c r="Q290" s="2">
        <f>P290*8.5%</f>
        <v>940.2700000000001</v>
      </c>
    </row>
    <row r="291" spans="1:17" hidden="1" x14ac:dyDescent="0.4">
      <c r="A291" s="4" t="s">
        <v>13</v>
      </c>
      <c r="B291" s="4" t="s">
        <v>14</v>
      </c>
      <c r="C291" s="30" t="s">
        <v>434</v>
      </c>
      <c r="D291" s="4" t="s">
        <v>15</v>
      </c>
      <c r="E291" s="4" t="s">
        <v>16</v>
      </c>
      <c r="F291" s="4" t="s">
        <v>17</v>
      </c>
      <c r="G291" s="4" t="s">
        <v>18</v>
      </c>
      <c r="H291" s="4" t="s">
        <v>114</v>
      </c>
      <c r="I291" s="5" t="str">
        <f t="shared" si="4"/>
        <v>2025-02</v>
      </c>
      <c r="J291" s="4" t="s">
        <v>34</v>
      </c>
      <c r="K291" s="5" t="s">
        <v>342</v>
      </c>
      <c r="L291" s="2">
        <v>42000</v>
      </c>
      <c r="M291" s="3">
        <v>4</v>
      </c>
      <c r="N291" s="2">
        <v>168000</v>
      </c>
      <c r="O291" s="2">
        <v>16800</v>
      </c>
      <c r="P291" s="2">
        <v>184800</v>
      </c>
      <c r="Q291" s="2">
        <f>P291*8.5%</f>
        <v>15708.000000000002</v>
      </c>
    </row>
    <row r="292" spans="1:17" hidden="1" x14ac:dyDescent="0.4">
      <c r="A292" s="4" t="s">
        <v>21</v>
      </c>
      <c r="B292" s="4" t="s">
        <v>14</v>
      </c>
      <c r="C292" s="31" t="s">
        <v>435</v>
      </c>
      <c r="D292" s="4" t="s">
        <v>22</v>
      </c>
      <c r="E292" s="4" t="s">
        <v>16</v>
      </c>
      <c r="F292" s="4" t="s">
        <v>17</v>
      </c>
      <c r="G292" s="4" t="s">
        <v>18</v>
      </c>
      <c r="H292" s="4" t="s">
        <v>114</v>
      </c>
      <c r="I292" s="5" t="str">
        <f t="shared" si="4"/>
        <v>2025-02</v>
      </c>
      <c r="J292" s="4" t="s">
        <v>34</v>
      </c>
      <c r="K292" s="5" t="s">
        <v>342</v>
      </c>
      <c r="L292" s="2">
        <v>54000</v>
      </c>
      <c r="M292" s="3">
        <v>1</v>
      </c>
      <c r="N292" s="2">
        <v>54000</v>
      </c>
      <c r="O292" s="2">
        <v>5400</v>
      </c>
      <c r="P292" s="2">
        <v>59400</v>
      </c>
      <c r="Q292" s="2">
        <f>P292*8.5%</f>
        <v>5049</v>
      </c>
    </row>
    <row r="293" spans="1:17" hidden="1" x14ac:dyDescent="0.4">
      <c r="A293" s="4" t="s">
        <v>23</v>
      </c>
      <c r="B293" s="4" t="s">
        <v>14</v>
      </c>
      <c r="C293" s="31" t="s">
        <v>435</v>
      </c>
      <c r="D293" s="4" t="s">
        <v>24</v>
      </c>
      <c r="E293" s="4" t="s">
        <v>16</v>
      </c>
      <c r="F293" s="4" t="s">
        <v>17</v>
      </c>
      <c r="G293" s="4" t="s">
        <v>18</v>
      </c>
      <c r="H293" s="4" t="s">
        <v>114</v>
      </c>
      <c r="I293" s="5" t="str">
        <f t="shared" si="4"/>
        <v>2025-02</v>
      </c>
      <c r="J293" s="4" t="s">
        <v>34</v>
      </c>
      <c r="K293" s="5" t="s">
        <v>342</v>
      </c>
      <c r="L293" s="2">
        <v>54000</v>
      </c>
      <c r="M293" s="3">
        <v>4</v>
      </c>
      <c r="N293" s="2">
        <v>216000</v>
      </c>
      <c r="O293" s="2">
        <v>21600</v>
      </c>
      <c r="P293" s="2">
        <v>237600</v>
      </c>
      <c r="Q293" s="2">
        <f>P293*8.5%</f>
        <v>20196</v>
      </c>
    </row>
    <row r="294" spans="1:17" hidden="1" x14ac:dyDescent="0.4">
      <c r="A294" s="4" t="s">
        <v>51</v>
      </c>
      <c r="B294" s="4" t="s">
        <v>14</v>
      </c>
      <c r="C294" s="30" t="s">
        <v>434</v>
      </c>
      <c r="D294" s="4" t="s">
        <v>52</v>
      </c>
      <c r="E294" s="4" t="s">
        <v>16</v>
      </c>
      <c r="F294" s="4" t="s">
        <v>17</v>
      </c>
      <c r="G294" s="4" t="s">
        <v>18</v>
      </c>
      <c r="H294" s="4" t="s">
        <v>114</v>
      </c>
      <c r="I294" s="5" t="str">
        <f t="shared" si="4"/>
        <v>2025-02</v>
      </c>
      <c r="J294" s="4" t="s">
        <v>34</v>
      </c>
      <c r="K294" s="5" t="s">
        <v>342</v>
      </c>
      <c r="L294" s="2">
        <v>71250</v>
      </c>
      <c r="M294" s="3">
        <v>1</v>
      </c>
      <c r="N294" s="2">
        <v>71250</v>
      </c>
      <c r="O294" s="2">
        <v>7125</v>
      </c>
      <c r="P294" s="2">
        <v>78375</v>
      </c>
      <c r="Q294" s="2">
        <f>P294*8.5%</f>
        <v>6661.8750000000009</v>
      </c>
    </row>
    <row r="295" spans="1:17" hidden="1" x14ac:dyDescent="0.4">
      <c r="A295" s="4" t="s">
        <v>70</v>
      </c>
      <c r="B295" s="4" t="s">
        <v>26</v>
      </c>
      <c r="C295" s="32" t="s">
        <v>436</v>
      </c>
      <c r="D295" s="4" t="s">
        <v>71</v>
      </c>
      <c r="E295" s="4" t="s">
        <v>28</v>
      </c>
      <c r="F295" s="4" t="s">
        <v>31</v>
      </c>
      <c r="G295" s="4" t="s">
        <v>18</v>
      </c>
      <c r="H295" s="4" t="s">
        <v>114</v>
      </c>
      <c r="I295" s="5" t="str">
        <f t="shared" si="4"/>
        <v>2025-02</v>
      </c>
      <c r="J295" s="4" t="s">
        <v>34</v>
      </c>
      <c r="K295" s="5" t="s">
        <v>342</v>
      </c>
      <c r="L295" s="2">
        <v>6478</v>
      </c>
      <c r="M295" s="3">
        <v>3</v>
      </c>
      <c r="N295" s="2">
        <v>19434</v>
      </c>
      <c r="O295" s="2">
        <v>0</v>
      </c>
      <c r="P295" s="2">
        <v>19434</v>
      </c>
      <c r="Q295" s="2">
        <f>P295*8.5%</f>
        <v>1651.89</v>
      </c>
    </row>
    <row r="296" spans="1:17" hidden="1" x14ac:dyDescent="0.4">
      <c r="A296" s="4" t="s">
        <v>42</v>
      </c>
      <c r="B296" s="4" t="s">
        <v>14</v>
      </c>
      <c r="C296" s="30" t="s">
        <v>434</v>
      </c>
      <c r="D296" s="4" t="s">
        <v>43</v>
      </c>
      <c r="E296" s="4" t="s">
        <v>44</v>
      </c>
      <c r="F296" s="4" t="s">
        <v>31</v>
      </c>
      <c r="G296" s="4" t="s">
        <v>18</v>
      </c>
      <c r="H296" s="4" t="s">
        <v>114</v>
      </c>
      <c r="I296" s="5" t="str">
        <f t="shared" si="4"/>
        <v>2025-02</v>
      </c>
      <c r="J296" s="4" t="s">
        <v>34</v>
      </c>
      <c r="K296" s="5" t="s">
        <v>342</v>
      </c>
      <c r="L296" s="2">
        <v>6800</v>
      </c>
      <c r="M296" s="3">
        <v>61.2</v>
      </c>
      <c r="N296" s="2">
        <v>416160</v>
      </c>
      <c r="O296" s="2">
        <v>0</v>
      </c>
      <c r="P296" s="2">
        <v>416160</v>
      </c>
      <c r="Q296" s="2">
        <f>P296*8.5%</f>
        <v>35373.600000000006</v>
      </c>
    </row>
    <row r="297" spans="1:17" hidden="1" x14ac:dyDescent="0.4">
      <c r="A297" s="4" t="s">
        <v>32</v>
      </c>
      <c r="B297" s="4" t="s">
        <v>14</v>
      </c>
      <c r="C297" s="31" t="s">
        <v>435</v>
      </c>
      <c r="D297" s="4" t="s">
        <v>33</v>
      </c>
      <c r="E297" s="4" t="s">
        <v>16</v>
      </c>
      <c r="F297" s="4" t="s">
        <v>17</v>
      </c>
      <c r="G297" s="4" t="s">
        <v>18</v>
      </c>
      <c r="H297" s="4" t="s">
        <v>114</v>
      </c>
      <c r="I297" s="5" t="str">
        <f t="shared" si="4"/>
        <v>2025-02</v>
      </c>
      <c r="J297" s="4" t="s">
        <v>59</v>
      </c>
      <c r="K297" s="5" t="s">
        <v>343</v>
      </c>
      <c r="L297" s="2">
        <v>44000</v>
      </c>
      <c r="M297" s="3">
        <v>1</v>
      </c>
      <c r="N297" s="2">
        <v>44000</v>
      </c>
      <c r="O297" s="2">
        <v>4400</v>
      </c>
      <c r="P297" s="2">
        <v>48400</v>
      </c>
      <c r="Q297" s="2">
        <f>P297*12%</f>
        <v>5808</v>
      </c>
    </row>
    <row r="298" spans="1:17" hidden="1" x14ac:dyDescent="0.4">
      <c r="A298" s="4" t="s">
        <v>13</v>
      </c>
      <c r="B298" s="4" t="s">
        <v>14</v>
      </c>
      <c r="C298" s="30" t="s">
        <v>434</v>
      </c>
      <c r="D298" s="4" t="s">
        <v>15</v>
      </c>
      <c r="E298" s="4" t="s">
        <v>16</v>
      </c>
      <c r="F298" s="4" t="s">
        <v>17</v>
      </c>
      <c r="G298" s="4" t="s">
        <v>18</v>
      </c>
      <c r="H298" s="4" t="s">
        <v>114</v>
      </c>
      <c r="I298" s="5" t="str">
        <f t="shared" si="4"/>
        <v>2025-02</v>
      </c>
      <c r="J298" s="4" t="s">
        <v>59</v>
      </c>
      <c r="K298" s="5" t="s">
        <v>343</v>
      </c>
      <c r="L298" s="2">
        <v>42000</v>
      </c>
      <c r="M298" s="3">
        <v>4</v>
      </c>
      <c r="N298" s="2">
        <v>168000</v>
      </c>
      <c r="O298" s="2">
        <v>16800</v>
      </c>
      <c r="P298" s="2">
        <v>184800</v>
      </c>
      <c r="Q298" s="2">
        <f>P298*12%</f>
        <v>22176</v>
      </c>
    </row>
    <row r="299" spans="1:17" hidden="1" x14ac:dyDescent="0.4">
      <c r="A299" s="4" t="s">
        <v>35</v>
      </c>
      <c r="B299" s="4" t="s">
        <v>14</v>
      </c>
      <c r="C299" s="30" t="s">
        <v>434</v>
      </c>
      <c r="D299" s="4" t="s">
        <v>36</v>
      </c>
      <c r="E299" s="4" t="s">
        <v>16</v>
      </c>
      <c r="F299" s="4" t="s">
        <v>17</v>
      </c>
      <c r="G299" s="4" t="s">
        <v>18</v>
      </c>
      <c r="H299" s="4" t="s">
        <v>114</v>
      </c>
      <c r="I299" s="5" t="str">
        <f t="shared" si="4"/>
        <v>2025-02</v>
      </c>
      <c r="J299" s="4" t="s">
        <v>59</v>
      </c>
      <c r="K299" s="5" t="s">
        <v>343</v>
      </c>
      <c r="L299" s="2">
        <v>116220</v>
      </c>
      <c r="M299" s="3">
        <v>1</v>
      </c>
      <c r="N299" s="2">
        <v>116220</v>
      </c>
      <c r="O299" s="2">
        <v>11622</v>
      </c>
      <c r="P299" s="2">
        <v>127842</v>
      </c>
      <c r="Q299" s="2">
        <f>P299*12%</f>
        <v>15341.039999999999</v>
      </c>
    </row>
    <row r="300" spans="1:17" hidden="1" x14ac:dyDescent="0.4">
      <c r="A300" s="4" t="s">
        <v>23</v>
      </c>
      <c r="B300" s="4" t="s">
        <v>14</v>
      </c>
      <c r="C300" s="31" t="s">
        <v>435</v>
      </c>
      <c r="D300" s="4" t="s">
        <v>24</v>
      </c>
      <c r="E300" s="4" t="s">
        <v>16</v>
      </c>
      <c r="F300" s="4" t="s">
        <v>17</v>
      </c>
      <c r="G300" s="4" t="s">
        <v>18</v>
      </c>
      <c r="H300" s="4" t="s">
        <v>114</v>
      </c>
      <c r="I300" s="5" t="str">
        <f t="shared" si="4"/>
        <v>2025-02</v>
      </c>
      <c r="J300" s="4" t="s">
        <v>59</v>
      </c>
      <c r="K300" s="5" t="s">
        <v>343</v>
      </c>
      <c r="L300" s="2">
        <v>54000</v>
      </c>
      <c r="M300" s="3">
        <v>1</v>
      </c>
      <c r="N300" s="2">
        <v>54000</v>
      </c>
      <c r="O300" s="2">
        <v>5400</v>
      </c>
      <c r="P300" s="2">
        <v>59400</v>
      </c>
      <c r="Q300" s="2">
        <f>P300*12%</f>
        <v>7128</v>
      </c>
    </row>
    <row r="301" spans="1:17" hidden="1" x14ac:dyDescent="0.4">
      <c r="A301" s="4" t="s">
        <v>51</v>
      </c>
      <c r="B301" s="4" t="s">
        <v>14</v>
      </c>
      <c r="C301" s="30" t="s">
        <v>434</v>
      </c>
      <c r="D301" s="4" t="s">
        <v>52</v>
      </c>
      <c r="E301" s="4" t="s">
        <v>16</v>
      </c>
      <c r="F301" s="4" t="s">
        <v>17</v>
      </c>
      <c r="G301" s="4" t="s">
        <v>18</v>
      </c>
      <c r="H301" s="4" t="s">
        <v>114</v>
      </c>
      <c r="I301" s="5" t="str">
        <f t="shared" si="4"/>
        <v>2025-02</v>
      </c>
      <c r="J301" s="4" t="s">
        <v>59</v>
      </c>
      <c r="K301" s="5" t="s">
        <v>343</v>
      </c>
      <c r="L301" s="2">
        <v>71250</v>
      </c>
      <c r="M301" s="3">
        <v>1</v>
      </c>
      <c r="N301" s="2">
        <v>71250</v>
      </c>
      <c r="O301" s="2">
        <v>7125</v>
      </c>
      <c r="P301" s="2">
        <v>78375</v>
      </c>
      <c r="Q301" s="2">
        <f>P301*12%</f>
        <v>9405</v>
      </c>
    </row>
    <row r="302" spans="1:17" x14ac:dyDescent="0.4">
      <c r="A302" s="4" t="s">
        <v>58</v>
      </c>
      <c r="B302" s="4" t="s">
        <v>14</v>
      </c>
      <c r="C302" s="30" t="s">
        <v>434</v>
      </c>
      <c r="D302" s="4" t="s">
        <v>36</v>
      </c>
      <c r="E302" s="4" t="s">
        <v>16</v>
      </c>
      <c r="F302" s="4" t="s">
        <v>17</v>
      </c>
      <c r="G302" s="4" t="s">
        <v>18</v>
      </c>
      <c r="H302" s="4" t="s">
        <v>115</v>
      </c>
      <c r="I302" s="5" t="str">
        <f t="shared" si="4"/>
        <v>2025-02</v>
      </c>
      <c r="J302" s="4" t="s">
        <v>20</v>
      </c>
      <c r="K302" s="5" t="s">
        <v>342</v>
      </c>
      <c r="L302" s="2">
        <v>120880</v>
      </c>
      <c r="M302" s="3">
        <v>1</v>
      </c>
      <c r="N302" s="2">
        <v>120880</v>
      </c>
      <c r="O302" s="2">
        <v>12088</v>
      </c>
      <c r="P302" s="2">
        <v>132968</v>
      </c>
      <c r="Q302" s="2">
        <f>P302*8.5%</f>
        <v>11302.28</v>
      </c>
    </row>
    <row r="303" spans="1:17" x14ac:dyDescent="0.4">
      <c r="A303" s="4" t="s">
        <v>21</v>
      </c>
      <c r="B303" s="4" t="s">
        <v>14</v>
      </c>
      <c r="C303" s="31" t="s">
        <v>435</v>
      </c>
      <c r="D303" s="4" t="s">
        <v>22</v>
      </c>
      <c r="E303" s="4" t="s">
        <v>16</v>
      </c>
      <c r="F303" s="4" t="s">
        <v>17</v>
      </c>
      <c r="G303" s="4" t="s">
        <v>18</v>
      </c>
      <c r="H303" s="4" t="s">
        <v>115</v>
      </c>
      <c r="I303" s="5" t="str">
        <f t="shared" si="4"/>
        <v>2025-02</v>
      </c>
      <c r="J303" s="4" t="s">
        <v>20</v>
      </c>
      <c r="K303" s="5" t="s">
        <v>342</v>
      </c>
      <c r="L303" s="2">
        <v>54000</v>
      </c>
      <c r="M303" s="3">
        <v>1</v>
      </c>
      <c r="N303" s="2">
        <v>54000</v>
      </c>
      <c r="O303" s="2">
        <v>5400</v>
      </c>
      <c r="P303" s="2">
        <v>59400</v>
      </c>
      <c r="Q303" s="2">
        <f>P303*8.5%</f>
        <v>5049</v>
      </c>
    </row>
    <row r="304" spans="1:17" x14ac:dyDescent="0.4">
      <c r="A304" s="4" t="s">
        <v>23</v>
      </c>
      <c r="B304" s="4" t="s">
        <v>14</v>
      </c>
      <c r="C304" s="31" t="s">
        <v>435</v>
      </c>
      <c r="D304" s="4" t="s">
        <v>24</v>
      </c>
      <c r="E304" s="4" t="s">
        <v>16</v>
      </c>
      <c r="F304" s="4" t="s">
        <v>17</v>
      </c>
      <c r="G304" s="4" t="s">
        <v>18</v>
      </c>
      <c r="H304" s="4" t="s">
        <v>115</v>
      </c>
      <c r="I304" s="5" t="str">
        <f t="shared" si="4"/>
        <v>2025-02</v>
      </c>
      <c r="J304" s="4" t="s">
        <v>20</v>
      </c>
      <c r="K304" s="5" t="s">
        <v>342</v>
      </c>
      <c r="L304" s="2">
        <v>54000</v>
      </c>
      <c r="M304" s="3">
        <v>2</v>
      </c>
      <c r="N304" s="2">
        <v>108000</v>
      </c>
      <c r="O304" s="2">
        <v>10800</v>
      </c>
      <c r="P304" s="2">
        <v>118800</v>
      </c>
      <c r="Q304" s="2">
        <f>P304*8.5%</f>
        <v>10098</v>
      </c>
    </row>
    <row r="305" spans="1:17" x14ac:dyDescent="0.4">
      <c r="A305" s="4" t="s">
        <v>56</v>
      </c>
      <c r="B305" s="4" t="s">
        <v>26</v>
      </c>
      <c r="C305" s="32" t="s">
        <v>436</v>
      </c>
      <c r="D305" s="4" t="s">
        <v>57</v>
      </c>
      <c r="E305" s="4" t="s">
        <v>44</v>
      </c>
      <c r="F305" s="4" t="s">
        <v>31</v>
      </c>
      <c r="G305" s="4" t="s">
        <v>18</v>
      </c>
      <c r="H305" s="4" t="s">
        <v>115</v>
      </c>
      <c r="I305" s="5" t="str">
        <f t="shared" si="4"/>
        <v>2025-02</v>
      </c>
      <c r="J305" s="4" t="s">
        <v>20</v>
      </c>
      <c r="K305" s="5" t="s">
        <v>342</v>
      </c>
      <c r="L305" s="2">
        <v>3169</v>
      </c>
      <c r="M305" s="3">
        <v>10</v>
      </c>
      <c r="N305" s="2">
        <v>31690</v>
      </c>
      <c r="O305" s="2">
        <v>0</v>
      </c>
      <c r="P305" s="2">
        <v>31690</v>
      </c>
      <c r="Q305" s="2">
        <f>P305*8.5%</f>
        <v>2693.65</v>
      </c>
    </row>
    <row r="306" spans="1:17" hidden="1" x14ac:dyDescent="0.4">
      <c r="A306" s="4" t="s">
        <v>32</v>
      </c>
      <c r="B306" s="4" t="s">
        <v>14</v>
      </c>
      <c r="C306" s="31" t="s">
        <v>435</v>
      </c>
      <c r="D306" s="4" t="s">
        <v>33</v>
      </c>
      <c r="E306" s="4" t="s">
        <v>16</v>
      </c>
      <c r="F306" s="4" t="s">
        <v>17</v>
      </c>
      <c r="G306" s="4" t="s">
        <v>18</v>
      </c>
      <c r="H306" s="4" t="s">
        <v>115</v>
      </c>
      <c r="I306" s="5" t="str">
        <f t="shared" si="4"/>
        <v>2025-02</v>
      </c>
      <c r="J306" s="4" t="s">
        <v>34</v>
      </c>
      <c r="K306" s="5" t="s">
        <v>342</v>
      </c>
      <c r="L306" s="2">
        <v>44000</v>
      </c>
      <c r="M306" s="3">
        <v>3</v>
      </c>
      <c r="N306" s="2">
        <v>132000</v>
      </c>
      <c r="O306" s="2">
        <v>13200</v>
      </c>
      <c r="P306" s="2">
        <v>145200</v>
      </c>
      <c r="Q306" s="2">
        <f>P306*8.5%</f>
        <v>12342</v>
      </c>
    </row>
    <row r="307" spans="1:17" hidden="1" x14ac:dyDescent="0.4">
      <c r="A307" s="4" t="s">
        <v>13</v>
      </c>
      <c r="B307" s="4" t="s">
        <v>14</v>
      </c>
      <c r="C307" s="30" t="s">
        <v>434</v>
      </c>
      <c r="D307" s="4" t="s">
        <v>15</v>
      </c>
      <c r="E307" s="4" t="s">
        <v>16</v>
      </c>
      <c r="F307" s="4" t="s">
        <v>17</v>
      </c>
      <c r="G307" s="4" t="s">
        <v>18</v>
      </c>
      <c r="H307" s="4" t="s">
        <v>115</v>
      </c>
      <c r="I307" s="5" t="str">
        <f t="shared" si="4"/>
        <v>2025-02</v>
      </c>
      <c r="J307" s="4" t="s">
        <v>34</v>
      </c>
      <c r="K307" s="5" t="s">
        <v>342</v>
      </c>
      <c r="L307" s="2">
        <v>42000</v>
      </c>
      <c r="M307" s="3">
        <v>4</v>
      </c>
      <c r="N307" s="2">
        <v>168000</v>
      </c>
      <c r="O307" s="2">
        <v>16800</v>
      </c>
      <c r="P307" s="2">
        <v>184800</v>
      </c>
      <c r="Q307" s="2">
        <f>P307*8.5%</f>
        <v>15708.000000000002</v>
      </c>
    </row>
    <row r="308" spans="1:17" hidden="1" x14ac:dyDescent="0.4">
      <c r="A308" s="4" t="s">
        <v>21</v>
      </c>
      <c r="B308" s="4" t="s">
        <v>14</v>
      </c>
      <c r="C308" s="31" t="s">
        <v>435</v>
      </c>
      <c r="D308" s="4" t="s">
        <v>22</v>
      </c>
      <c r="E308" s="4" t="s">
        <v>16</v>
      </c>
      <c r="F308" s="4" t="s">
        <v>17</v>
      </c>
      <c r="G308" s="4" t="s">
        <v>18</v>
      </c>
      <c r="H308" s="4" t="s">
        <v>115</v>
      </c>
      <c r="I308" s="5" t="str">
        <f t="shared" si="4"/>
        <v>2025-02</v>
      </c>
      <c r="J308" s="4" t="s">
        <v>34</v>
      </c>
      <c r="K308" s="5" t="s">
        <v>342</v>
      </c>
      <c r="L308" s="2">
        <v>54000</v>
      </c>
      <c r="M308" s="3">
        <v>1</v>
      </c>
      <c r="N308" s="2">
        <v>54000</v>
      </c>
      <c r="O308" s="2">
        <v>5400</v>
      </c>
      <c r="P308" s="2">
        <v>59400</v>
      </c>
      <c r="Q308" s="2">
        <f>P308*8.5%</f>
        <v>5049</v>
      </c>
    </row>
    <row r="309" spans="1:17" hidden="1" x14ac:dyDescent="0.4">
      <c r="A309" s="4" t="s">
        <v>23</v>
      </c>
      <c r="B309" s="4" t="s">
        <v>14</v>
      </c>
      <c r="C309" s="31" t="s">
        <v>435</v>
      </c>
      <c r="D309" s="4" t="s">
        <v>24</v>
      </c>
      <c r="E309" s="4" t="s">
        <v>16</v>
      </c>
      <c r="F309" s="4" t="s">
        <v>17</v>
      </c>
      <c r="G309" s="4" t="s">
        <v>18</v>
      </c>
      <c r="H309" s="4" t="s">
        <v>115</v>
      </c>
      <c r="I309" s="5" t="str">
        <f t="shared" si="4"/>
        <v>2025-02</v>
      </c>
      <c r="J309" s="4" t="s">
        <v>34</v>
      </c>
      <c r="K309" s="5" t="s">
        <v>342</v>
      </c>
      <c r="L309" s="2">
        <v>54000</v>
      </c>
      <c r="M309" s="3">
        <v>1</v>
      </c>
      <c r="N309" s="2">
        <v>54000</v>
      </c>
      <c r="O309" s="2">
        <v>5400</v>
      </c>
      <c r="P309" s="2">
        <v>59400</v>
      </c>
      <c r="Q309" s="2">
        <f>P309*8.5%</f>
        <v>5049</v>
      </c>
    </row>
    <row r="310" spans="1:17" hidden="1" x14ac:dyDescent="0.4">
      <c r="A310" s="4" t="s">
        <v>51</v>
      </c>
      <c r="B310" s="4" t="s">
        <v>14</v>
      </c>
      <c r="C310" s="30" t="s">
        <v>434</v>
      </c>
      <c r="D310" s="4" t="s">
        <v>52</v>
      </c>
      <c r="E310" s="4" t="s">
        <v>16</v>
      </c>
      <c r="F310" s="4" t="s">
        <v>17</v>
      </c>
      <c r="G310" s="4" t="s">
        <v>18</v>
      </c>
      <c r="H310" s="4" t="s">
        <v>115</v>
      </c>
      <c r="I310" s="5" t="str">
        <f t="shared" si="4"/>
        <v>2025-02</v>
      </c>
      <c r="J310" s="4" t="s">
        <v>34</v>
      </c>
      <c r="K310" s="5" t="s">
        <v>342</v>
      </c>
      <c r="L310" s="2">
        <v>71250</v>
      </c>
      <c r="M310" s="3">
        <v>1</v>
      </c>
      <c r="N310" s="2">
        <v>71250</v>
      </c>
      <c r="O310" s="2">
        <v>7125</v>
      </c>
      <c r="P310" s="2">
        <v>78375</v>
      </c>
      <c r="Q310" s="2">
        <f>P310*8.5%</f>
        <v>6661.8750000000009</v>
      </c>
    </row>
    <row r="311" spans="1:17" hidden="1" x14ac:dyDescent="0.4">
      <c r="A311" s="4" t="s">
        <v>73</v>
      </c>
      <c r="B311" s="4" t="s">
        <v>26</v>
      </c>
      <c r="C311" s="32" t="s">
        <v>436</v>
      </c>
      <c r="D311" s="4" t="s">
        <v>57</v>
      </c>
      <c r="E311" s="4" t="s">
        <v>28</v>
      </c>
      <c r="F311" s="4" t="s">
        <v>17</v>
      </c>
      <c r="G311" s="4" t="s">
        <v>18</v>
      </c>
      <c r="H311" s="4" t="s">
        <v>115</v>
      </c>
      <c r="I311" s="5" t="str">
        <f t="shared" si="4"/>
        <v>2025-02</v>
      </c>
      <c r="J311" s="4" t="s">
        <v>34</v>
      </c>
      <c r="K311" s="5" t="s">
        <v>342</v>
      </c>
      <c r="L311" s="2">
        <v>6899</v>
      </c>
      <c r="M311" s="3">
        <v>1</v>
      </c>
      <c r="N311" s="2">
        <v>6899</v>
      </c>
      <c r="O311" s="2">
        <v>690</v>
      </c>
      <c r="P311" s="2">
        <v>7589</v>
      </c>
      <c r="Q311" s="2">
        <f>P311*8.5%</f>
        <v>645.06500000000005</v>
      </c>
    </row>
    <row r="312" spans="1:17" hidden="1" x14ac:dyDescent="0.4">
      <c r="A312" s="4" t="s">
        <v>86</v>
      </c>
      <c r="B312" s="4" t="s">
        <v>26</v>
      </c>
      <c r="C312" s="32" t="s">
        <v>436</v>
      </c>
      <c r="D312" s="4" t="s">
        <v>78</v>
      </c>
      <c r="E312" s="4" t="s">
        <v>28</v>
      </c>
      <c r="F312" s="4" t="s">
        <v>17</v>
      </c>
      <c r="G312" s="4" t="s">
        <v>18</v>
      </c>
      <c r="H312" s="4" t="s">
        <v>115</v>
      </c>
      <c r="I312" s="5" t="str">
        <f t="shared" si="4"/>
        <v>2025-02</v>
      </c>
      <c r="J312" s="4" t="s">
        <v>34</v>
      </c>
      <c r="K312" s="5" t="s">
        <v>342</v>
      </c>
      <c r="L312" s="2">
        <v>15201</v>
      </c>
      <c r="M312" s="3">
        <v>1</v>
      </c>
      <c r="N312" s="2">
        <v>15201</v>
      </c>
      <c r="O312" s="2">
        <v>1520</v>
      </c>
      <c r="P312" s="2">
        <v>16721</v>
      </c>
      <c r="Q312" s="2">
        <f>P312*8.5%</f>
        <v>1421.2850000000001</v>
      </c>
    </row>
    <row r="313" spans="1:17" hidden="1" x14ac:dyDescent="0.4">
      <c r="A313" s="4" t="s">
        <v>40</v>
      </c>
      <c r="B313" s="4" t="s">
        <v>26</v>
      </c>
      <c r="C313" s="32" t="s">
        <v>436</v>
      </c>
      <c r="D313" s="4" t="s">
        <v>41</v>
      </c>
      <c r="E313" s="4" t="s">
        <v>28</v>
      </c>
      <c r="F313" s="4" t="s">
        <v>17</v>
      </c>
      <c r="G313" s="4" t="s">
        <v>18</v>
      </c>
      <c r="H313" s="4" t="s">
        <v>115</v>
      </c>
      <c r="I313" s="5" t="str">
        <f t="shared" si="4"/>
        <v>2025-02</v>
      </c>
      <c r="J313" s="4" t="s">
        <v>34</v>
      </c>
      <c r="K313" s="5" t="s">
        <v>342</v>
      </c>
      <c r="L313" s="2">
        <v>17539</v>
      </c>
      <c r="M313" s="3">
        <v>2</v>
      </c>
      <c r="N313" s="2">
        <v>35078</v>
      </c>
      <c r="O313" s="2">
        <v>3508</v>
      </c>
      <c r="P313" s="2">
        <v>38586</v>
      </c>
      <c r="Q313" s="2">
        <f>P313*8.5%</f>
        <v>3279.8100000000004</v>
      </c>
    </row>
    <row r="314" spans="1:17" hidden="1" x14ac:dyDescent="0.4">
      <c r="A314" s="4" t="s">
        <v>42</v>
      </c>
      <c r="B314" s="4" t="s">
        <v>14</v>
      </c>
      <c r="C314" s="30" t="s">
        <v>434</v>
      </c>
      <c r="D314" s="4" t="s">
        <v>43</v>
      </c>
      <c r="E314" s="4" t="s">
        <v>44</v>
      </c>
      <c r="F314" s="4" t="s">
        <v>31</v>
      </c>
      <c r="G314" s="4" t="s">
        <v>18</v>
      </c>
      <c r="H314" s="4" t="s">
        <v>115</v>
      </c>
      <c r="I314" s="5" t="str">
        <f t="shared" si="4"/>
        <v>2025-02</v>
      </c>
      <c r="J314" s="4" t="s">
        <v>34</v>
      </c>
      <c r="K314" s="5" t="s">
        <v>342</v>
      </c>
      <c r="L314" s="2">
        <v>6800</v>
      </c>
      <c r="M314" s="3">
        <v>62</v>
      </c>
      <c r="N314" s="2">
        <v>421600</v>
      </c>
      <c r="O314" s="2">
        <v>0</v>
      </c>
      <c r="P314" s="2">
        <v>421600</v>
      </c>
      <c r="Q314" s="2">
        <f>P314*8.5%</f>
        <v>35836</v>
      </c>
    </row>
    <row r="315" spans="1:17" hidden="1" x14ac:dyDescent="0.4">
      <c r="A315" s="4" t="s">
        <v>35</v>
      </c>
      <c r="B315" s="4" t="s">
        <v>14</v>
      </c>
      <c r="C315" s="30" t="s">
        <v>434</v>
      </c>
      <c r="D315" s="4" t="s">
        <v>36</v>
      </c>
      <c r="E315" s="4" t="s">
        <v>16</v>
      </c>
      <c r="F315" s="4" t="s">
        <v>17</v>
      </c>
      <c r="G315" s="4" t="s">
        <v>18</v>
      </c>
      <c r="H315" s="4" t="s">
        <v>115</v>
      </c>
      <c r="I315" s="5" t="str">
        <f t="shared" si="4"/>
        <v>2025-02</v>
      </c>
      <c r="J315" s="4" t="s">
        <v>60</v>
      </c>
      <c r="K315" s="5" t="s">
        <v>343</v>
      </c>
      <c r="L315" s="2">
        <v>116220</v>
      </c>
      <c r="M315" s="3">
        <v>3</v>
      </c>
      <c r="N315" s="2">
        <v>348660</v>
      </c>
      <c r="O315" s="2">
        <v>34866</v>
      </c>
      <c r="P315" s="2">
        <v>383526</v>
      </c>
      <c r="Q315" s="2">
        <f>P315*12%</f>
        <v>46023.119999999995</v>
      </c>
    </row>
    <row r="316" spans="1:17" hidden="1" x14ac:dyDescent="0.4">
      <c r="A316" s="4" t="s">
        <v>23</v>
      </c>
      <c r="B316" s="4" t="s">
        <v>14</v>
      </c>
      <c r="C316" s="31" t="s">
        <v>435</v>
      </c>
      <c r="D316" s="4" t="s">
        <v>24</v>
      </c>
      <c r="E316" s="4" t="s">
        <v>16</v>
      </c>
      <c r="F316" s="4" t="s">
        <v>17</v>
      </c>
      <c r="G316" s="4" t="s">
        <v>18</v>
      </c>
      <c r="H316" s="4" t="s">
        <v>115</v>
      </c>
      <c r="I316" s="5" t="str">
        <f t="shared" si="4"/>
        <v>2025-02</v>
      </c>
      <c r="J316" s="4" t="s">
        <v>60</v>
      </c>
      <c r="K316" s="5" t="s">
        <v>343</v>
      </c>
      <c r="L316" s="2">
        <v>54000</v>
      </c>
      <c r="M316" s="3">
        <v>7</v>
      </c>
      <c r="N316" s="2">
        <v>378000</v>
      </c>
      <c r="O316" s="2">
        <v>37800</v>
      </c>
      <c r="P316" s="2">
        <v>415800</v>
      </c>
      <c r="Q316" s="2">
        <f>P316*12%</f>
        <v>49896</v>
      </c>
    </row>
    <row r="317" spans="1:17" hidden="1" x14ac:dyDescent="0.4">
      <c r="A317" s="4" t="s">
        <v>32</v>
      </c>
      <c r="B317" s="4" t="s">
        <v>14</v>
      </c>
      <c r="C317" s="31" t="s">
        <v>435</v>
      </c>
      <c r="D317" s="4" t="s">
        <v>33</v>
      </c>
      <c r="E317" s="4" t="s">
        <v>16</v>
      </c>
      <c r="F317" s="4" t="s">
        <v>17</v>
      </c>
      <c r="G317" s="4" t="s">
        <v>18</v>
      </c>
      <c r="H317" s="4" t="s">
        <v>115</v>
      </c>
      <c r="I317" s="5" t="str">
        <f t="shared" si="4"/>
        <v>2025-02</v>
      </c>
      <c r="J317" s="4" t="s">
        <v>49</v>
      </c>
      <c r="K317" s="5" t="s">
        <v>343</v>
      </c>
      <c r="L317" s="2">
        <v>44000</v>
      </c>
      <c r="M317" s="3">
        <v>7</v>
      </c>
      <c r="N317" s="2">
        <v>308000</v>
      </c>
      <c r="O317" s="2">
        <v>30800</v>
      </c>
      <c r="P317" s="2">
        <v>338800</v>
      </c>
      <c r="Q317" s="2">
        <f>P317*12%</f>
        <v>40656</v>
      </c>
    </row>
    <row r="318" spans="1:17" hidden="1" x14ac:dyDescent="0.4">
      <c r="A318" s="4" t="s">
        <v>13</v>
      </c>
      <c r="B318" s="4" t="s">
        <v>14</v>
      </c>
      <c r="C318" s="30" t="s">
        <v>434</v>
      </c>
      <c r="D318" s="4" t="s">
        <v>15</v>
      </c>
      <c r="E318" s="4" t="s">
        <v>16</v>
      </c>
      <c r="F318" s="4" t="s">
        <v>17</v>
      </c>
      <c r="G318" s="4" t="s">
        <v>18</v>
      </c>
      <c r="H318" s="4" t="s">
        <v>115</v>
      </c>
      <c r="I318" s="5" t="str">
        <f t="shared" si="4"/>
        <v>2025-02</v>
      </c>
      <c r="J318" s="4" t="s">
        <v>49</v>
      </c>
      <c r="K318" s="5" t="s">
        <v>343</v>
      </c>
      <c r="L318" s="2">
        <v>42000</v>
      </c>
      <c r="M318" s="3">
        <v>5</v>
      </c>
      <c r="N318" s="2">
        <v>210000</v>
      </c>
      <c r="O318" s="2">
        <v>21000</v>
      </c>
      <c r="P318" s="2">
        <v>231000</v>
      </c>
      <c r="Q318" s="2">
        <f>P318*12%</f>
        <v>27720</v>
      </c>
    </row>
    <row r="319" spans="1:17" hidden="1" x14ac:dyDescent="0.4">
      <c r="A319" s="4" t="s">
        <v>35</v>
      </c>
      <c r="B319" s="4" t="s">
        <v>14</v>
      </c>
      <c r="C319" s="30" t="s">
        <v>434</v>
      </c>
      <c r="D319" s="4" t="s">
        <v>36</v>
      </c>
      <c r="E319" s="4" t="s">
        <v>16</v>
      </c>
      <c r="F319" s="4" t="s">
        <v>17</v>
      </c>
      <c r="G319" s="4" t="s">
        <v>18</v>
      </c>
      <c r="H319" s="4" t="s">
        <v>115</v>
      </c>
      <c r="I319" s="5" t="str">
        <f t="shared" si="4"/>
        <v>2025-02</v>
      </c>
      <c r="J319" s="4" t="s">
        <v>49</v>
      </c>
      <c r="K319" s="5" t="s">
        <v>343</v>
      </c>
      <c r="L319" s="2">
        <v>116220</v>
      </c>
      <c r="M319" s="3">
        <v>1</v>
      </c>
      <c r="N319" s="2">
        <v>116220</v>
      </c>
      <c r="O319" s="2">
        <v>11622</v>
      </c>
      <c r="P319" s="2">
        <v>127842</v>
      </c>
      <c r="Q319" s="2">
        <f>P319*12%</f>
        <v>15341.039999999999</v>
      </c>
    </row>
    <row r="320" spans="1:17" hidden="1" x14ac:dyDescent="0.4">
      <c r="A320" s="4" t="s">
        <v>23</v>
      </c>
      <c r="B320" s="4" t="s">
        <v>14</v>
      </c>
      <c r="C320" s="31" t="s">
        <v>435</v>
      </c>
      <c r="D320" s="4" t="s">
        <v>24</v>
      </c>
      <c r="E320" s="4" t="s">
        <v>16</v>
      </c>
      <c r="F320" s="4" t="s">
        <v>17</v>
      </c>
      <c r="G320" s="4" t="s">
        <v>18</v>
      </c>
      <c r="H320" s="4" t="s">
        <v>115</v>
      </c>
      <c r="I320" s="5" t="str">
        <f t="shared" si="4"/>
        <v>2025-02</v>
      </c>
      <c r="J320" s="4" t="s">
        <v>49</v>
      </c>
      <c r="K320" s="5" t="s">
        <v>343</v>
      </c>
      <c r="L320" s="2">
        <v>54000</v>
      </c>
      <c r="M320" s="3">
        <v>4</v>
      </c>
      <c r="N320" s="2">
        <v>216000</v>
      </c>
      <c r="O320" s="2">
        <v>21600</v>
      </c>
      <c r="P320" s="2">
        <v>237600</v>
      </c>
      <c r="Q320" s="2">
        <f>P320*12%</f>
        <v>28512</v>
      </c>
    </row>
    <row r="321" spans="1:17" hidden="1" x14ac:dyDescent="0.4">
      <c r="A321" s="4" t="s">
        <v>51</v>
      </c>
      <c r="B321" s="4" t="s">
        <v>14</v>
      </c>
      <c r="C321" s="30" t="s">
        <v>434</v>
      </c>
      <c r="D321" s="4" t="s">
        <v>52</v>
      </c>
      <c r="E321" s="4" t="s">
        <v>16</v>
      </c>
      <c r="F321" s="4" t="s">
        <v>17</v>
      </c>
      <c r="G321" s="4" t="s">
        <v>18</v>
      </c>
      <c r="H321" s="4" t="s">
        <v>115</v>
      </c>
      <c r="I321" s="5" t="str">
        <f t="shared" si="4"/>
        <v>2025-02</v>
      </c>
      <c r="J321" s="4" t="s">
        <v>49</v>
      </c>
      <c r="K321" s="5" t="s">
        <v>343</v>
      </c>
      <c r="L321" s="2">
        <v>71250</v>
      </c>
      <c r="M321" s="3">
        <v>1</v>
      </c>
      <c r="N321" s="2">
        <v>71250</v>
      </c>
      <c r="O321" s="2">
        <v>7125</v>
      </c>
      <c r="P321" s="2">
        <v>78375</v>
      </c>
      <c r="Q321" s="2">
        <f>P321*12%</f>
        <v>9405</v>
      </c>
    </row>
    <row r="322" spans="1:17" x14ac:dyDescent="0.4">
      <c r="A322" s="4" t="s">
        <v>13</v>
      </c>
      <c r="B322" s="4" t="s">
        <v>14</v>
      </c>
      <c r="C322" s="30" t="s">
        <v>434</v>
      </c>
      <c r="D322" s="4" t="s">
        <v>15</v>
      </c>
      <c r="E322" s="4" t="s">
        <v>16</v>
      </c>
      <c r="F322" s="4" t="s">
        <v>17</v>
      </c>
      <c r="G322" s="4" t="s">
        <v>18</v>
      </c>
      <c r="H322" s="4" t="s">
        <v>116</v>
      </c>
      <c r="I322" s="5" t="str">
        <f t="shared" ref="I322:I385" si="5">TEXT(H322,"yyyy-mm")</f>
        <v>2025-02</v>
      </c>
      <c r="J322" s="4" t="s">
        <v>20</v>
      </c>
      <c r="K322" s="5" t="s">
        <v>342</v>
      </c>
      <c r="L322" s="2">
        <v>42000</v>
      </c>
      <c r="M322" s="3">
        <v>1</v>
      </c>
      <c r="N322" s="2">
        <v>42000</v>
      </c>
      <c r="O322" s="2">
        <v>4200</v>
      </c>
      <c r="P322" s="2">
        <v>46200</v>
      </c>
      <c r="Q322" s="2">
        <f>P322*8.5%</f>
        <v>3927.0000000000005</v>
      </c>
    </row>
    <row r="323" spans="1:17" x14ac:dyDescent="0.4">
      <c r="A323" s="4" t="s">
        <v>21</v>
      </c>
      <c r="B323" s="4" t="s">
        <v>14</v>
      </c>
      <c r="C323" s="31" t="s">
        <v>435</v>
      </c>
      <c r="D323" s="4" t="s">
        <v>22</v>
      </c>
      <c r="E323" s="4" t="s">
        <v>16</v>
      </c>
      <c r="F323" s="4" t="s">
        <v>17</v>
      </c>
      <c r="G323" s="4" t="s">
        <v>18</v>
      </c>
      <c r="H323" s="4" t="s">
        <v>116</v>
      </c>
      <c r="I323" s="5" t="str">
        <f t="shared" si="5"/>
        <v>2025-02</v>
      </c>
      <c r="J323" s="4" t="s">
        <v>20</v>
      </c>
      <c r="K323" s="5" t="s">
        <v>342</v>
      </c>
      <c r="L323" s="2">
        <v>54000</v>
      </c>
      <c r="M323" s="3">
        <v>1</v>
      </c>
      <c r="N323" s="2">
        <v>54000</v>
      </c>
      <c r="O323" s="2">
        <v>5400</v>
      </c>
      <c r="P323" s="2">
        <v>59400</v>
      </c>
      <c r="Q323" s="2">
        <f>P323*8.5%</f>
        <v>5049</v>
      </c>
    </row>
    <row r="324" spans="1:17" x14ac:dyDescent="0.4">
      <c r="A324" s="4" t="s">
        <v>23</v>
      </c>
      <c r="B324" s="4" t="s">
        <v>14</v>
      </c>
      <c r="C324" s="31" t="s">
        <v>435</v>
      </c>
      <c r="D324" s="4" t="s">
        <v>24</v>
      </c>
      <c r="E324" s="4" t="s">
        <v>16</v>
      </c>
      <c r="F324" s="4" t="s">
        <v>17</v>
      </c>
      <c r="G324" s="4" t="s">
        <v>18</v>
      </c>
      <c r="H324" s="4" t="s">
        <v>116</v>
      </c>
      <c r="I324" s="5" t="str">
        <f t="shared" si="5"/>
        <v>2025-02</v>
      </c>
      <c r="J324" s="4" t="s">
        <v>20</v>
      </c>
      <c r="K324" s="5" t="s">
        <v>342</v>
      </c>
      <c r="L324" s="2">
        <v>54000</v>
      </c>
      <c r="M324" s="3">
        <v>1</v>
      </c>
      <c r="N324" s="2">
        <v>54000</v>
      </c>
      <c r="O324" s="2">
        <v>5400</v>
      </c>
      <c r="P324" s="2">
        <v>59400</v>
      </c>
      <c r="Q324" s="2">
        <f>P324*8.5%</f>
        <v>5049</v>
      </c>
    </row>
    <row r="325" spans="1:17" x14ac:dyDescent="0.4">
      <c r="A325" s="4" t="s">
        <v>56</v>
      </c>
      <c r="B325" s="4" t="s">
        <v>26</v>
      </c>
      <c r="C325" s="32" t="s">
        <v>436</v>
      </c>
      <c r="D325" s="4" t="s">
        <v>57</v>
      </c>
      <c r="E325" s="4" t="s">
        <v>44</v>
      </c>
      <c r="F325" s="4" t="s">
        <v>31</v>
      </c>
      <c r="G325" s="4" t="s">
        <v>18</v>
      </c>
      <c r="H325" s="4" t="s">
        <v>116</v>
      </c>
      <c r="I325" s="5" t="str">
        <f t="shared" si="5"/>
        <v>2025-02</v>
      </c>
      <c r="J325" s="4" t="s">
        <v>20</v>
      </c>
      <c r="K325" s="5" t="s">
        <v>342</v>
      </c>
      <c r="L325" s="2">
        <v>3169</v>
      </c>
      <c r="M325" s="3">
        <v>24</v>
      </c>
      <c r="N325" s="2">
        <v>76056</v>
      </c>
      <c r="O325" s="2">
        <v>0</v>
      </c>
      <c r="P325" s="2">
        <v>76056</v>
      </c>
      <c r="Q325" s="2">
        <f>P325*8.5%</f>
        <v>6464.76</v>
      </c>
    </row>
    <row r="326" spans="1:17" hidden="1" x14ac:dyDescent="0.4">
      <c r="A326" s="4" t="s">
        <v>32</v>
      </c>
      <c r="B326" s="4" t="s">
        <v>14</v>
      </c>
      <c r="C326" s="31" t="s">
        <v>435</v>
      </c>
      <c r="D326" s="4" t="s">
        <v>33</v>
      </c>
      <c r="E326" s="4" t="s">
        <v>16</v>
      </c>
      <c r="F326" s="4" t="s">
        <v>17</v>
      </c>
      <c r="G326" s="4" t="s">
        <v>18</v>
      </c>
      <c r="H326" s="4" t="s">
        <v>116</v>
      </c>
      <c r="I326" s="5" t="str">
        <f t="shared" si="5"/>
        <v>2025-02</v>
      </c>
      <c r="J326" s="4" t="s">
        <v>34</v>
      </c>
      <c r="K326" s="5" t="s">
        <v>342</v>
      </c>
      <c r="L326" s="2">
        <v>44000</v>
      </c>
      <c r="M326" s="3">
        <v>3</v>
      </c>
      <c r="N326" s="2">
        <v>132000</v>
      </c>
      <c r="O326" s="2">
        <v>13200</v>
      </c>
      <c r="P326" s="2">
        <v>145200</v>
      </c>
      <c r="Q326" s="2">
        <f>P326*8.5%</f>
        <v>12342</v>
      </c>
    </row>
    <row r="327" spans="1:17" hidden="1" x14ac:dyDescent="0.4">
      <c r="A327" s="4" t="s">
        <v>58</v>
      </c>
      <c r="B327" s="4" t="s">
        <v>14</v>
      </c>
      <c r="C327" s="30" t="s">
        <v>434</v>
      </c>
      <c r="D327" s="4" t="s">
        <v>36</v>
      </c>
      <c r="E327" s="4" t="s">
        <v>16</v>
      </c>
      <c r="F327" s="4" t="s">
        <v>17</v>
      </c>
      <c r="G327" s="4" t="s">
        <v>18</v>
      </c>
      <c r="H327" s="4" t="s">
        <v>116</v>
      </c>
      <c r="I327" s="5" t="str">
        <f t="shared" si="5"/>
        <v>2025-02</v>
      </c>
      <c r="J327" s="4" t="s">
        <v>34</v>
      </c>
      <c r="K327" s="5" t="s">
        <v>342</v>
      </c>
      <c r="L327" s="2">
        <v>120880</v>
      </c>
      <c r="M327" s="3">
        <v>1</v>
      </c>
      <c r="N327" s="2">
        <v>120880</v>
      </c>
      <c r="O327" s="2">
        <v>12088</v>
      </c>
      <c r="P327" s="2">
        <v>132968</v>
      </c>
      <c r="Q327" s="2">
        <f>P327*8.5%</f>
        <v>11302.28</v>
      </c>
    </row>
    <row r="328" spans="1:17" hidden="1" x14ac:dyDescent="0.4">
      <c r="A328" s="4" t="s">
        <v>21</v>
      </c>
      <c r="B328" s="4" t="s">
        <v>14</v>
      </c>
      <c r="C328" s="31" t="s">
        <v>435</v>
      </c>
      <c r="D328" s="4" t="s">
        <v>22</v>
      </c>
      <c r="E328" s="4" t="s">
        <v>16</v>
      </c>
      <c r="F328" s="4" t="s">
        <v>17</v>
      </c>
      <c r="G328" s="4" t="s">
        <v>18</v>
      </c>
      <c r="H328" s="4" t="s">
        <v>116</v>
      </c>
      <c r="I328" s="5" t="str">
        <f t="shared" si="5"/>
        <v>2025-02</v>
      </c>
      <c r="J328" s="4" t="s">
        <v>34</v>
      </c>
      <c r="K328" s="5" t="s">
        <v>342</v>
      </c>
      <c r="L328" s="2">
        <v>54000</v>
      </c>
      <c r="M328" s="3">
        <v>1</v>
      </c>
      <c r="N328" s="2">
        <v>54000</v>
      </c>
      <c r="O328" s="2">
        <v>5400</v>
      </c>
      <c r="P328" s="2">
        <v>59400</v>
      </c>
      <c r="Q328" s="2">
        <f>P328*8.5%</f>
        <v>5049</v>
      </c>
    </row>
    <row r="329" spans="1:17" hidden="1" x14ac:dyDescent="0.4">
      <c r="A329" s="4" t="s">
        <v>35</v>
      </c>
      <c r="B329" s="4" t="s">
        <v>14</v>
      </c>
      <c r="C329" s="30" t="s">
        <v>434</v>
      </c>
      <c r="D329" s="4" t="s">
        <v>36</v>
      </c>
      <c r="E329" s="4" t="s">
        <v>16</v>
      </c>
      <c r="F329" s="4" t="s">
        <v>17</v>
      </c>
      <c r="G329" s="4" t="s">
        <v>18</v>
      </c>
      <c r="H329" s="4" t="s">
        <v>116</v>
      </c>
      <c r="I329" s="5" t="str">
        <f t="shared" si="5"/>
        <v>2025-02</v>
      </c>
      <c r="J329" s="4" t="s">
        <v>34</v>
      </c>
      <c r="K329" s="5" t="s">
        <v>342</v>
      </c>
      <c r="L329" s="2">
        <v>116220</v>
      </c>
      <c r="M329" s="3">
        <v>1</v>
      </c>
      <c r="N329" s="2">
        <v>116220</v>
      </c>
      <c r="O329" s="2">
        <v>11622</v>
      </c>
      <c r="P329" s="2">
        <v>127842</v>
      </c>
      <c r="Q329" s="2">
        <f>P329*8.5%</f>
        <v>10866.570000000002</v>
      </c>
    </row>
    <row r="330" spans="1:17" hidden="1" x14ac:dyDescent="0.4">
      <c r="A330" s="4" t="s">
        <v>23</v>
      </c>
      <c r="B330" s="4" t="s">
        <v>14</v>
      </c>
      <c r="C330" s="31" t="s">
        <v>435</v>
      </c>
      <c r="D330" s="4" t="s">
        <v>24</v>
      </c>
      <c r="E330" s="4" t="s">
        <v>16</v>
      </c>
      <c r="F330" s="4" t="s">
        <v>17</v>
      </c>
      <c r="G330" s="4" t="s">
        <v>18</v>
      </c>
      <c r="H330" s="4" t="s">
        <v>116</v>
      </c>
      <c r="I330" s="5" t="str">
        <f t="shared" si="5"/>
        <v>2025-02</v>
      </c>
      <c r="J330" s="4" t="s">
        <v>34</v>
      </c>
      <c r="K330" s="5" t="s">
        <v>342</v>
      </c>
      <c r="L330" s="2">
        <v>54000</v>
      </c>
      <c r="M330" s="3">
        <v>8</v>
      </c>
      <c r="N330" s="2">
        <v>432000</v>
      </c>
      <c r="O330" s="2">
        <v>43200</v>
      </c>
      <c r="P330" s="2">
        <v>475200</v>
      </c>
      <c r="Q330" s="2">
        <f>P330*8.5%</f>
        <v>40392</v>
      </c>
    </row>
    <row r="331" spans="1:17" hidden="1" x14ac:dyDescent="0.4">
      <c r="A331" s="4" t="s">
        <v>73</v>
      </c>
      <c r="B331" s="4" t="s">
        <v>26</v>
      </c>
      <c r="C331" s="32" t="s">
        <v>436</v>
      </c>
      <c r="D331" s="4" t="s">
        <v>57</v>
      </c>
      <c r="E331" s="4" t="s">
        <v>28</v>
      </c>
      <c r="F331" s="4" t="s">
        <v>17</v>
      </c>
      <c r="G331" s="4" t="s">
        <v>18</v>
      </c>
      <c r="H331" s="4" t="s">
        <v>116</v>
      </c>
      <c r="I331" s="5" t="str">
        <f t="shared" si="5"/>
        <v>2025-02</v>
      </c>
      <c r="J331" s="4" t="s">
        <v>34</v>
      </c>
      <c r="K331" s="5" t="s">
        <v>342</v>
      </c>
      <c r="L331" s="2">
        <v>6899</v>
      </c>
      <c r="M331" s="3">
        <v>1</v>
      </c>
      <c r="N331" s="2">
        <v>6899</v>
      </c>
      <c r="O331" s="2">
        <v>690</v>
      </c>
      <c r="P331" s="2">
        <v>7589</v>
      </c>
      <c r="Q331" s="2">
        <f>P331*8.5%</f>
        <v>645.06500000000005</v>
      </c>
    </row>
    <row r="332" spans="1:17" hidden="1" x14ac:dyDescent="0.4">
      <c r="A332" s="4" t="s">
        <v>42</v>
      </c>
      <c r="B332" s="4" t="s">
        <v>14</v>
      </c>
      <c r="C332" s="30" t="s">
        <v>434</v>
      </c>
      <c r="D332" s="4" t="s">
        <v>43</v>
      </c>
      <c r="E332" s="4" t="s">
        <v>44</v>
      </c>
      <c r="F332" s="4" t="s">
        <v>31</v>
      </c>
      <c r="G332" s="4" t="s">
        <v>18</v>
      </c>
      <c r="H332" s="4" t="s">
        <v>116</v>
      </c>
      <c r="I332" s="5" t="str">
        <f t="shared" si="5"/>
        <v>2025-02</v>
      </c>
      <c r="J332" s="4" t="s">
        <v>34</v>
      </c>
      <c r="K332" s="5" t="s">
        <v>342</v>
      </c>
      <c r="L332" s="2">
        <v>6800</v>
      </c>
      <c r="M332" s="3">
        <v>31.5</v>
      </c>
      <c r="N332" s="2">
        <v>214200</v>
      </c>
      <c r="O332" s="2">
        <v>0</v>
      </c>
      <c r="P332" s="2">
        <v>214200</v>
      </c>
      <c r="Q332" s="2">
        <f>P332*8.5%</f>
        <v>18207</v>
      </c>
    </row>
    <row r="333" spans="1:17" hidden="1" x14ac:dyDescent="0.4">
      <c r="A333" s="4" t="s">
        <v>32</v>
      </c>
      <c r="B333" s="4" t="s">
        <v>14</v>
      </c>
      <c r="C333" s="31" t="s">
        <v>435</v>
      </c>
      <c r="D333" s="4" t="s">
        <v>33</v>
      </c>
      <c r="E333" s="4" t="s">
        <v>16</v>
      </c>
      <c r="F333" s="4" t="s">
        <v>17</v>
      </c>
      <c r="G333" s="4" t="s">
        <v>18</v>
      </c>
      <c r="H333" s="4" t="s">
        <v>116</v>
      </c>
      <c r="I333" s="5" t="str">
        <f t="shared" si="5"/>
        <v>2025-02</v>
      </c>
      <c r="J333" s="4" t="s">
        <v>50</v>
      </c>
      <c r="K333" s="5" t="s">
        <v>343</v>
      </c>
      <c r="L333" s="2">
        <v>44000</v>
      </c>
      <c r="M333" s="3">
        <v>2</v>
      </c>
      <c r="N333" s="2">
        <v>88000</v>
      </c>
      <c r="O333" s="2">
        <v>8800</v>
      </c>
      <c r="P333" s="2">
        <v>96800</v>
      </c>
      <c r="Q333" s="2">
        <f>P333*12%</f>
        <v>11616</v>
      </c>
    </row>
    <row r="334" spans="1:17" hidden="1" x14ac:dyDescent="0.4">
      <c r="A334" s="4" t="s">
        <v>13</v>
      </c>
      <c r="B334" s="4" t="s">
        <v>14</v>
      </c>
      <c r="C334" s="30" t="s">
        <v>434</v>
      </c>
      <c r="D334" s="4" t="s">
        <v>15</v>
      </c>
      <c r="E334" s="4" t="s">
        <v>16</v>
      </c>
      <c r="F334" s="4" t="s">
        <v>17</v>
      </c>
      <c r="G334" s="4" t="s">
        <v>18</v>
      </c>
      <c r="H334" s="4" t="s">
        <v>116</v>
      </c>
      <c r="I334" s="5" t="str">
        <f t="shared" si="5"/>
        <v>2025-02</v>
      </c>
      <c r="J334" s="4" t="s">
        <v>50</v>
      </c>
      <c r="K334" s="5" t="s">
        <v>343</v>
      </c>
      <c r="L334" s="2">
        <v>42000</v>
      </c>
      <c r="M334" s="3">
        <v>5</v>
      </c>
      <c r="N334" s="2">
        <v>210000</v>
      </c>
      <c r="O334" s="2">
        <v>21000</v>
      </c>
      <c r="P334" s="2">
        <v>231000</v>
      </c>
      <c r="Q334" s="2">
        <f>P334*12%</f>
        <v>27720</v>
      </c>
    </row>
    <row r="335" spans="1:17" hidden="1" x14ac:dyDescent="0.4">
      <c r="A335" s="4" t="s">
        <v>23</v>
      </c>
      <c r="B335" s="4" t="s">
        <v>14</v>
      </c>
      <c r="C335" s="31" t="s">
        <v>435</v>
      </c>
      <c r="D335" s="4" t="s">
        <v>24</v>
      </c>
      <c r="E335" s="4" t="s">
        <v>16</v>
      </c>
      <c r="F335" s="4" t="s">
        <v>17</v>
      </c>
      <c r="G335" s="4" t="s">
        <v>18</v>
      </c>
      <c r="H335" s="4" t="s">
        <v>116</v>
      </c>
      <c r="I335" s="5" t="str">
        <f t="shared" si="5"/>
        <v>2025-02</v>
      </c>
      <c r="J335" s="4" t="s">
        <v>50</v>
      </c>
      <c r="K335" s="5" t="s">
        <v>343</v>
      </c>
      <c r="L335" s="2">
        <v>54000</v>
      </c>
      <c r="M335" s="3">
        <v>3</v>
      </c>
      <c r="N335" s="2">
        <v>162000</v>
      </c>
      <c r="O335" s="2">
        <v>16200</v>
      </c>
      <c r="P335" s="2">
        <v>178200</v>
      </c>
      <c r="Q335" s="2">
        <f>P335*12%</f>
        <v>21384</v>
      </c>
    </row>
    <row r="336" spans="1:17" x14ac:dyDescent="0.4">
      <c r="A336" s="4" t="s">
        <v>13</v>
      </c>
      <c r="B336" s="4" t="s">
        <v>14</v>
      </c>
      <c r="C336" s="30" t="s">
        <v>434</v>
      </c>
      <c r="D336" s="4" t="s">
        <v>15</v>
      </c>
      <c r="E336" s="4" t="s">
        <v>16</v>
      </c>
      <c r="F336" s="4" t="s">
        <v>17</v>
      </c>
      <c r="G336" s="4" t="s">
        <v>18</v>
      </c>
      <c r="H336" s="4" t="s">
        <v>117</v>
      </c>
      <c r="I336" s="5" t="str">
        <f t="shared" si="5"/>
        <v>2025-02</v>
      </c>
      <c r="J336" s="4" t="s">
        <v>20</v>
      </c>
      <c r="K336" s="5" t="s">
        <v>342</v>
      </c>
      <c r="L336" s="2">
        <v>42000</v>
      </c>
      <c r="M336" s="3">
        <v>1</v>
      </c>
      <c r="N336" s="2">
        <v>42000</v>
      </c>
      <c r="O336" s="2">
        <v>4200</v>
      </c>
      <c r="P336" s="2">
        <v>46200</v>
      </c>
      <c r="Q336" s="2">
        <f>P336*8.5%</f>
        <v>3927.0000000000005</v>
      </c>
    </row>
    <row r="337" spans="1:17" x14ac:dyDescent="0.4">
      <c r="A337" s="4" t="s">
        <v>21</v>
      </c>
      <c r="B337" s="4" t="s">
        <v>14</v>
      </c>
      <c r="C337" s="31" t="s">
        <v>435</v>
      </c>
      <c r="D337" s="4" t="s">
        <v>22</v>
      </c>
      <c r="E337" s="4" t="s">
        <v>16</v>
      </c>
      <c r="F337" s="4" t="s">
        <v>17</v>
      </c>
      <c r="G337" s="4" t="s">
        <v>18</v>
      </c>
      <c r="H337" s="4" t="s">
        <v>117</v>
      </c>
      <c r="I337" s="5" t="str">
        <f t="shared" si="5"/>
        <v>2025-02</v>
      </c>
      <c r="J337" s="4" t="s">
        <v>20</v>
      </c>
      <c r="K337" s="5" t="s">
        <v>342</v>
      </c>
      <c r="L337" s="2">
        <v>54000</v>
      </c>
      <c r="M337" s="3">
        <v>1</v>
      </c>
      <c r="N337" s="2">
        <v>54000</v>
      </c>
      <c r="O337" s="2">
        <v>5400</v>
      </c>
      <c r="P337" s="2">
        <v>59400</v>
      </c>
      <c r="Q337" s="2">
        <f>P337*8.5%</f>
        <v>5049</v>
      </c>
    </row>
    <row r="338" spans="1:17" x14ac:dyDescent="0.4">
      <c r="A338" s="4" t="s">
        <v>23</v>
      </c>
      <c r="B338" s="4" t="s">
        <v>14</v>
      </c>
      <c r="C338" s="31" t="s">
        <v>435</v>
      </c>
      <c r="D338" s="4" t="s">
        <v>24</v>
      </c>
      <c r="E338" s="4" t="s">
        <v>16</v>
      </c>
      <c r="F338" s="4" t="s">
        <v>17</v>
      </c>
      <c r="G338" s="4" t="s">
        <v>18</v>
      </c>
      <c r="H338" s="4" t="s">
        <v>117</v>
      </c>
      <c r="I338" s="5" t="str">
        <f t="shared" si="5"/>
        <v>2025-02</v>
      </c>
      <c r="J338" s="4" t="s">
        <v>20</v>
      </c>
      <c r="K338" s="5" t="s">
        <v>342</v>
      </c>
      <c r="L338" s="2">
        <v>54000</v>
      </c>
      <c r="M338" s="3">
        <v>2</v>
      </c>
      <c r="N338" s="2">
        <v>108000</v>
      </c>
      <c r="O338" s="2">
        <v>10800</v>
      </c>
      <c r="P338" s="2">
        <v>118800</v>
      </c>
      <c r="Q338" s="2">
        <f>P338*8.5%</f>
        <v>10098</v>
      </c>
    </row>
    <row r="339" spans="1:17" x14ac:dyDescent="0.4">
      <c r="A339" s="4" t="s">
        <v>54</v>
      </c>
      <c r="B339" s="4" t="s">
        <v>26</v>
      </c>
      <c r="C339" s="32" t="s">
        <v>436</v>
      </c>
      <c r="D339" s="4" t="s">
        <v>55</v>
      </c>
      <c r="E339" s="4" t="s">
        <v>28</v>
      </c>
      <c r="F339" s="4" t="s">
        <v>31</v>
      </c>
      <c r="G339" s="4" t="s">
        <v>18</v>
      </c>
      <c r="H339" s="4" t="s">
        <v>117</v>
      </c>
      <c r="I339" s="5" t="str">
        <f t="shared" si="5"/>
        <v>2025-02</v>
      </c>
      <c r="J339" s="4" t="s">
        <v>20</v>
      </c>
      <c r="K339" s="5" t="s">
        <v>342</v>
      </c>
      <c r="L339" s="2">
        <v>5145</v>
      </c>
      <c r="M339" s="3">
        <v>1</v>
      </c>
      <c r="N339" s="2">
        <v>5145</v>
      </c>
      <c r="O339" s="2">
        <v>0</v>
      </c>
      <c r="P339" s="2">
        <v>5145</v>
      </c>
      <c r="Q339" s="2">
        <f>P339*8.5%</f>
        <v>437.32500000000005</v>
      </c>
    </row>
    <row r="340" spans="1:17" hidden="1" x14ac:dyDescent="0.4">
      <c r="A340" s="4" t="s">
        <v>32</v>
      </c>
      <c r="B340" s="4" t="s">
        <v>14</v>
      </c>
      <c r="C340" s="31" t="s">
        <v>435</v>
      </c>
      <c r="D340" s="4" t="s">
        <v>33</v>
      </c>
      <c r="E340" s="4" t="s">
        <v>16</v>
      </c>
      <c r="F340" s="4" t="s">
        <v>17</v>
      </c>
      <c r="G340" s="4" t="s">
        <v>18</v>
      </c>
      <c r="H340" s="4" t="s">
        <v>117</v>
      </c>
      <c r="I340" s="5" t="str">
        <f t="shared" si="5"/>
        <v>2025-02</v>
      </c>
      <c r="J340" s="4" t="s">
        <v>118</v>
      </c>
      <c r="K340" s="5" t="s">
        <v>342</v>
      </c>
      <c r="L340" s="2">
        <v>44000</v>
      </c>
      <c r="M340" s="3">
        <v>5</v>
      </c>
      <c r="N340" s="2">
        <v>220000</v>
      </c>
      <c r="O340" s="2">
        <v>22000</v>
      </c>
      <c r="P340" s="2">
        <v>242000</v>
      </c>
      <c r="Q340" s="2">
        <f>P340*8.5%</f>
        <v>20570</v>
      </c>
    </row>
    <row r="341" spans="1:17" hidden="1" x14ac:dyDescent="0.4">
      <c r="A341" s="4" t="s">
        <v>13</v>
      </c>
      <c r="B341" s="4" t="s">
        <v>14</v>
      </c>
      <c r="C341" s="30" t="s">
        <v>434</v>
      </c>
      <c r="D341" s="4" t="s">
        <v>15</v>
      </c>
      <c r="E341" s="4" t="s">
        <v>16</v>
      </c>
      <c r="F341" s="4" t="s">
        <v>17</v>
      </c>
      <c r="G341" s="4" t="s">
        <v>18</v>
      </c>
      <c r="H341" s="4" t="s">
        <v>117</v>
      </c>
      <c r="I341" s="5" t="str">
        <f t="shared" si="5"/>
        <v>2025-02</v>
      </c>
      <c r="J341" s="4" t="s">
        <v>34</v>
      </c>
      <c r="K341" s="5" t="s">
        <v>342</v>
      </c>
      <c r="L341" s="2">
        <v>42000</v>
      </c>
      <c r="M341" s="3">
        <v>5</v>
      </c>
      <c r="N341" s="2">
        <v>210000</v>
      </c>
      <c r="O341" s="2">
        <v>21000</v>
      </c>
      <c r="P341" s="2">
        <v>231000</v>
      </c>
      <c r="Q341" s="2">
        <f>P341*8.5%</f>
        <v>19635</v>
      </c>
    </row>
    <row r="342" spans="1:17" hidden="1" x14ac:dyDescent="0.4">
      <c r="A342" s="4" t="s">
        <v>21</v>
      </c>
      <c r="B342" s="4" t="s">
        <v>14</v>
      </c>
      <c r="C342" s="31" t="s">
        <v>435</v>
      </c>
      <c r="D342" s="4" t="s">
        <v>22</v>
      </c>
      <c r="E342" s="4" t="s">
        <v>16</v>
      </c>
      <c r="F342" s="4" t="s">
        <v>17</v>
      </c>
      <c r="G342" s="4" t="s">
        <v>18</v>
      </c>
      <c r="H342" s="4" t="s">
        <v>117</v>
      </c>
      <c r="I342" s="5" t="str">
        <f t="shared" si="5"/>
        <v>2025-02</v>
      </c>
      <c r="J342" s="4" t="s">
        <v>34</v>
      </c>
      <c r="K342" s="5" t="s">
        <v>342</v>
      </c>
      <c r="L342" s="2">
        <v>54000</v>
      </c>
      <c r="M342" s="3">
        <v>2</v>
      </c>
      <c r="N342" s="2">
        <v>108000</v>
      </c>
      <c r="O342" s="2">
        <v>10800</v>
      </c>
      <c r="P342" s="2">
        <v>118800</v>
      </c>
      <c r="Q342" s="2">
        <f>P342*8.5%</f>
        <v>10098</v>
      </c>
    </row>
    <row r="343" spans="1:17" hidden="1" x14ac:dyDescent="0.4">
      <c r="A343" s="4" t="s">
        <v>23</v>
      </c>
      <c r="B343" s="4" t="s">
        <v>14</v>
      </c>
      <c r="C343" s="31" t="s">
        <v>435</v>
      </c>
      <c r="D343" s="4" t="s">
        <v>24</v>
      </c>
      <c r="E343" s="4" t="s">
        <v>16</v>
      </c>
      <c r="F343" s="4" t="s">
        <v>17</v>
      </c>
      <c r="G343" s="4" t="s">
        <v>18</v>
      </c>
      <c r="H343" s="4" t="s">
        <v>117</v>
      </c>
      <c r="I343" s="5" t="str">
        <f t="shared" si="5"/>
        <v>2025-02</v>
      </c>
      <c r="J343" s="4" t="s">
        <v>34</v>
      </c>
      <c r="K343" s="5" t="s">
        <v>342</v>
      </c>
      <c r="L343" s="2">
        <v>54000</v>
      </c>
      <c r="M343" s="3">
        <v>2</v>
      </c>
      <c r="N343" s="2">
        <v>108000</v>
      </c>
      <c r="O343" s="2">
        <v>10800</v>
      </c>
      <c r="P343" s="2">
        <v>118800</v>
      </c>
      <c r="Q343" s="2">
        <f>P343*8.5%</f>
        <v>10098</v>
      </c>
    </row>
    <row r="344" spans="1:17" hidden="1" x14ac:dyDescent="0.4">
      <c r="A344" s="4" t="s">
        <v>84</v>
      </c>
      <c r="B344" s="4" t="s">
        <v>26</v>
      </c>
      <c r="C344" s="32" t="s">
        <v>436</v>
      </c>
      <c r="D344" s="4" t="s">
        <v>85</v>
      </c>
      <c r="E344" s="4" t="s">
        <v>28</v>
      </c>
      <c r="F344" s="4" t="s">
        <v>17</v>
      </c>
      <c r="G344" s="4" t="s">
        <v>18</v>
      </c>
      <c r="H344" s="4" t="s">
        <v>117</v>
      </c>
      <c r="I344" s="5" t="str">
        <f t="shared" si="5"/>
        <v>2025-02</v>
      </c>
      <c r="J344" s="4" t="s">
        <v>34</v>
      </c>
      <c r="K344" s="5" t="s">
        <v>342</v>
      </c>
      <c r="L344" s="2">
        <v>4920</v>
      </c>
      <c r="M344" s="3">
        <v>1</v>
      </c>
      <c r="N344" s="2">
        <v>4920</v>
      </c>
      <c r="O344" s="2">
        <v>492</v>
      </c>
      <c r="P344" s="2">
        <v>5412</v>
      </c>
      <c r="Q344" s="2">
        <f>P344*8.5%</f>
        <v>460.02000000000004</v>
      </c>
    </row>
    <row r="345" spans="1:17" hidden="1" x14ac:dyDescent="0.4">
      <c r="A345" s="4" t="s">
        <v>73</v>
      </c>
      <c r="B345" s="4" t="s">
        <v>26</v>
      </c>
      <c r="C345" s="32" t="s">
        <v>436</v>
      </c>
      <c r="D345" s="4" t="s">
        <v>57</v>
      </c>
      <c r="E345" s="4" t="s">
        <v>28</v>
      </c>
      <c r="F345" s="4" t="s">
        <v>17</v>
      </c>
      <c r="G345" s="4" t="s">
        <v>18</v>
      </c>
      <c r="H345" s="4" t="s">
        <v>117</v>
      </c>
      <c r="I345" s="5" t="str">
        <f t="shared" si="5"/>
        <v>2025-02</v>
      </c>
      <c r="J345" s="4" t="s">
        <v>34</v>
      </c>
      <c r="K345" s="5" t="s">
        <v>342</v>
      </c>
      <c r="L345" s="2">
        <v>6899</v>
      </c>
      <c r="M345" s="3">
        <v>2</v>
      </c>
      <c r="N345" s="2">
        <v>13798</v>
      </c>
      <c r="O345" s="2">
        <v>1380</v>
      </c>
      <c r="P345" s="2">
        <v>15178</v>
      </c>
      <c r="Q345" s="2">
        <f>P345*8.5%</f>
        <v>1290.1300000000001</v>
      </c>
    </row>
    <row r="346" spans="1:17" hidden="1" x14ac:dyDescent="0.4">
      <c r="A346" s="4" t="s">
        <v>77</v>
      </c>
      <c r="B346" s="4" t="s">
        <v>26</v>
      </c>
      <c r="C346" s="32" t="s">
        <v>436</v>
      </c>
      <c r="D346" s="4" t="s">
        <v>78</v>
      </c>
      <c r="E346" s="4" t="s">
        <v>28</v>
      </c>
      <c r="F346" s="4" t="s">
        <v>17</v>
      </c>
      <c r="G346" s="4" t="s">
        <v>18</v>
      </c>
      <c r="H346" s="4" t="s">
        <v>117</v>
      </c>
      <c r="I346" s="5" t="str">
        <f t="shared" si="5"/>
        <v>2025-02</v>
      </c>
      <c r="J346" s="4" t="s">
        <v>34</v>
      </c>
      <c r="K346" s="5" t="s">
        <v>342</v>
      </c>
      <c r="L346" s="2">
        <v>15201</v>
      </c>
      <c r="M346" s="3">
        <v>1</v>
      </c>
      <c r="N346" s="2">
        <v>15201</v>
      </c>
      <c r="O346" s="2">
        <v>1520</v>
      </c>
      <c r="P346" s="2">
        <v>16721</v>
      </c>
      <c r="Q346" s="2">
        <f>P346*8.5%</f>
        <v>1421.2850000000001</v>
      </c>
    </row>
    <row r="347" spans="1:17" hidden="1" x14ac:dyDescent="0.4">
      <c r="A347" s="4" t="s">
        <v>42</v>
      </c>
      <c r="B347" s="4" t="s">
        <v>14</v>
      </c>
      <c r="C347" s="30" t="s">
        <v>434</v>
      </c>
      <c r="D347" s="4" t="s">
        <v>43</v>
      </c>
      <c r="E347" s="4" t="s">
        <v>44</v>
      </c>
      <c r="F347" s="4" t="s">
        <v>31</v>
      </c>
      <c r="G347" s="4" t="s">
        <v>18</v>
      </c>
      <c r="H347" s="4" t="s">
        <v>117</v>
      </c>
      <c r="I347" s="5" t="str">
        <f t="shared" si="5"/>
        <v>2025-02</v>
      </c>
      <c r="J347" s="4" t="s">
        <v>34</v>
      </c>
      <c r="K347" s="5" t="s">
        <v>342</v>
      </c>
      <c r="L347" s="2">
        <v>6800</v>
      </c>
      <c r="M347" s="3">
        <v>69.2</v>
      </c>
      <c r="N347" s="2">
        <v>470560</v>
      </c>
      <c r="O347" s="2">
        <v>0</v>
      </c>
      <c r="P347" s="2">
        <v>470560</v>
      </c>
      <c r="Q347" s="2">
        <f>P347*8.5%</f>
        <v>39997.600000000006</v>
      </c>
    </row>
    <row r="348" spans="1:17" x14ac:dyDescent="0.4">
      <c r="A348" s="4" t="s">
        <v>21</v>
      </c>
      <c r="B348" s="4" t="s">
        <v>14</v>
      </c>
      <c r="C348" s="31" t="s">
        <v>435</v>
      </c>
      <c r="D348" s="4" t="s">
        <v>22</v>
      </c>
      <c r="E348" s="4" t="s">
        <v>16</v>
      </c>
      <c r="F348" s="4" t="s">
        <v>17</v>
      </c>
      <c r="G348" s="4" t="s">
        <v>18</v>
      </c>
      <c r="H348" s="4" t="s">
        <v>119</v>
      </c>
      <c r="I348" s="5" t="str">
        <f t="shared" si="5"/>
        <v>2025-02</v>
      </c>
      <c r="J348" s="4" t="s">
        <v>20</v>
      </c>
      <c r="K348" s="5" t="s">
        <v>342</v>
      </c>
      <c r="L348" s="2">
        <v>54000</v>
      </c>
      <c r="M348" s="3">
        <v>1</v>
      </c>
      <c r="N348" s="2">
        <v>54000</v>
      </c>
      <c r="O348" s="2">
        <v>5400</v>
      </c>
      <c r="P348" s="2">
        <v>59400</v>
      </c>
      <c r="Q348" s="2">
        <f>P348*8.5%</f>
        <v>5049</v>
      </c>
    </row>
    <row r="349" spans="1:17" x14ac:dyDescent="0.4">
      <c r="A349" s="4" t="s">
        <v>23</v>
      </c>
      <c r="B349" s="4" t="s">
        <v>14</v>
      </c>
      <c r="C349" s="31" t="s">
        <v>435</v>
      </c>
      <c r="D349" s="4" t="s">
        <v>24</v>
      </c>
      <c r="E349" s="4" t="s">
        <v>16</v>
      </c>
      <c r="F349" s="4" t="s">
        <v>17</v>
      </c>
      <c r="G349" s="4" t="s">
        <v>18</v>
      </c>
      <c r="H349" s="4" t="s">
        <v>119</v>
      </c>
      <c r="I349" s="5" t="str">
        <f t="shared" si="5"/>
        <v>2025-02</v>
      </c>
      <c r="J349" s="4" t="s">
        <v>20</v>
      </c>
      <c r="K349" s="5" t="s">
        <v>342</v>
      </c>
      <c r="L349" s="2">
        <v>54000</v>
      </c>
      <c r="M349" s="3">
        <v>2</v>
      </c>
      <c r="N349" s="2">
        <v>108000</v>
      </c>
      <c r="O349" s="2">
        <v>10800</v>
      </c>
      <c r="P349" s="2">
        <v>118800</v>
      </c>
      <c r="Q349" s="2">
        <f>P349*8.5%</f>
        <v>10098</v>
      </c>
    </row>
    <row r="350" spans="1:17" x14ac:dyDescent="0.4">
      <c r="A350" s="4" t="s">
        <v>56</v>
      </c>
      <c r="B350" s="4" t="s">
        <v>26</v>
      </c>
      <c r="C350" s="32" t="s">
        <v>436</v>
      </c>
      <c r="D350" s="4" t="s">
        <v>57</v>
      </c>
      <c r="E350" s="4" t="s">
        <v>44</v>
      </c>
      <c r="F350" s="4" t="s">
        <v>31</v>
      </c>
      <c r="G350" s="4" t="s">
        <v>18</v>
      </c>
      <c r="H350" s="4" t="s">
        <v>119</v>
      </c>
      <c r="I350" s="5" t="str">
        <f t="shared" si="5"/>
        <v>2025-02</v>
      </c>
      <c r="J350" s="4" t="s">
        <v>20</v>
      </c>
      <c r="K350" s="5" t="s">
        <v>342</v>
      </c>
      <c r="L350" s="2">
        <v>3169</v>
      </c>
      <c r="M350" s="3">
        <v>24</v>
      </c>
      <c r="N350" s="2">
        <v>76056</v>
      </c>
      <c r="O350" s="2">
        <v>0</v>
      </c>
      <c r="P350" s="2">
        <v>76056</v>
      </c>
      <c r="Q350" s="2">
        <f>P350*8.5%</f>
        <v>6464.76</v>
      </c>
    </row>
    <row r="351" spans="1:17" hidden="1" x14ac:dyDescent="0.4">
      <c r="A351" s="4" t="s">
        <v>32</v>
      </c>
      <c r="B351" s="4" t="s">
        <v>14</v>
      </c>
      <c r="C351" s="31" t="s">
        <v>435</v>
      </c>
      <c r="D351" s="4" t="s">
        <v>33</v>
      </c>
      <c r="E351" s="4" t="s">
        <v>16</v>
      </c>
      <c r="F351" s="4" t="s">
        <v>17</v>
      </c>
      <c r="G351" s="4" t="s">
        <v>18</v>
      </c>
      <c r="H351" s="4" t="s">
        <v>119</v>
      </c>
      <c r="I351" s="5" t="str">
        <f t="shared" si="5"/>
        <v>2025-02</v>
      </c>
      <c r="J351" s="4" t="s">
        <v>118</v>
      </c>
      <c r="K351" s="5" t="s">
        <v>342</v>
      </c>
      <c r="L351" s="2">
        <v>44000</v>
      </c>
      <c r="M351" s="3">
        <v>1</v>
      </c>
      <c r="N351" s="2">
        <v>44000</v>
      </c>
      <c r="O351" s="2">
        <v>4400</v>
      </c>
      <c r="P351" s="2">
        <v>48400</v>
      </c>
      <c r="Q351" s="2">
        <f>P351*8.5%</f>
        <v>4114</v>
      </c>
    </row>
    <row r="352" spans="1:17" hidden="1" x14ac:dyDescent="0.4">
      <c r="A352" s="4" t="s">
        <v>13</v>
      </c>
      <c r="B352" s="4" t="s">
        <v>14</v>
      </c>
      <c r="C352" s="30" t="s">
        <v>434</v>
      </c>
      <c r="D352" s="4" t="s">
        <v>15</v>
      </c>
      <c r="E352" s="4" t="s">
        <v>16</v>
      </c>
      <c r="F352" s="4" t="s">
        <v>17</v>
      </c>
      <c r="G352" s="4" t="s">
        <v>18</v>
      </c>
      <c r="H352" s="4" t="s">
        <v>119</v>
      </c>
      <c r="I352" s="5" t="str">
        <f t="shared" si="5"/>
        <v>2025-02</v>
      </c>
      <c r="J352" s="4" t="s">
        <v>118</v>
      </c>
      <c r="K352" s="5" t="s">
        <v>342</v>
      </c>
      <c r="L352" s="2">
        <v>42000</v>
      </c>
      <c r="M352" s="3">
        <v>5</v>
      </c>
      <c r="N352" s="2">
        <v>210000</v>
      </c>
      <c r="O352" s="2">
        <v>21000</v>
      </c>
      <c r="P352" s="2">
        <v>231000</v>
      </c>
      <c r="Q352" s="2">
        <f>P352*8.5%</f>
        <v>19635</v>
      </c>
    </row>
    <row r="353" spans="1:17" hidden="1" x14ac:dyDescent="0.4">
      <c r="A353" s="4" t="s">
        <v>35</v>
      </c>
      <c r="B353" s="4" t="s">
        <v>14</v>
      </c>
      <c r="C353" s="30" t="s">
        <v>434</v>
      </c>
      <c r="D353" s="4" t="s">
        <v>36</v>
      </c>
      <c r="E353" s="4" t="s">
        <v>16</v>
      </c>
      <c r="F353" s="4" t="s">
        <v>17</v>
      </c>
      <c r="G353" s="4" t="s">
        <v>18</v>
      </c>
      <c r="H353" s="4" t="s">
        <v>119</v>
      </c>
      <c r="I353" s="5" t="str">
        <f t="shared" si="5"/>
        <v>2025-02</v>
      </c>
      <c r="J353" s="4" t="s">
        <v>118</v>
      </c>
      <c r="K353" s="5" t="s">
        <v>342</v>
      </c>
      <c r="L353" s="2">
        <v>116220</v>
      </c>
      <c r="M353" s="3">
        <v>1</v>
      </c>
      <c r="N353" s="2">
        <v>116220</v>
      </c>
      <c r="O353" s="2">
        <v>11622</v>
      </c>
      <c r="P353" s="2">
        <v>127842</v>
      </c>
      <c r="Q353" s="2">
        <f>P353*8.5%</f>
        <v>10866.570000000002</v>
      </c>
    </row>
    <row r="354" spans="1:17" hidden="1" x14ac:dyDescent="0.4">
      <c r="A354" s="4" t="s">
        <v>23</v>
      </c>
      <c r="B354" s="4" t="s">
        <v>14</v>
      </c>
      <c r="C354" s="31" t="s">
        <v>435</v>
      </c>
      <c r="D354" s="4" t="s">
        <v>24</v>
      </c>
      <c r="E354" s="4" t="s">
        <v>16</v>
      </c>
      <c r="F354" s="4" t="s">
        <v>17</v>
      </c>
      <c r="G354" s="4" t="s">
        <v>18</v>
      </c>
      <c r="H354" s="4" t="s">
        <v>119</v>
      </c>
      <c r="I354" s="5" t="str">
        <f t="shared" si="5"/>
        <v>2025-02</v>
      </c>
      <c r="J354" s="4" t="s">
        <v>118</v>
      </c>
      <c r="K354" s="5" t="s">
        <v>342</v>
      </c>
      <c r="L354" s="2">
        <v>54000</v>
      </c>
      <c r="M354" s="3">
        <v>2</v>
      </c>
      <c r="N354" s="2">
        <v>108000</v>
      </c>
      <c r="O354" s="2">
        <v>10800</v>
      </c>
      <c r="P354" s="2">
        <v>118800</v>
      </c>
      <c r="Q354" s="2">
        <f>P354*8.5%</f>
        <v>10098</v>
      </c>
    </row>
    <row r="355" spans="1:17" hidden="1" x14ac:dyDescent="0.4">
      <c r="A355" s="4" t="s">
        <v>51</v>
      </c>
      <c r="B355" s="4" t="s">
        <v>14</v>
      </c>
      <c r="C355" s="30" t="s">
        <v>434</v>
      </c>
      <c r="D355" s="4" t="s">
        <v>52</v>
      </c>
      <c r="E355" s="4" t="s">
        <v>16</v>
      </c>
      <c r="F355" s="4" t="s">
        <v>17</v>
      </c>
      <c r="G355" s="4" t="s">
        <v>18</v>
      </c>
      <c r="H355" s="4" t="s">
        <v>119</v>
      </c>
      <c r="I355" s="5" t="str">
        <f t="shared" si="5"/>
        <v>2025-02</v>
      </c>
      <c r="J355" s="4" t="s">
        <v>118</v>
      </c>
      <c r="K355" s="5" t="s">
        <v>342</v>
      </c>
      <c r="L355" s="2">
        <v>71250</v>
      </c>
      <c r="M355" s="3">
        <v>1</v>
      </c>
      <c r="N355" s="2">
        <v>71250</v>
      </c>
      <c r="O355" s="2">
        <v>7125</v>
      </c>
      <c r="P355" s="2">
        <v>78375</v>
      </c>
      <c r="Q355" s="2">
        <f>P355*8.5%</f>
        <v>6661.8750000000009</v>
      </c>
    </row>
    <row r="356" spans="1:17" hidden="1" x14ac:dyDescent="0.4">
      <c r="A356" s="4" t="s">
        <v>64</v>
      </c>
      <c r="B356" s="4" t="s">
        <v>65</v>
      </c>
      <c r="C356" s="32" t="s">
        <v>436</v>
      </c>
      <c r="D356" s="4" t="s">
        <v>66</v>
      </c>
      <c r="E356" s="4" t="s">
        <v>16</v>
      </c>
      <c r="F356" s="4" t="s">
        <v>17</v>
      </c>
      <c r="G356" s="4" t="s">
        <v>18</v>
      </c>
      <c r="H356" s="4" t="s">
        <v>119</v>
      </c>
      <c r="I356" s="5" t="str">
        <f t="shared" si="5"/>
        <v>2025-02</v>
      </c>
      <c r="J356" s="4" t="s">
        <v>34</v>
      </c>
      <c r="K356" s="5" t="s">
        <v>342</v>
      </c>
      <c r="L356" s="2">
        <v>10056</v>
      </c>
      <c r="M356" s="3">
        <v>1</v>
      </c>
      <c r="N356" s="2">
        <v>10056</v>
      </c>
      <c r="O356" s="2">
        <v>1006</v>
      </c>
      <c r="P356" s="2">
        <v>11062</v>
      </c>
      <c r="Q356" s="2">
        <f>P356*8.5%</f>
        <v>940.2700000000001</v>
      </c>
    </row>
    <row r="357" spans="1:17" hidden="1" x14ac:dyDescent="0.4">
      <c r="A357" s="4" t="s">
        <v>32</v>
      </c>
      <c r="B357" s="4" t="s">
        <v>14</v>
      </c>
      <c r="C357" s="31" t="s">
        <v>435</v>
      </c>
      <c r="D357" s="4" t="s">
        <v>33</v>
      </c>
      <c r="E357" s="4" t="s">
        <v>16</v>
      </c>
      <c r="F357" s="4" t="s">
        <v>17</v>
      </c>
      <c r="G357" s="4" t="s">
        <v>18</v>
      </c>
      <c r="H357" s="4" t="s">
        <v>119</v>
      </c>
      <c r="I357" s="5" t="str">
        <f t="shared" si="5"/>
        <v>2025-02</v>
      </c>
      <c r="J357" s="4" t="s">
        <v>34</v>
      </c>
      <c r="K357" s="5" t="s">
        <v>342</v>
      </c>
      <c r="L357" s="2">
        <v>44000</v>
      </c>
      <c r="M357" s="3">
        <v>2</v>
      </c>
      <c r="N357" s="2">
        <v>88000</v>
      </c>
      <c r="O357" s="2">
        <v>8800</v>
      </c>
      <c r="P357" s="2">
        <v>96800</v>
      </c>
      <c r="Q357" s="2">
        <f>P357*8.5%</f>
        <v>8228</v>
      </c>
    </row>
    <row r="358" spans="1:17" hidden="1" x14ac:dyDescent="0.4">
      <c r="A358" s="4" t="s">
        <v>58</v>
      </c>
      <c r="B358" s="4" t="s">
        <v>14</v>
      </c>
      <c r="C358" s="30" t="s">
        <v>434</v>
      </c>
      <c r="D358" s="4" t="s">
        <v>36</v>
      </c>
      <c r="E358" s="4" t="s">
        <v>16</v>
      </c>
      <c r="F358" s="4" t="s">
        <v>17</v>
      </c>
      <c r="G358" s="4" t="s">
        <v>18</v>
      </c>
      <c r="H358" s="4" t="s">
        <v>119</v>
      </c>
      <c r="I358" s="5" t="str">
        <f t="shared" si="5"/>
        <v>2025-02</v>
      </c>
      <c r="J358" s="4" t="s">
        <v>34</v>
      </c>
      <c r="K358" s="5" t="s">
        <v>342</v>
      </c>
      <c r="L358" s="2">
        <v>120880</v>
      </c>
      <c r="M358" s="3">
        <v>1</v>
      </c>
      <c r="N358" s="2">
        <v>120880</v>
      </c>
      <c r="O358" s="2">
        <v>12088</v>
      </c>
      <c r="P358" s="2">
        <v>132968</v>
      </c>
      <c r="Q358" s="2">
        <f>P358*8.5%</f>
        <v>11302.28</v>
      </c>
    </row>
    <row r="359" spans="1:17" hidden="1" x14ac:dyDescent="0.4">
      <c r="A359" s="4" t="s">
        <v>13</v>
      </c>
      <c r="B359" s="4" t="s">
        <v>14</v>
      </c>
      <c r="C359" s="30" t="s">
        <v>434</v>
      </c>
      <c r="D359" s="4" t="s">
        <v>15</v>
      </c>
      <c r="E359" s="4" t="s">
        <v>16</v>
      </c>
      <c r="F359" s="4" t="s">
        <v>17</v>
      </c>
      <c r="G359" s="4" t="s">
        <v>18</v>
      </c>
      <c r="H359" s="4" t="s">
        <v>119</v>
      </c>
      <c r="I359" s="5" t="str">
        <f t="shared" si="5"/>
        <v>2025-02</v>
      </c>
      <c r="J359" s="4" t="s">
        <v>34</v>
      </c>
      <c r="K359" s="5" t="s">
        <v>342</v>
      </c>
      <c r="L359" s="2">
        <v>42000</v>
      </c>
      <c r="M359" s="3">
        <v>3</v>
      </c>
      <c r="N359" s="2">
        <v>126000</v>
      </c>
      <c r="O359" s="2">
        <v>12600</v>
      </c>
      <c r="P359" s="2">
        <v>138600</v>
      </c>
      <c r="Q359" s="2">
        <f>P359*8.5%</f>
        <v>11781</v>
      </c>
    </row>
    <row r="360" spans="1:17" hidden="1" x14ac:dyDescent="0.4">
      <c r="A360" s="4" t="s">
        <v>23</v>
      </c>
      <c r="B360" s="4" t="s">
        <v>14</v>
      </c>
      <c r="C360" s="31" t="s">
        <v>435</v>
      </c>
      <c r="D360" s="4" t="s">
        <v>24</v>
      </c>
      <c r="E360" s="4" t="s">
        <v>16</v>
      </c>
      <c r="F360" s="4" t="s">
        <v>17</v>
      </c>
      <c r="G360" s="4" t="s">
        <v>18</v>
      </c>
      <c r="H360" s="4" t="s">
        <v>119</v>
      </c>
      <c r="I360" s="5" t="str">
        <f t="shared" si="5"/>
        <v>2025-02</v>
      </c>
      <c r="J360" s="4" t="s">
        <v>34</v>
      </c>
      <c r="K360" s="5" t="s">
        <v>342</v>
      </c>
      <c r="L360" s="2">
        <v>54000</v>
      </c>
      <c r="M360" s="3">
        <v>2</v>
      </c>
      <c r="N360" s="2">
        <v>108000</v>
      </c>
      <c r="O360" s="2">
        <v>10800</v>
      </c>
      <c r="P360" s="2">
        <v>118800</v>
      </c>
      <c r="Q360" s="2">
        <f>P360*8.5%</f>
        <v>10098</v>
      </c>
    </row>
    <row r="361" spans="1:17" hidden="1" x14ac:dyDescent="0.4">
      <c r="A361" s="4" t="s">
        <v>51</v>
      </c>
      <c r="B361" s="4" t="s">
        <v>14</v>
      </c>
      <c r="C361" s="30" t="s">
        <v>434</v>
      </c>
      <c r="D361" s="4" t="s">
        <v>52</v>
      </c>
      <c r="E361" s="4" t="s">
        <v>16</v>
      </c>
      <c r="F361" s="4" t="s">
        <v>17</v>
      </c>
      <c r="G361" s="4" t="s">
        <v>18</v>
      </c>
      <c r="H361" s="4" t="s">
        <v>119</v>
      </c>
      <c r="I361" s="5" t="str">
        <f t="shared" si="5"/>
        <v>2025-02</v>
      </c>
      <c r="J361" s="4" t="s">
        <v>34</v>
      </c>
      <c r="K361" s="5" t="s">
        <v>342</v>
      </c>
      <c r="L361" s="2">
        <v>71250</v>
      </c>
      <c r="M361" s="3">
        <v>1</v>
      </c>
      <c r="N361" s="2">
        <v>71250</v>
      </c>
      <c r="O361" s="2">
        <v>7125</v>
      </c>
      <c r="P361" s="2">
        <v>78375</v>
      </c>
      <c r="Q361" s="2">
        <f>P361*8.5%</f>
        <v>6661.8750000000009</v>
      </c>
    </row>
    <row r="362" spans="1:17" hidden="1" x14ac:dyDescent="0.4">
      <c r="A362" s="4" t="s">
        <v>67</v>
      </c>
      <c r="B362" s="4" t="s">
        <v>26</v>
      </c>
      <c r="C362" s="32" t="s">
        <v>436</v>
      </c>
      <c r="D362" s="4" t="s">
        <v>63</v>
      </c>
      <c r="E362" s="4" t="s">
        <v>28</v>
      </c>
      <c r="F362" s="4" t="s">
        <v>17</v>
      </c>
      <c r="G362" s="4" t="s">
        <v>18</v>
      </c>
      <c r="H362" s="4" t="s">
        <v>119</v>
      </c>
      <c r="I362" s="5" t="str">
        <f t="shared" si="5"/>
        <v>2025-02</v>
      </c>
      <c r="J362" s="4" t="s">
        <v>34</v>
      </c>
      <c r="K362" s="5" t="s">
        <v>342</v>
      </c>
      <c r="L362" s="2">
        <v>7391</v>
      </c>
      <c r="M362" s="3">
        <v>1</v>
      </c>
      <c r="N362" s="2">
        <v>7391</v>
      </c>
      <c r="O362" s="2">
        <v>739</v>
      </c>
      <c r="P362" s="2">
        <v>8130</v>
      </c>
      <c r="Q362" s="2">
        <f>P362*8.5%</f>
        <v>691.05000000000007</v>
      </c>
    </row>
    <row r="363" spans="1:17" hidden="1" x14ac:dyDescent="0.4">
      <c r="A363" s="4" t="s">
        <v>40</v>
      </c>
      <c r="B363" s="4" t="s">
        <v>26</v>
      </c>
      <c r="C363" s="32" t="s">
        <v>436</v>
      </c>
      <c r="D363" s="4" t="s">
        <v>41</v>
      </c>
      <c r="E363" s="4" t="s">
        <v>28</v>
      </c>
      <c r="F363" s="4" t="s">
        <v>17</v>
      </c>
      <c r="G363" s="4" t="s">
        <v>18</v>
      </c>
      <c r="H363" s="4" t="s">
        <v>119</v>
      </c>
      <c r="I363" s="5" t="str">
        <f t="shared" si="5"/>
        <v>2025-02</v>
      </c>
      <c r="J363" s="4" t="s">
        <v>34</v>
      </c>
      <c r="K363" s="5" t="s">
        <v>342</v>
      </c>
      <c r="L363" s="2">
        <v>17539</v>
      </c>
      <c r="M363" s="3">
        <v>2</v>
      </c>
      <c r="N363" s="2">
        <v>35078</v>
      </c>
      <c r="O363" s="2">
        <v>3508</v>
      </c>
      <c r="P363" s="2">
        <v>38586</v>
      </c>
      <c r="Q363" s="2">
        <f>P363*8.5%</f>
        <v>3279.8100000000004</v>
      </c>
    </row>
    <row r="364" spans="1:17" hidden="1" x14ac:dyDescent="0.4">
      <c r="A364" s="4" t="s">
        <v>120</v>
      </c>
      <c r="B364" s="4" t="s">
        <v>26</v>
      </c>
      <c r="C364" s="32" t="s">
        <v>436</v>
      </c>
      <c r="D364" s="4" t="s">
        <v>121</v>
      </c>
      <c r="E364" s="4" t="s">
        <v>28</v>
      </c>
      <c r="F364" s="4" t="s">
        <v>17</v>
      </c>
      <c r="G364" s="4" t="s">
        <v>18</v>
      </c>
      <c r="H364" s="4" t="s">
        <v>119</v>
      </c>
      <c r="I364" s="5" t="str">
        <f t="shared" si="5"/>
        <v>2025-02</v>
      </c>
      <c r="J364" s="4" t="s">
        <v>34</v>
      </c>
      <c r="K364" s="5" t="s">
        <v>342</v>
      </c>
      <c r="L364" s="2">
        <v>7483</v>
      </c>
      <c r="M364" s="3">
        <v>2</v>
      </c>
      <c r="N364" s="2">
        <v>14966</v>
      </c>
      <c r="O364" s="2">
        <v>1497</v>
      </c>
      <c r="P364" s="2">
        <v>16463</v>
      </c>
      <c r="Q364" s="2">
        <f>P364*8.5%</f>
        <v>1399.355</v>
      </c>
    </row>
    <row r="365" spans="1:17" hidden="1" x14ac:dyDescent="0.4">
      <c r="A365" s="4" t="s">
        <v>42</v>
      </c>
      <c r="B365" s="4" t="s">
        <v>14</v>
      </c>
      <c r="C365" s="30" t="s">
        <v>434</v>
      </c>
      <c r="D365" s="4" t="s">
        <v>43</v>
      </c>
      <c r="E365" s="4" t="s">
        <v>44</v>
      </c>
      <c r="F365" s="4" t="s">
        <v>31</v>
      </c>
      <c r="G365" s="4" t="s">
        <v>18</v>
      </c>
      <c r="H365" s="4" t="s">
        <v>119</v>
      </c>
      <c r="I365" s="5" t="str">
        <f t="shared" si="5"/>
        <v>2025-02</v>
      </c>
      <c r="J365" s="4" t="s">
        <v>34</v>
      </c>
      <c r="K365" s="5" t="s">
        <v>342</v>
      </c>
      <c r="L365" s="2">
        <v>6800</v>
      </c>
      <c r="M365" s="3">
        <v>66.900000000000006</v>
      </c>
      <c r="N365" s="2">
        <v>454920</v>
      </c>
      <c r="O365" s="2">
        <v>0</v>
      </c>
      <c r="P365" s="2">
        <v>454920</v>
      </c>
      <c r="Q365" s="2">
        <f>P365*8.5%</f>
        <v>38668.200000000004</v>
      </c>
    </row>
    <row r="366" spans="1:17" hidden="1" x14ac:dyDescent="0.4">
      <c r="A366" s="4" t="s">
        <v>32</v>
      </c>
      <c r="B366" s="4" t="s">
        <v>14</v>
      </c>
      <c r="C366" s="31" t="s">
        <v>435</v>
      </c>
      <c r="D366" s="4" t="s">
        <v>33</v>
      </c>
      <c r="E366" s="4" t="s">
        <v>16</v>
      </c>
      <c r="F366" s="4" t="s">
        <v>17</v>
      </c>
      <c r="G366" s="4" t="s">
        <v>18</v>
      </c>
      <c r="H366" s="4" t="s">
        <v>119</v>
      </c>
      <c r="I366" s="5" t="str">
        <f t="shared" si="5"/>
        <v>2025-02</v>
      </c>
      <c r="J366" s="4" t="s">
        <v>49</v>
      </c>
      <c r="K366" s="5" t="s">
        <v>343</v>
      </c>
      <c r="L366" s="2">
        <v>44000</v>
      </c>
      <c r="M366" s="3">
        <v>6</v>
      </c>
      <c r="N366" s="2">
        <v>264000</v>
      </c>
      <c r="O366" s="2">
        <v>26400</v>
      </c>
      <c r="P366" s="2">
        <v>290400</v>
      </c>
      <c r="Q366" s="2">
        <f>P366*12%</f>
        <v>34848</v>
      </c>
    </row>
    <row r="367" spans="1:17" hidden="1" x14ac:dyDescent="0.4">
      <c r="A367" s="4" t="s">
        <v>13</v>
      </c>
      <c r="B367" s="4" t="s">
        <v>14</v>
      </c>
      <c r="C367" s="30" t="s">
        <v>434</v>
      </c>
      <c r="D367" s="4" t="s">
        <v>15</v>
      </c>
      <c r="E367" s="4" t="s">
        <v>16</v>
      </c>
      <c r="F367" s="4" t="s">
        <v>17</v>
      </c>
      <c r="G367" s="4" t="s">
        <v>18</v>
      </c>
      <c r="H367" s="4" t="s">
        <v>119</v>
      </c>
      <c r="I367" s="5" t="str">
        <f t="shared" si="5"/>
        <v>2025-02</v>
      </c>
      <c r="J367" s="4" t="s">
        <v>49</v>
      </c>
      <c r="K367" s="5" t="s">
        <v>343</v>
      </c>
      <c r="L367" s="2">
        <v>42000</v>
      </c>
      <c r="M367" s="3">
        <v>6</v>
      </c>
      <c r="N367" s="2">
        <v>252000</v>
      </c>
      <c r="O367" s="2">
        <v>25200</v>
      </c>
      <c r="P367" s="2">
        <v>277200</v>
      </c>
      <c r="Q367" s="2">
        <f>P367*12%</f>
        <v>33264</v>
      </c>
    </row>
    <row r="368" spans="1:17" hidden="1" x14ac:dyDescent="0.4">
      <c r="A368" s="4" t="s">
        <v>35</v>
      </c>
      <c r="B368" s="4" t="s">
        <v>14</v>
      </c>
      <c r="C368" s="30" t="s">
        <v>434</v>
      </c>
      <c r="D368" s="4" t="s">
        <v>36</v>
      </c>
      <c r="E368" s="4" t="s">
        <v>16</v>
      </c>
      <c r="F368" s="4" t="s">
        <v>17</v>
      </c>
      <c r="G368" s="4" t="s">
        <v>18</v>
      </c>
      <c r="H368" s="4" t="s">
        <v>119</v>
      </c>
      <c r="I368" s="5" t="str">
        <f t="shared" si="5"/>
        <v>2025-02</v>
      </c>
      <c r="J368" s="4" t="s">
        <v>49</v>
      </c>
      <c r="K368" s="5" t="s">
        <v>343</v>
      </c>
      <c r="L368" s="2">
        <v>116220</v>
      </c>
      <c r="M368" s="3">
        <v>1</v>
      </c>
      <c r="N368" s="2">
        <v>116220</v>
      </c>
      <c r="O368" s="2">
        <v>11622</v>
      </c>
      <c r="P368" s="2">
        <v>127842</v>
      </c>
      <c r="Q368" s="2">
        <f>P368*12%</f>
        <v>15341.039999999999</v>
      </c>
    </row>
    <row r="369" spans="1:17" hidden="1" x14ac:dyDescent="0.4">
      <c r="A369" s="4" t="s">
        <v>23</v>
      </c>
      <c r="B369" s="4" t="s">
        <v>14</v>
      </c>
      <c r="C369" s="31" t="s">
        <v>435</v>
      </c>
      <c r="D369" s="4" t="s">
        <v>24</v>
      </c>
      <c r="E369" s="4" t="s">
        <v>16</v>
      </c>
      <c r="F369" s="4" t="s">
        <v>17</v>
      </c>
      <c r="G369" s="4" t="s">
        <v>18</v>
      </c>
      <c r="H369" s="4" t="s">
        <v>119</v>
      </c>
      <c r="I369" s="5" t="str">
        <f t="shared" si="5"/>
        <v>2025-02</v>
      </c>
      <c r="J369" s="4" t="s">
        <v>49</v>
      </c>
      <c r="K369" s="5" t="s">
        <v>343</v>
      </c>
      <c r="L369" s="2">
        <v>54000</v>
      </c>
      <c r="M369" s="3">
        <v>3</v>
      </c>
      <c r="N369" s="2">
        <v>162000</v>
      </c>
      <c r="O369" s="2">
        <v>16200</v>
      </c>
      <c r="P369" s="2">
        <v>178200</v>
      </c>
      <c r="Q369" s="2">
        <f>P369*12%</f>
        <v>21384</v>
      </c>
    </row>
    <row r="370" spans="1:17" hidden="1" x14ac:dyDescent="0.4">
      <c r="A370" s="4" t="s">
        <v>32</v>
      </c>
      <c r="B370" s="4" t="s">
        <v>14</v>
      </c>
      <c r="C370" s="31" t="s">
        <v>435</v>
      </c>
      <c r="D370" s="4" t="s">
        <v>33</v>
      </c>
      <c r="E370" s="4" t="s">
        <v>16</v>
      </c>
      <c r="F370" s="4" t="s">
        <v>17</v>
      </c>
      <c r="G370" s="4" t="s">
        <v>18</v>
      </c>
      <c r="H370" s="4" t="s">
        <v>119</v>
      </c>
      <c r="I370" s="5" t="str">
        <f t="shared" si="5"/>
        <v>2025-02</v>
      </c>
      <c r="J370" s="4" t="s">
        <v>50</v>
      </c>
      <c r="K370" s="5" t="s">
        <v>343</v>
      </c>
      <c r="L370" s="2">
        <v>44000</v>
      </c>
      <c r="M370" s="3">
        <v>1</v>
      </c>
      <c r="N370" s="2">
        <v>44000</v>
      </c>
      <c r="O370" s="2">
        <v>4400</v>
      </c>
      <c r="P370" s="2">
        <v>48400</v>
      </c>
      <c r="Q370" s="2">
        <f>P370*12%</f>
        <v>5808</v>
      </c>
    </row>
    <row r="371" spans="1:17" hidden="1" x14ac:dyDescent="0.4">
      <c r="A371" s="4" t="s">
        <v>13</v>
      </c>
      <c r="B371" s="4" t="s">
        <v>14</v>
      </c>
      <c r="C371" s="30" t="s">
        <v>434</v>
      </c>
      <c r="D371" s="4" t="s">
        <v>15</v>
      </c>
      <c r="E371" s="4" t="s">
        <v>16</v>
      </c>
      <c r="F371" s="4" t="s">
        <v>17</v>
      </c>
      <c r="G371" s="4" t="s">
        <v>18</v>
      </c>
      <c r="H371" s="4" t="s">
        <v>119</v>
      </c>
      <c r="I371" s="5" t="str">
        <f t="shared" si="5"/>
        <v>2025-02</v>
      </c>
      <c r="J371" s="4" t="s">
        <v>50</v>
      </c>
      <c r="K371" s="5" t="s">
        <v>343</v>
      </c>
      <c r="L371" s="2">
        <v>42000</v>
      </c>
      <c r="M371" s="3">
        <v>7</v>
      </c>
      <c r="N371" s="2">
        <v>294000</v>
      </c>
      <c r="O371" s="2">
        <v>29400</v>
      </c>
      <c r="P371" s="2">
        <v>323400</v>
      </c>
      <c r="Q371" s="2">
        <f>P371*12%</f>
        <v>38808</v>
      </c>
    </row>
    <row r="372" spans="1:17" hidden="1" x14ac:dyDescent="0.4">
      <c r="A372" s="4" t="s">
        <v>23</v>
      </c>
      <c r="B372" s="4" t="s">
        <v>14</v>
      </c>
      <c r="C372" s="31" t="s">
        <v>435</v>
      </c>
      <c r="D372" s="4" t="s">
        <v>24</v>
      </c>
      <c r="E372" s="4" t="s">
        <v>16</v>
      </c>
      <c r="F372" s="4" t="s">
        <v>17</v>
      </c>
      <c r="G372" s="4" t="s">
        <v>18</v>
      </c>
      <c r="H372" s="4" t="s">
        <v>119</v>
      </c>
      <c r="I372" s="5" t="str">
        <f t="shared" si="5"/>
        <v>2025-02</v>
      </c>
      <c r="J372" s="4" t="s">
        <v>50</v>
      </c>
      <c r="K372" s="5" t="s">
        <v>343</v>
      </c>
      <c r="L372" s="2">
        <v>54000</v>
      </c>
      <c r="M372" s="3">
        <v>3</v>
      </c>
      <c r="N372" s="2">
        <v>162000</v>
      </c>
      <c r="O372" s="2">
        <v>16200</v>
      </c>
      <c r="P372" s="2">
        <v>178200</v>
      </c>
      <c r="Q372" s="2">
        <f>P372*12%</f>
        <v>21384</v>
      </c>
    </row>
    <row r="373" spans="1:17" hidden="1" x14ac:dyDescent="0.4">
      <c r="A373" s="4" t="s">
        <v>51</v>
      </c>
      <c r="B373" s="4" t="s">
        <v>14</v>
      </c>
      <c r="C373" s="30" t="s">
        <v>434</v>
      </c>
      <c r="D373" s="4" t="s">
        <v>52</v>
      </c>
      <c r="E373" s="4" t="s">
        <v>16</v>
      </c>
      <c r="F373" s="4" t="s">
        <v>17</v>
      </c>
      <c r="G373" s="4" t="s">
        <v>18</v>
      </c>
      <c r="H373" s="4" t="s">
        <v>119</v>
      </c>
      <c r="I373" s="5" t="str">
        <f t="shared" si="5"/>
        <v>2025-02</v>
      </c>
      <c r="J373" s="4" t="s">
        <v>50</v>
      </c>
      <c r="K373" s="5" t="s">
        <v>343</v>
      </c>
      <c r="L373" s="2">
        <v>71250</v>
      </c>
      <c r="M373" s="3">
        <v>1</v>
      </c>
      <c r="N373" s="2">
        <v>71250</v>
      </c>
      <c r="O373" s="2">
        <v>7125</v>
      </c>
      <c r="P373" s="2">
        <v>78375</v>
      </c>
      <c r="Q373" s="2">
        <f>P373*12%</f>
        <v>9405</v>
      </c>
    </row>
    <row r="374" spans="1:17" x14ac:dyDescent="0.4">
      <c r="A374" s="4" t="s">
        <v>58</v>
      </c>
      <c r="B374" s="4" t="s">
        <v>14</v>
      </c>
      <c r="C374" s="30" t="s">
        <v>434</v>
      </c>
      <c r="D374" s="4" t="s">
        <v>36</v>
      </c>
      <c r="E374" s="4" t="s">
        <v>16</v>
      </c>
      <c r="F374" s="4" t="s">
        <v>17</v>
      </c>
      <c r="G374" s="4" t="s">
        <v>18</v>
      </c>
      <c r="H374" s="4" t="s">
        <v>122</v>
      </c>
      <c r="I374" s="5" t="str">
        <f t="shared" si="5"/>
        <v>2025-02</v>
      </c>
      <c r="J374" s="4" t="s">
        <v>20</v>
      </c>
      <c r="K374" s="5" t="s">
        <v>342</v>
      </c>
      <c r="L374" s="2">
        <v>120880</v>
      </c>
      <c r="M374" s="3">
        <v>1</v>
      </c>
      <c r="N374" s="2">
        <v>120880</v>
      </c>
      <c r="O374" s="2">
        <v>12088</v>
      </c>
      <c r="P374" s="2">
        <v>132968</v>
      </c>
      <c r="Q374" s="2">
        <f>P374*8.5%</f>
        <v>11302.28</v>
      </c>
    </row>
    <row r="375" spans="1:17" x14ac:dyDescent="0.4">
      <c r="A375" s="4" t="s">
        <v>13</v>
      </c>
      <c r="B375" s="4" t="s">
        <v>14</v>
      </c>
      <c r="C375" s="30" t="s">
        <v>434</v>
      </c>
      <c r="D375" s="4" t="s">
        <v>15</v>
      </c>
      <c r="E375" s="4" t="s">
        <v>16</v>
      </c>
      <c r="F375" s="4" t="s">
        <v>17</v>
      </c>
      <c r="G375" s="4" t="s">
        <v>18</v>
      </c>
      <c r="H375" s="4" t="s">
        <v>122</v>
      </c>
      <c r="I375" s="5" t="str">
        <f t="shared" si="5"/>
        <v>2025-02</v>
      </c>
      <c r="J375" s="4" t="s">
        <v>20</v>
      </c>
      <c r="K375" s="5" t="s">
        <v>342</v>
      </c>
      <c r="L375" s="2">
        <v>42000</v>
      </c>
      <c r="M375" s="3">
        <v>1</v>
      </c>
      <c r="N375" s="2">
        <v>42000</v>
      </c>
      <c r="O375" s="2">
        <v>4200</v>
      </c>
      <c r="P375" s="2">
        <v>46200</v>
      </c>
      <c r="Q375" s="2">
        <f>P375*8.5%</f>
        <v>3927.0000000000005</v>
      </c>
    </row>
    <row r="376" spans="1:17" x14ac:dyDescent="0.4">
      <c r="A376" s="4" t="s">
        <v>21</v>
      </c>
      <c r="B376" s="4" t="s">
        <v>14</v>
      </c>
      <c r="C376" s="31" t="s">
        <v>435</v>
      </c>
      <c r="D376" s="4" t="s">
        <v>22</v>
      </c>
      <c r="E376" s="4" t="s">
        <v>16</v>
      </c>
      <c r="F376" s="4" t="s">
        <v>17</v>
      </c>
      <c r="G376" s="4" t="s">
        <v>18</v>
      </c>
      <c r="H376" s="4" t="s">
        <v>122</v>
      </c>
      <c r="I376" s="5" t="str">
        <f t="shared" si="5"/>
        <v>2025-02</v>
      </c>
      <c r="J376" s="4" t="s">
        <v>20</v>
      </c>
      <c r="K376" s="5" t="s">
        <v>342</v>
      </c>
      <c r="L376" s="2">
        <v>54000</v>
      </c>
      <c r="M376" s="3">
        <v>1</v>
      </c>
      <c r="N376" s="2">
        <v>54000</v>
      </c>
      <c r="O376" s="2">
        <v>5400</v>
      </c>
      <c r="P376" s="2">
        <v>59400</v>
      </c>
      <c r="Q376" s="2">
        <f>P376*8.5%</f>
        <v>5049</v>
      </c>
    </row>
    <row r="377" spans="1:17" x14ac:dyDescent="0.4">
      <c r="A377" s="4" t="s">
        <v>23</v>
      </c>
      <c r="B377" s="4" t="s">
        <v>14</v>
      </c>
      <c r="C377" s="31" t="s">
        <v>435</v>
      </c>
      <c r="D377" s="4" t="s">
        <v>24</v>
      </c>
      <c r="E377" s="4" t="s">
        <v>16</v>
      </c>
      <c r="F377" s="4" t="s">
        <v>17</v>
      </c>
      <c r="G377" s="4" t="s">
        <v>18</v>
      </c>
      <c r="H377" s="4" t="s">
        <v>122</v>
      </c>
      <c r="I377" s="5" t="str">
        <f t="shared" si="5"/>
        <v>2025-02</v>
      </c>
      <c r="J377" s="4" t="s">
        <v>20</v>
      </c>
      <c r="K377" s="5" t="s">
        <v>342</v>
      </c>
      <c r="L377" s="2">
        <v>54000</v>
      </c>
      <c r="M377" s="3">
        <v>2</v>
      </c>
      <c r="N377" s="2">
        <v>108000</v>
      </c>
      <c r="O377" s="2">
        <v>10800</v>
      </c>
      <c r="P377" s="2">
        <v>118800</v>
      </c>
      <c r="Q377" s="2">
        <f>P377*8.5%</f>
        <v>10098</v>
      </c>
    </row>
    <row r="378" spans="1:17" x14ac:dyDescent="0.4">
      <c r="A378" s="4" t="s">
        <v>56</v>
      </c>
      <c r="B378" s="4" t="s">
        <v>26</v>
      </c>
      <c r="C378" s="32" t="s">
        <v>436</v>
      </c>
      <c r="D378" s="4" t="s">
        <v>57</v>
      </c>
      <c r="E378" s="4" t="s">
        <v>44</v>
      </c>
      <c r="F378" s="4" t="s">
        <v>31</v>
      </c>
      <c r="G378" s="4" t="s">
        <v>18</v>
      </c>
      <c r="H378" s="4" t="s">
        <v>122</v>
      </c>
      <c r="I378" s="5" t="str">
        <f t="shared" si="5"/>
        <v>2025-02</v>
      </c>
      <c r="J378" s="4" t="s">
        <v>20</v>
      </c>
      <c r="K378" s="5" t="s">
        <v>342</v>
      </c>
      <c r="L378" s="2">
        <v>3169</v>
      </c>
      <c r="M378" s="3">
        <v>24</v>
      </c>
      <c r="N378" s="2">
        <v>76056</v>
      </c>
      <c r="O378" s="2">
        <v>0</v>
      </c>
      <c r="P378" s="2">
        <v>76056</v>
      </c>
      <c r="Q378" s="2">
        <f>P378*8.5%</f>
        <v>6464.76</v>
      </c>
    </row>
    <row r="379" spans="1:17" hidden="1" x14ac:dyDescent="0.4">
      <c r="A379" s="4" t="s">
        <v>32</v>
      </c>
      <c r="B379" s="4" t="s">
        <v>14</v>
      </c>
      <c r="C379" s="31" t="s">
        <v>435</v>
      </c>
      <c r="D379" s="4" t="s">
        <v>33</v>
      </c>
      <c r="E379" s="4" t="s">
        <v>16</v>
      </c>
      <c r="F379" s="4" t="s">
        <v>17</v>
      </c>
      <c r="G379" s="4" t="s">
        <v>18</v>
      </c>
      <c r="H379" s="4" t="s">
        <v>122</v>
      </c>
      <c r="I379" s="5" t="str">
        <f t="shared" si="5"/>
        <v>2025-02</v>
      </c>
      <c r="J379" s="4" t="s">
        <v>34</v>
      </c>
      <c r="K379" s="5" t="s">
        <v>342</v>
      </c>
      <c r="L379" s="2">
        <v>44000</v>
      </c>
      <c r="M379" s="3">
        <v>2</v>
      </c>
      <c r="N379" s="2">
        <v>88000</v>
      </c>
      <c r="O379" s="2">
        <v>8800</v>
      </c>
      <c r="P379" s="2">
        <v>96800</v>
      </c>
      <c r="Q379" s="2">
        <f>P379*8.5%</f>
        <v>8228</v>
      </c>
    </row>
    <row r="380" spans="1:17" hidden="1" x14ac:dyDescent="0.4">
      <c r="A380" s="4" t="s">
        <v>13</v>
      </c>
      <c r="B380" s="4" t="s">
        <v>14</v>
      </c>
      <c r="C380" s="30" t="s">
        <v>434</v>
      </c>
      <c r="D380" s="4" t="s">
        <v>15</v>
      </c>
      <c r="E380" s="4" t="s">
        <v>16</v>
      </c>
      <c r="F380" s="4" t="s">
        <v>17</v>
      </c>
      <c r="G380" s="4" t="s">
        <v>18</v>
      </c>
      <c r="H380" s="4" t="s">
        <v>122</v>
      </c>
      <c r="I380" s="5" t="str">
        <f t="shared" si="5"/>
        <v>2025-02</v>
      </c>
      <c r="J380" s="4" t="s">
        <v>34</v>
      </c>
      <c r="K380" s="5" t="s">
        <v>342</v>
      </c>
      <c r="L380" s="2">
        <v>42000</v>
      </c>
      <c r="M380" s="3">
        <v>5</v>
      </c>
      <c r="N380" s="2">
        <v>210000</v>
      </c>
      <c r="O380" s="2">
        <v>21000</v>
      </c>
      <c r="P380" s="2">
        <v>231000</v>
      </c>
      <c r="Q380" s="2">
        <f>P380*8.5%</f>
        <v>19635</v>
      </c>
    </row>
    <row r="381" spans="1:17" hidden="1" x14ac:dyDescent="0.4">
      <c r="A381" s="4" t="s">
        <v>21</v>
      </c>
      <c r="B381" s="4" t="s">
        <v>14</v>
      </c>
      <c r="C381" s="31" t="s">
        <v>435</v>
      </c>
      <c r="D381" s="4" t="s">
        <v>22</v>
      </c>
      <c r="E381" s="4" t="s">
        <v>16</v>
      </c>
      <c r="F381" s="4" t="s">
        <v>17</v>
      </c>
      <c r="G381" s="4" t="s">
        <v>18</v>
      </c>
      <c r="H381" s="4" t="s">
        <v>122</v>
      </c>
      <c r="I381" s="5" t="str">
        <f t="shared" si="5"/>
        <v>2025-02</v>
      </c>
      <c r="J381" s="4" t="s">
        <v>34</v>
      </c>
      <c r="K381" s="5" t="s">
        <v>342</v>
      </c>
      <c r="L381" s="2">
        <v>54000</v>
      </c>
      <c r="M381" s="3">
        <v>1</v>
      </c>
      <c r="N381" s="2">
        <v>54000</v>
      </c>
      <c r="O381" s="2">
        <v>5400</v>
      </c>
      <c r="P381" s="2">
        <v>59400</v>
      </c>
      <c r="Q381" s="2">
        <f>P381*8.5%</f>
        <v>5049</v>
      </c>
    </row>
    <row r="382" spans="1:17" hidden="1" x14ac:dyDescent="0.4">
      <c r="A382" s="4" t="s">
        <v>35</v>
      </c>
      <c r="B382" s="4" t="s">
        <v>14</v>
      </c>
      <c r="C382" s="30" t="s">
        <v>434</v>
      </c>
      <c r="D382" s="4" t="s">
        <v>36</v>
      </c>
      <c r="E382" s="4" t="s">
        <v>16</v>
      </c>
      <c r="F382" s="4" t="s">
        <v>17</v>
      </c>
      <c r="G382" s="4" t="s">
        <v>18</v>
      </c>
      <c r="H382" s="4" t="s">
        <v>122</v>
      </c>
      <c r="I382" s="5" t="str">
        <f t="shared" si="5"/>
        <v>2025-02</v>
      </c>
      <c r="J382" s="4" t="s">
        <v>34</v>
      </c>
      <c r="K382" s="5" t="s">
        <v>342</v>
      </c>
      <c r="L382" s="2">
        <v>116220</v>
      </c>
      <c r="M382" s="3">
        <v>1</v>
      </c>
      <c r="N382" s="2">
        <v>116220</v>
      </c>
      <c r="O382" s="2">
        <v>11622</v>
      </c>
      <c r="P382" s="2">
        <v>127842</v>
      </c>
      <c r="Q382" s="2">
        <f>P382*8.5%</f>
        <v>10866.570000000002</v>
      </c>
    </row>
    <row r="383" spans="1:17" hidden="1" x14ac:dyDescent="0.4">
      <c r="A383" s="4" t="s">
        <v>23</v>
      </c>
      <c r="B383" s="4" t="s">
        <v>14</v>
      </c>
      <c r="C383" s="31" t="s">
        <v>435</v>
      </c>
      <c r="D383" s="4" t="s">
        <v>24</v>
      </c>
      <c r="E383" s="4" t="s">
        <v>16</v>
      </c>
      <c r="F383" s="4" t="s">
        <v>17</v>
      </c>
      <c r="G383" s="4" t="s">
        <v>18</v>
      </c>
      <c r="H383" s="4" t="s">
        <v>122</v>
      </c>
      <c r="I383" s="5" t="str">
        <f t="shared" si="5"/>
        <v>2025-02</v>
      </c>
      <c r="J383" s="4" t="s">
        <v>34</v>
      </c>
      <c r="K383" s="5" t="s">
        <v>342</v>
      </c>
      <c r="L383" s="2">
        <v>54000</v>
      </c>
      <c r="M383" s="3">
        <v>7</v>
      </c>
      <c r="N383" s="2">
        <v>378000</v>
      </c>
      <c r="O383" s="2">
        <v>37800</v>
      </c>
      <c r="P383" s="2">
        <v>415800</v>
      </c>
      <c r="Q383" s="2">
        <f>P383*8.5%</f>
        <v>35343</v>
      </c>
    </row>
    <row r="384" spans="1:17" hidden="1" x14ac:dyDescent="0.4">
      <c r="A384" s="4" t="s">
        <v>51</v>
      </c>
      <c r="B384" s="4" t="s">
        <v>14</v>
      </c>
      <c r="C384" s="30" t="s">
        <v>434</v>
      </c>
      <c r="D384" s="4" t="s">
        <v>52</v>
      </c>
      <c r="E384" s="4" t="s">
        <v>16</v>
      </c>
      <c r="F384" s="4" t="s">
        <v>17</v>
      </c>
      <c r="G384" s="4" t="s">
        <v>18</v>
      </c>
      <c r="H384" s="4" t="s">
        <v>122</v>
      </c>
      <c r="I384" s="5" t="str">
        <f t="shared" si="5"/>
        <v>2025-02</v>
      </c>
      <c r="J384" s="4" t="s">
        <v>34</v>
      </c>
      <c r="K384" s="5" t="s">
        <v>342</v>
      </c>
      <c r="L384" s="2">
        <v>71250</v>
      </c>
      <c r="M384" s="3">
        <v>1</v>
      </c>
      <c r="N384" s="2">
        <v>71250</v>
      </c>
      <c r="O384" s="2">
        <v>7125</v>
      </c>
      <c r="P384" s="2">
        <v>78375</v>
      </c>
      <c r="Q384" s="2">
        <f>P384*8.5%</f>
        <v>6661.8750000000009</v>
      </c>
    </row>
    <row r="385" spans="1:17" hidden="1" x14ac:dyDescent="0.4">
      <c r="A385" s="4" t="s">
        <v>123</v>
      </c>
      <c r="B385" s="4" t="s">
        <v>26</v>
      </c>
      <c r="C385" s="32" t="s">
        <v>436</v>
      </c>
      <c r="D385" s="4" t="s">
        <v>124</v>
      </c>
      <c r="E385" s="4" t="s">
        <v>28</v>
      </c>
      <c r="F385" s="4" t="s">
        <v>17</v>
      </c>
      <c r="G385" s="4" t="s">
        <v>18</v>
      </c>
      <c r="H385" s="4" t="s">
        <v>122</v>
      </c>
      <c r="I385" s="5" t="str">
        <f t="shared" si="5"/>
        <v>2025-02</v>
      </c>
      <c r="J385" s="4" t="s">
        <v>34</v>
      </c>
      <c r="K385" s="5" t="s">
        <v>342</v>
      </c>
      <c r="L385" s="2">
        <v>444</v>
      </c>
      <c r="M385" s="3">
        <v>10</v>
      </c>
      <c r="N385" s="2">
        <v>4440</v>
      </c>
      <c r="O385" s="2">
        <v>444</v>
      </c>
      <c r="P385" s="2">
        <v>4884</v>
      </c>
      <c r="Q385" s="2">
        <f>P385*8.5%</f>
        <v>415.14000000000004</v>
      </c>
    </row>
    <row r="386" spans="1:17" hidden="1" x14ac:dyDescent="0.4">
      <c r="A386" s="4" t="s">
        <v>42</v>
      </c>
      <c r="B386" s="4" t="s">
        <v>14</v>
      </c>
      <c r="C386" s="30" t="s">
        <v>434</v>
      </c>
      <c r="D386" s="4" t="s">
        <v>43</v>
      </c>
      <c r="E386" s="4" t="s">
        <v>44</v>
      </c>
      <c r="F386" s="4" t="s">
        <v>31</v>
      </c>
      <c r="G386" s="4" t="s">
        <v>18</v>
      </c>
      <c r="H386" s="4" t="s">
        <v>122</v>
      </c>
      <c r="I386" s="5" t="str">
        <f t="shared" ref="I386:I449" si="6">TEXT(H386,"yyyy-mm")</f>
        <v>2025-02</v>
      </c>
      <c r="J386" s="4" t="s">
        <v>34</v>
      </c>
      <c r="K386" s="5" t="s">
        <v>342</v>
      </c>
      <c r="L386" s="2">
        <v>6800</v>
      </c>
      <c r="M386" s="3">
        <v>33.799999999999997</v>
      </c>
      <c r="N386" s="2">
        <v>229840</v>
      </c>
      <c r="O386" s="2">
        <v>0</v>
      </c>
      <c r="P386" s="2">
        <v>229840</v>
      </c>
      <c r="Q386" s="2">
        <f>P386*8.5%</f>
        <v>19536.400000000001</v>
      </c>
    </row>
    <row r="387" spans="1:17" hidden="1" x14ac:dyDescent="0.4">
      <c r="A387" s="4" t="s">
        <v>32</v>
      </c>
      <c r="B387" s="4" t="s">
        <v>14</v>
      </c>
      <c r="C387" s="31" t="s">
        <v>435</v>
      </c>
      <c r="D387" s="4" t="s">
        <v>33</v>
      </c>
      <c r="E387" s="4" t="s">
        <v>16</v>
      </c>
      <c r="F387" s="4" t="s">
        <v>17</v>
      </c>
      <c r="G387" s="4" t="s">
        <v>18</v>
      </c>
      <c r="H387" s="4" t="s">
        <v>122</v>
      </c>
      <c r="I387" s="5" t="str">
        <f t="shared" si="6"/>
        <v>2025-02</v>
      </c>
      <c r="J387" s="4" t="s">
        <v>59</v>
      </c>
      <c r="K387" s="5" t="s">
        <v>343</v>
      </c>
      <c r="L387" s="2">
        <v>44000</v>
      </c>
      <c r="M387" s="3">
        <v>1</v>
      </c>
      <c r="N387" s="2">
        <v>44000</v>
      </c>
      <c r="O387" s="2">
        <v>4400</v>
      </c>
      <c r="P387" s="2">
        <v>48400</v>
      </c>
      <c r="Q387" s="2">
        <f>P387*12%</f>
        <v>5808</v>
      </c>
    </row>
    <row r="388" spans="1:17" hidden="1" x14ac:dyDescent="0.4">
      <c r="A388" s="4" t="s">
        <v>13</v>
      </c>
      <c r="B388" s="4" t="s">
        <v>14</v>
      </c>
      <c r="C388" s="30" t="s">
        <v>434</v>
      </c>
      <c r="D388" s="4" t="s">
        <v>15</v>
      </c>
      <c r="E388" s="4" t="s">
        <v>16</v>
      </c>
      <c r="F388" s="4" t="s">
        <v>17</v>
      </c>
      <c r="G388" s="4" t="s">
        <v>18</v>
      </c>
      <c r="H388" s="4" t="s">
        <v>122</v>
      </c>
      <c r="I388" s="5" t="str">
        <f t="shared" si="6"/>
        <v>2025-02</v>
      </c>
      <c r="J388" s="4" t="s">
        <v>59</v>
      </c>
      <c r="K388" s="5" t="s">
        <v>343</v>
      </c>
      <c r="L388" s="2">
        <v>42000</v>
      </c>
      <c r="M388" s="3">
        <v>4</v>
      </c>
      <c r="N388" s="2">
        <v>168000</v>
      </c>
      <c r="O388" s="2">
        <v>16800</v>
      </c>
      <c r="P388" s="2">
        <v>184800</v>
      </c>
      <c r="Q388" s="2">
        <f>P388*12%</f>
        <v>22176</v>
      </c>
    </row>
    <row r="389" spans="1:17" hidden="1" x14ac:dyDescent="0.4">
      <c r="A389" s="4" t="s">
        <v>23</v>
      </c>
      <c r="B389" s="4" t="s">
        <v>14</v>
      </c>
      <c r="C389" s="31" t="s">
        <v>435</v>
      </c>
      <c r="D389" s="4" t="s">
        <v>24</v>
      </c>
      <c r="E389" s="4" t="s">
        <v>16</v>
      </c>
      <c r="F389" s="4" t="s">
        <v>17</v>
      </c>
      <c r="G389" s="4" t="s">
        <v>18</v>
      </c>
      <c r="H389" s="4" t="s">
        <v>122</v>
      </c>
      <c r="I389" s="5" t="str">
        <f t="shared" si="6"/>
        <v>2025-02</v>
      </c>
      <c r="J389" s="4" t="s">
        <v>59</v>
      </c>
      <c r="K389" s="5" t="s">
        <v>343</v>
      </c>
      <c r="L389" s="2">
        <v>54000</v>
      </c>
      <c r="M389" s="3">
        <v>1</v>
      </c>
      <c r="N389" s="2">
        <v>54000</v>
      </c>
      <c r="O389" s="2">
        <v>5400</v>
      </c>
      <c r="P389" s="2">
        <v>59400</v>
      </c>
      <c r="Q389" s="2">
        <f>P389*12%</f>
        <v>7128</v>
      </c>
    </row>
    <row r="390" spans="1:17" x14ac:dyDescent="0.4">
      <c r="A390" s="4" t="s">
        <v>13</v>
      </c>
      <c r="B390" s="4" t="s">
        <v>14</v>
      </c>
      <c r="C390" s="30" t="s">
        <v>434</v>
      </c>
      <c r="D390" s="4" t="s">
        <v>15</v>
      </c>
      <c r="E390" s="4" t="s">
        <v>16</v>
      </c>
      <c r="F390" s="4" t="s">
        <v>17</v>
      </c>
      <c r="G390" s="4" t="s">
        <v>18</v>
      </c>
      <c r="H390" s="4" t="s">
        <v>125</v>
      </c>
      <c r="I390" s="5" t="str">
        <f t="shared" si="6"/>
        <v>2025-03</v>
      </c>
      <c r="J390" s="4" t="s">
        <v>20</v>
      </c>
      <c r="K390" s="5" t="s">
        <v>342</v>
      </c>
      <c r="L390" s="2">
        <v>42000</v>
      </c>
      <c r="M390" s="3">
        <v>1</v>
      </c>
      <c r="N390" s="2">
        <v>42000</v>
      </c>
      <c r="O390" s="2">
        <v>4200</v>
      </c>
      <c r="P390" s="2">
        <v>46200</v>
      </c>
      <c r="Q390" s="2">
        <f>P390*8.5%</f>
        <v>3927.0000000000005</v>
      </c>
    </row>
    <row r="391" spans="1:17" x14ac:dyDescent="0.4">
      <c r="A391" s="4" t="s">
        <v>21</v>
      </c>
      <c r="B391" s="4" t="s">
        <v>14</v>
      </c>
      <c r="C391" s="31" t="s">
        <v>435</v>
      </c>
      <c r="D391" s="4" t="s">
        <v>22</v>
      </c>
      <c r="E391" s="4" t="s">
        <v>16</v>
      </c>
      <c r="F391" s="4" t="s">
        <v>17</v>
      </c>
      <c r="G391" s="4" t="s">
        <v>18</v>
      </c>
      <c r="H391" s="4" t="s">
        <v>125</v>
      </c>
      <c r="I391" s="5" t="str">
        <f t="shared" si="6"/>
        <v>2025-03</v>
      </c>
      <c r="J391" s="4" t="s">
        <v>20</v>
      </c>
      <c r="K391" s="5" t="s">
        <v>342</v>
      </c>
      <c r="L391" s="2">
        <v>54000</v>
      </c>
      <c r="M391" s="3">
        <v>1</v>
      </c>
      <c r="N391" s="2">
        <v>54000</v>
      </c>
      <c r="O391" s="2">
        <v>5400</v>
      </c>
      <c r="P391" s="2">
        <v>59400</v>
      </c>
      <c r="Q391" s="2">
        <f>P391*8.5%</f>
        <v>5049</v>
      </c>
    </row>
    <row r="392" spans="1:17" x14ac:dyDescent="0.4">
      <c r="A392" s="4" t="s">
        <v>23</v>
      </c>
      <c r="B392" s="4" t="s">
        <v>14</v>
      </c>
      <c r="C392" s="31" t="s">
        <v>435</v>
      </c>
      <c r="D392" s="4" t="s">
        <v>24</v>
      </c>
      <c r="E392" s="4" t="s">
        <v>16</v>
      </c>
      <c r="F392" s="4" t="s">
        <v>17</v>
      </c>
      <c r="G392" s="4" t="s">
        <v>18</v>
      </c>
      <c r="H392" s="4" t="s">
        <v>125</v>
      </c>
      <c r="I392" s="5" t="str">
        <f t="shared" si="6"/>
        <v>2025-03</v>
      </c>
      <c r="J392" s="4" t="s">
        <v>20</v>
      </c>
      <c r="K392" s="5" t="s">
        <v>342</v>
      </c>
      <c r="L392" s="2">
        <v>54000</v>
      </c>
      <c r="M392" s="3">
        <v>2</v>
      </c>
      <c r="N392" s="2">
        <v>108000</v>
      </c>
      <c r="O392" s="2">
        <v>10800</v>
      </c>
      <c r="P392" s="2">
        <v>118800</v>
      </c>
      <c r="Q392" s="2">
        <f>P392*8.5%</f>
        <v>10098</v>
      </c>
    </row>
    <row r="393" spans="1:17" hidden="1" x14ac:dyDescent="0.4">
      <c r="A393" s="4" t="s">
        <v>58</v>
      </c>
      <c r="B393" s="4" t="s">
        <v>14</v>
      </c>
      <c r="C393" s="30" t="s">
        <v>434</v>
      </c>
      <c r="D393" s="4" t="s">
        <v>36</v>
      </c>
      <c r="E393" s="4" t="s">
        <v>16</v>
      </c>
      <c r="F393" s="4" t="s">
        <v>17</v>
      </c>
      <c r="G393" s="4" t="s">
        <v>18</v>
      </c>
      <c r="H393" s="4" t="s">
        <v>125</v>
      </c>
      <c r="I393" s="5" t="str">
        <f t="shared" si="6"/>
        <v>2025-03</v>
      </c>
      <c r="J393" s="4" t="s">
        <v>34</v>
      </c>
      <c r="K393" s="5" t="s">
        <v>342</v>
      </c>
      <c r="L393" s="2">
        <v>120880</v>
      </c>
      <c r="M393" s="3">
        <v>1</v>
      </c>
      <c r="N393" s="2">
        <v>120880</v>
      </c>
      <c r="O393" s="2">
        <v>12088</v>
      </c>
      <c r="P393" s="2">
        <v>132968</v>
      </c>
      <c r="Q393" s="2">
        <f>P393*8.5%</f>
        <v>11302.28</v>
      </c>
    </row>
    <row r="394" spans="1:17" hidden="1" x14ac:dyDescent="0.4">
      <c r="A394" s="4" t="s">
        <v>13</v>
      </c>
      <c r="B394" s="4" t="s">
        <v>14</v>
      </c>
      <c r="C394" s="30" t="s">
        <v>434</v>
      </c>
      <c r="D394" s="4" t="s">
        <v>15</v>
      </c>
      <c r="E394" s="4" t="s">
        <v>16</v>
      </c>
      <c r="F394" s="4" t="s">
        <v>17</v>
      </c>
      <c r="G394" s="4" t="s">
        <v>18</v>
      </c>
      <c r="H394" s="4" t="s">
        <v>125</v>
      </c>
      <c r="I394" s="5" t="str">
        <f t="shared" si="6"/>
        <v>2025-03</v>
      </c>
      <c r="J394" s="4" t="s">
        <v>34</v>
      </c>
      <c r="K394" s="5" t="s">
        <v>342</v>
      </c>
      <c r="L394" s="2">
        <v>42000</v>
      </c>
      <c r="M394" s="3">
        <v>2</v>
      </c>
      <c r="N394" s="2">
        <v>84000</v>
      </c>
      <c r="O394" s="2">
        <v>8400</v>
      </c>
      <c r="P394" s="2">
        <v>92400</v>
      </c>
      <c r="Q394" s="2">
        <f>P394*8.5%</f>
        <v>7854.0000000000009</v>
      </c>
    </row>
    <row r="395" spans="1:17" hidden="1" x14ac:dyDescent="0.4">
      <c r="A395" s="4" t="s">
        <v>21</v>
      </c>
      <c r="B395" s="4" t="s">
        <v>14</v>
      </c>
      <c r="C395" s="31" t="s">
        <v>435</v>
      </c>
      <c r="D395" s="4" t="s">
        <v>22</v>
      </c>
      <c r="E395" s="4" t="s">
        <v>16</v>
      </c>
      <c r="F395" s="4" t="s">
        <v>17</v>
      </c>
      <c r="G395" s="4" t="s">
        <v>18</v>
      </c>
      <c r="H395" s="4" t="s">
        <v>125</v>
      </c>
      <c r="I395" s="5" t="str">
        <f t="shared" si="6"/>
        <v>2025-03</v>
      </c>
      <c r="J395" s="4" t="s">
        <v>34</v>
      </c>
      <c r="K395" s="5" t="s">
        <v>342</v>
      </c>
      <c r="L395" s="2">
        <v>54000</v>
      </c>
      <c r="M395" s="3">
        <v>2</v>
      </c>
      <c r="N395" s="2">
        <v>108000</v>
      </c>
      <c r="O395" s="2">
        <v>10800</v>
      </c>
      <c r="P395" s="2">
        <v>118800</v>
      </c>
      <c r="Q395" s="2">
        <f>P395*8.5%</f>
        <v>10098</v>
      </c>
    </row>
    <row r="396" spans="1:17" hidden="1" x14ac:dyDescent="0.4">
      <c r="A396" s="4" t="s">
        <v>23</v>
      </c>
      <c r="B396" s="4" t="s">
        <v>14</v>
      </c>
      <c r="C396" s="31" t="s">
        <v>435</v>
      </c>
      <c r="D396" s="4" t="s">
        <v>24</v>
      </c>
      <c r="E396" s="4" t="s">
        <v>16</v>
      </c>
      <c r="F396" s="4" t="s">
        <v>17</v>
      </c>
      <c r="G396" s="4" t="s">
        <v>18</v>
      </c>
      <c r="H396" s="4" t="s">
        <v>125</v>
      </c>
      <c r="I396" s="5" t="str">
        <f t="shared" si="6"/>
        <v>2025-03</v>
      </c>
      <c r="J396" s="4" t="s">
        <v>34</v>
      </c>
      <c r="K396" s="5" t="s">
        <v>342</v>
      </c>
      <c r="L396" s="2">
        <v>54000</v>
      </c>
      <c r="M396" s="3">
        <v>3</v>
      </c>
      <c r="N396" s="2">
        <v>162000</v>
      </c>
      <c r="O396" s="2">
        <v>16200</v>
      </c>
      <c r="P396" s="2">
        <v>178200</v>
      </c>
      <c r="Q396" s="2">
        <f>P396*8.5%</f>
        <v>15147.000000000002</v>
      </c>
    </row>
    <row r="397" spans="1:17" hidden="1" x14ac:dyDescent="0.4">
      <c r="A397" s="4" t="s">
        <v>37</v>
      </c>
      <c r="B397" s="4" t="s">
        <v>26</v>
      </c>
      <c r="C397" s="32" t="s">
        <v>436</v>
      </c>
      <c r="D397" s="4" t="s">
        <v>38</v>
      </c>
      <c r="E397" s="4" t="s">
        <v>28</v>
      </c>
      <c r="F397" s="4" t="s">
        <v>17</v>
      </c>
      <c r="G397" s="4" t="s">
        <v>18</v>
      </c>
      <c r="H397" s="4" t="s">
        <v>125</v>
      </c>
      <c r="I397" s="5" t="str">
        <f t="shared" si="6"/>
        <v>2025-03</v>
      </c>
      <c r="J397" s="4" t="s">
        <v>34</v>
      </c>
      <c r="K397" s="5" t="s">
        <v>342</v>
      </c>
      <c r="L397" s="2">
        <v>386</v>
      </c>
      <c r="M397" s="3">
        <v>20</v>
      </c>
      <c r="N397" s="2">
        <v>7720</v>
      </c>
      <c r="O397" s="2">
        <v>772</v>
      </c>
      <c r="P397" s="2">
        <v>8492</v>
      </c>
      <c r="Q397" s="2">
        <f>P397*8.5%</f>
        <v>721.82</v>
      </c>
    </row>
    <row r="398" spans="1:17" hidden="1" x14ac:dyDescent="0.4">
      <c r="A398" s="4" t="s">
        <v>42</v>
      </c>
      <c r="B398" s="4" t="s">
        <v>14</v>
      </c>
      <c r="C398" s="30" t="s">
        <v>434</v>
      </c>
      <c r="D398" s="4" t="s">
        <v>43</v>
      </c>
      <c r="E398" s="4" t="s">
        <v>44</v>
      </c>
      <c r="F398" s="4" t="s">
        <v>31</v>
      </c>
      <c r="G398" s="4" t="s">
        <v>18</v>
      </c>
      <c r="H398" s="4" t="s">
        <v>125</v>
      </c>
      <c r="I398" s="5" t="str">
        <f t="shared" si="6"/>
        <v>2025-03</v>
      </c>
      <c r="J398" s="4" t="s">
        <v>34</v>
      </c>
      <c r="K398" s="5" t="s">
        <v>342</v>
      </c>
      <c r="L398" s="2">
        <v>6800</v>
      </c>
      <c r="M398" s="3">
        <v>47.3</v>
      </c>
      <c r="N398" s="2">
        <v>321640</v>
      </c>
      <c r="O398" s="2">
        <v>0</v>
      </c>
      <c r="P398" s="2">
        <v>321640</v>
      </c>
      <c r="Q398" s="2">
        <f>P398*8.5%</f>
        <v>27339.4</v>
      </c>
    </row>
    <row r="399" spans="1:17" hidden="1" x14ac:dyDescent="0.4">
      <c r="A399" s="4" t="s">
        <v>32</v>
      </c>
      <c r="B399" s="4" t="s">
        <v>14</v>
      </c>
      <c r="C399" s="31" t="s">
        <v>435</v>
      </c>
      <c r="D399" s="4" t="s">
        <v>33</v>
      </c>
      <c r="E399" s="4" t="s">
        <v>16</v>
      </c>
      <c r="F399" s="4" t="s">
        <v>17</v>
      </c>
      <c r="G399" s="4" t="s">
        <v>18</v>
      </c>
      <c r="H399" s="4" t="s">
        <v>125</v>
      </c>
      <c r="I399" s="5" t="str">
        <f t="shared" si="6"/>
        <v>2025-03</v>
      </c>
      <c r="J399" s="4" t="s">
        <v>49</v>
      </c>
      <c r="K399" s="5" t="s">
        <v>343</v>
      </c>
      <c r="L399" s="2">
        <v>44000</v>
      </c>
      <c r="M399" s="3">
        <v>7</v>
      </c>
      <c r="N399" s="2">
        <v>308000</v>
      </c>
      <c r="O399" s="2">
        <v>30800</v>
      </c>
      <c r="P399" s="2">
        <v>338800</v>
      </c>
      <c r="Q399" s="2">
        <f>P399*12%</f>
        <v>40656</v>
      </c>
    </row>
    <row r="400" spans="1:17" hidden="1" x14ac:dyDescent="0.4">
      <c r="A400" s="4" t="s">
        <v>13</v>
      </c>
      <c r="B400" s="4" t="s">
        <v>14</v>
      </c>
      <c r="C400" s="30" t="s">
        <v>434</v>
      </c>
      <c r="D400" s="4" t="s">
        <v>15</v>
      </c>
      <c r="E400" s="4" t="s">
        <v>16</v>
      </c>
      <c r="F400" s="4" t="s">
        <v>17</v>
      </c>
      <c r="G400" s="4" t="s">
        <v>18</v>
      </c>
      <c r="H400" s="4" t="s">
        <v>125</v>
      </c>
      <c r="I400" s="5" t="str">
        <f t="shared" si="6"/>
        <v>2025-03</v>
      </c>
      <c r="J400" s="4" t="s">
        <v>49</v>
      </c>
      <c r="K400" s="5" t="s">
        <v>343</v>
      </c>
      <c r="L400" s="2">
        <v>42000</v>
      </c>
      <c r="M400" s="3">
        <v>6</v>
      </c>
      <c r="N400" s="2">
        <v>252000</v>
      </c>
      <c r="O400" s="2">
        <v>25200</v>
      </c>
      <c r="P400" s="2">
        <v>277200</v>
      </c>
      <c r="Q400" s="2">
        <f>P400*12%</f>
        <v>33264</v>
      </c>
    </row>
    <row r="401" spans="1:17" hidden="1" x14ac:dyDescent="0.4">
      <c r="A401" s="4" t="s">
        <v>35</v>
      </c>
      <c r="B401" s="4" t="s">
        <v>14</v>
      </c>
      <c r="C401" s="30" t="s">
        <v>434</v>
      </c>
      <c r="D401" s="4" t="s">
        <v>36</v>
      </c>
      <c r="E401" s="4" t="s">
        <v>16</v>
      </c>
      <c r="F401" s="4" t="s">
        <v>17</v>
      </c>
      <c r="G401" s="4" t="s">
        <v>18</v>
      </c>
      <c r="H401" s="4" t="s">
        <v>125</v>
      </c>
      <c r="I401" s="5" t="str">
        <f t="shared" si="6"/>
        <v>2025-03</v>
      </c>
      <c r="J401" s="4" t="s">
        <v>49</v>
      </c>
      <c r="K401" s="5" t="s">
        <v>343</v>
      </c>
      <c r="L401" s="2">
        <v>116220</v>
      </c>
      <c r="M401" s="3">
        <v>1</v>
      </c>
      <c r="N401" s="2">
        <v>116220</v>
      </c>
      <c r="O401" s="2">
        <v>11622</v>
      </c>
      <c r="P401" s="2">
        <v>127842</v>
      </c>
      <c r="Q401" s="2">
        <f>P401*12%</f>
        <v>15341.039999999999</v>
      </c>
    </row>
    <row r="402" spans="1:17" hidden="1" x14ac:dyDescent="0.4">
      <c r="A402" s="4" t="s">
        <v>23</v>
      </c>
      <c r="B402" s="4" t="s">
        <v>14</v>
      </c>
      <c r="C402" s="31" t="s">
        <v>435</v>
      </c>
      <c r="D402" s="4" t="s">
        <v>24</v>
      </c>
      <c r="E402" s="4" t="s">
        <v>16</v>
      </c>
      <c r="F402" s="4" t="s">
        <v>17</v>
      </c>
      <c r="G402" s="4" t="s">
        <v>18</v>
      </c>
      <c r="H402" s="4" t="s">
        <v>125</v>
      </c>
      <c r="I402" s="5" t="str">
        <f t="shared" si="6"/>
        <v>2025-03</v>
      </c>
      <c r="J402" s="4" t="s">
        <v>49</v>
      </c>
      <c r="K402" s="5" t="s">
        <v>343</v>
      </c>
      <c r="L402" s="2">
        <v>54000</v>
      </c>
      <c r="M402" s="3">
        <v>4</v>
      </c>
      <c r="N402" s="2">
        <v>216000</v>
      </c>
      <c r="O402" s="2">
        <v>21600</v>
      </c>
      <c r="P402" s="2">
        <v>237600</v>
      </c>
      <c r="Q402" s="2">
        <f>P402*12%</f>
        <v>28512</v>
      </c>
    </row>
    <row r="403" spans="1:17" hidden="1" x14ac:dyDescent="0.4">
      <c r="A403" s="4" t="s">
        <v>51</v>
      </c>
      <c r="B403" s="4" t="s">
        <v>14</v>
      </c>
      <c r="C403" s="30" t="s">
        <v>434</v>
      </c>
      <c r="D403" s="4" t="s">
        <v>52</v>
      </c>
      <c r="E403" s="4" t="s">
        <v>16</v>
      </c>
      <c r="F403" s="4" t="s">
        <v>17</v>
      </c>
      <c r="G403" s="4" t="s">
        <v>18</v>
      </c>
      <c r="H403" s="4" t="s">
        <v>125</v>
      </c>
      <c r="I403" s="5" t="str">
        <f t="shared" si="6"/>
        <v>2025-03</v>
      </c>
      <c r="J403" s="4" t="s">
        <v>49</v>
      </c>
      <c r="K403" s="5" t="s">
        <v>343</v>
      </c>
      <c r="L403" s="2">
        <v>71250</v>
      </c>
      <c r="M403" s="3">
        <v>1</v>
      </c>
      <c r="N403" s="2">
        <v>71250</v>
      </c>
      <c r="O403" s="2">
        <v>7125</v>
      </c>
      <c r="P403" s="2">
        <v>78375</v>
      </c>
      <c r="Q403" s="2">
        <f>P403*12%</f>
        <v>9405</v>
      </c>
    </row>
    <row r="404" spans="1:17" x14ac:dyDescent="0.4">
      <c r="A404" s="4" t="s">
        <v>21</v>
      </c>
      <c r="B404" s="4" t="s">
        <v>14</v>
      </c>
      <c r="C404" s="31" t="s">
        <v>435</v>
      </c>
      <c r="D404" s="4" t="s">
        <v>22</v>
      </c>
      <c r="E404" s="4" t="s">
        <v>16</v>
      </c>
      <c r="F404" s="4" t="s">
        <v>17</v>
      </c>
      <c r="G404" s="4" t="s">
        <v>18</v>
      </c>
      <c r="H404" s="4" t="s">
        <v>126</v>
      </c>
      <c r="I404" s="5" t="str">
        <f t="shared" si="6"/>
        <v>2025-03</v>
      </c>
      <c r="J404" s="4" t="s">
        <v>20</v>
      </c>
      <c r="K404" s="5" t="s">
        <v>342</v>
      </c>
      <c r="L404" s="2">
        <v>54000</v>
      </c>
      <c r="M404" s="3">
        <v>1</v>
      </c>
      <c r="N404" s="2">
        <v>54000</v>
      </c>
      <c r="O404" s="2">
        <v>5400</v>
      </c>
      <c r="P404" s="2">
        <v>59400</v>
      </c>
      <c r="Q404" s="2">
        <f>P404*8.5%</f>
        <v>5049</v>
      </c>
    </row>
    <row r="405" spans="1:17" x14ac:dyDescent="0.4">
      <c r="A405" s="4" t="s">
        <v>23</v>
      </c>
      <c r="B405" s="4" t="s">
        <v>14</v>
      </c>
      <c r="C405" s="31" t="s">
        <v>435</v>
      </c>
      <c r="D405" s="4" t="s">
        <v>24</v>
      </c>
      <c r="E405" s="4" t="s">
        <v>16</v>
      </c>
      <c r="F405" s="4" t="s">
        <v>17</v>
      </c>
      <c r="G405" s="4" t="s">
        <v>18</v>
      </c>
      <c r="H405" s="4" t="s">
        <v>126</v>
      </c>
      <c r="I405" s="5" t="str">
        <f t="shared" si="6"/>
        <v>2025-03</v>
      </c>
      <c r="J405" s="4" t="s">
        <v>20</v>
      </c>
      <c r="K405" s="5" t="s">
        <v>342</v>
      </c>
      <c r="L405" s="2">
        <v>54000</v>
      </c>
      <c r="M405" s="3">
        <v>2</v>
      </c>
      <c r="N405" s="2">
        <v>108000</v>
      </c>
      <c r="O405" s="2">
        <v>10800</v>
      </c>
      <c r="P405" s="2">
        <v>118800</v>
      </c>
      <c r="Q405" s="2">
        <f>P405*8.5%</f>
        <v>10098</v>
      </c>
    </row>
    <row r="406" spans="1:17" x14ac:dyDescent="0.4">
      <c r="A406" s="4" t="s">
        <v>51</v>
      </c>
      <c r="B406" s="4" t="s">
        <v>14</v>
      </c>
      <c r="C406" s="30" t="s">
        <v>434</v>
      </c>
      <c r="D406" s="4" t="s">
        <v>52</v>
      </c>
      <c r="E406" s="4" t="s">
        <v>16</v>
      </c>
      <c r="F406" s="4" t="s">
        <v>17</v>
      </c>
      <c r="G406" s="4" t="s">
        <v>18</v>
      </c>
      <c r="H406" s="4" t="s">
        <v>126</v>
      </c>
      <c r="I406" s="5" t="str">
        <f t="shared" si="6"/>
        <v>2025-03</v>
      </c>
      <c r="J406" s="4" t="s">
        <v>20</v>
      </c>
      <c r="K406" s="5" t="s">
        <v>342</v>
      </c>
      <c r="L406" s="2">
        <v>71250</v>
      </c>
      <c r="M406" s="3">
        <v>1</v>
      </c>
      <c r="N406" s="2">
        <v>71250</v>
      </c>
      <c r="O406" s="2">
        <v>7125</v>
      </c>
      <c r="P406" s="2">
        <v>78375</v>
      </c>
      <c r="Q406" s="2">
        <f>P406*8.5%</f>
        <v>6661.8750000000009</v>
      </c>
    </row>
    <row r="407" spans="1:17" x14ac:dyDescent="0.4">
      <c r="A407" s="4" t="s">
        <v>127</v>
      </c>
      <c r="B407" s="4" t="s">
        <v>26</v>
      </c>
      <c r="C407" s="32" t="s">
        <v>436</v>
      </c>
      <c r="D407" s="4" t="s">
        <v>128</v>
      </c>
      <c r="E407" s="4" t="s">
        <v>28</v>
      </c>
      <c r="F407" s="4" t="s">
        <v>17</v>
      </c>
      <c r="G407" s="4" t="s">
        <v>18</v>
      </c>
      <c r="H407" s="4" t="s">
        <v>126</v>
      </c>
      <c r="I407" s="5" t="str">
        <f t="shared" si="6"/>
        <v>2025-03</v>
      </c>
      <c r="J407" s="4" t="s">
        <v>20</v>
      </c>
      <c r="K407" s="5" t="s">
        <v>342</v>
      </c>
      <c r="L407" s="2">
        <v>2806</v>
      </c>
      <c r="M407" s="3">
        <v>4</v>
      </c>
      <c r="N407" s="2">
        <v>11224</v>
      </c>
      <c r="O407" s="2">
        <v>1122</v>
      </c>
      <c r="P407" s="2">
        <v>12346</v>
      </c>
      <c r="Q407" s="2">
        <f>P407*8.5%</f>
        <v>1049.4100000000001</v>
      </c>
    </row>
    <row r="408" spans="1:17" x14ac:dyDescent="0.4">
      <c r="A408" s="4" t="s">
        <v>29</v>
      </c>
      <c r="B408" s="4" t="s">
        <v>26</v>
      </c>
      <c r="C408" s="32" t="s">
        <v>436</v>
      </c>
      <c r="D408" s="4" t="s">
        <v>30</v>
      </c>
      <c r="E408" s="4" t="s">
        <v>28</v>
      </c>
      <c r="F408" s="4" t="s">
        <v>31</v>
      </c>
      <c r="G408" s="4" t="s">
        <v>18</v>
      </c>
      <c r="H408" s="4" t="s">
        <v>126</v>
      </c>
      <c r="I408" s="5" t="str">
        <f t="shared" si="6"/>
        <v>2025-03</v>
      </c>
      <c r="J408" s="4" t="s">
        <v>20</v>
      </c>
      <c r="K408" s="5" t="s">
        <v>342</v>
      </c>
      <c r="L408" s="2">
        <v>3636</v>
      </c>
      <c r="M408" s="3">
        <v>2</v>
      </c>
      <c r="N408" s="2">
        <v>7272</v>
      </c>
      <c r="O408" s="2">
        <v>0</v>
      </c>
      <c r="P408" s="2">
        <v>7272</v>
      </c>
      <c r="Q408" s="2">
        <f>P408*8.5%</f>
        <v>618.12</v>
      </c>
    </row>
    <row r="409" spans="1:17" x14ac:dyDescent="0.4">
      <c r="A409" s="4" t="s">
        <v>56</v>
      </c>
      <c r="B409" s="4" t="s">
        <v>26</v>
      </c>
      <c r="C409" s="32" t="s">
        <v>436</v>
      </c>
      <c r="D409" s="4" t="s">
        <v>57</v>
      </c>
      <c r="E409" s="4" t="s">
        <v>44</v>
      </c>
      <c r="F409" s="4" t="s">
        <v>31</v>
      </c>
      <c r="G409" s="4" t="s">
        <v>18</v>
      </c>
      <c r="H409" s="4" t="s">
        <v>126</v>
      </c>
      <c r="I409" s="5" t="str">
        <f t="shared" si="6"/>
        <v>2025-03</v>
      </c>
      <c r="J409" s="4" t="s">
        <v>20</v>
      </c>
      <c r="K409" s="5" t="s">
        <v>342</v>
      </c>
      <c r="L409" s="2">
        <v>3414</v>
      </c>
      <c r="M409" s="3">
        <v>10</v>
      </c>
      <c r="N409" s="2">
        <v>34140</v>
      </c>
      <c r="O409" s="2">
        <v>0</v>
      </c>
      <c r="P409" s="2">
        <v>34140</v>
      </c>
      <c r="Q409" s="2">
        <f>P409*8.5%</f>
        <v>2901.9</v>
      </c>
    </row>
    <row r="410" spans="1:17" hidden="1" x14ac:dyDescent="0.4">
      <c r="A410" s="4" t="s">
        <v>32</v>
      </c>
      <c r="B410" s="4" t="s">
        <v>14</v>
      </c>
      <c r="C410" s="31" t="s">
        <v>435</v>
      </c>
      <c r="D410" s="4" t="s">
        <v>33</v>
      </c>
      <c r="E410" s="4" t="s">
        <v>16</v>
      </c>
      <c r="F410" s="4" t="s">
        <v>17</v>
      </c>
      <c r="G410" s="4" t="s">
        <v>18</v>
      </c>
      <c r="H410" s="4" t="s">
        <v>126</v>
      </c>
      <c r="I410" s="5" t="str">
        <f t="shared" si="6"/>
        <v>2025-03</v>
      </c>
      <c r="J410" s="4" t="s">
        <v>118</v>
      </c>
      <c r="K410" s="5" t="s">
        <v>342</v>
      </c>
      <c r="L410" s="2">
        <v>44000</v>
      </c>
      <c r="M410" s="3">
        <v>5</v>
      </c>
      <c r="N410" s="2">
        <v>220000</v>
      </c>
      <c r="O410" s="2">
        <v>22000</v>
      </c>
      <c r="P410" s="2">
        <v>242000</v>
      </c>
      <c r="Q410" s="2">
        <f>P410*8.5%</f>
        <v>20570</v>
      </c>
    </row>
    <row r="411" spans="1:17" hidden="1" x14ac:dyDescent="0.4">
      <c r="A411" s="4" t="s">
        <v>51</v>
      </c>
      <c r="B411" s="4" t="s">
        <v>14</v>
      </c>
      <c r="C411" s="30" t="s">
        <v>434</v>
      </c>
      <c r="D411" s="4" t="s">
        <v>52</v>
      </c>
      <c r="E411" s="4" t="s">
        <v>16</v>
      </c>
      <c r="F411" s="4" t="s">
        <v>17</v>
      </c>
      <c r="G411" s="4" t="s">
        <v>18</v>
      </c>
      <c r="H411" s="4" t="s">
        <v>126</v>
      </c>
      <c r="I411" s="5" t="str">
        <f t="shared" si="6"/>
        <v>2025-03</v>
      </c>
      <c r="J411" s="4" t="s">
        <v>118</v>
      </c>
      <c r="K411" s="5" t="s">
        <v>342</v>
      </c>
      <c r="L411" s="2">
        <v>71250</v>
      </c>
      <c r="M411" s="3">
        <v>1</v>
      </c>
      <c r="N411" s="2">
        <v>71250</v>
      </c>
      <c r="O411" s="2">
        <v>7125</v>
      </c>
      <c r="P411" s="2">
        <v>78375</v>
      </c>
      <c r="Q411" s="2">
        <f>P411*8.5%</f>
        <v>6661.8750000000009</v>
      </c>
    </row>
    <row r="412" spans="1:17" hidden="1" x14ac:dyDescent="0.4">
      <c r="A412" s="4" t="s">
        <v>80</v>
      </c>
      <c r="B412" s="4" t="s">
        <v>26</v>
      </c>
      <c r="C412" s="32" t="s">
        <v>436</v>
      </c>
      <c r="D412" s="4" t="s">
        <v>81</v>
      </c>
      <c r="E412" s="4" t="s">
        <v>16</v>
      </c>
      <c r="F412" s="4" t="s">
        <v>17</v>
      </c>
      <c r="G412" s="4" t="s">
        <v>18</v>
      </c>
      <c r="H412" s="4" t="s">
        <v>126</v>
      </c>
      <c r="I412" s="5" t="str">
        <f t="shared" si="6"/>
        <v>2025-03</v>
      </c>
      <c r="J412" s="4" t="s">
        <v>34</v>
      </c>
      <c r="K412" s="5" t="s">
        <v>342</v>
      </c>
      <c r="L412" s="2">
        <v>17305</v>
      </c>
      <c r="M412" s="3">
        <v>1</v>
      </c>
      <c r="N412" s="2">
        <v>17305</v>
      </c>
      <c r="O412" s="2">
        <v>1731</v>
      </c>
      <c r="P412" s="2">
        <v>19036</v>
      </c>
      <c r="Q412" s="2">
        <f>P412*8.5%</f>
        <v>1618.0600000000002</v>
      </c>
    </row>
    <row r="413" spans="1:17" hidden="1" x14ac:dyDescent="0.4">
      <c r="A413" s="4" t="s">
        <v>82</v>
      </c>
      <c r="B413" s="4" t="s">
        <v>26</v>
      </c>
      <c r="C413" s="32" t="s">
        <v>436</v>
      </c>
      <c r="D413" s="4" t="s">
        <v>81</v>
      </c>
      <c r="E413" s="4" t="s">
        <v>16</v>
      </c>
      <c r="F413" s="4" t="s">
        <v>17</v>
      </c>
      <c r="G413" s="4" t="s">
        <v>18</v>
      </c>
      <c r="H413" s="4" t="s">
        <v>126</v>
      </c>
      <c r="I413" s="5" t="str">
        <f t="shared" si="6"/>
        <v>2025-03</v>
      </c>
      <c r="J413" s="4" t="s">
        <v>34</v>
      </c>
      <c r="K413" s="5" t="s">
        <v>342</v>
      </c>
      <c r="L413" s="2">
        <v>20462</v>
      </c>
      <c r="M413" s="3">
        <v>1</v>
      </c>
      <c r="N413" s="2">
        <v>20462</v>
      </c>
      <c r="O413" s="2">
        <v>2046</v>
      </c>
      <c r="P413" s="2">
        <v>22508</v>
      </c>
      <c r="Q413" s="2">
        <f>P413*8.5%</f>
        <v>1913.18</v>
      </c>
    </row>
    <row r="414" spans="1:17" hidden="1" x14ac:dyDescent="0.4">
      <c r="A414" s="4" t="s">
        <v>32</v>
      </c>
      <c r="B414" s="4" t="s">
        <v>14</v>
      </c>
      <c r="C414" s="31" t="s">
        <v>435</v>
      </c>
      <c r="D414" s="4" t="s">
        <v>33</v>
      </c>
      <c r="E414" s="4" t="s">
        <v>16</v>
      </c>
      <c r="F414" s="4" t="s">
        <v>17</v>
      </c>
      <c r="G414" s="4" t="s">
        <v>18</v>
      </c>
      <c r="H414" s="4" t="s">
        <v>126</v>
      </c>
      <c r="I414" s="5" t="str">
        <f t="shared" si="6"/>
        <v>2025-03</v>
      </c>
      <c r="J414" s="4" t="s">
        <v>34</v>
      </c>
      <c r="K414" s="5" t="s">
        <v>342</v>
      </c>
      <c r="L414" s="2">
        <v>44000</v>
      </c>
      <c r="M414" s="3">
        <v>2</v>
      </c>
      <c r="N414" s="2">
        <v>88000</v>
      </c>
      <c r="O414" s="2">
        <v>8800</v>
      </c>
      <c r="P414" s="2">
        <v>96800</v>
      </c>
      <c r="Q414" s="2">
        <f>P414*8.5%</f>
        <v>8228</v>
      </c>
    </row>
    <row r="415" spans="1:17" hidden="1" x14ac:dyDescent="0.4">
      <c r="A415" s="4" t="s">
        <v>13</v>
      </c>
      <c r="B415" s="4" t="s">
        <v>14</v>
      </c>
      <c r="C415" s="30" t="s">
        <v>434</v>
      </c>
      <c r="D415" s="4" t="s">
        <v>15</v>
      </c>
      <c r="E415" s="4" t="s">
        <v>16</v>
      </c>
      <c r="F415" s="4" t="s">
        <v>17</v>
      </c>
      <c r="G415" s="4" t="s">
        <v>18</v>
      </c>
      <c r="H415" s="4" t="s">
        <v>126</v>
      </c>
      <c r="I415" s="5" t="str">
        <f t="shared" si="6"/>
        <v>2025-03</v>
      </c>
      <c r="J415" s="4" t="s">
        <v>34</v>
      </c>
      <c r="K415" s="5" t="s">
        <v>342</v>
      </c>
      <c r="L415" s="2">
        <v>42000</v>
      </c>
      <c r="M415" s="3">
        <v>6</v>
      </c>
      <c r="N415" s="2">
        <v>252000</v>
      </c>
      <c r="O415" s="2">
        <v>25200</v>
      </c>
      <c r="P415" s="2">
        <v>277200</v>
      </c>
      <c r="Q415" s="2">
        <f>P415*8.5%</f>
        <v>23562</v>
      </c>
    </row>
    <row r="416" spans="1:17" hidden="1" x14ac:dyDescent="0.4">
      <c r="A416" s="4" t="s">
        <v>23</v>
      </c>
      <c r="B416" s="4" t="s">
        <v>14</v>
      </c>
      <c r="C416" s="31" t="s">
        <v>435</v>
      </c>
      <c r="D416" s="4" t="s">
        <v>24</v>
      </c>
      <c r="E416" s="4" t="s">
        <v>16</v>
      </c>
      <c r="F416" s="4" t="s">
        <v>17</v>
      </c>
      <c r="G416" s="4" t="s">
        <v>18</v>
      </c>
      <c r="H416" s="4" t="s">
        <v>126</v>
      </c>
      <c r="I416" s="5" t="str">
        <f t="shared" si="6"/>
        <v>2025-03</v>
      </c>
      <c r="J416" s="4" t="s">
        <v>34</v>
      </c>
      <c r="K416" s="5" t="s">
        <v>342</v>
      </c>
      <c r="L416" s="2">
        <v>54000</v>
      </c>
      <c r="M416" s="3">
        <v>3</v>
      </c>
      <c r="N416" s="2">
        <v>162000</v>
      </c>
      <c r="O416" s="2">
        <v>16200</v>
      </c>
      <c r="P416" s="2">
        <v>178200</v>
      </c>
      <c r="Q416" s="2">
        <f>P416*8.5%</f>
        <v>15147.000000000002</v>
      </c>
    </row>
    <row r="417" spans="1:17" hidden="1" x14ac:dyDescent="0.4">
      <c r="A417" s="4" t="s">
        <v>51</v>
      </c>
      <c r="B417" s="4" t="s">
        <v>14</v>
      </c>
      <c r="C417" s="30" t="s">
        <v>434</v>
      </c>
      <c r="D417" s="4" t="s">
        <v>52</v>
      </c>
      <c r="E417" s="4" t="s">
        <v>16</v>
      </c>
      <c r="F417" s="4" t="s">
        <v>17</v>
      </c>
      <c r="G417" s="4" t="s">
        <v>18</v>
      </c>
      <c r="H417" s="4" t="s">
        <v>126</v>
      </c>
      <c r="I417" s="5" t="str">
        <f t="shared" si="6"/>
        <v>2025-03</v>
      </c>
      <c r="J417" s="4" t="s">
        <v>34</v>
      </c>
      <c r="K417" s="5" t="s">
        <v>342</v>
      </c>
      <c r="L417" s="2">
        <v>71250</v>
      </c>
      <c r="M417" s="3">
        <v>1</v>
      </c>
      <c r="N417" s="2">
        <v>71250</v>
      </c>
      <c r="O417" s="2">
        <v>7125</v>
      </c>
      <c r="P417" s="2">
        <v>78375</v>
      </c>
      <c r="Q417" s="2">
        <f>P417*8.5%</f>
        <v>6661.8750000000009</v>
      </c>
    </row>
    <row r="418" spans="1:17" hidden="1" x14ac:dyDescent="0.4">
      <c r="A418" s="4" t="s">
        <v>42</v>
      </c>
      <c r="B418" s="4" t="s">
        <v>14</v>
      </c>
      <c r="C418" s="30" t="s">
        <v>434</v>
      </c>
      <c r="D418" s="4" t="s">
        <v>43</v>
      </c>
      <c r="E418" s="4" t="s">
        <v>44</v>
      </c>
      <c r="F418" s="4" t="s">
        <v>31</v>
      </c>
      <c r="G418" s="4" t="s">
        <v>18</v>
      </c>
      <c r="H418" s="4" t="s">
        <v>126</v>
      </c>
      <c r="I418" s="5" t="str">
        <f t="shared" si="6"/>
        <v>2025-03</v>
      </c>
      <c r="J418" s="4" t="s">
        <v>34</v>
      </c>
      <c r="K418" s="5" t="s">
        <v>342</v>
      </c>
      <c r="L418" s="2">
        <v>6800</v>
      </c>
      <c r="M418" s="3">
        <v>66.099999999999994</v>
      </c>
      <c r="N418" s="2">
        <v>449480</v>
      </c>
      <c r="O418" s="2">
        <v>0</v>
      </c>
      <c r="P418" s="2">
        <v>449480</v>
      </c>
      <c r="Q418" s="2">
        <f>P418*8.5%</f>
        <v>38205.800000000003</v>
      </c>
    </row>
    <row r="419" spans="1:17" hidden="1" x14ac:dyDescent="0.4">
      <c r="A419" s="4" t="s">
        <v>32</v>
      </c>
      <c r="B419" s="4" t="s">
        <v>14</v>
      </c>
      <c r="C419" s="31" t="s">
        <v>435</v>
      </c>
      <c r="D419" s="4" t="s">
        <v>33</v>
      </c>
      <c r="E419" s="4" t="s">
        <v>16</v>
      </c>
      <c r="F419" s="4" t="s">
        <v>17</v>
      </c>
      <c r="G419" s="4" t="s">
        <v>18</v>
      </c>
      <c r="H419" s="4" t="s">
        <v>126</v>
      </c>
      <c r="I419" s="5" t="str">
        <f t="shared" si="6"/>
        <v>2025-03</v>
      </c>
      <c r="J419" s="4" t="s">
        <v>50</v>
      </c>
      <c r="K419" s="5" t="s">
        <v>343</v>
      </c>
      <c r="L419" s="2">
        <v>44000</v>
      </c>
      <c r="M419" s="3">
        <v>2</v>
      </c>
      <c r="N419" s="2">
        <v>88000</v>
      </c>
      <c r="O419" s="2">
        <v>8800</v>
      </c>
      <c r="P419" s="2">
        <v>96800</v>
      </c>
      <c r="Q419" s="2">
        <f>P419*12%</f>
        <v>11616</v>
      </c>
    </row>
    <row r="420" spans="1:17" hidden="1" x14ac:dyDescent="0.4">
      <c r="A420" s="4" t="s">
        <v>13</v>
      </c>
      <c r="B420" s="4" t="s">
        <v>14</v>
      </c>
      <c r="C420" s="30" t="s">
        <v>434</v>
      </c>
      <c r="D420" s="4" t="s">
        <v>15</v>
      </c>
      <c r="E420" s="4" t="s">
        <v>16</v>
      </c>
      <c r="F420" s="4" t="s">
        <v>17</v>
      </c>
      <c r="G420" s="4" t="s">
        <v>18</v>
      </c>
      <c r="H420" s="4" t="s">
        <v>126</v>
      </c>
      <c r="I420" s="5" t="str">
        <f t="shared" si="6"/>
        <v>2025-03</v>
      </c>
      <c r="J420" s="4" t="s">
        <v>50</v>
      </c>
      <c r="K420" s="5" t="s">
        <v>343</v>
      </c>
      <c r="L420" s="2">
        <v>42000</v>
      </c>
      <c r="M420" s="3">
        <v>7</v>
      </c>
      <c r="N420" s="2">
        <v>294000</v>
      </c>
      <c r="O420" s="2">
        <v>29400</v>
      </c>
      <c r="P420" s="2">
        <v>323400</v>
      </c>
      <c r="Q420" s="2">
        <f>P420*12%</f>
        <v>38808</v>
      </c>
    </row>
    <row r="421" spans="1:17" hidden="1" x14ac:dyDescent="0.4">
      <c r="A421" s="4" t="s">
        <v>35</v>
      </c>
      <c r="B421" s="4" t="s">
        <v>14</v>
      </c>
      <c r="C421" s="30" t="s">
        <v>434</v>
      </c>
      <c r="D421" s="4" t="s">
        <v>36</v>
      </c>
      <c r="E421" s="4" t="s">
        <v>16</v>
      </c>
      <c r="F421" s="4" t="s">
        <v>17</v>
      </c>
      <c r="G421" s="4" t="s">
        <v>18</v>
      </c>
      <c r="H421" s="4" t="s">
        <v>126</v>
      </c>
      <c r="I421" s="5" t="str">
        <f t="shared" si="6"/>
        <v>2025-03</v>
      </c>
      <c r="J421" s="4" t="s">
        <v>50</v>
      </c>
      <c r="K421" s="5" t="s">
        <v>343</v>
      </c>
      <c r="L421" s="2">
        <v>116220</v>
      </c>
      <c r="M421" s="3">
        <v>1</v>
      </c>
      <c r="N421" s="2">
        <v>116220</v>
      </c>
      <c r="O421" s="2">
        <v>11622</v>
      </c>
      <c r="P421" s="2">
        <v>127842</v>
      </c>
      <c r="Q421" s="2">
        <f>P421*12%</f>
        <v>15341.039999999999</v>
      </c>
    </row>
    <row r="422" spans="1:17" hidden="1" x14ac:dyDescent="0.4">
      <c r="A422" s="4" t="s">
        <v>23</v>
      </c>
      <c r="B422" s="4" t="s">
        <v>14</v>
      </c>
      <c r="C422" s="31" t="s">
        <v>435</v>
      </c>
      <c r="D422" s="4" t="s">
        <v>24</v>
      </c>
      <c r="E422" s="4" t="s">
        <v>16</v>
      </c>
      <c r="F422" s="4" t="s">
        <v>17</v>
      </c>
      <c r="G422" s="4" t="s">
        <v>18</v>
      </c>
      <c r="H422" s="4" t="s">
        <v>126</v>
      </c>
      <c r="I422" s="5" t="str">
        <f t="shared" si="6"/>
        <v>2025-03</v>
      </c>
      <c r="J422" s="4" t="s">
        <v>50</v>
      </c>
      <c r="K422" s="5" t="s">
        <v>343</v>
      </c>
      <c r="L422" s="2">
        <v>54000</v>
      </c>
      <c r="M422" s="3">
        <v>3</v>
      </c>
      <c r="N422" s="2">
        <v>162000</v>
      </c>
      <c r="O422" s="2">
        <v>16200</v>
      </c>
      <c r="P422" s="2">
        <v>178200</v>
      </c>
      <c r="Q422" s="2">
        <f>P422*12%</f>
        <v>21384</v>
      </c>
    </row>
    <row r="423" spans="1:17" hidden="1" x14ac:dyDescent="0.4">
      <c r="A423" s="4" t="s">
        <v>51</v>
      </c>
      <c r="B423" s="4" t="s">
        <v>14</v>
      </c>
      <c r="C423" s="30" t="s">
        <v>434</v>
      </c>
      <c r="D423" s="4" t="s">
        <v>52</v>
      </c>
      <c r="E423" s="4" t="s">
        <v>16</v>
      </c>
      <c r="F423" s="4" t="s">
        <v>17</v>
      </c>
      <c r="G423" s="4" t="s">
        <v>18</v>
      </c>
      <c r="H423" s="4" t="s">
        <v>126</v>
      </c>
      <c r="I423" s="5" t="str">
        <f t="shared" si="6"/>
        <v>2025-03</v>
      </c>
      <c r="J423" s="4" t="s">
        <v>50</v>
      </c>
      <c r="K423" s="5" t="s">
        <v>343</v>
      </c>
      <c r="L423" s="2">
        <v>71250</v>
      </c>
      <c r="M423" s="3">
        <v>1</v>
      </c>
      <c r="N423" s="2">
        <v>71250</v>
      </c>
      <c r="O423" s="2">
        <v>7125</v>
      </c>
      <c r="P423" s="2">
        <v>78375</v>
      </c>
      <c r="Q423" s="2">
        <f>P423*12%</f>
        <v>9405</v>
      </c>
    </row>
    <row r="424" spans="1:17" x14ac:dyDescent="0.4">
      <c r="A424" s="4" t="s">
        <v>13</v>
      </c>
      <c r="B424" s="4" t="s">
        <v>14</v>
      </c>
      <c r="C424" s="30" t="s">
        <v>434</v>
      </c>
      <c r="D424" s="4" t="s">
        <v>15</v>
      </c>
      <c r="E424" s="4" t="s">
        <v>16</v>
      </c>
      <c r="F424" s="4" t="s">
        <v>17</v>
      </c>
      <c r="G424" s="4" t="s">
        <v>18</v>
      </c>
      <c r="H424" s="4" t="s">
        <v>129</v>
      </c>
      <c r="I424" s="5" t="str">
        <f t="shared" si="6"/>
        <v>2025-03</v>
      </c>
      <c r="J424" s="4" t="s">
        <v>20</v>
      </c>
      <c r="K424" s="5" t="s">
        <v>342</v>
      </c>
      <c r="L424" s="2">
        <v>42000</v>
      </c>
      <c r="M424" s="3">
        <v>1</v>
      </c>
      <c r="N424" s="2">
        <v>42000</v>
      </c>
      <c r="O424" s="2">
        <v>4200</v>
      </c>
      <c r="P424" s="2">
        <v>46200</v>
      </c>
      <c r="Q424" s="2">
        <f>P424*8.5%</f>
        <v>3927.0000000000005</v>
      </c>
    </row>
    <row r="425" spans="1:17" x14ac:dyDescent="0.4">
      <c r="A425" s="4" t="s">
        <v>21</v>
      </c>
      <c r="B425" s="4" t="s">
        <v>14</v>
      </c>
      <c r="C425" s="31" t="s">
        <v>435</v>
      </c>
      <c r="D425" s="4" t="s">
        <v>22</v>
      </c>
      <c r="E425" s="4" t="s">
        <v>16</v>
      </c>
      <c r="F425" s="4" t="s">
        <v>17</v>
      </c>
      <c r="G425" s="4" t="s">
        <v>18</v>
      </c>
      <c r="H425" s="4" t="s">
        <v>129</v>
      </c>
      <c r="I425" s="5" t="str">
        <f t="shared" si="6"/>
        <v>2025-03</v>
      </c>
      <c r="J425" s="4" t="s">
        <v>20</v>
      </c>
      <c r="K425" s="5" t="s">
        <v>342</v>
      </c>
      <c r="L425" s="2">
        <v>54000</v>
      </c>
      <c r="M425" s="3">
        <v>1</v>
      </c>
      <c r="N425" s="2">
        <v>54000</v>
      </c>
      <c r="O425" s="2">
        <v>5400</v>
      </c>
      <c r="P425" s="2">
        <v>59400</v>
      </c>
      <c r="Q425" s="2">
        <f>P425*8.5%</f>
        <v>5049</v>
      </c>
    </row>
    <row r="426" spans="1:17" x14ac:dyDescent="0.4">
      <c r="A426" s="4" t="s">
        <v>23</v>
      </c>
      <c r="B426" s="4" t="s">
        <v>14</v>
      </c>
      <c r="C426" s="31" t="s">
        <v>435</v>
      </c>
      <c r="D426" s="4" t="s">
        <v>24</v>
      </c>
      <c r="E426" s="4" t="s">
        <v>16</v>
      </c>
      <c r="F426" s="4" t="s">
        <v>17</v>
      </c>
      <c r="G426" s="4" t="s">
        <v>18</v>
      </c>
      <c r="H426" s="4" t="s">
        <v>129</v>
      </c>
      <c r="I426" s="5" t="str">
        <f t="shared" si="6"/>
        <v>2025-03</v>
      </c>
      <c r="J426" s="4" t="s">
        <v>20</v>
      </c>
      <c r="K426" s="5" t="s">
        <v>342</v>
      </c>
      <c r="L426" s="2">
        <v>54000</v>
      </c>
      <c r="M426" s="3">
        <v>2</v>
      </c>
      <c r="N426" s="2">
        <v>108000</v>
      </c>
      <c r="O426" s="2">
        <v>10800</v>
      </c>
      <c r="P426" s="2">
        <v>118800</v>
      </c>
      <c r="Q426" s="2">
        <f>P426*8.5%</f>
        <v>10098</v>
      </c>
    </row>
    <row r="427" spans="1:17" x14ac:dyDescent="0.4">
      <c r="A427" s="4" t="s">
        <v>25</v>
      </c>
      <c r="B427" s="4" t="s">
        <v>26</v>
      </c>
      <c r="C427" s="32" t="s">
        <v>436</v>
      </c>
      <c r="D427" s="4" t="s">
        <v>27</v>
      </c>
      <c r="E427" s="4" t="s">
        <v>28</v>
      </c>
      <c r="F427" s="4" t="s">
        <v>17</v>
      </c>
      <c r="G427" s="4" t="s">
        <v>18</v>
      </c>
      <c r="H427" s="4" t="s">
        <v>129</v>
      </c>
      <c r="I427" s="5" t="str">
        <f t="shared" si="6"/>
        <v>2025-03</v>
      </c>
      <c r="J427" s="4" t="s">
        <v>20</v>
      </c>
      <c r="K427" s="5" t="s">
        <v>342</v>
      </c>
      <c r="L427" s="2">
        <v>2315</v>
      </c>
      <c r="M427" s="3">
        <v>1</v>
      </c>
      <c r="N427" s="2">
        <v>2315</v>
      </c>
      <c r="O427" s="2">
        <v>232</v>
      </c>
      <c r="P427" s="2">
        <v>2547</v>
      </c>
      <c r="Q427" s="2">
        <f>P427*8.5%</f>
        <v>216.495</v>
      </c>
    </row>
    <row r="428" spans="1:17" x14ac:dyDescent="0.4">
      <c r="A428" s="4" t="s">
        <v>56</v>
      </c>
      <c r="B428" s="4" t="s">
        <v>26</v>
      </c>
      <c r="C428" s="32" t="s">
        <v>436</v>
      </c>
      <c r="D428" s="4" t="s">
        <v>57</v>
      </c>
      <c r="E428" s="4" t="s">
        <v>44</v>
      </c>
      <c r="F428" s="4" t="s">
        <v>31</v>
      </c>
      <c r="G428" s="4" t="s">
        <v>18</v>
      </c>
      <c r="H428" s="4" t="s">
        <v>129</v>
      </c>
      <c r="I428" s="5" t="str">
        <f t="shared" si="6"/>
        <v>2025-03</v>
      </c>
      <c r="J428" s="4" t="s">
        <v>20</v>
      </c>
      <c r="K428" s="5" t="s">
        <v>342</v>
      </c>
      <c r="L428" s="2">
        <v>3414</v>
      </c>
      <c r="M428" s="3">
        <v>24</v>
      </c>
      <c r="N428" s="2">
        <v>81936</v>
      </c>
      <c r="O428" s="2">
        <v>0</v>
      </c>
      <c r="P428" s="2">
        <v>81936</v>
      </c>
      <c r="Q428" s="2">
        <f>P428*8.5%</f>
        <v>6964.56</v>
      </c>
    </row>
    <row r="429" spans="1:17" hidden="1" x14ac:dyDescent="0.4">
      <c r="A429" s="4" t="s">
        <v>64</v>
      </c>
      <c r="B429" s="4" t="s">
        <v>65</v>
      </c>
      <c r="C429" s="32" t="s">
        <v>436</v>
      </c>
      <c r="D429" s="4" t="s">
        <v>66</v>
      </c>
      <c r="E429" s="4" t="s">
        <v>16</v>
      </c>
      <c r="F429" s="4" t="s">
        <v>17</v>
      </c>
      <c r="G429" s="4" t="s">
        <v>18</v>
      </c>
      <c r="H429" s="4" t="s">
        <v>129</v>
      </c>
      <c r="I429" s="5" t="str">
        <f t="shared" si="6"/>
        <v>2025-03</v>
      </c>
      <c r="J429" s="4" t="s">
        <v>34</v>
      </c>
      <c r="K429" s="5" t="s">
        <v>342</v>
      </c>
      <c r="L429" s="2">
        <v>10056</v>
      </c>
      <c r="M429" s="3">
        <v>1</v>
      </c>
      <c r="N429" s="2">
        <v>10056</v>
      </c>
      <c r="O429" s="2">
        <v>1006</v>
      </c>
      <c r="P429" s="2">
        <v>11062</v>
      </c>
      <c r="Q429" s="2">
        <f>P429*8.5%</f>
        <v>940.2700000000001</v>
      </c>
    </row>
    <row r="430" spans="1:17" hidden="1" x14ac:dyDescent="0.4">
      <c r="A430" s="4" t="s">
        <v>32</v>
      </c>
      <c r="B430" s="4" t="s">
        <v>14</v>
      </c>
      <c r="C430" s="31" t="s">
        <v>435</v>
      </c>
      <c r="D430" s="4" t="s">
        <v>33</v>
      </c>
      <c r="E430" s="4" t="s">
        <v>16</v>
      </c>
      <c r="F430" s="4" t="s">
        <v>17</v>
      </c>
      <c r="G430" s="4" t="s">
        <v>18</v>
      </c>
      <c r="H430" s="4" t="s">
        <v>129</v>
      </c>
      <c r="I430" s="5" t="str">
        <f t="shared" si="6"/>
        <v>2025-03</v>
      </c>
      <c r="J430" s="4" t="s">
        <v>34</v>
      </c>
      <c r="K430" s="5" t="s">
        <v>342</v>
      </c>
      <c r="L430" s="2">
        <v>44000</v>
      </c>
      <c r="M430" s="3">
        <v>3</v>
      </c>
      <c r="N430" s="2">
        <v>132000</v>
      </c>
      <c r="O430" s="2">
        <v>13200</v>
      </c>
      <c r="P430" s="2">
        <v>145200</v>
      </c>
      <c r="Q430" s="2">
        <f>P430*8.5%</f>
        <v>12342</v>
      </c>
    </row>
    <row r="431" spans="1:17" hidden="1" x14ac:dyDescent="0.4">
      <c r="A431" s="4" t="s">
        <v>58</v>
      </c>
      <c r="B431" s="4" t="s">
        <v>14</v>
      </c>
      <c r="C431" s="30" t="s">
        <v>434</v>
      </c>
      <c r="D431" s="4" t="s">
        <v>36</v>
      </c>
      <c r="E431" s="4" t="s">
        <v>16</v>
      </c>
      <c r="F431" s="4" t="s">
        <v>17</v>
      </c>
      <c r="G431" s="4" t="s">
        <v>18</v>
      </c>
      <c r="H431" s="4" t="s">
        <v>129</v>
      </c>
      <c r="I431" s="5" t="str">
        <f t="shared" si="6"/>
        <v>2025-03</v>
      </c>
      <c r="J431" s="4" t="s">
        <v>34</v>
      </c>
      <c r="K431" s="5" t="s">
        <v>342</v>
      </c>
      <c r="L431" s="2">
        <v>120880</v>
      </c>
      <c r="M431" s="3">
        <v>1</v>
      </c>
      <c r="N431" s="2">
        <v>120880</v>
      </c>
      <c r="O431" s="2">
        <v>12088</v>
      </c>
      <c r="P431" s="2">
        <v>132968</v>
      </c>
      <c r="Q431" s="2">
        <f>P431*8.5%</f>
        <v>11302.28</v>
      </c>
    </row>
    <row r="432" spans="1:17" hidden="1" x14ac:dyDescent="0.4">
      <c r="A432" s="4" t="s">
        <v>13</v>
      </c>
      <c r="B432" s="4" t="s">
        <v>14</v>
      </c>
      <c r="C432" s="30" t="s">
        <v>434</v>
      </c>
      <c r="D432" s="4" t="s">
        <v>15</v>
      </c>
      <c r="E432" s="4" t="s">
        <v>16</v>
      </c>
      <c r="F432" s="4" t="s">
        <v>17</v>
      </c>
      <c r="G432" s="4" t="s">
        <v>18</v>
      </c>
      <c r="H432" s="4" t="s">
        <v>129</v>
      </c>
      <c r="I432" s="5" t="str">
        <f t="shared" si="6"/>
        <v>2025-03</v>
      </c>
      <c r="J432" s="4" t="s">
        <v>34</v>
      </c>
      <c r="K432" s="5" t="s">
        <v>342</v>
      </c>
      <c r="L432" s="2">
        <v>42000</v>
      </c>
      <c r="M432" s="3">
        <v>4</v>
      </c>
      <c r="N432" s="2">
        <v>168000</v>
      </c>
      <c r="O432" s="2">
        <v>16800</v>
      </c>
      <c r="P432" s="2">
        <v>184800</v>
      </c>
      <c r="Q432" s="2">
        <f>P432*8.5%</f>
        <v>15708.000000000002</v>
      </c>
    </row>
    <row r="433" spans="1:17" hidden="1" x14ac:dyDescent="0.4">
      <c r="A433" s="4" t="s">
        <v>21</v>
      </c>
      <c r="B433" s="4" t="s">
        <v>14</v>
      </c>
      <c r="C433" s="31" t="s">
        <v>435</v>
      </c>
      <c r="D433" s="4" t="s">
        <v>22</v>
      </c>
      <c r="E433" s="4" t="s">
        <v>16</v>
      </c>
      <c r="F433" s="4" t="s">
        <v>17</v>
      </c>
      <c r="G433" s="4" t="s">
        <v>18</v>
      </c>
      <c r="H433" s="4" t="s">
        <v>129</v>
      </c>
      <c r="I433" s="5" t="str">
        <f t="shared" si="6"/>
        <v>2025-03</v>
      </c>
      <c r="J433" s="4" t="s">
        <v>34</v>
      </c>
      <c r="K433" s="5" t="s">
        <v>342</v>
      </c>
      <c r="L433" s="2">
        <v>54000</v>
      </c>
      <c r="M433" s="3">
        <v>1</v>
      </c>
      <c r="N433" s="2">
        <v>54000</v>
      </c>
      <c r="O433" s="2">
        <v>5400</v>
      </c>
      <c r="P433" s="2">
        <v>59400</v>
      </c>
      <c r="Q433" s="2">
        <f>P433*8.5%</f>
        <v>5049</v>
      </c>
    </row>
    <row r="434" spans="1:17" hidden="1" x14ac:dyDescent="0.4">
      <c r="A434" s="4" t="s">
        <v>23</v>
      </c>
      <c r="B434" s="4" t="s">
        <v>14</v>
      </c>
      <c r="C434" s="31" t="s">
        <v>435</v>
      </c>
      <c r="D434" s="4" t="s">
        <v>24</v>
      </c>
      <c r="E434" s="4" t="s">
        <v>16</v>
      </c>
      <c r="F434" s="4" t="s">
        <v>17</v>
      </c>
      <c r="G434" s="4" t="s">
        <v>18</v>
      </c>
      <c r="H434" s="4" t="s">
        <v>129</v>
      </c>
      <c r="I434" s="5" t="str">
        <f t="shared" si="6"/>
        <v>2025-03</v>
      </c>
      <c r="J434" s="4" t="s">
        <v>34</v>
      </c>
      <c r="K434" s="5" t="s">
        <v>342</v>
      </c>
      <c r="L434" s="2">
        <v>54000</v>
      </c>
      <c r="M434" s="3">
        <v>4</v>
      </c>
      <c r="N434" s="2">
        <v>216000</v>
      </c>
      <c r="O434" s="2">
        <v>21600</v>
      </c>
      <c r="P434" s="2">
        <v>237600</v>
      </c>
      <c r="Q434" s="2">
        <f>P434*8.5%</f>
        <v>20196</v>
      </c>
    </row>
    <row r="435" spans="1:17" hidden="1" x14ac:dyDescent="0.4">
      <c r="A435" s="4" t="s">
        <v>40</v>
      </c>
      <c r="B435" s="4" t="s">
        <v>26</v>
      </c>
      <c r="C435" s="32" t="s">
        <v>436</v>
      </c>
      <c r="D435" s="4" t="s">
        <v>41</v>
      </c>
      <c r="E435" s="4" t="s">
        <v>28</v>
      </c>
      <c r="F435" s="4" t="s">
        <v>17</v>
      </c>
      <c r="G435" s="4" t="s">
        <v>18</v>
      </c>
      <c r="H435" s="4" t="s">
        <v>129</v>
      </c>
      <c r="I435" s="5" t="str">
        <f t="shared" si="6"/>
        <v>2025-03</v>
      </c>
      <c r="J435" s="4" t="s">
        <v>34</v>
      </c>
      <c r="K435" s="5" t="s">
        <v>342</v>
      </c>
      <c r="L435" s="2">
        <v>17539</v>
      </c>
      <c r="M435" s="3">
        <v>2</v>
      </c>
      <c r="N435" s="2">
        <v>35078</v>
      </c>
      <c r="O435" s="2">
        <v>3508</v>
      </c>
      <c r="P435" s="2">
        <v>38586</v>
      </c>
      <c r="Q435" s="2">
        <f>P435*8.5%</f>
        <v>3279.8100000000004</v>
      </c>
    </row>
    <row r="436" spans="1:17" hidden="1" x14ac:dyDescent="0.4">
      <c r="A436" s="4" t="s">
        <v>42</v>
      </c>
      <c r="B436" s="4" t="s">
        <v>14</v>
      </c>
      <c r="C436" s="30" t="s">
        <v>434</v>
      </c>
      <c r="D436" s="4" t="s">
        <v>43</v>
      </c>
      <c r="E436" s="4" t="s">
        <v>44</v>
      </c>
      <c r="F436" s="4" t="s">
        <v>31</v>
      </c>
      <c r="G436" s="4" t="s">
        <v>18</v>
      </c>
      <c r="H436" s="4" t="s">
        <v>129</v>
      </c>
      <c r="I436" s="5" t="str">
        <f t="shared" si="6"/>
        <v>2025-03</v>
      </c>
      <c r="J436" s="4" t="s">
        <v>34</v>
      </c>
      <c r="K436" s="5" t="s">
        <v>342</v>
      </c>
      <c r="L436" s="2">
        <v>6800</v>
      </c>
      <c r="M436" s="3">
        <v>45.8</v>
      </c>
      <c r="N436" s="2">
        <v>311440</v>
      </c>
      <c r="O436" s="2">
        <v>0</v>
      </c>
      <c r="P436" s="2">
        <v>311440</v>
      </c>
      <c r="Q436" s="2">
        <f>P436*8.5%</f>
        <v>26472.400000000001</v>
      </c>
    </row>
    <row r="437" spans="1:17" hidden="1" x14ac:dyDescent="0.4">
      <c r="A437" s="4" t="s">
        <v>32</v>
      </c>
      <c r="B437" s="4" t="s">
        <v>14</v>
      </c>
      <c r="C437" s="31" t="s">
        <v>435</v>
      </c>
      <c r="D437" s="4" t="s">
        <v>33</v>
      </c>
      <c r="E437" s="4" t="s">
        <v>16</v>
      </c>
      <c r="F437" s="4" t="s">
        <v>17</v>
      </c>
      <c r="G437" s="4" t="s">
        <v>18</v>
      </c>
      <c r="H437" s="4" t="s">
        <v>129</v>
      </c>
      <c r="I437" s="5" t="str">
        <f t="shared" si="6"/>
        <v>2025-03</v>
      </c>
      <c r="J437" s="4" t="s">
        <v>59</v>
      </c>
      <c r="K437" s="5" t="s">
        <v>343</v>
      </c>
      <c r="L437" s="2">
        <v>44000</v>
      </c>
      <c r="M437" s="3">
        <v>2</v>
      </c>
      <c r="N437" s="2">
        <v>88000</v>
      </c>
      <c r="O437" s="2">
        <v>8800</v>
      </c>
      <c r="P437" s="2">
        <v>96800</v>
      </c>
      <c r="Q437" s="2">
        <f>P437*12%</f>
        <v>11616</v>
      </c>
    </row>
    <row r="438" spans="1:17" hidden="1" x14ac:dyDescent="0.4">
      <c r="A438" s="4" t="s">
        <v>13</v>
      </c>
      <c r="B438" s="4" t="s">
        <v>14</v>
      </c>
      <c r="C438" s="30" t="s">
        <v>434</v>
      </c>
      <c r="D438" s="4" t="s">
        <v>15</v>
      </c>
      <c r="E438" s="4" t="s">
        <v>16</v>
      </c>
      <c r="F438" s="4" t="s">
        <v>17</v>
      </c>
      <c r="G438" s="4" t="s">
        <v>18</v>
      </c>
      <c r="H438" s="4" t="s">
        <v>129</v>
      </c>
      <c r="I438" s="5" t="str">
        <f t="shared" si="6"/>
        <v>2025-03</v>
      </c>
      <c r="J438" s="4" t="s">
        <v>59</v>
      </c>
      <c r="K438" s="5" t="s">
        <v>343</v>
      </c>
      <c r="L438" s="2">
        <v>42000</v>
      </c>
      <c r="M438" s="3">
        <v>2</v>
      </c>
      <c r="N438" s="2">
        <v>84000</v>
      </c>
      <c r="O438" s="2">
        <v>8400</v>
      </c>
      <c r="P438" s="2">
        <v>92400</v>
      </c>
      <c r="Q438" s="2">
        <f>P438*12%</f>
        <v>11088</v>
      </c>
    </row>
    <row r="439" spans="1:17" hidden="1" x14ac:dyDescent="0.4">
      <c r="A439" s="4" t="s">
        <v>35</v>
      </c>
      <c r="B439" s="4" t="s">
        <v>14</v>
      </c>
      <c r="C439" s="30" t="s">
        <v>434</v>
      </c>
      <c r="D439" s="4" t="s">
        <v>36</v>
      </c>
      <c r="E439" s="4" t="s">
        <v>16</v>
      </c>
      <c r="F439" s="4" t="s">
        <v>17</v>
      </c>
      <c r="G439" s="4" t="s">
        <v>18</v>
      </c>
      <c r="H439" s="4" t="s">
        <v>129</v>
      </c>
      <c r="I439" s="5" t="str">
        <f t="shared" si="6"/>
        <v>2025-03</v>
      </c>
      <c r="J439" s="4" t="s">
        <v>59</v>
      </c>
      <c r="K439" s="5" t="s">
        <v>343</v>
      </c>
      <c r="L439" s="2">
        <v>116220</v>
      </c>
      <c r="M439" s="3">
        <v>1</v>
      </c>
      <c r="N439" s="2">
        <v>116220</v>
      </c>
      <c r="O439" s="2">
        <v>11622</v>
      </c>
      <c r="P439" s="2">
        <v>127842</v>
      </c>
      <c r="Q439" s="2">
        <f>P439*12%</f>
        <v>15341.039999999999</v>
      </c>
    </row>
    <row r="440" spans="1:17" hidden="1" x14ac:dyDescent="0.4">
      <c r="A440" s="4" t="s">
        <v>23</v>
      </c>
      <c r="B440" s="4" t="s">
        <v>14</v>
      </c>
      <c r="C440" s="31" t="s">
        <v>435</v>
      </c>
      <c r="D440" s="4" t="s">
        <v>24</v>
      </c>
      <c r="E440" s="4" t="s">
        <v>16</v>
      </c>
      <c r="F440" s="4" t="s">
        <v>17</v>
      </c>
      <c r="G440" s="4" t="s">
        <v>18</v>
      </c>
      <c r="H440" s="4" t="s">
        <v>129</v>
      </c>
      <c r="I440" s="5" t="str">
        <f t="shared" si="6"/>
        <v>2025-03</v>
      </c>
      <c r="J440" s="4" t="s">
        <v>59</v>
      </c>
      <c r="K440" s="5" t="s">
        <v>343</v>
      </c>
      <c r="L440" s="2">
        <v>54000</v>
      </c>
      <c r="M440" s="3">
        <v>2</v>
      </c>
      <c r="N440" s="2">
        <v>108000</v>
      </c>
      <c r="O440" s="2">
        <v>10800</v>
      </c>
      <c r="P440" s="2">
        <v>118800</v>
      </c>
      <c r="Q440" s="2">
        <f>P440*12%</f>
        <v>14256</v>
      </c>
    </row>
    <row r="441" spans="1:17" hidden="1" x14ac:dyDescent="0.4">
      <c r="A441" s="4" t="s">
        <v>51</v>
      </c>
      <c r="B441" s="4" t="s">
        <v>14</v>
      </c>
      <c r="C441" s="30" t="s">
        <v>434</v>
      </c>
      <c r="D441" s="4" t="s">
        <v>52</v>
      </c>
      <c r="E441" s="4" t="s">
        <v>16</v>
      </c>
      <c r="F441" s="4" t="s">
        <v>17</v>
      </c>
      <c r="G441" s="4" t="s">
        <v>18</v>
      </c>
      <c r="H441" s="4" t="s">
        <v>129</v>
      </c>
      <c r="I441" s="5" t="str">
        <f t="shared" si="6"/>
        <v>2025-03</v>
      </c>
      <c r="J441" s="4" t="s">
        <v>59</v>
      </c>
      <c r="K441" s="5" t="s">
        <v>343</v>
      </c>
      <c r="L441" s="2">
        <v>71250</v>
      </c>
      <c r="M441" s="3">
        <v>1</v>
      </c>
      <c r="N441" s="2">
        <v>71250</v>
      </c>
      <c r="O441" s="2">
        <v>7125</v>
      </c>
      <c r="P441" s="2">
        <v>78375</v>
      </c>
      <c r="Q441" s="2">
        <f>P441*12%</f>
        <v>9405</v>
      </c>
    </row>
    <row r="442" spans="1:17" hidden="1" x14ac:dyDescent="0.4">
      <c r="A442" s="4" t="s">
        <v>32</v>
      </c>
      <c r="B442" s="4" t="s">
        <v>14</v>
      </c>
      <c r="C442" s="31" t="s">
        <v>435</v>
      </c>
      <c r="D442" s="4" t="s">
        <v>33</v>
      </c>
      <c r="E442" s="4" t="s">
        <v>16</v>
      </c>
      <c r="F442" s="4" t="s">
        <v>17</v>
      </c>
      <c r="G442" s="4" t="s">
        <v>18</v>
      </c>
      <c r="H442" s="4" t="s">
        <v>129</v>
      </c>
      <c r="I442" s="5" t="str">
        <f t="shared" si="6"/>
        <v>2025-03</v>
      </c>
      <c r="J442" s="4" t="s">
        <v>49</v>
      </c>
      <c r="K442" s="5" t="s">
        <v>343</v>
      </c>
      <c r="L442" s="2">
        <v>44000</v>
      </c>
      <c r="M442" s="3">
        <v>5</v>
      </c>
      <c r="N442" s="2">
        <v>220000</v>
      </c>
      <c r="O442" s="2">
        <v>22000</v>
      </c>
      <c r="P442" s="2">
        <v>242000</v>
      </c>
      <c r="Q442" s="2">
        <f>P442*12%</f>
        <v>29040</v>
      </c>
    </row>
    <row r="443" spans="1:17" hidden="1" x14ac:dyDescent="0.4">
      <c r="A443" s="4" t="s">
        <v>13</v>
      </c>
      <c r="B443" s="4" t="s">
        <v>14</v>
      </c>
      <c r="C443" s="30" t="s">
        <v>434</v>
      </c>
      <c r="D443" s="4" t="s">
        <v>15</v>
      </c>
      <c r="E443" s="4" t="s">
        <v>16</v>
      </c>
      <c r="F443" s="4" t="s">
        <v>17</v>
      </c>
      <c r="G443" s="4" t="s">
        <v>18</v>
      </c>
      <c r="H443" s="4" t="s">
        <v>129</v>
      </c>
      <c r="I443" s="5" t="str">
        <f t="shared" si="6"/>
        <v>2025-03</v>
      </c>
      <c r="J443" s="4" t="s">
        <v>49</v>
      </c>
      <c r="K443" s="5" t="s">
        <v>343</v>
      </c>
      <c r="L443" s="2">
        <v>42000</v>
      </c>
      <c r="M443" s="3">
        <v>5</v>
      </c>
      <c r="N443" s="2">
        <v>210000</v>
      </c>
      <c r="O443" s="2">
        <v>21000</v>
      </c>
      <c r="P443" s="2">
        <v>231000</v>
      </c>
      <c r="Q443" s="2">
        <f>P443*12%</f>
        <v>27720</v>
      </c>
    </row>
    <row r="444" spans="1:17" hidden="1" x14ac:dyDescent="0.4">
      <c r="A444" s="4" t="s">
        <v>23</v>
      </c>
      <c r="B444" s="4" t="s">
        <v>14</v>
      </c>
      <c r="C444" s="31" t="s">
        <v>435</v>
      </c>
      <c r="D444" s="4" t="s">
        <v>24</v>
      </c>
      <c r="E444" s="4" t="s">
        <v>16</v>
      </c>
      <c r="F444" s="4" t="s">
        <v>17</v>
      </c>
      <c r="G444" s="4" t="s">
        <v>18</v>
      </c>
      <c r="H444" s="4" t="s">
        <v>129</v>
      </c>
      <c r="I444" s="5" t="str">
        <f t="shared" si="6"/>
        <v>2025-03</v>
      </c>
      <c r="J444" s="4" t="s">
        <v>49</v>
      </c>
      <c r="K444" s="5" t="s">
        <v>343</v>
      </c>
      <c r="L444" s="2">
        <v>54000</v>
      </c>
      <c r="M444" s="3">
        <v>2</v>
      </c>
      <c r="N444" s="2">
        <v>108000</v>
      </c>
      <c r="O444" s="2">
        <v>10800</v>
      </c>
      <c r="P444" s="2">
        <v>118800</v>
      </c>
      <c r="Q444" s="2">
        <f>P444*12%</f>
        <v>14256</v>
      </c>
    </row>
    <row r="445" spans="1:17" x14ac:dyDescent="0.4">
      <c r="A445" s="4" t="s">
        <v>21</v>
      </c>
      <c r="B445" s="4" t="s">
        <v>14</v>
      </c>
      <c r="C445" s="31" t="s">
        <v>435</v>
      </c>
      <c r="D445" s="4" t="s">
        <v>22</v>
      </c>
      <c r="E445" s="4" t="s">
        <v>16</v>
      </c>
      <c r="F445" s="4" t="s">
        <v>17</v>
      </c>
      <c r="G445" s="4" t="s">
        <v>18</v>
      </c>
      <c r="H445" s="4" t="s">
        <v>130</v>
      </c>
      <c r="I445" s="5" t="str">
        <f t="shared" si="6"/>
        <v>2025-03</v>
      </c>
      <c r="J445" s="4" t="s">
        <v>20</v>
      </c>
      <c r="K445" s="5" t="s">
        <v>342</v>
      </c>
      <c r="L445" s="2">
        <v>54000</v>
      </c>
      <c r="M445" s="3">
        <v>1</v>
      </c>
      <c r="N445" s="2">
        <v>54000</v>
      </c>
      <c r="O445" s="2">
        <v>5400</v>
      </c>
      <c r="P445" s="2">
        <v>59400</v>
      </c>
      <c r="Q445" s="2">
        <f>P445*8.5%</f>
        <v>5049</v>
      </c>
    </row>
    <row r="446" spans="1:17" x14ac:dyDescent="0.4">
      <c r="A446" s="4" t="s">
        <v>23</v>
      </c>
      <c r="B446" s="4" t="s">
        <v>14</v>
      </c>
      <c r="C446" s="31" t="s">
        <v>435</v>
      </c>
      <c r="D446" s="4" t="s">
        <v>24</v>
      </c>
      <c r="E446" s="4" t="s">
        <v>16</v>
      </c>
      <c r="F446" s="4" t="s">
        <v>17</v>
      </c>
      <c r="G446" s="4" t="s">
        <v>18</v>
      </c>
      <c r="H446" s="4" t="s">
        <v>130</v>
      </c>
      <c r="I446" s="5" t="str">
        <f t="shared" si="6"/>
        <v>2025-03</v>
      </c>
      <c r="J446" s="4" t="s">
        <v>20</v>
      </c>
      <c r="K446" s="5" t="s">
        <v>342</v>
      </c>
      <c r="L446" s="2">
        <v>54000</v>
      </c>
      <c r="M446" s="3">
        <v>2</v>
      </c>
      <c r="N446" s="2">
        <v>108000</v>
      </c>
      <c r="O446" s="2">
        <v>10800</v>
      </c>
      <c r="P446" s="2">
        <v>118800</v>
      </c>
      <c r="Q446" s="2">
        <f>P446*8.5%</f>
        <v>10098</v>
      </c>
    </row>
    <row r="447" spans="1:17" hidden="1" x14ac:dyDescent="0.4">
      <c r="A447" s="4" t="s">
        <v>32</v>
      </c>
      <c r="B447" s="4" t="s">
        <v>14</v>
      </c>
      <c r="C447" s="31" t="s">
        <v>435</v>
      </c>
      <c r="D447" s="4" t="s">
        <v>33</v>
      </c>
      <c r="E447" s="4" t="s">
        <v>16</v>
      </c>
      <c r="F447" s="4" t="s">
        <v>17</v>
      </c>
      <c r="G447" s="4" t="s">
        <v>18</v>
      </c>
      <c r="H447" s="4" t="s">
        <v>130</v>
      </c>
      <c r="I447" s="5" t="str">
        <f t="shared" si="6"/>
        <v>2025-03</v>
      </c>
      <c r="J447" s="4" t="s">
        <v>118</v>
      </c>
      <c r="K447" s="5" t="s">
        <v>342</v>
      </c>
      <c r="L447" s="2">
        <v>44000</v>
      </c>
      <c r="M447" s="3">
        <v>1</v>
      </c>
      <c r="N447" s="2">
        <v>44000</v>
      </c>
      <c r="O447" s="2">
        <v>4400</v>
      </c>
      <c r="P447" s="2">
        <v>48400</v>
      </c>
      <c r="Q447" s="2">
        <f>P447*8.5%</f>
        <v>4114</v>
      </c>
    </row>
    <row r="448" spans="1:17" hidden="1" x14ac:dyDescent="0.4">
      <c r="A448" s="4" t="s">
        <v>13</v>
      </c>
      <c r="B448" s="4" t="s">
        <v>14</v>
      </c>
      <c r="C448" s="30" t="s">
        <v>434</v>
      </c>
      <c r="D448" s="4" t="s">
        <v>15</v>
      </c>
      <c r="E448" s="4" t="s">
        <v>16</v>
      </c>
      <c r="F448" s="4" t="s">
        <v>17</v>
      </c>
      <c r="G448" s="4" t="s">
        <v>18</v>
      </c>
      <c r="H448" s="4" t="s">
        <v>130</v>
      </c>
      <c r="I448" s="5" t="str">
        <f t="shared" si="6"/>
        <v>2025-03</v>
      </c>
      <c r="J448" s="4" t="s">
        <v>118</v>
      </c>
      <c r="K448" s="5" t="s">
        <v>342</v>
      </c>
      <c r="L448" s="2">
        <v>42000</v>
      </c>
      <c r="M448" s="3">
        <v>1</v>
      </c>
      <c r="N448" s="2">
        <v>42000</v>
      </c>
      <c r="O448" s="2">
        <v>4200</v>
      </c>
      <c r="P448" s="2">
        <v>46200</v>
      </c>
      <c r="Q448" s="2">
        <f>P448*8.5%</f>
        <v>3927.0000000000005</v>
      </c>
    </row>
    <row r="449" spans="1:17" hidden="1" x14ac:dyDescent="0.4">
      <c r="A449" s="4" t="s">
        <v>13</v>
      </c>
      <c r="B449" s="4" t="s">
        <v>14</v>
      </c>
      <c r="C449" s="30" t="s">
        <v>434</v>
      </c>
      <c r="D449" s="4" t="s">
        <v>15</v>
      </c>
      <c r="E449" s="4" t="s">
        <v>16</v>
      </c>
      <c r="F449" s="4" t="s">
        <v>17</v>
      </c>
      <c r="G449" s="4" t="s">
        <v>18</v>
      </c>
      <c r="H449" s="4" t="s">
        <v>130</v>
      </c>
      <c r="I449" s="5" t="str">
        <f t="shared" si="6"/>
        <v>2025-03</v>
      </c>
      <c r="J449" s="4" t="s">
        <v>34</v>
      </c>
      <c r="K449" s="5" t="s">
        <v>342</v>
      </c>
      <c r="L449" s="2">
        <v>42000</v>
      </c>
      <c r="M449" s="3">
        <v>2</v>
      </c>
      <c r="N449" s="2">
        <v>84000</v>
      </c>
      <c r="O449" s="2">
        <v>8400</v>
      </c>
      <c r="P449" s="2">
        <v>92400</v>
      </c>
      <c r="Q449" s="2">
        <f>P449*8.5%</f>
        <v>7854.0000000000009</v>
      </c>
    </row>
    <row r="450" spans="1:17" hidden="1" x14ac:dyDescent="0.4">
      <c r="A450" s="4" t="s">
        <v>21</v>
      </c>
      <c r="B450" s="4" t="s">
        <v>14</v>
      </c>
      <c r="C450" s="31" t="s">
        <v>435</v>
      </c>
      <c r="D450" s="4" t="s">
        <v>22</v>
      </c>
      <c r="E450" s="4" t="s">
        <v>16</v>
      </c>
      <c r="F450" s="4" t="s">
        <v>17</v>
      </c>
      <c r="G450" s="4" t="s">
        <v>18</v>
      </c>
      <c r="H450" s="4" t="s">
        <v>130</v>
      </c>
      <c r="I450" s="5" t="str">
        <f t="shared" ref="I450:I513" si="7">TEXT(H450,"yyyy-mm")</f>
        <v>2025-03</v>
      </c>
      <c r="J450" s="4" t="s">
        <v>34</v>
      </c>
      <c r="K450" s="5" t="s">
        <v>342</v>
      </c>
      <c r="L450" s="2">
        <v>54000</v>
      </c>
      <c r="M450" s="3">
        <v>1</v>
      </c>
      <c r="N450" s="2">
        <v>54000</v>
      </c>
      <c r="O450" s="2">
        <v>5400</v>
      </c>
      <c r="P450" s="2">
        <v>59400</v>
      </c>
      <c r="Q450" s="2">
        <f>P450*8.5%</f>
        <v>5049</v>
      </c>
    </row>
    <row r="451" spans="1:17" hidden="1" x14ac:dyDescent="0.4">
      <c r="A451" s="4" t="s">
        <v>35</v>
      </c>
      <c r="B451" s="4" t="s">
        <v>14</v>
      </c>
      <c r="C451" s="30" t="s">
        <v>434</v>
      </c>
      <c r="D451" s="4" t="s">
        <v>36</v>
      </c>
      <c r="E451" s="4" t="s">
        <v>16</v>
      </c>
      <c r="F451" s="4" t="s">
        <v>17</v>
      </c>
      <c r="G451" s="4" t="s">
        <v>18</v>
      </c>
      <c r="H451" s="4" t="s">
        <v>130</v>
      </c>
      <c r="I451" s="5" t="str">
        <f t="shared" si="7"/>
        <v>2025-03</v>
      </c>
      <c r="J451" s="4" t="s">
        <v>34</v>
      </c>
      <c r="K451" s="5" t="s">
        <v>342</v>
      </c>
      <c r="L451" s="2">
        <v>116220</v>
      </c>
      <c r="M451" s="3">
        <v>1</v>
      </c>
      <c r="N451" s="2">
        <v>116220</v>
      </c>
      <c r="O451" s="2">
        <v>11622</v>
      </c>
      <c r="P451" s="2">
        <v>127842</v>
      </c>
      <c r="Q451" s="2">
        <f>P451*8.5%</f>
        <v>10866.570000000002</v>
      </c>
    </row>
    <row r="452" spans="1:17" hidden="1" x14ac:dyDescent="0.4">
      <c r="A452" s="4" t="s">
        <v>23</v>
      </c>
      <c r="B452" s="4" t="s">
        <v>14</v>
      </c>
      <c r="C452" s="31" t="s">
        <v>435</v>
      </c>
      <c r="D452" s="4" t="s">
        <v>24</v>
      </c>
      <c r="E452" s="4" t="s">
        <v>16</v>
      </c>
      <c r="F452" s="4" t="s">
        <v>17</v>
      </c>
      <c r="G452" s="4" t="s">
        <v>18</v>
      </c>
      <c r="H452" s="4" t="s">
        <v>130</v>
      </c>
      <c r="I452" s="5" t="str">
        <f t="shared" si="7"/>
        <v>2025-03</v>
      </c>
      <c r="J452" s="4" t="s">
        <v>34</v>
      </c>
      <c r="K452" s="5" t="s">
        <v>342</v>
      </c>
      <c r="L452" s="2">
        <v>54000</v>
      </c>
      <c r="M452" s="3">
        <v>3</v>
      </c>
      <c r="N452" s="2">
        <v>162000</v>
      </c>
      <c r="O452" s="2">
        <v>16200</v>
      </c>
      <c r="P452" s="2">
        <v>178200</v>
      </c>
      <c r="Q452" s="2">
        <f>P452*8.5%</f>
        <v>15147.000000000002</v>
      </c>
    </row>
    <row r="453" spans="1:17" hidden="1" x14ac:dyDescent="0.4">
      <c r="A453" s="4" t="s">
        <v>51</v>
      </c>
      <c r="B453" s="4" t="s">
        <v>14</v>
      </c>
      <c r="C453" s="30" t="s">
        <v>434</v>
      </c>
      <c r="D453" s="4" t="s">
        <v>52</v>
      </c>
      <c r="E453" s="4" t="s">
        <v>16</v>
      </c>
      <c r="F453" s="4" t="s">
        <v>17</v>
      </c>
      <c r="G453" s="4" t="s">
        <v>18</v>
      </c>
      <c r="H453" s="4" t="s">
        <v>130</v>
      </c>
      <c r="I453" s="5" t="str">
        <f t="shared" si="7"/>
        <v>2025-03</v>
      </c>
      <c r="J453" s="4" t="s">
        <v>34</v>
      </c>
      <c r="K453" s="5" t="s">
        <v>342</v>
      </c>
      <c r="L453" s="2">
        <v>71250</v>
      </c>
      <c r="M453" s="3">
        <v>1</v>
      </c>
      <c r="N453" s="2">
        <v>71250</v>
      </c>
      <c r="O453" s="2">
        <v>7125</v>
      </c>
      <c r="P453" s="2">
        <v>78375</v>
      </c>
      <c r="Q453" s="2">
        <f>P453*8.5%</f>
        <v>6661.8750000000009</v>
      </c>
    </row>
    <row r="454" spans="1:17" hidden="1" x14ac:dyDescent="0.4">
      <c r="A454" s="4" t="s">
        <v>131</v>
      </c>
      <c r="B454" s="4" t="s">
        <v>26</v>
      </c>
      <c r="C454" s="32" t="s">
        <v>436</v>
      </c>
      <c r="D454" s="4" t="s">
        <v>132</v>
      </c>
      <c r="E454" s="4" t="s">
        <v>28</v>
      </c>
      <c r="F454" s="4" t="s">
        <v>17</v>
      </c>
      <c r="G454" s="4" t="s">
        <v>18</v>
      </c>
      <c r="H454" s="4" t="s">
        <v>130</v>
      </c>
      <c r="I454" s="5" t="str">
        <f t="shared" si="7"/>
        <v>2025-03</v>
      </c>
      <c r="J454" s="4" t="s">
        <v>34</v>
      </c>
      <c r="K454" s="5" t="s">
        <v>342</v>
      </c>
      <c r="L454" s="2">
        <v>16721</v>
      </c>
      <c r="M454" s="3">
        <v>1</v>
      </c>
      <c r="N454" s="2">
        <v>16721</v>
      </c>
      <c r="O454" s="2">
        <v>1672</v>
      </c>
      <c r="P454" s="2">
        <v>18393</v>
      </c>
      <c r="Q454" s="2">
        <f>P454*8.5%</f>
        <v>1563.4050000000002</v>
      </c>
    </row>
    <row r="455" spans="1:17" hidden="1" x14ac:dyDescent="0.4">
      <c r="A455" s="4" t="s">
        <v>133</v>
      </c>
      <c r="B455" s="4" t="s">
        <v>26</v>
      </c>
      <c r="C455" s="32" t="s">
        <v>436</v>
      </c>
      <c r="D455" s="4" t="s">
        <v>134</v>
      </c>
      <c r="E455" s="4" t="s">
        <v>28</v>
      </c>
      <c r="F455" s="4" t="s">
        <v>31</v>
      </c>
      <c r="G455" s="4" t="s">
        <v>18</v>
      </c>
      <c r="H455" s="4" t="s">
        <v>130</v>
      </c>
      <c r="I455" s="5" t="str">
        <f t="shared" si="7"/>
        <v>2025-03</v>
      </c>
      <c r="J455" s="4" t="s">
        <v>34</v>
      </c>
      <c r="K455" s="5" t="s">
        <v>342</v>
      </c>
      <c r="L455" s="2">
        <v>7366</v>
      </c>
      <c r="M455" s="3">
        <v>3</v>
      </c>
      <c r="N455" s="2">
        <v>22098</v>
      </c>
      <c r="O455" s="2">
        <v>0</v>
      </c>
      <c r="P455" s="2">
        <v>22098</v>
      </c>
      <c r="Q455" s="2">
        <f>P455*8.5%</f>
        <v>1878.3300000000002</v>
      </c>
    </row>
    <row r="456" spans="1:17" hidden="1" x14ac:dyDescent="0.4">
      <c r="A456" s="4" t="s">
        <v>42</v>
      </c>
      <c r="B456" s="4" t="s">
        <v>14</v>
      </c>
      <c r="C456" s="30" t="s">
        <v>434</v>
      </c>
      <c r="D456" s="4" t="s">
        <v>43</v>
      </c>
      <c r="E456" s="4" t="s">
        <v>44</v>
      </c>
      <c r="F456" s="4" t="s">
        <v>31</v>
      </c>
      <c r="G456" s="4" t="s">
        <v>18</v>
      </c>
      <c r="H456" s="4" t="s">
        <v>130</v>
      </c>
      <c r="I456" s="5" t="str">
        <f t="shared" si="7"/>
        <v>2025-03</v>
      </c>
      <c r="J456" s="4" t="s">
        <v>34</v>
      </c>
      <c r="K456" s="5" t="s">
        <v>342</v>
      </c>
      <c r="L456" s="2">
        <v>6800</v>
      </c>
      <c r="M456" s="3">
        <v>65.7</v>
      </c>
      <c r="N456" s="2">
        <v>446760</v>
      </c>
      <c r="O456" s="2">
        <v>0</v>
      </c>
      <c r="P456" s="2">
        <v>446760</v>
      </c>
      <c r="Q456" s="2">
        <f>P456*8.5%</f>
        <v>37974.600000000006</v>
      </c>
    </row>
    <row r="457" spans="1:17" hidden="1" x14ac:dyDescent="0.4">
      <c r="A457" s="4" t="s">
        <v>35</v>
      </c>
      <c r="B457" s="4" t="s">
        <v>14</v>
      </c>
      <c r="C457" s="30" t="s">
        <v>434</v>
      </c>
      <c r="D457" s="4" t="s">
        <v>36</v>
      </c>
      <c r="E457" s="4" t="s">
        <v>16</v>
      </c>
      <c r="F457" s="4" t="s">
        <v>17</v>
      </c>
      <c r="G457" s="4" t="s">
        <v>18</v>
      </c>
      <c r="H457" s="4" t="s">
        <v>130</v>
      </c>
      <c r="I457" s="5" t="str">
        <f t="shared" si="7"/>
        <v>2025-03</v>
      </c>
      <c r="J457" s="4" t="s">
        <v>60</v>
      </c>
      <c r="K457" s="5" t="s">
        <v>343</v>
      </c>
      <c r="L457" s="2">
        <v>116220</v>
      </c>
      <c r="M457" s="3">
        <v>4</v>
      </c>
      <c r="N457" s="2">
        <v>464880</v>
      </c>
      <c r="O457" s="2">
        <v>46488</v>
      </c>
      <c r="P457" s="2">
        <v>511368</v>
      </c>
      <c r="Q457" s="2">
        <f>P457*12%</f>
        <v>61364.159999999996</v>
      </c>
    </row>
    <row r="458" spans="1:17" hidden="1" x14ac:dyDescent="0.4">
      <c r="A458" s="4" t="s">
        <v>23</v>
      </c>
      <c r="B458" s="4" t="s">
        <v>14</v>
      </c>
      <c r="C458" s="31" t="s">
        <v>435</v>
      </c>
      <c r="D458" s="4" t="s">
        <v>24</v>
      </c>
      <c r="E458" s="4" t="s">
        <v>16</v>
      </c>
      <c r="F458" s="4" t="s">
        <v>17</v>
      </c>
      <c r="G458" s="4" t="s">
        <v>18</v>
      </c>
      <c r="H458" s="4" t="s">
        <v>130</v>
      </c>
      <c r="I458" s="5" t="str">
        <f t="shared" si="7"/>
        <v>2025-03</v>
      </c>
      <c r="J458" s="4" t="s">
        <v>60</v>
      </c>
      <c r="K458" s="5" t="s">
        <v>343</v>
      </c>
      <c r="L458" s="2">
        <v>54000</v>
      </c>
      <c r="M458" s="3">
        <v>8</v>
      </c>
      <c r="N458" s="2">
        <v>432000</v>
      </c>
      <c r="O458" s="2">
        <v>43200</v>
      </c>
      <c r="P458" s="2">
        <v>475200</v>
      </c>
      <c r="Q458" s="2">
        <f>P458*12%</f>
        <v>57024</v>
      </c>
    </row>
    <row r="459" spans="1:17" x14ac:dyDescent="0.4">
      <c r="A459" s="4" t="s">
        <v>13</v>
      </c>
      <c r="B459" s="4" t="s">
        <v>14</v>
      </c>
      <c r="C459" s="30" t="s">
        <v>434</v>
      </c>
      <c r="D459" s="4" t="s">
        <v>15</v>
      </c>
      <c r="E459" s="4" t="s">
        <v>16</v>
      </c>
      <c r="F459" s="4" t="s">
        <v>17</v>
      </c>
      <c r="G459" s="4" t="s">
        <v>18</v>
      </c>
      <c r="H459" s="4" t="s">
        <v>135</v>
      </c>
      <c r="I459" s="5" t="str">
        <f t="shared" si="7"/>
        <v>2025-03</v>
      </c>
      <c r="J459" s="4" t="s">
        <v>20</v>
      </c>
      <c r="K459" s="5" t="s">
        <v>342</v>
      </c>
      <c r="L459" s="2">
        <v>42000</v>
      </c>
      <c r="M459" s="3">
        <v>1</v>
      </c>
      <c r="N459" s="2">
        <v>42000</v>
      </c>
      <c r="O459" s="2">
        <v>4200</v>
      </c>
      <c r="P459" s="2">
        <v>46200</v>
      </c>
      <c r="Q459" s="2">
        <f>P459*8.5%</f>
        <v>3927.0000000000005</v>
      </c>
    </row>
    <row r="460" spans="1:17" x14ac:dyDescent="0.4">
      <c r="A460" s="4" t="s">
        <v>21</v>
      </c>
      <c r="B460" s="4" t="s">
        <v>14</v>
      </c>
      <c r="C460" s="31" t="s">
        <v>435</v>
      </c>
      <c r="D460" s="4" t="s">
        <v>22</v>
      </c>
      <c r="E460" s="4" t="s">
        <v>16</v>
      </c>
      <c r="F460" s="4" t="s">
        <v>17</v>
      </c>
      <c r="G460" s="4" t="s">
        <v>18</v>
      </c>
      <c r="H460" s="4" t="s">
        <v>135</v>
      </c>
      <c r="I460" s="5" t="str">
        <f t="shared" si="7"/>
        <v>2025-03</v>
      </c>
      <c r="J460" s="4" t="s">
        <v>20</v>
      </c>
      <c r="K460" s="5" t="s">
        <v>342</v>
      </c>
      <c r="L460" s="2">
        <v>54000</v>
      </c>
      <c r="M460" s="3">
        <v>1</v>
      </c>
      <c r="N460" s="2">
        <v>54000</v>
      </c>
      <c r="O460" s="2">
        <v>5400</v>
      </c>
      <c r="P460" s="2">
        <v>59400</v>
      </c>
      <c r="Q460" s="2">
        <f>P460*8.5%</f>
        <v>5049</v>
      </c>
    </row>
    <row r="461" spans="1:17" x14ac:dyDescent="0.4">
      <c r="A461" s="4" t="s">
        <v>23</v>
      </c>
      <c r="B461" s="4" t="s">
        <v>14</v>
      </c>
      <c r="C461" s="31" t="s">
        <v>435</v>
      </c>
      <c r="D461" s="4" t="s">
        <v>24</v>
      </c>
      <c r="E461" s="4" t="s">
        <v>16</v>
      </c>
      <c r="F461" s="4" t="s">
        <v>17</v>
      </c>
      <c r="G461" s="4" t="s">
        <v>18</v>
      </c>
      <c r="H461" s="4" t="s">
        <v>135</v>
      </c>
      <c r="I461" s="5" t="str">
        <f t="shared" si="7"/>
        <v>2025-03</v>
      </c>
      <c r="J461" s="4" t="s">
        <v>20</v>
      </c>
      <c r="K461" s="5" t="s">
        <v>342</v>
      </c>
      <c r="L461" s="2">
        <v>54000</v>
      </c>
      <c r="M461" s="3">
        <v>2</v>
      </c>
      <c r="N461" s="2">
        <v>108000</v>
      </c>
      <c r="O461" s="2">
        <v>10800</v>
      </c>
      <c r="P461" s="2">
        <v>118800</v>
      </c>
      <c r="Q461" s="2">
        <f>P461*8.5%</f>
        <v>10098</v>
      </c>
    </row>
    <row r="462" spans="1:17" hidden="1" x14ac:dyDescent="0.4">
      <c r="A462" s="4" t="s">
        <v>32</v>
      </c>
      <c r="B462" s="4" t="s">
        <v>14</v>
      </c>
      <c r="C462" s="31" t="s">
        <v>435</v>
      </c>
      <c r="D462" s="4" t="s">
        <v>33</v>
      </c>
      <c r="E462" s="4" t="s">
        <v>16</v>
      </c>
      <c r="F462" s="4" t="s">
        <v>17</v>
      </c>
      <c r="G462" s="4" t="s">
        <v>18</v>
      </c>
      <c r="H462" s="4" t="s">
        <v>135</v>
      </c>
      <c r="I462" s="5" t="str">
        <f t="shared" si="7"/>
        <v>2025-03</v>
      </c>
      <c r="J462" s="4" t="s">
        <v>34</v>
      </c>
      <c r="K462" s="5" t="s">
        <v>342</v>
      </c>
      <c r="L462" s="2">
        <v>44000</v>
      </c>
      <c r="M462" s="3">
        <v>2</v>
      </c>
      <c r="N462" s="2">
        <v>88000</v>
      </c>
      <c r="O462" s="2">
        <v>8800</v>
      </c>
      <c r="P462" s="2">
        <v>96800</v>
      </c>
      <c r="Q462" s="2">
        <f>P462*8.5%</f>
        <v>8228</v>
      </c>
    </row>
    <row r="463" spans="1:17" hidden="1" x14ac:dyDescent="0.4">
      <c r="A463" s="4" t="s">
        <v>58</v>
      </c>
      <c r="B463" s="4" t="s">
        <v>14</v>
      </c>
      <c r="C463" s="30" t="s">
        <v>434</v>
      </c>
      <c r="D463" s="4" t="s">
        <v>36</v>
      </c>
      <c r="E463" s="4" t="s">
        <v>16</v>
      </c>
      <c r="F463" s="4" t="s">
        <v>17</v>
      </c>
      <c r="G463" s="4" t="s">
        <v>18</v>
      </c>
      <c r="H463" s="4" t="s">
        <v>135</v>
      </c>
      <c r="I463" s="5" t="str">
        <f t="shared" si="7"/>
        <v>2025-03</v>
      </c>
      <c r="J463" s="4" t="s">
        <v>34</v>
      </c>
      <c r="K463" s="5" t="s">
        <v>342</v>
      </c>
      <c r="L463" s="2">
        <v>120880</v>
      </c>
      <c r="M463" s="3">
        <v>1</v>
      </c>
      <c r="N463" s="2">
        <v>120880</v>
      </c>
      <c r="O463" s="2">
        <v>12088</v>
      </c>
      <c r="P463" s="2">
        <v>132968</v>
      </c>
      <c r="Q463" s="2">
        <f>P463*8.5%</f>
        <v>11302.28</v>
      </c>
    </row>
    <row r="464" spans="1:17" hidden="1" x14ac:dyDescent="0.4">
      <c r="A464" s="4" t="s">
        <v>13</v>
      </c>
      <c r="B464" s="4" t="s">
        <v>14</v>
      </c>
      <c r="C464" s="30" t="s">
        <v>434</v>
      </c>
      <c r="D464" s="4" t="s">
        <v>15</v>
      </c>
      <c r="E464" s="4" t="s">
        <v>16</v>
      </c>
      <c r="F464" s="4" t="s">
        <v>17</v>
      </c>
      <c r="G464" s="4" t="s">
        <v>18</v>
      </c>
      <c r="H464" s="4" t="s">
        <v>135</v>
      </c>
      <c r="I464" s="5" t="str">
        <f t="shared" si="7"/>
        <v>2025-03</v>
      </c>
      <c r="J464" s="4" t="s">
        <v>34</v>
      </c>
      <c r="K464" s="5" t="s">
        <v>342</v>
      </c>
      <c r="L464" s="2">
        <v>42000</v>
      </c>
      <c r="M464" s="3">
        <v>5</v>
      </c>
      <c r="N464" s="2">
        <v>210000</v>
      </c>
      <c r="O464" s="2">
        <v>21000</v>
      </c>
      <c r="P464" s="2">
        <v>231000</v>
      </c>
      <c r="Q464" s="2">
        <f>P464*8.5%</f>
        <v>19635</v>
      </c>
    </row>
    <row r="465" spans="1:17" hidden="1" x14ac:dyDescent="0.4">
      <c r="A465" s="4" t="s">
        <v>51</v>
      </c>
      <c r="B465" s="4" t="s">
        <v>14</v>
      </c>
      <c r="C465" s="30" t="s">
        <v>434</v>
      </c>
      <c r="D465" s="4" t="s">
        <v>52</v>
      </c>
      <c r="E465" s="4" t="s">
        <v>16</v>
      </c>
      <c r="F465" s="4" t="s">
        <v>17</v>
      </c>
      <c r="G465" s="4" t="s">
        <v>18</v>
      </c>
      <c r="H465" s="4" t="s">
        <v>135</v>
      </c>
      <c r="I465" s="5" t="str">
        <f t="shared" si="7"/>
        <v>2025-03</v>
      </c>
      <c r="J465" s="4" t="s">
        <v>34</v>
      </c>
      <c r="K465" s="5" t="s">
        <v>342</v>
      </c>
      <c r="L465" s="2">
        <v>71250</v>
      </c>
      <c r="M465" s="3">
        <v>1</v>
      </c>
      <c r="N465" s="2">
        <v>71250</v>
      </c>
      <c r="O465" s="2">
        <v>7125</v>
      </c>
      <c r="P465" s="2">
        <v>78375</v>
      </c>
      <c r="Q465" s="2">
        <f>P465*8.5%</f>
        <v>6661.8750000000009</v>
      </c>
    </row>
    <row r="466" spans="1:17" hidden="1" x14ac:dyDescent="0.4">
      <c r="A466" s="4" t="s">
        <v>73</v>
      </c>
      <c r="B466" s="4" t="s">
        <v>26</v>
      </c>
      <c r="C466" s="32" t="s">
        <v>436</v>
      </c>
      <c r="D466" s="4" t="s">
        <v>57</v>
      </c>
      <c r="E466" s="4" t="s">
        <v>28</v>
      </c>
      <c r="F466" s="4" t="s">
        <v>17</v>
      </c>
      <c r="G466" s="4" t="s">
        <v>18</v>
      </c>
      <c r="H466" s="4" t="s">
        <v>135</v>
      </c>
      <c r="I466" s="5" t="str">
        <f t="shared" si="7"/>
        <v>2025-03</v>
      </c>
      <c r="J466" s="4" t="s">
        <v>34</v>
      </c>
      <c r="K466" s="5" t="s">
        <v>342</v>
      </c>
      <c r="L466" s="2">
        <v>6899</v>
      </c>
      <c r="M466" s="3">
        <v>2</v>
      </c>
      <c r="N466" s="2">
        <v>13798</v>
      </c>
      <c r="O466" s="2">
        <v>1380</v>
      </c>
      <c r="P466" s="2">
        <v>15178</v>
      </c>
      <c r="Q466" s="2">
        <f>P466*8.5%</f>
        <v>1290.1300000000001</v>
      </c>
    </row>
    <row r="467" spans="1:17" hidden="1" x14ac:dyDescent="0.4">
      <c r="A467" s="4" t="s">
        <v>136</v>
      </c>
      <c r="B467" s="4" t="s">
        <v>26</v>
      </c>
      <c r="C467" s="32" t="s">
        <v>436</v>
      </c>
      <c r="D467" s="4" t="s">
        <v>137</v>
      </c>
      <c r="E467" s="4" t="s">
        <v>28</v>
      </c>
      <c r="F467" s="4" t="s">
        <v>17</v>
      </c>
      <c r="G467" s="4" t="s">
        <v>18</v>
      </c>
      <c r="H467" s="4" t="s">
        <v>135</v>
      </c>
      <c r="I467" s="5" t="str">
        <f t="shared" si="7"/>
        <v>2025-03</v>
      </c>
      <c r="J467" s="4" t="s">
        <v>34</v>
      </c>
      <c r="K467" s="5" t="s">
        <v>342</v>
      </c>
      <c r="L467" s="2">
        <v>5425</v>
      </c>
      <c r="M467" s="3">
        <v>2</v>
      </c>
      <c r="N467" s="2">
        <v>10850</v>
      </c>
      <c r="O467" s="2">
        <v>1085</v>
      </c>
      <c r="P467" s="2">
        <v>11935</v>
      </c>
      <c r="Q467" s="2">
        <f>P467*8.5%</f>
        <v>1014.475</v>
      </c>
    </row>
    <row r="468" spans="1:17" hidden="1" x14ac:dyDescent="0.4">
      <c r="A468" s="4" t="s">
        <v>70</v>
      </c>
      <c r="B468" s="4" t="s">
        <v>26</v>
      </c>
      <c r="C468" s="32" t="s">
        <v>436</v>
      </c>
      <c r="D468" s="4" t="s">
        <v>71</v>
      </c>
      <c r="E468" s="4" t="s">
        <v>28</v>
      </c>
      <c r="F468" s="4" t="s">
        <v>31</v>
      </c>
      <c r="G468" s="4" t="s">
        <v>18</v>
      </c>
      <c r="H468" s="4" t="s">
        <v>135</v>
      </c>
      <c r="I468" s="5" t="str">
        <f t="shared" si="7"/>
        <v>2025-03</v>
      </c>
      <c r="J468" s="4" t="s">
        <v>34</v>
      </c>
      <c r="K468" s="5" t="s">
        <v>342</v>
      </c>
      <c r="L468" s="2">
        <v>6478</v>
      </c>
      <c r="M468" s="3">
        <v>2</v>
      </c>
      <c r="N468" s="2">
        <v>12956</v>
      </c>
      <c r="O468" s="2">
        <v>0</v>
      </c>
      <c r="P468" s="2">
        <v>12956</v>
      </c>
      <c r="Q468" s="2">
        <f>P468*8.5%</f>
        <v>1101.26</v>
      </c>
    </row>
    <row r="469" spans="1:17" hidden="1" x14ac:dyDescent="0.4">
      <c r="A469" s="4" t="s">
        <v>42</v>
      </c>
      <c r="B469" s="4" t="s">
        <v>14</v>
      </c>
      <c r="C469" s="30" t="s">
        <v>434</v>
      </c>
      <c r="D469" s="4" t="s">
        <v>43</v>
      </c>
      <c r="E469" s="4" t="s">
        <v>44</v>
      </c>
      <c r="F469" s="4" t="s">
        <v>31</v>
      </c>
      <c r="G469" s="4" t="s">
        <v>18</v>
      </c>
      <c r="H469" s="4" t="s">
        <v>135</v>
      </c>
      <c r="I469" s="5" t="str">
        <f t="shared" si="7"/>
        <v>2025-03</v>
      </c>
      <c r="J469" s="4" t="s">
        <v>34</v>
      </c>
      <c r="K469" s="5" t="s">
        <v>342</v>
      </c>
      <c r="L469" s="2">
        <v>6800</v>
      </c>
      <c r="M469" s="3">
        <v>67.900000000000006</v>
      </c>
      <c r="N469" s="2">
        <v>461720</v>
      </c>
      <c r="O469" s="2">
        <v>0</v>
      </c>
      <c r="P469" s="2">
        <v>461720</v>
      </c>
      <c r="Q469" s="2">
        <f>P469*8.5%</f>
        <v>39246.200000000004</v>
      </c>
    </row>
    <row r="470" spans="1:17" hidden="1" x14ac:dyDescent="0.4">
      <c r="A470" s="4" t="s">
        <v>32</v>
      </c>
      <c r="B470" s="4" t="s">
        <v>14</v>
      </c>
      <c r="C470" s="31" t="s">
        <v>435</v>
      </c>
      <c r="D470" s="4" t="s">
        <v>33</v>
      </c>
      <c r="E470" s="4" t="s">
        <v>16</v>
      </c>
      <c r="F470" s="4" t="s">
        <v>17</v>
      </c>
      <c r="G470" s="4" t="s">
        <v>18</v>
      </c>
      <c r="H470" s="4" t="s">
        <v>135</v>
      </c>
      <c r="I470" s="5" t="str">
        <f t="shared" si="7"/>
        <v>2025-03</v>
      </c>
      <c r="J470" s="4" t="s">
        <v>50</v>
      </c>
      <c r="K470" s="5" t="s">
        <v>343</v>
      </c>
      <c r="L470" s="2">
        <v>44000</v>
      </c>
      <c r="M470" s="3">
        <v>2</v>
      </c>
      <c r="N470" s="2">
        <v>88000</v>
      </c>
      <c r="O470" s="2">
        <v>8800</v>
      </c>
      <c r="P470" s="2">
        <v>96800</v>
      </c>
      <c r="Q470" s="2">
        <f>P470*12%</f>
        <v>11616</v>
      </c>
    </row>
    <row r="471" spans="1:17" hidden="1" x14ac:dyDescent="0.4">
      <c r="A471" s="4" t="s">
        <v>13</v>
      </c>
      <c r="B471" s="4" t="s">
        <v>14</v>
      </c>
      <c r="C471" s="30" t="s">
        <v>434</v>
      </c>
      <c r="D471" s="4" t="s">
        <v>15</v>
      </c>
      <c r="E471" s="4" t="s">
        <v>16</v>
      </c>
      <c r="F471" s="4" t="s">
        <v>17</v>
      </c>
      <c r="G471" s="4" t="s">
        <v>18</v>
      </c>
      <c r="H471" s="4" t="s">
        <v>135</v>
      </c>
      <c r="I471" s="5" t="str">
        <f t="shared" si="7"/>
        <v>2025-03</v>
      </c>
      <c r="J471" s="4" t="s">
        <v>50</v>
      </c>
      <c r="K471" s="5" t="s">
        <v>343</v>
      </c>
      <c r="L471" s="2">
        <v>42000</v>
      </c>
      <c r="M471" s="3">
        <v>10</v>
      </c>
      <c r="N471" s="2">
        <v>420000</v>
      </c>
      <c r="O471" s="2">
        <v>42000</v>
      </c>
      <c r="P471" s="2">
        <v>462000</v>
      </c>
      <c r="Q471" s="2">
        <f>P471*12%</f>
        <v>55440</v>
      </c>
    </row>
    <row r="472" spans="1:17" hidden="1" x14ac:dyDescent="0.4">
      <c r="A472" s="4" t="s">
        <v>23</v>
      </c>
      <c r="B472" s="4" t="s">
        <v>14</v>
      </c>
      <c r="C472" s="31" t="s">
        <v>435</v>
      </c>
      <c r="D472" s="4" t="s">
        <v>24</v>
      </c>
      <c r="E472" s="4" t="s">
        <v>16</v>
      </c>
      <c r="F472" s="4" t="s">
        <v>17</v>
      </c>
      <c r="G472" s="4" t="s">
        <v>18</v>
      </c>
      <c r="H472" s="4" t="s">
        <v>135</v>
      </c>
      <c r="I472" s="5" t="str">
        <f t="shared" si="7"/>
        <v>2025-03</v>
      </c>
      <c r="J472" s="4" t="s">
        <v>50</v>
      </c>
      <c r="K472" s="5" t="s">
        <v>343</v>
      </c>
      <c r="L472" s="2">
        <v>54000</v>
      </c>
      <c r="M472" s="3">
        <v>5</v>
      </c>
      <c r="N472" s="2">
        <v>270000</v>
      </c>
      <c r="O472" s="2">
        <v>27000</v>
      </c>
      <c r="P472" s="2">
        <v>297000</v>
      </c>
      <c r="Q472" s="2">
        <f>P472*12%</f>
        <v>35640</v>
      </c>
    </row>
    <row r="473" spans="1:17" hidden="1" x14ac:dyDescent="0.4">
      <c r="A473" s="4" t="s">
        <v>51</v>
      </c>
      <c r="B473" s="4" t="s">
        <v>14</v>
      </c>
      <c r="C473" s="30" t="s">
        <v>434</v>
      </c>
      <c r="D473" s="4" t="s">
        <v>52</v>
      </c>
      <c r="E473" s="4" t="s">
        <v>16</v>
      </c>
      <c r="F473" s="4" t="s">
        <v>17</v>
      </c>
      <c r="G473" s="4" t="s">
        <v>18</v>
      </c>
      <c r="H473" s="4" t="s">
        <v>135</v>
      </c>
      <c r="I473" s="5" t="str">
        <f t="shared" si="7"/>
        <v>2025-03</v>
      </c>
      <c r="J473" s="4" t="s">
        <v>50</v>
      </c>
      <c r="K473" s="5" t="s">
        <v>343</v>
      </c>
      <c r="L473" s="2">
        <v>71250</v>
      </c>
      <c r="M473" s="3">
        <v>1</v>
      </c>
      <c r="N473" s="2">
        <v>71250</v>
      </c>
      <c r="O473" s="2">
        <v>7125</v>
      </c>
      <c r="P473" s="2">
        <v>78375</v>
      </c>
      <c r="Q473" s="2">
        <f>P473*12%</f>
        <v>9405</v>
      </c>
    </row>
    <row r="474" spans="1:17" x14ac:dyDescent="0.4">
      <c r="A474" s="4" t="s">
        <v>13</v>
      </c>
      <c r="B474" s="4" t="s">
        <v>14</v>
      </c>
      <c r="C474" s="30" t="s">
        <v>434</v>
      </c>
      <c r="D474" s="4" t="s">
        <v>15</v>
      </c>
      <c r="E474" s="4" t="s">
        <v>16</v>
      </c>
      <c r="F474" s="4" t="s">
        <v>17</v>
      </c>
      <c r="G474" s="4" t="s">
        <v>18</v>
      </c>
      <c r="H474" s="4" t="s">
        <v>138</v>
      </c>
      <c r="I474" s="5" t="str">
        <f t="shared" si="7"/>
        <v>2025-03</v>
      </c>
      <c r="J474" s="4" t="s">
        <v>20</v>
      </c>
      <c r="K474" s="5" t="s">
        <v>342</v>
      </c>
      <c r="L474" s="2">
        <v>42000</v>
      </c>
      <c r="M474" s="3">
        <v>1</v>
      </c>
      <c r="N474" s="2">
        <v>42000</v>
      </c>
      <c r="O474" s="2">
        <v>4200</v>
      </c>
      <c r="P474" s="2">
        <v>46200</v>
      </c>
      <c r="Q474" s="2">
        <f>P474*8.5%</f>
        <v>3927.0000000000005</v>
      </c>
    </row>
    <row r="475" spans="1:17" x14ac:dyDescent="0.4">
      <c r="A475" s="4" t="s">
        <v>21</v>
      </c>
      <c r="B475" s="4" t="s">
        <v>14</v>
      </c>
      <c r="C475" s="31" t="s">
        <v>435</v>
      </c>
      <c r="D475" s="4" t="s">
        <v>22</v>
      </c>
      <c r="E475" s="4" t="s">
        <v>16</v>
      </c>
      <c r="F475" s="4" t="s">
        <v>17</v>
      </c>
      <c r="G475" s="4" t="s">
        <v>18</v>
      </c>
      <c r="H475" s="4" t="s">
        <v>138</v>
      </c>
      <c r="I475" s="5" t="str">
        <f t="shared" si="7"/>
        <v>2025-03</v>
      </c>
      <c r="J475" s="4" t="s">
        <v>20</v>
      </c>
      <c r="K475" s="5" t="s">
        <v>342</v>
      </c>
      <c r="L475" s="2">
        <v>54000</v>
      </c>
      <c r="M475" s="3">
        <v>1</v>
      </c>
      <c r="N475" s="2">
        <v>54000</v>
      </c>
      <c r="O475" s="2">
        <v>5400</v>
      </c>
      <c r="P475" s="2">
        <v>59400</v>
      </c>
      <c r="Q475" s="2">
        <f>P475*8.5%</f>
        <v>5049</v>
      </c>
    </row>
    <row r="476" spans="1:17" x14ac:dyDescent="0.4">
      <c r="A476" s="4" t="s">
        <v>23</v>
      </c>
      <c r="B476" s="4" t="s">
        <v>14</v>
      </c>
      <c r="C476" s="31" t="s">
        <v>435</v>
      </c>
      <c r="D476" s="4" t="s">
        <v>24</v>
      </c>
      <c r="E476" s="4" t="s">
        <v>16</v>
      </c>
      <c r="F476" s="4" t="s">
        <v>17</v>
      </c>
      <c r="G476" s="4" t="s">
        <v>18</v>
      </c>
      <c r="H476" s="4" t="s">
        <v>138</v>
      </c>
      <c r="I476" s="5" t="str">
        <f t="shared" si="7"/>
        <v>2025-03</v>
      </c>
      <c r="J476" s="4" t="s">
        <v>20</v>
      </c>
      <c r="K476" s="5" t="s">
        <v>342</v>
      </c>
      <c r="L476" s="2">
        <v>54000</v>
      </c>
      <c r="M476" s="3">
        <v>2</v>
      </c>
      <c r="N476" s="2">
        <v>108000</v>
      </c>
      <c r="O476" s="2">
        <v>10800</v>
      </c>
      <c r="P476" s="2">
        <v>118800</v>
      </c>
      <c r="Q476" s="2">
        <f>P476*8.5%</f>
        <v>10098</v>
      </c>
    </row>
    <row r="477" spans="1:17" x14ac:dyDescent="0.4">
      <c r="A477" s="4" t="s">
        <v>54</v>
      </c>
      <c r="B477" s="4" t="s">
        <v>26</v>
      </c>
      <c r="C477" s="32" t="s">
        <v>436</v>
      </c>
      <c r="D477" s="4" t="s">
        <v>55</v>
      </c>
      <c r="E477" s="4" t="s">
        <v>28</v>
      </c>
      <c r="F477" s="4" t="s">
        <v>31</v>
      </c>
      <c r="G477" s="4" t="s">
        <v>18</v>
      </c>
      <c r="H477" s="4" t="s">
        <v>138</v>
      </c>
      <c r="I477" s="5" t="str">
        <f t="shared" si="7"/>
        <v>2025-03</v>
      </c>
      <c r="J477" s="4" t="s">
        <v>20</v>
      </c>
      <c r="K477" s="5" t="s">
        <v>342</v>
      </c>
      <c r="L477" s="2">
        <v>5145</v>
      </c>
      <c r="M477" s="3">
        <v>1</v>
      </c>
      <c r="N477" s="2">
        <v>5145</v>
      </c>
      <c r="O477" s="2">
        <v>0</v>
      </c>
      <c r="P477" s="2">
        <v>5145</v>
      </c>
      <c r="Q477" s="2">
        <f>P477*8.5%</f>
        <v>437.32500000000005</v>
      </c>
    </row>
    <row r="478" spans="1:17" x14ac:dyDescent="0.4">
      <c r="A478" s="4" t="s">
        <v>56</v>
      </c>
      <c r="B478" s="4" t="s">
        <v>26</v>
      </c>
      <c r="C478" s="32" t="s">
        <v>436</v>
      </c>
      <c r="D478" s="4" t="s">
        <v>57</v>
      </c>
      <c r="E478" s="4" t="s">
        <v>44</v>
      </c>
      <c r="F478" s="4" t="s">
        <v>31</v>
      </c>
      <c r="G478" s="4" t="s">
        <v>18</v>
      </c>
      <c r="H478" s="4" t="s">
        <v>138</v>
      </c>
      <c r="I478" s="5" t="str">
        <f t="shared" si="7"/>
        <v>2025-03</v>
      </c>
      <c r="J478" s="4" t="s">
        <v>20</v>
      </c>
      <c r="K478" s="5" t="s">
        <v>342</v>
      </c>
      <c r="L478" s="2">
        <v>3414</v>
      </c>
      <c r="M478" s="3">
        <v>24</v>
      </c>
      <c r="N478" s="2">
        <v>81936</v>
      </c>
      <c r="O478" s="2">
        <v>0</v>
      </c>
      <c r="P478" s="2">
        <v>81936</v>
      </c>
      <c r="Q478" s="2">
        <f>P478*8.5%</f>
        <v>6964.56</v>
      </c>
    </row>
    <row r="479" spans="1:17" hidden="1" x14ac:dyDescent="0.4">
      <c r="A479" s="4" t="s">
        <v>32</v>
      </c>
      <c r="B479" s="4" t="s">
        <v>14</v>
      </c>
      <c r="C479" s="31" t="s">
        <v>435</v>
      </c>
      <c r="D479" s="4" t="s">
        <v>33</v>
      </c>
      <c r="E479" s="4" t="s">
        <v>16</v>
      </c>
      <c r="F479" s="4" t="s">
        <v>17</v>
      </c>
      <c r="G479" s="4" t="s">
        <v>18</v>
      </c>
      <c r="H479" s="4" t="s">
        <v>138</v>
      </c>
      <c r="I479" s="5" t="str">
        <f t="shared" si="7"/>
        <v>2025-03</v>
      </c>
      <c r="J479" s="4" t="s">
        <v>118</v>
      </c>
      <c r="K479" s="5" t="s">
        <v>342</v>
      </c>
      <c r="L479" s="2">
        <v>44000</v>
      </c>
      <c r="M479" s="3">
        <v>1</v>
      </c>
      <c r="N479" s="2">
        <v>44000</v>
      </c>
      <c r="O479" s="2">
        <v>4400</v>
      </c>
      <c r="P479" s="2">
        <v>48400</v>
      </c>
      <c r="Q479" s="2">
        <f>P479*8.5%</f>
        <v>4114</v>
      </c>
    </row>
    <row r="480" spans="1:17" hidden="1" x14ac:dyDescent="0.4">
      <c r="A480" s="4" t="s">
        <v>13</v>
      </c>
      <c r="B480" s="4" t="s">
        <v>14</v>
      </c>
      <c r="C480" s="30" t="s">
        <v>434</v>
      </c>
      <c r="D480" s="4" t="s">
        <v>15</v>
      </c>
      <c r="E480" s="4" t="s">
        <v>16</v>
      </c>
      <c r="F480" s="4" t="s">
        <v>17</v>
      </c>
      <c r="G480" s="4" t="s">
        <v>18</v>
      </c>
      <c r="H480" s="4" t="s">
        <v>138</v>
      </c>
      <c r="I480" s="5" t="str">
        <f t="shared" si="7"/>
        <v>2025-03</v>
      </c>
      <c r="J480" s="4" t="s">
        <v>118</v>
      </c>
      <c r="K480" s="5" t="s">
        <v>342</v>
      </c>
      <c r="L480" s="2">
        <v>42000</v>
      </c>
      <c r="M480" s="3">
        <v>2</v>
      </c>
      <c r="N480" s="2">
        <v>84000</v>
      </c>
      <c r="O480" s="2">
        <v>8400</v>
      </c>
      <c r="P480" s="2">
        <v>92400</v>
      </c>
      <c r="Q480" s="2">
        <f>P480*8.5%</f>
        <v>7854.0000000000009</v>
      </c>
    </row>
    <row r="481" spans="1:17" hidden="1" x14ac:dyDescent="0.4">
      <c r="A481" s="4" t="s">
        <v>23</v>
      </c>
      <c r="B481" s="4" t="s">
        <v>14</v>
      </c>
      <c r="C481" s="31" t="s">
        <v>435</v>
      </c>
      <c r="D481" s="4" t="s">
        <v>24</v>
      </c>
      <c r="E481" s="4" t="s">
        <v>16</v>
      </c>
      <c r="F481" s="4" t="s">
        <v>17</v>
      </c>
      <c r="G481" s="4" t="s">
        <v>18</v>
      </c>
      <c r="H481" s="4" t="s">
        <v>138</v>
      </c>
      <c r="I481" s="5" t="str">
        <f t="shared" si="7"/>
        <v>2025-03</v>
      </c>
      <c r="J481" s="4" t="s">
        <v>118</v>
      </c>
      <c r="K481" s="5" t="s">
        <v>342</v>
      </c>
      <c r="L481" s="2">
        <v>54000</v>
      </c>
      <c r="M481" s="3">
        <v>1</v>
      </c>
      <c r="N481" s="2">
        <v>54000</v>
      </c>
      <c r="O481" s="2">
        <v>5400</v>
      </c>
      <c r="P481" s="2">
        <v>59400</v>
      </c>
      <c r="Q481" s="2">
        <f>P481*8.5%</f>
        <v>5049</v>
      </c>
    </row>
    <row r="482" spans="1:17" hidden="1" x14ac:dyDescent="0.4">
      <c r="A482" s="4" t="s">
        <v>64</v>
      </c>
      <c r="B482" s="4" t="s">
        <v>65</v>
      </c>
      <c r="C482" s="32" t="s">
        <v>436</v>
      </c>
      <c r="D482" s="4" t="s">
        <v>66</v>
      </c>
      <c r="E482" s="4" t="s">
        <v>16</v>
      </c>
      <c r="F482" s="4" t="s">
        <v>17</v>
      </c>
      <c r="G482" s="4" t="s">
        <v>18</v>
      </c>
      <c r="H482" s="4" t="s">
        <v>138</v>
      </c>
      <c r="I482" s="5" t="str">
        <f t="shared" si="7"/>
        <v>2025-03</v>
      </c>
      <c r="J482" s="4" t="s">
        <v>34</v>
      </c>
      <c r="K482" s="5" t="s">
        <v>342</v>
      </c>
      <c r="L482" s="2">
        <v>10056</v>
      </c>
      <c r="M482" s="3">
        <v>1</v>
      </c>
      <c r="N482" s="2">
        <v>10056</v>
      </c>
      <c r="O482" s="2">
        <v>1006</v>
      </c>
      <c r="P482" s="2">
        <v>11062</v>
      </c>
      <c r="Q482" s="2">
        <f>P482*8.5%</f>
        <v>940.2700000000001</v>
      </c>
    </row>
    <row r="483" spans="1:17" hidden="1" x14ac:dyDescent="0.4">
      <c r="A483" s="4" t="s">
        <v>32</v>
      </c>
      <c r="B483" s="4" t="s">
        <v>14</v>
      </c>
      <c r="C483" s="31" t="s">
        <v>435</v>
      </c>
      <c r="D483" s="4" t="s">
        <v>33</v>
      </c>
      <c r="E483" s="4" t="s">
        <v>16</v>
      </c>
      <c r="F483" s="4" t="s">
        <v>17</v>
      </c>
      <c r="G483" s="4" t="s">
        <v>18</v>
      </c>
      <c r="H483" s="4" t="s">
        <v>138</v>
      </c>
      <c r="I483" s="5" t="str">
        <f t="shared" si="7"/>
        <v>2025-03</v>
      </c>
      <c r="J483" s="4" t="s">
        <v>34</v>
      </c>
      <c r="K483" s="5" t="s">
        <v>342</v>
      </c>
      <c r="L483" s="2">
        <v>44000</v>
      </c>
      <c r="M483" s="3">
        <v>2</v>
      </c>
      <c r="N483" s="2">
        <v>88000</v>
      </c>
      <c r="O483" s="2">
        <v>8800</v>
      </c>
      <c r="P483" s="2">
        <v>96800</v>
      </c>
      <c r="Q483" s="2">
        <f>P483*8.5%</f>
        <v>8228</v>
      </c>
    </row>
    <row r="484" spans="1:17" hidden="1" x14ac:dyDescent="0.4">
      <c r="A484" s="4" t="s">
        <v>13</v>
      </c>
      <c r="B484" s="4" t="s">
        <v>14</v>
      </c>
      <c r="C484" s="30" t="s">
        <v>434</v>
      </c>
      <c r="D484" s="4" t="s">
        <v>15</v>
      </c>
      <c r="E484" s="4" t="s">
        <v>16</v>
      </c>
      <c r="F484" s="4" t="s">
        <v>17</v>
      </c>
      <c r="G484" s="4" t="s">
        <v>18</v>
      </c>
      <c r="H484" s="4" t="s">
        <v>138</v>
      </c>
      <c r="I484" s="5" t="str">
        <f t="shared" si="7"/>
        <v>2025-03</v>
      </c>
      <c r="J484" s="4" t="s">
        <v>34</v>
      </c>
      <c r="K484" s="5" t="s">
        <v>342</v>
      </c>
      <c r="L484" s="2">
        <v>42000</v>
      </c>
      <c r="M484" s="3">
        <v>3</v>
      </c>
      <c r="N484" s="2">
        <v>126000</v>
      </c>
      <c r="O484" s="2">
        <v>12600</v>
      </c>
      <c r="P484" s="2">
        <v>138600</v>
      </c>
      <c r="Q484" s="2">
        <f>P484*8.5%</f>
        <v>11781</v>
      </c>
    </row>
    <row r="485" spans="1:17" hidden="1" x14ac:dyDescent="0.4">
      <c r="A485" s="4" t="s">
        <v>21</v>
      </c>
      <c r="B485" s="4" t="s">
        <v>14</v>
      </c>
      <c r="C485" s="31" t="s">
        <v>435</v>
      </c>
      <c r="D485" s="4" t="s">
        <v>22</v>
      </c>
      <c r="E485" s="4" t="s">
        <v>16</v>
      </c>
      <c r="F485" s="4" t="s">
        <v>17</v>
      </c>
      <c r="G485" s="4" t="s">
        <v>18</v>
      </c>
      <c r="H485" s="4" t="s">
        <v>138</v>
      </c>
      <c r="I485" s="5" t="str">
        <f t="shared" si="7"/>
        <v>2025-03</v>
      </c>
      <c r="J485" s="4" t="s">
        <v>34</v>
      </c>
      <c r="K485" s="5" t="s">
        <v>342</v>
      </c>
      <c r="L485" s="2">
        <v>54000</v>
      </c>
      <c r="M485" s="3">
        <v>2</v>
      </c>
      <c r="N485" s="2">
        <v>108000</v>
      </c>
      <c r="O485" s="2">
        <v>10800</v>
      </c>
      <c r="P485" s="2">
        <v>118800</v>
      </c>
      <c r="Q485" s="2">
        <f>P485*8.5%</f>
        <v>10098</v>
      </c>
    </row>
    <row r="486" spans="1:17" hidden="1" x14ac:dyDescent="0.4">
      <c r="A486" s="4" t="s">
        <v>23</v>
      </c>
      <c r="B486" s="4" t="s">
        <v>14</v>
      </c>
      <c r="C486" s="31" t="s">
        <v>435</v>
      </c>
      <c r="D486" s="4" t="s">
        <v>24</v>
      </c>
      <c r="E486" s="4" t="s">
        <v>16</v>
      </c>
      <c r="F486" s="4" t="s">
        <v>17</v>
      </c>
      <c r="G486" s="4" t="s">
        <v>18</v>
      </c>
      <c r="H486" s="4" t="s">
        <v>138</v>
      </c>
      <c r="I486" s="5" t="str">
        <f t="shared" si="7"/>
        <v>2025-03</v>
      </c>
      <c r="J486" s="4" t="s">
        <v>34</v>
      </c>
      <c r="K486" s="5" t="s">
        <v>342</v>
      </c>
      <c r="L486" s="2">
        <v>54000</v>
      </c>
      <c r="M486" s="3">
        <v>6</v>
      </c>
      <c r="N486" s="2">
        <v>324000</v>
      </c>
      <c r="O486" s="2">
        <v>32400</v>
      </c>
      <c r="P486" s="2">
        <v>356400</v>
      </c>
      <c r="Q486" s="2">
        <f>P486*8.5%</f>
        <v>30294.000000000004</v>
      </c>
    </row>
    <row r="487" spans="1:17" hidden="1" x14ac:dyDescent="0.4">
      <c r="A487" s="4" t="s">
        <v>84</v>
      </c>
      <c r="B487" s="4" t="s">
        <v>26</v>
      </c>
      <c r="C487" s="32" t="s">
        <v>436</v>
      </c>
      <c r="D487" s="4" t="s">
        <v>85</v>
      </c>
      <c r="E487" s="4" t="s">
        <v>28</v>
      </c>
      <c r="F487" s="4" t="s">
        <v>17</v>
      </c>
      <c r="G487" s="4" t="s">
        <v>18</v>
      </c>
      <c r="H487" s="4" t="s">
        <v>138</v>
      </c>
      <c r="I487" s="5" t="str">
        <f t="shared" si="7"/>
        <v>2025-03</v>
      </c>
      <c r="J487" s="4" t="s">
        <v>34</v>
      </c>
      <c r="K487" s="5" t="s">
        <v>342</v>
      </c>
      <c r="L487" s="2">
        <v>4920</v>
      </c>
      <c r="M487" s="3">
        <v>1</v>
      </c>
      <c r="N487" s="2">
        <v>4920</v>
      </c>
      <c r="O487" s="2">
        <v>492</v>
      </c>
      <c r="P487" s="2">
        <v>5412</v>
      </c>
      <c r="Q487" s="2">
        <f>P487*8.5%</f>
        <v>460.02000000000004</v>
      </c>
    </row>
    <row r="488" spans="1:17" hidden="1" x14ac:dyDescent="0.4">
      <c r="A488" s="4" t="s">
        <v>67</v>
      </c>
      <c r="B488" s="4" t="s">
        <v>26</v>
      </c>
      <c r="C488" s="32" t="s">
        <v>436</v>
      </c>
      <c r="D488" s="4" t="s">
        <v>63</v>
      </c>
      <c r="E488" s="4" t="s">
        <v>28</v>
      </c>
      <c r="F488" s="4" t="s">
        <v>17</v>
      </c>
      <c r="G488" s="4" t="s">
        <v>18</v>
      </c>
      <c r="H488" s="4" t="s">
        <v>138</v>
      </c>
      <c r="I488" s="5" t="str">
        <f t="shared" si="7"/>
        <v>2025-03</v>
      </c>
      <c r="J488" s="4" t="s">
        <v>34</v>
      </c>
      <c r="K488" s="5" t="s">
        <v>342</v>
      </c>
      <c r="L488" s="2">
        <v>7391</v>
      </c>
      <c r="M488" s="3">
        <v>1</v>
      </c>
      <c r="N488" s="2">
        <v>7391</v>
      </c>
      <c r="O488" s="2">
        <v>739</v>
      </c>
      <c r="P488" s="2">
        <v>8130</v>
      </c>
      <c r="Q488" s="2">
        <f>P488*8.5%</f>
        <v>691.05000000000007</v>
      </c>
    </row>
    <row r="489" spans="1:17" hidden="1" x14ac:dyDescent="0.4">
      <c r="A489" s="4" t="s">
        <v>139</v>
      </c>
      <c r="B489" s="4" t="s">
        <v>26</v>
      </c>
      <c r="C489" s="32" t="s">
        <v>436</v>
      </c>
      <c r="D489" s="4" t="s">
        <v>46</v>
      </c>
      <c r="E489" s="4" t="s">
        <v>28</v>
      </c>
      <c r="F489" s="4" t="s">
        <v>17</v>
      </c>
      <c r="G489" s="4" t="s">
        <v>18</v>
      </c>
      <c r="H489" s="4" t="s">
        <v>138</v>
      </c>
      <c r="I489" s="5" t="str">
        <f t="shared" si="7"/>
        <v>2025-03</v>
      </c>
      <c r="J489" s="4" t="s">
        <v>34</v>
      </c>
      <c r="K489" s="5" t="s">
        <v>342</v>
      </c>
      <c r="L489" s="2">
        <v>6431</v>
      </c>
      <c r="M489" s="3">
        <v>1</v>
      </c>
      <c r="N489" s="2">
        <v>6431</v>
      </c>
      <c r="O489" s="2">
        <v>643</v>
      </c>
      <c r="P489" s="2">
        <v>7074</v>
      </c>
      <c r="Q489" s="2">
        <f>P489*8.5%</f>
        <v>601.29000000000008</v>
      </c>
    </row>
    <row r="490" spans="1:17" hidden="1" x14ac:dyDescent="0.4">
      <c r="A490" s="4" t="s">
        <v>42</v>
      </c>
      <c r="B490" s="4" t="s">
        <v>14</v>
      </c>
      <c r="C490" s="30" t="s">
        <v>434</v>
      </c>
      <c r="D490" s="4" t="s">
        <v>43</v>
      </c>
      <c r="E490" s="4" t="s">
        <v>44</v>
      </c>
      <c r="F490" s="4" t="s">
        <v>31</v>
      </c>
      <c r="G490" s="4" t="s">
        <v>18</v>
      </c>
      <c r="H490" s="4" t="s">
        <v>138</v>
      </c>
      <c r="I490" s="5" t="str">
        <f t="shared" si="7"/>
        <v>2025-03</v>
      </c>
      <c r="J490" s="4" t="s">
        <v>34</v>
      </c>
      <c r="K490" s="5" t="s">
        <v>342</v>
      </c>
      <c r="L490" s="2">
        <v>6800</v>
      </c>
      <c r="M490" s="3">
        <v>49.7</v>
      </c>
      <c r="N490" s="2">
        <v>337960</v>
      </c>
      <c r="O490" s="2">
        <v>0</v>
      </c>
      <c r="P490" s="2">
        <v>337960</v>
      </c>
      <c r="Q490" s="2">
        <f>P490*8.5%</f>
        <v>28726.600000000002</v>
      </c>
    </row>
    <row r="491" spans="1:17" hidden="1" x14ac:dyDescent="0.4">
      <c r="A491" s="4" t="s">
        <v>45</v>
      </c>
      <c r="B491" s="4" t="s">
        <v>26</v>
      </c>
      <c r="C491" s="32" t="s">
        <v>436</v>
      </c>
      <c r="D491" s="4" t="s">
        <v>46</v>
      </c>
      <c r="E491" s="4" t="s">
        <v>47</v>
      </c>
      <c r="F491" s="4" t="s">
        <v>17</v>
      </c>
      <c r="G491" s="4" t="s">
        <v>18</v>
      </c>
      <c r="H491" s="4" t="s">
        <v>138</v>
      </c>
      <c r="I491" s="5" t="str">
        <f t="shared" si="7"/>
        <v>2025-03</v>
      </c>
      <c r="J491" s="4" t="s">
        <v>34</v>
      </c>
      <c r="K491" s="5" t="s">
        <v>342</v>
      </c>
      <c r="L491" s="2">
        <v>6431</v>
      </c>
      <c r="M491" s="3">
        <v>2</v>
      </c>
      <c r="N491" s="2">
        <v>12862</v>
      </c>
      <c r="O491" s="2">
        <v>1286</v>
      </c>
      <c r="P491" s="2">
        <v>14148</v>
      </c>
      <c r="Q491" s="2">
        <f>P491*8.5%</f>
        <v>1202.5800000000002</v>
      </c>
    </row>
    <row r="492" spans="1:17" hidden="1" x14ac:dyDescent="0.4">
      <c r="A492" s="4" t="s">
        <v>93</v>
      </c>
      <c r="B492" s="4" t="s">
        <v>26</v>
      </c>
      <c r="C492" s="32" t="s">
        <v>436</v>
      </c>
      <c r="D492" s="4" t="s">
        <v>94</v>
      </c>
      <c r="E492" s="4" t="s">
        <v>47</v>
      </c>
      <c r="F492" s="4" t="s">
        <v>17</v>
      </c>
      <c r="G492" s="4" t="s">
        <v>18</v>
      </c>
      <c r="H492" s="4" t="s">
        <v>138</v>
      </c>
      <c r="I492" s="5" t="str">
        <f t="shared" si="7"/>
        <v>2025-03</v>
      </c>
      <c r="J492" s="4" t="s">
        <v>34</v>
      </c>
      <c r="K492" s="5" t="s">
        <v>342</v>
      </c>
      <c r="L492" s="2">
        <v>5145</v>
      </c>
      <c r="M492" s="3">
        <v>4</v>
      </c>
      <c r="N492" s="2">
        <v>20580</v>
      </c>
      <c r="O492" s="2">
        <v>2058</v>
      </c>
      <c r="P492" s="2">
        <v>22638</v>
      </c>
      <c r="Q492" s="2">
        <f>P492*8.5%</f>
        <v>1924.2300000000002</v>
      </c>
    </row>
    <row r="493" spans="1:17" hidden="1" x14ac:dyDescent="0.4">
      <c r="A493" s="4" t="s">
        <v>32</v>
      </c>
      <c r="B493" s="4" t="s">
        <v>14</v>
      </c>
      <c r="C493" s="31" t="s">
        <v>435</v>
      </c>
      <c r="D493" s="4" t="s">
        <v>33</v>
      </c>
      <c r="E493" s="4" t="s">
        <v>16</v>
      </c>
      <c r="F493" s="4" t="s">
        <v>17</v>
      </c>
      <c r="G493" s="4" t="s">
        <v>18</v>
      </c>
      <c r="H493" s="4" t="s">
        <v>138</v>
      </c>
      <c r="I493" s="5" t="str">
        <f t="shared" si="7"/>
        <v>2025-03</v>
      </c>
      <c r="J493" s="4" t="s">
        <v>49</v>
      </c>
      <c r="K493" s="5" t="s">
        <v>343</v>
      </c>
      <c r="L493" s="2">
        <v>44000</v>
      </c>
      <c r="M493" s="3">
        <v>5</v>
      </c>
      <c r="N493" s="2">
        <v>220000</v>
      </c>
      <c r="O493" s="2">
        <v>22000</v>
      </c>
      <c r="P493" s="2">
        <v>242000</v>
      </c>
      <c r="Q493" s="2">
        <f>P493*12%</f>
        <v>29040</v>
      </c>
    </row>
    <row r="494" spans="1:17" hidden="1" x14ac:dyDescent="0.4">
      <c r="A494" s="4" t="s">
        <v>13</v>
      </c>
      <c r="B494" s="4" t="s">
        <v>14</v>
      </c>
      <c r="C494" s="30" t="s">
        <v>434</v>
      </c>
      <c r="D494" s="4" t="s">
        <v>15</v>
      </c>
      <c r="E494" s="4" t="s">
        <v>16</v>
      </c>
      <c r="F494" s="4" t="s">
        <v>17</v>
      </c>
      <c r="G494" s="4" t="s">
        <v>18</v>
      </c>
      <c r="H494" s="4" t="s">
        <v>138</v>
      </c>
      <c r="I494" s="5" t="str">
        <f t="shared" si="7"/>
        <v>2025-03</v>
      </c>
      <c r="J494" s="4" t="s">
        <v>49</v>
      </c>
      <c r="K494" s="5" t="s">
        <v>343</v>
      </c>
      <c r="L494" s="2">
        <v>42000</v>
      </c>
      <c r="M494" s="3">
        <v>6</v>
      </c>
      <c r="N494" s="2">
        <v>252000</v>
      </c>
      <c r="O494" s="2">
        <v>25200</v>
      </c>
      <c r="P494" s="2">
        <v>277200</v>
      </c>
      <c r="Q494" s="2">
        <f>P494*12%</f>
        <v>33264</v>
      </c>
    </row>
    <row r="495" spans="1:17" hidden="1" x14ac:dyDescent="0.4">
      <c r="A495" s="4" t="s">
        <v>35</v>
      </c>
      <c r="B495" s="4" t="s">
        <v>14</v>
      </c>
      <c r="C495" s="30" t="s">
        <v>434</v>
      </c>
      <c r="D495" s="4" t="s">
        <v>36</v>
      </c>
      <c r="E495" s="4" t="s">
        <v>16</v>
      </c>
      <c r="F495" s="4" t="s">
        <v>17</v>
      </c>
      <c r="G495" s="4" t="s">
        <v>18</v>
      </c>
      <c r="H495" s="4" t="s">
        <v>138</v>
      </c>
      <c r="I495" s="5" t="str">
        <f t="shared" si="7"/>
        <v>2025-03</v>
      </c>
      <c r="J495" s="4" t="s">
        <v>49</v>
      </c>
      <c r="K495" s="5" t="s">
        <v>343</v>
      </c>
      <c r="L495" s="2">
        <v>116220</v>
      </c>
      <c r="M495" s="3">
        <v>1</v>
      </c>
      <c r="N495" s="2">
        <v>116220</v>
      </c>
      <c r="O495" s="2">
        <v>11622</v>
      </c>
      <c r="P495" s="2">
        <v>127842</v>
      </c>
      <c r="Q495" s="2">
        <f>P495*12%</f>
        <v>15341.039999999999</v>
      </c>
    </row>
    <row r="496" spans="1:17" hidden="1" x14ac:dyDescent="0.4">
      <c r="A496" s="4" t="s">
        <v>23</v>
      </c>
      <c r="B496" s="4" t="s">
        <v>14</v>
      </c>
      <c r="C496" s="31" t="s">
        <v>435</v>
      </c>
      <c r="D496" s="4" t="s">
        <v>24</v>
      </c>
      <c r="E496" s="4" t="s">
        <v>16</v>
      </c>
      <c r="F496" s="4" t="s">
        <v>17</v>
      </c>
      <c r="G496" s="4" t="s">
        <v>18</v>
      </c>
      <c r="H496" s="4" t="s">
        <v>138</v>
      </c>
      <c r="I496" s="5" t="str">
        <f t="shared" si="7"/>
        <v>2025-03</v>
      </c>
      <c r="J496" s="4" t="s">
        <v>49</v>
      </c>
      <c r="K496" s="5" t="s">
        <v>343</v>
      </c>
      <c r="L496" s="2">
        <v>54000</v>
      </c>
      <c r="M496" s="3">
        <v>4</v>
      </c>
      <c r="N496" s="2">
        <v>216000</v>
      </c>
      <c r="O496" s="2">
        <v>21600</v>
      </c>
      <c r="P496" s="2">
        <v>237600</v>
      </c>
      <c r="Q496" s="2">
        <f>P496*12%</f>
        <v>28512</v>
      </c>
    </row>
    <row r="497" spans="1:17" hidden="1" x14ac:dyDescent="0.4">
      <c r="A497" s="4" t="s">
        <v>51</v>
      </c>
      <c r="B497" s="4" t="s">
        <v>14</v>
      </c>
      <c r="C497" s="30" t="s">
        <v>434</v>
      </c>
      <c r="D497" s="4" t="s">
        <v>52</v>
      </c>
      <c r="E497" s="4" t="s">
        <v>16</v>
      </c>
      <c r="F497" s="4" t="s">
        <v>17</v>
      </c>
      <c r="G497" s="4" t="s">
        <v>18</v>
      </c>
      <c r="H497" s="4" t="s">
        <v>138</v>
      </c>
      <c r="I497" s="5" t="str">
        <f t="shared" si="7"/>
        <v>2025-03</v>
      </c>
      <c r="J497" s="4" t="s">
        <v>49</v>
      </c>
      <c r="K497" s="5" t="s">
        <v>343</v>
      </c>
      <c r="L497" s="2">
        <v>71250</v>
      </c>
      <c r="M497" s="3">
        <v>1</v>
      </c>
      <c r="N497" s="2">
        <v>71250</v>
      </c>
      <c r="O497" s="2">
        <v>7125</v>
      </c>
      <c r="P497" s="2">
        <v>78375</v>
      </c>
      <c r="Q497" s="2">
        <f>P497*12%</f>
        <v>9405</v>
      </c>
    </row>
    <row r="498" spans="1:17" x14ac:dyDescent="0.4">
      <c r="A498" s="4" t="s">
        <v>58</v>
      </c>
      <c r="B498" s="4" t="s">
        <v>14</v>
      </c>
      <c r="C498" s="30" t="s">
        <v>434</v>
      </c>
      <c r="D498" s="4" t="s">
        <v>36</v>
      </c>
      <c r="E498" s="4" t="s">
        <v>16</v>
      </c>
      <c r="F498" s="4" t="s">
        <v>17</v>
      </c>
      <c r="G498" s="4" t="s">
        <v>18</v>
      </c>
      <c r="H498" s="4" t="s">
        <v>140</v>
      </c>
      <c r="I498" s="5" t="str">
        <f t="shared" si="7"/>
        <v>2025-03</v>
      </c>
      <c r="J498" s="4" t="s">
        <v>20</v>
      </c>
      <c r="K498" s="5" t="s">
        <v>342</v>
      </c>
      <c r="L498" s="2">
        <v>120880</v>
      </c>
      <c r="M498" s="3">
        <v>1</v>
      </c>
      <c r="N498" s="2">
        <v>120880</v>
      </c>
      <c r="O498" s="2">
        <v>12088</v>
      </c>
      <c r="P498" s="2">
        <v>132968</v>
      </c>
      <c r="Q498" s="2">
        <f>P498*8.5%</f>
        <v>11302.28</v>
      </c>
    </row>
    <row r="499" spans="1:17" x14ac:dyDescent="0.4">
      <c r="A499" s="4" t="s">
        <v>13</v>
      </c>
      <c r="B499" s="4" t="s">
        <v>14</v>
      </c>
      <c r="C499" s="30" t="s">
        <v>434</v>
      </c>
      <c r="D499" s="4" t="s">
        <v>15</v>
      </c>
      <c r="E499" s="4" t="s">
        <v>16</v>
      </c>
      <c r="F499" s="4" t="s">
        <v>17</v>
      </c>
      <c r="G499" s="4" t="s">
        <v>18</v>
      </c>
      <c r="H499" s="4" t="s">
        <v>140</v>
      </c>
      <c r="I499" s="5" t="str">
        <f t="shared" si="7"/>
        <v>2025-03</v>
      </c>
      <c r="J499" s="4" t="s">
        <v>20</v>
      </c>
      <c r="K499" s="5" t="s">
        <v>342</v>
      </c>
      <c r="L499" s="2">
        <v>42000</v>
      </c>
      <c r="M499" s="3">
        <v>1</v>
      </c>
      <c r="N499" s="2">
        <v>42000</v>
      </c>
      <c r="O499" s="2">
        <v>4200</v>
      </c>
      <c r="P499" s="2">
        <v>46200</v>
      </c>
      <c r="Q499" s="2">
        <f>P499*8.5%</f>
        <v>3927.0000000000005</v>
      </c>
    </row>
    <row r="500" spans="1:17" x14ac:dyDescent="0.4">
      <c r="A500" s="4" t="s">
        <v>21</v>
      </c>
      <c r="B500" s="4" t="s">
        <v>14</v>
      </c>
      <c r="C500" s="31" t="s">
        <v>435</v>
      </c>
      <c r="D500" s="4" t="s">
        <v>22</v>
      </c>
      <c r="E500" s="4" t="s">
        <v>16</v>
      </c>
      <c r="F500" s="4" t="s">
        <v>17</v>
      </c>
      <c r="G500" s="4" t="s">
        <v>18</v>
      </c>
      <c r="H500" s="4" t="s">
        <v>140</v>
      </c>
      <c r="I500" s="5" t="str">
        <f t="shared" si="7"/>
        <v>2025-03</v>
      </c>
      <c r="J500" s="4" t="s">
        <v>20</v>
      </c>
      <c r="K500" s="5" t="s">
        <v>342</v>
      </c>
      <c r="L500" s="2">
        <v>54000</v>
      </c>
      <c r="M500" s="3">
        <v>1</v>
      </c>
      <c r="N500" s="2">
        <v>54000</v>
      </c>
      <c r="O500" s="2">
        <v>5400</v>
      </c>
      <c r="P500" s="2">
        <v>59400</v>
      </c>
      <c r="Q500" s="2">
        <f>P500*8.5%</f>
        <v>5049</v>
      </c>
    </row>
    <row r="501" spans="1:17" x14ac:dyDescent="0.4">
      <c r="A501" s="4" t="s">
        <v>23</v>
      </c>
      <c r="B501" s="4" t="s">
        <v>14</v>
      </c>
      <c r="C501" s="31" t="s">
        <v>435</v>
      </c>
      <c r="D501" s="4" t="s">
        <v>24</v>
      </c>
      <c r="E501" s="4" t="s">
        <v>16</v>
      </c>
      <c r="F501" s="4" t="s">
        <v>17</v>
      </c>
      <c r="G501" s="4" t="s">
        <v>18</v>
      </c>
      <c r="H501" s="4" t="s">
        <v>140</v>
      </c>
      <c r="I501" s="5" t="str">
        <f t="shared" si="7"/>
        <v>2025-03</v>
      </c>
      <c r="J501" s="4" t="s">
        <v>20</v>
      </c>
      <c r="K501" s="5" t="s">
        <v>342</v>
      </c>
      <c r="L501" s="2">
        <v>54000</v>
      </c>
      <c r="M501" s="3">
        <v>1</v>
      </c>
      <c r="N501" s="2">
        <v>54000</v>
      </c>
      <c r="O501" s="2">
        <v>5400</v>
      </c>
      <c r="P501" s="2">
        <v>59400</v>
      </c>
      <c r="Q501" s="2">
        <f>P501*8.5%</f>
        <v>5049</v>
      </c>
    </row>
    <row r="502" spans="1:17" hidden="1" x14ac:dyDescent="0.4">
      <c r="A502" s="4" t="s">
        <v>58</v>
      </c>
      <c r="B502" s="4" t="s">
        <v>14</v>
      </c>
      <c r="C502" s="30" t="s">
        <v>434</v>
      </c>
      <c r="D502" s="4" t="s">
        <v>36</v>
      </c>
      <c r="E502" s="4" t="s">
        <v>16</v>
      </c>
      <c r="F502" s="4" t="s">
        <v>17</v>
      </c>
      <c r="G502" s="4" t="s">
        <v>18</v>
      </c>
      <c r="H502" s="4" t="s">
        <v>140</v>
      </c>
      <c r="I502" s="5" t="str">
        <f t="shared" si="7"/>
        <v>2025-03</v>
      </c>
      <c r="J502" s="4" t="s">
        <v>34</v>
      </c>
      <c r="K502" s="5" t="s">
        <v>342</v>
      </c>
      <c r="L502" s="2">
        <v>120880</v>
      </c>
      <c r="M502" s="3">
        <v>1</v>
      </c>
      <c r="N502" s="2">
        <v>120880</v>
      </c>
      <c r="O502" s="2">
        <v>12088</v>
      </c>
      <c r="P502" s="2">
        <v>132968</v>
      </c>
      <c r="Q502" s="2">
        <f>P502*8.5%</f>
        <v>11302.28</v>
      </c>
    </row>
    <row r="503" spans="1:17" hidden="1" x14ac:dyDescent="0.4">
      <c r="A503" s="4" t="s">
        <v>13</v>
      </c>
      <c r="B503" s="4" t="s">
        <v>14</v>
      </c>
      <c r="C503" s="30" t="s">
        <v>434</v>
      </c>
      <c r="D503" s="4" t="s">
        <v>15</v>
      </c>
      <c r="E503" s="4" t="s">
        <v>16</v>
      </c>
      <c r="F503" s="4" t="s">
        <v>17</v>
      </c>
      <c r="G503" s="4" t="s">
        <v>18</v>
      </c>
      <c r="H503" s="4" t="s">
        <v>140</v>
      </c>
      <c r="I503" s="5" t="str">
        <f t="shared" si="7"/>
        <v>2025-03</v>
      </c>
      <c r="J503" s="4" t="s">
        <v>34</v>
      </c>
      <c r="K503" s="5" t="s">
        <v>342</v>
      </c>
      <c r="L503" s="2">
        <v>42000</v>
      </c>
      <c r="M503" s="3">
        <v>5</v>
      </c>
      <c r="N503" s="2">
        <v>210000</v>
      </c>
      <c r="O503" s="2">
        <v>21000</v>
      </c>
      <c r="P503" s="2">
        <v>231000</v>
      </c>
      <c r="Q503" s="2">
        <f>P503*8.5%</f>
        <v>19635</v>
      </c>
    </row>
    <row r="504" spans="1:17" hidden="1" x14ac:dyDescent="0.4">
      <c r="A504" s="4" t="s">
        <v>21</v>
      </c>
      <c r="B504" s="4" t="s">
        <v>14</v>
      </c>
      <c r="C504" s="31" t="s">
        <v>435</v>
      </c>
      <c r="D504" s="4" t="s">
        <v>22</v>
      </c>
      <c r="E504" s="4" t="s">
        <v>16</v>
      </c>
      <c r="F504" s="4" t="s">
        <v>17</v>
      </c>
      <c r="G504" s="4" t="s">
        <v>18</v>
      </c>
      <c r="H504" s="4" t="s">
        <v>140</v>
      </c>
      <c r="I504" s="5" t="str">
        <f t="shared" si="7"/>
        <v>2025-03</v>
      </c>
      <c r="J504" s="4" t="s">
        <v>34</v>
      </c>
      <c r="K504" s="5" t="s">
        <v>342</v>
      </c>
      <c r="L504" s="2">
        <v>54000</v>
      </c>
      <c r="M504" s="3">
        <v>1</v>
      </c>
      <c r="N504" s="2">
        <v>54000</v>
      </c>
      <c r="O504" s="2">
        <v>5400</v>
      </c>
      <c r="P504" s="2">
        <v>59400</v>
      </c>
      <c r="Q504" s="2">
        <f>P504*8.5%</f>
        <v>5049</v>
      </c>
    </row>
    <row r="505" spans="1:17" hidden="1" x14ac:dyDescent="0.4">
      <c r="A505" s="4" t="s">
        <v>23</v>
      </c>
      <c r="B505" s="4" t="s">
        <v>14</v>
      </c>
      <c r="C505" s="31" t="s">
        <v>435</v>
      </c>
      <c r="D505" s="4" t="s">
        <v>24</v>
      </c>
      <c r="E505" s="4" t="s">
        <v>16</v>
      </c>
      <c r="F505" s="4" t="s">
        <v>17</v>
      </c>
      <c r="G505" s="4" t="s">
        <v>18</v>
      </c>
      <c r="H505" s="4" t="s">
        <v>140</v>
      </c>
      <c r="I505" s="5" t="str">
        <f t="shared" si="7"/>
        <v>2025-03</v>
      </c>
      <c r="J505" s="4" t="s">
        <v>34</v>
      </c>
      <c r="K505" s="5" t="s">
        <v>342</v>
      </c>
      <c r="L505" s="2">
        <v>54000</v>
      </c>
      <c r="M505" s="3">
        <v>2</v>
      </c>
      <c r="N505" s="2">
        <v>108000</v>
      </c>
      <c r="O505" s="2">
        <v>10800</v>
      </c>
      <c r="P505" s="2">
        <v>118800</v>
      </c>
      <c r="Q505" s="2">
        <f>P505*8.5%</f>
        <v>10098</v>
      </c>
    </row>
    <row r="506" spans="1:17" hidden="1" x14ac:dyDescent="0.4">
      <c r="A506" s="4" t="s">
        <v>51</v>
      </c>
      <c r="B506" s="4" t="s">
        <v>14</v>
      </c>
      <c r="C506" s="30" t="s">
        <v>434</v>
      </c>
      <c r="D506" s="4" t="s">
        <v>52</v>
      </c>
      <c r="E506" s="4" t="s">
        <v>16</v>
      </c>
      <c r="F506" s="4" t="s">
        <v>17</v>
      </c>
      <c r="G506" s="4" t="s">
        <v>18</v>
      </c>
      <c r="H506" s="4" t="s">
        <v>140</v>
      </c>
      <c r="I506" s="5" t="str">
        <f t="shared" si="7"/>
        <v>2025-03</v>
      </c>
      <c r="J506" s="4" t="s">
        <v>34</v>
      </c>
      <c r="K506" s="5" t="s">
        <v>342</v>
      </c>
      <c r="L506" s="2">
        <v>71250</v>
      </c>
      <c r="M506" s="3">
        <v>1</v>
      </c>
      <c r="N506" s="2">
        <v>71250</v>
      </c>
      <c r="O506" s="2">
        <v>7125</v>
      </c>
      <c r="P506" s="2">
        <v>78375</v>
      </c>
      <c r="Q506" s="2">
        <f>P506*8.5%</f>
        <v>6661.8750000000009</v>
      </c>
    </row>
    <row r="507" spans="1:17" hidden="1" x14ac:dyDescent="0.4">
      <c r="A507" s="4" t="s">
        <v>42</v>
      </c>
      <c r="B507" s="4" t="s">
        <v>14</v>
      </c>
      <c r="C507" s="30" t="s">
        <v>434</v>
      </c>
      <c r="D507" s="4" t="s">
        <v>43</v>
      </c>
      <c r="E507" s="4" t="s">
        <v>44</v>
      </c>
      <c r="F507" s="4" t="s">
        <v>31</v>
      </c>
      <c r="G507" s="4" t="s">
        <v>18</v>
      </c>
      <c r="H507" s="4" t="s">
        <v>140</v>
      </c>
      <c r="I507" s="5" t="str">
        <f t="shared" si="7"/>
        <v>2025-03</v>
      </c>
      <c r="J507" s="4" t="s">
        <v>34</v>
      </c>
      <c r="K507" s="5" t="s">
        <v>342</v>
      </c>
      <c r="L507" s="2">
        <v>6800</v>
      </c>
      <c r="M507" s="3">
        <v>67.2</v>
      </c>
      <c r="N507" s="2">
        <v>456960</v>
      </c>
      <c r="O507" s="2">
        <v>0</v>
      </c>
      <c r="P507" s="2">
        <v>456960</v>
      </c>
      <c r="Q507" s="2">
        <f>P507*8.5%</f>
        <v>38841.600000000006</v>
      </c>
    </row>
    <row r="508" spans="1:17" x14ac:dyDescent="0.4">
      <c r="A508" s="4" t="s">
        <v>13</v>
      </c>
      <c r="B508" s="4" t="s">
        <v>14</v>
      </c>
      <c r="C508" s="30" t="s">
        <v>434</v>
      </c>
      <c r="D508" s="4" t="s">
        <v>15</v>
      </c>
      <c r="E508" s="4" t="s">
        <v>16</v>
      </c>
      <c r="F508" s="4" t="s">
        <v>17</v>
      </c>
      <c r="G508" s="4" t="s">
        <v>18</v>
      </c>
      <c r="H508" s="4" t="s">
        <v>141</v>
      </c>
      <c r="I508" s="5" t="str">
        <f t="shared" si="7"/>
        <v>2025-03</v>
      </c>
      <c r="J508" s="4" t="s">
        <v>20</v>
      </c>
      <c r="K508" s="5" t="s">
        <v>342</v>
      </c>
      <c r="L508" s="2">
        <v>42000</v>
      </c>
      <c r="M508" s="3">
        <v>1</v>
      </c>
      <c r="N508" s="2">
        <v>42000</v>
      </c>
      <c r="O508" s="2">
        <v>4200</v>
      </c>
      <c r="P508" s="2">
        <v>46200</v>
      </c>
      <c r="Q508" s="2">
        <f>P508*8.5%</f>
        <v>3927.0000000000005</v>
      </c>
    </row>
    <row r="509" spans="1:17" x14ac:dyDescent="0.4">
      <c r="A509" s="4" t="s">
        <v>21</v>
      </c>
      <c r="B509" s="4" t="s">
        <v>14</v>
      </c>
      <c r="C509" s="31" t="s">
        <v>435</v>
      </c>
      <c r="D509" s="4" t="s">
        <v>22</v>
      </c>
      <c r="E509" s="4" t="s">
        <v>16</v>
      </c>
      <c r="F509" s="4" t="s">
        <v>17</v>
      </c>
      <c r="G509" s="4" t="s">
        <v>18</v>
      </c>
      <c r="H509" s="4" t="s">
        <v>141</v>
      </c>
      <c r="I509" s="5" t="str">
        <f t="shared" si="7"/>
        <v>2025-03</v>
      </c>
      <c r="J509" s="4" t="s">
        <v>20</v>
      </c>
      <c r="K509" s="5" t="s">
        <v>342</v>
      </c>
      <c r="L509" s="2">
        <v>54000</v>
      </c>
      <c r="M509" s="3">
        <v>1</v>
      </c>
      <c r="N509" s="2">
        <v>54000</v>
      </c>
      <c r="O509" s="2">
        <v>5400</v>
      </c>
      <c r="P509" s="2">
        <v>59400</v>
      </c>
      <c r="Q509" s="2">
        <f>P509*8.5%</f>
        <v>5049</v>
      </c>
    </row>
    <row r="510" spans="1:17" x14ac:dyDescent="0.4">
      <c r="A510" s="4" t="s">
        <v>23</v>
      </c>
      <c r="B510" s="4" t="s">
        <v>14</v>
      </c>
      <c r="C510" s="31" t="s">
        <v>435</v>
      </c>
      <c r="D510" s="4" t="s">
        <v>24</v>
      </c>
      <c r="E510" s="4" t="s">
        <v>16</v>
      </c>
      <c r="F510" s="4" t="s">
        <v>17</v>
      </c>
      <c r="G510" s="4" t="s">
        <v>18</v>
      </c>
      <c r="H510" s="4" t="s">
        <v>141</v>
      </c>
      <c r="I510" s="5" t="str">
        <f t="shared" si="7"/>
        <v>2025-03</v>
      </c>
      <c r="J510" s="4" t="s">
        <v>20</v>
      </c>
      <c r="K510" s="5" t="s">
        <v>342</v>
      </c>
      <c r="L510" s="2">
        <v>54000</v>
      </c>
      <c r="M510" s="3">
        <v>2</v>
      </c>
      <c r="N510" s="2">
        <v>108000</v>
      </c>
      <c r="O510" s="2">
        <v>10800</v>
      </c>
      <c r="P510" s="2">
        <v>118800</v>
      </c>
      <c r="Q510" s="2">
        <f>P510*8.5%</f>
        <v>10098</v>
      </c>
    </row>
    <row r="511" spans="1:17" x14ac:dyDescent="0.4">
      <c r="A511" s="4" t="s">
        <v>56</v>
      </c>
      <c r="B511" s="4" t="s">
        <v>26</v>
      </c>
      <c r="C511" s="32" t="s">
        <v>436</v>
      </c>
      <c r="D511" s="4" t="s">
        <v>57</v>
      </c>
      <c r="E511" s="4" t="s">
        <v>44</v>
      </c>
      <c r="F511" s="4" t="s">
        <v>31</v>
      </c>
      <c r="G511" s="4" t="s">
        <v>18</v>
      </c>
      <c r="H511" s="4" t="s">
        <v>141</v>
      </c>
      <c r="I511" s="5" t="str">
        <f t="shared" si="7"/>
        <v>2025-03</v>
      </c>
      <c r="J511" s="4" t="s">
        <v>20</v>
      </c>
      <c r="K511" s="5" t="s">
        <v>342</v>
      </c>
      <c r="L511" s="2">
        <v>3414</v>
      </c>
      <c r="M511" s="3">
        <v>15</v>
      </c>
      <c r="N511" s="2">
        <v>51210</v>
      </c>
      <c r="O511" s="2">
        <v>0</v>
      </c>
      <c r="P511" s="2">
        <v>51210</v>
      </c>
      <c r="Q511" s="2">
        <f>P511*8.5%</f>
        <v>4352.8500000000004</v>
      </c>
    </row>
    <row r="512" spans="1:17" hidden="1" x14ac:dyDescent="0.4">
      <c r="A512" s="4" t="s">
        <v>32</v>
      </c>
      <c r="B512" s="4" t="s">
        <v>14</v>
      </c>
      <c r="C512" s="31" t="s">
        <v>435</v>
      </c>
      <c r="D512" s="4" t="s">
        <v>33</v>
      </c>
      <c r="E512" s="4" t="s">
        <v>16</v>
      </c>
      <c r="F512" s="4" t="s">
        <v>17</v>
      </c>
      <c r="G512" s="4" t="s">
        <v>18</v>
      </c>
      <c r="H512" s="4" t="s">
        <v>141</v>
      </c>
      <c r="I512" s="5" t="str">
        <f t="shared" si="7"/>
        <v>2025-03</v>
      </c>
      <c r="J512" s="4" t="s">
        <v>34</v>
      </c>
      <c r="K512" s="5" t="s">
        <v>342</v>
      </c>
      <c r="L512" s="2">
        <v>44000</v>
      </c>
      <c r="M512" s="3">
        <v>1</v>
      </c>
      <c r="N512" s="2">
        <v>44000</v>
      </c>
      <c r="O512" s="2">
        <v>4400</v>
      </c>
      <c r="P512" s="2">
        <v>48400</v>
      </c>
      <c r="Q512" s="2">
        <f>P512*8.5%</f>
        <v>4114</v>
      </c>
    </row>
    <row r="513" spans="1:17" hidden="1" x14ac:dyDescent="0.4">
      <c r="A513" s="4" t="s">
        <v>13</v>
      </c>
      <c r="B513" s="4" t="s">
        <v>14</v>
      </c>
      <c r="C513" s="30" t="s">
        <v>434</v>
      </c>
      <c r="D513" s="4" t="s">
        <v>15</v>
      </c>
      <c r="E513" s="4" t="s">
        <v>16</v>
      </c>
      <c r="F513" s="4" t="s">
        <v>17</v>
      </c>
      <c r="G513" s="4" t="s">
        <v>18</v>
      </c>
      <c r="H513" s="4" t="s">
        <v>141</v>
      </c>
      <c r="I513" s="5" t="str">
        <f t="shared" si="7"/>
        <v>2025-03</v>
      </c>
      <c r="J513" s="4" t="s">
        <v>34</v>
      </c>
      <c r="K513" s="5" t="s">
        <v>342</v>
      </c>
      <c r="L513" s="2">
        <v>42000</v>
      </c>
      <c r="M513" s="3">
        <v>6</v>
      </c>
      <c r="N513" s="2">
        <v>252000</v>
      </c>
      <c r="O513" s="2">
        <v>25200</v>
      </c>
      <c r="P513" s="2">
        <v>277200</v>
      </c>
      <c r="Q513" s="2">
        <f>P513*8.5%</f>
        <v>23562</v>
      </c>
    </row>
    <row r="514" spans="1:17" hidden="1" x14ac:dyDescent="0.4">
      <c r="A514" s="4" t="s">
        <v>21</v>
      </c>
      <c r="B514" s="4" t="s">
        <v>14</v>
      </c>
      <c r="C514" s="31" t="s">
        <v>435</v>
      </c>
      <c r="D514" s="4" t="s">
        <v>22</v>
      </c>
      <c r="E514" s="4" t="s">
        <v>16</v>
      </c>
      <c r="F514" s="4" t="s">
        <v>17</v>
      </c>
      <c r="G514" s="4" t="s">
        <v>18</v>
      </c>
      <c r="H514" s="4" t="s">
        <v>141</v>
      </c>
      <c r="I514" s="5" t="str">
        <f t="shared" ref="I514:I577" si="8">TEXT(H514,"yyyy-mm")</f>
        <v>2025-03</v>
      </c>
      <c r="J514" s="4" t="s">
        <v>34</v>
      </c>
      <c r="K514" s="5" t="s">
        <v>342</v>
      </c>
      <c r="L514" s="2">
        <v>54000</v>
      </c>
      <c r="M514" s="3">
        <v>2</v>
      </c>
      <c r="N514" s="2">
        <v>108000</v>
      </c>
      <c r="O514" s="2">
        <v>10800</v>
      </c>
      <c r="P514" s="2">
        <v>118800</v>
      </c>
      <c r="Q514" s="2">
        <f>P514*8.5%</f>
        <v>10098</v>
      </c>
    </row>
    <row r="515" spans="1:17" hidden="1" x14ac:dyDescent="0.4">
      <c r="A515" s="4" t="s">
        <v>35</v>
      </c>
      <c r="B515" s="4" t="s">
        <v>14</v>
      </c>
      <c r="C515" s="30" t="s">
        <v>434</v>
      </c>
      <c r="D515" s="4" t="s">
        <v>36</v>
      </c>
      <c r="E515" s="4" t="s">
        <v>16</v>
      </c>
      <c r="F515" s="4" t="s">
        <v>17</v>
      </c>
      <c r="G515" s="4" t="s">
        <v>18</v>
      </c>
      <c r="H515" s="4" t="s">
        <v>141</v>
      </c>
      <c r="I515" s="5" t="str">
        <f t="shared" si="8"/>
        <v>2025-03</v>
      </c>
      <c r="J515" s="4" t="s">
        <v>34</v>
      </c>
      <c r="K515" s="5" t="s">
        <v>342</v>
      </c>
      <c r="L515" s="2">
        <v>116220</v>
      </c>
      <c r="M515" s="3">
        <v>1</v>
      </c>
      <c r="N515" s="2">
        <v>116220</v>
      </c>
      <c r="O515" s="2">
        <v>11622</v>
      </c>
      <c r="P515" s="2">
        <v>127842</v>
      </c>
      <c r="Q515" s="2">
        <f>P515*8.5%</f>
        <v>10866.570000000002</v>
      </c>
    </row>
    <row r="516" spans="1:17" hidden="1" x14ac:dyDescent="0.4">
      <c r="A516" s="4" t="s">
        <v>23</v>
      </c>
      <c r="B516" s="4" t="s">
        <v>14</v>
      </c>
      <c r="C516" s="31" t="s">
        <v>435</v>
      </c>
      <c r="D516" s="4" t="s">
        <v>24</v>
      </c>
      <c r="E516" s="4" t="s">
        <v>16</v>
      </c>
      <c r="F516" s="4" t="s">
        <v>17</v>
      </c>
      <c r="G516" s="4" t="s">
        <v>18</v>
      </c>
      <c r="H516" s="4" t="s">
        <v>141</v>
      </c>
      <c r="I516" s="5" t="str">
        <f t="shared" si="8"/>
        <v>2025-03</v>
      </c>
      <c r="J516" s="4" t="s">
        <v>34</v>
      </c>
      <c r="K516" s="5" t="s">
        <v>342</v>
      </c>
      <c r="L516" s="2">
        <v>54000</v>
      </c>
      <c r="M516" s="3">
        <v>4</v>
      </c>
      <c r="N516" s="2">
        <v>216000</v>
      </c>
      <c r="O516" s="2">
        <v>21600</v>
      </c>
      <c r="P516" s="2">
        <v>237600</v>
      </c>
      <c r="Q516" s="2">
        <f>P516*8.5%</f>
        <v>20196</v>
      </c>
    </row>
    <row r="517" spans="1:17" hidden="1" x14ac:dyDescent="0.4">
      <c r="A517" s="4" t="s">
        <v>37</v>
      </c>
      <c r="B517" s="4" t="s">
        <v>26</v>
      </c>
      <c r="C517" s="32" t="s">
        <v>436</v>
      </c>
      <c r="D517" s="4" t="s">
        <v>38</v>
      </c>
      <c r="E517" s="4" t="s">
        <v>28</v>
      </c>
      <c r="F517" s="4" t="s">
        <v>17</v>
      </c>
      <c r="G517" s="4" t="s">
        <v>18</v>
      </c>
      <c r="H517" s="4" t="s">
        <v>141</v>
      </c>
      <c r="I517" s="5" t="str">
        <f t="shared" si="8"/>
        <v>2025-03</v>
      </c>
      <c r="J517" s="4" t="s">
        <v>34</v>
      </c>
      <c r="K517" s="5" t="s">
        <v>342</v>
      </c>
      <c r="L517" s="2">
        <v>386</v>
      </c>
      <c r="M517" s="3">
        <v>20</v>
      </c>
      <c r="N517" s="2">
        <v>7720</v>
      </c>
      <c r="O517" s="2">
        <v>772</v>
      </c>
      <c r="P517" s="2">
        <v>8492</v>
      </c>
      <c r="Q517" s="2">
        <f>P517*8.5%</f>
        <v>721.82</v>
      </c>
    </row>
    <row r="518" spans="1:17" hidden="1" x14ac:dyDescent="0.4">
      <c r="A518" s="4" t="s">
        <v>86</v>
      </c>
      <c r="B518" s="4" t="s">
        <v>26</v>
      </c>
      <c r="C518" s="32" t="s">
        <v>436</v>
      </c>
      <c r="D518" s="4" t="s">
        <v>78</v>
      </c>
      <c r="E518" s="4" t="s">
        <v>28</v>
      </c>
      <c r="F518" s="4" t="s">
        <v>17</v>
      </c>
      <c r="G518" s="4" t="s">
        <v>18</v>
      </c>
      <c r="H518" s="4" t="s">
        <v>141</v>
      </c>
      <c r="I518" s="5" t="str">
        <f t="shared" si="8"/>
        <v>2025-03</v>
      </c>
      <c r="J518" s="4" t="s">
        <v>34</v>
      </c>
      <c r="K518" s="5" t="s">
        <v>342</v>
      </c>
      <c r="L518" s="2">
        <v>15201</v>
      </c>
      <c r="M518" s="3">
        <v>1</v>
      </c>
      <c r="N518" s="2">
        <v>15201</v>
      </c>
      <c r="O518" s="2">
        <v>1520</v>
      </c>
      <c r="P518" s="2">
        <v>16721</v>
      </c>
      <c r="Q518" s="2">
        <f>P518*8.5%</f>
        <v>1421.2850000000001</v>
      </c>
    </row>
    <row r="519" spans="1:17" hidden="1" x14ac:dyDescent="0.4">
      <c r="A519" s="4" t="s">
        <v>40</v>
      </c>
      <c r="B519" s="4" t="s">
        <v>26</v>
      </c>
      <c r="C519" s="32" t="s">
        <v>436</v>
      </c>
      <c r="D519" s="4" t="s">
        <v>41</v>
      </c>
      <c r="E519" s="4" t="s">
        <v>28</v>
      </c>
      <c r="F519" s="4" t="s">
        <v>17</v>
      </c>
      <c r="G519" s="4" t="s">
        <v>18</v>
      </c>
      <c r="H519" s="4" t="s">
        <v>141</v>
      </c>
      <c r="I519" s="5" t="str">
        <f t="shared" si="8"/>
        <v>2025-03</v>
      </c>
      <c r="J519" s="4" t="s">
        <v>34</v>
      </c>
      <c r="K519" s="5" t="s">
        <v>342</v>
      </c>
      <c r="L519" s="2">
        <v>17539</v>
      </c>
      <c r="M519" s="3">
        <v>2</v>
      </c>
      <c r="N519" s="2">
        <v>35078</v>
      </c>
      <c r="O519" s="2">
        <v>3508</v>
      </c>
      <c r="P519" s="2">
        <v>38586</v>
      </c>
      <c r="Q519" s="2">
        <f>P519*8.5%</f>
        <v>3279.8100000000004</v>
      </c>
    </row>
    <row r="520" spans="1:17" hidden="1" x14ac:dyDescent="0.4">
      <c r="A520" s="4" t="s">
        <v>42</v>
      </c>
      <c r="B520" s="4" t="s">
        <v>14</v>
      </c>
      <c r="C520" s="30" t="s">
        <v>434</v>
      </c>
      <c r="D520" s="4" t="s">
        <v>43</v>
      </c>
      <c r="E520" s="4" t="s">
        <v>44</v>
      </c>
      <c r="F520" s="4" t="s">
        <v>31</v>
      </c>
      <c r="G520" s="4" t="s">
        <v>18</v>
      </c>
      <c r="H520" s="4" t="s">
        <v>141</v>
      </c>
      <c r="I520" s="5" t="str">
        <f t="shared" si="8"/>
        <v>2025-03</v>
      </c>
      <c r="J520" s="4" t="s">
        <v>34</v>
      </c>
      <c r="K520" s="5" t="s">
        <v>342</v>
      </c>
      <c r="L520" s="2">
        <v>6800</v>
      </c>
      <c r="M520" s="3">
        <v>52.9</v>
      </c>
      <c r="N520" s="2">
        <v>359720</v>
      </c>
      <c r="O520" s="2">
        <v>0</v>
      </c>
      <c r="P520" s="2">
        <v>359720</v>
      </c>
      <c r="Q520" s="2">
        <f>P520*8.5%</f>
        <v>30576.2</v>
      </c>
    </row>
    <row r="521" spans="1:17" hidden="1" x14ac:dyDescent="0.4">
      <c r="A521" s="4" t="s">
        <v>32</v>
      </c>
      <c r="B521" s="4" t="s">
        <v>14</v>
      </c>
      <c r="C521" s="31" t="s">
        <v>435</v>
      </c>
      <c r="D521" s="4" t="s">
        <v>33</v>
      </c>
      <c r="E521" s="4" t="s">
        <v>16</v>
      </c>
      <c r="F521" s="4" t="s">
        <v>17</v>
      </c>
      <c r="G521" s="4" t="s">
        <v>18</v>
      </c>
      <c r="H521" s="4" t="s">
        <v>141</v>
      </c>
      <c r="I521" s="5" t="str">
        <f t="shared" si="8"/>
        <v>2025-03</v>
      </c>
      <c r="J521" s="4" t="s">
        <v>49</v>
      </c>
      <c r="K521" s="5" t="s">
        <v>343</v>
      </c>
      <c r="L521" s="2">
        <v>44000</v>
      </c>
      <c r="M521" s="3">
        <v>5</v>
      </c>
      <c r="N521" s="2">
        <v>220000</v>
      </c>
      <c r="O521" s="2">
        <v>22000</v>
      </c>
      <c r="P521" s="2">
        <v>242000</v>
      </c>
      <c r="Q521" s="2">
        <f>P521*12%</f>
        <v>29040</v>
      </c>
    </row>
    <row r="522" spans="1:17" hidden="1" x14ac:dyDescent="0.4">
      <c r="A522" s="4" t="s">
        <v>13</v>
      </c>
      <c r="B522" s="4" t="s">
        <v>14</v>
      </c>
      <c r="C522" s="30" t="s">
        <v>434</v>
      </c>
      <c r="D522" s="4" t="s">
        <v>15</v>
      </c>
      <c r="E522" s="4" t="s">
        <v>16</v>
      </c>
      <c r="F522" s="4" t="s">
        <v>17</v>
      </c>
      <c r="G522" s="4" t="s">
        <v>18</v>
      </c>
      <c r="H522" s="4" t="s">
        <v>141</v>
      </c>
      <c r="I522" s="5" t="str">
        <f t="shared" si="8"/>
        <v>2025-03</v>
      </c>
      <c r="J522" s="4" t="s">
        <v>49</v>
      </c>
      <c r="K522" s="5" t="s">
        <v>343</v>
      </c>
      <c r="L522" s="2">
        <v>42000</v>
      </c>
      <c r="M522" s="3">
        <v>4</v>
      </c>
      <c r="N522" s="2">
        <v>168000</v>
      </c>
      <c r="O522" s="2">
        <v>16800</v>
      </c>
      <c r="P522" s="2">
        <v>184800</v>
      </c>
      <c r="Q522" s="2">
        <f>P522*12%</f>
        <v>22176</v>
      </c>
    </row>
    <row r="523" spans="1:17" hidden="1" x14ac:dyDescent="0.4">
      <c r="A523" s="4" t="s">
        <v>35</v>
      </c>
      <c r="B523" s="4" t="s">
        <v>14</v>
      </c>
      <c r="C523" s="30" t="s">
        <v>434</v>
      </c>
      <c r="D523" s="4" t="s">
        <v>36</v>
      </c>
      <c r="E523" s="4" t="s">
        <v>16</v>
      </c>
      <c r="F523" s="4" t="s">
        <v>17</v>
      </c>
      <c r="G523" s="4" t="s">
        <v>18</v>
      </c>
      <c r="H523" s="4" t="s">
        <v>141</v>
      </c>
      <c r="I523" s="5" t="str">
        <f t="shared" si="8"/>
        <v>2025-03</v>
      </c>
      <c r="J523" s="4" t="s">
        <v>49</v>
      </c>
      <c r="K523" s="5" t="s">
        <v>343</v>
      </c>
      <c r="L523" s="2">
        <v>116220</v>
      </c>
      <c r="M523" s="3">
        <v>1</v>
      </c>
      <c r="N523" s="2">
        <v>116220</v>
      </c>
      <c r="O523" s="2">
        <v>11622</v>
      </c>
      <c r="P523" s="2">
        <v>127842</v>
      </c>
      <c r="Q523" s="2">
        <f>P523*12%</f>
        <v>15341.039999999999</v>
      </c>
    </row>
    <row r="524" spans="1:17" hidden="1" x14ac:dyDescent="0.4">
      <c r="A524" s="4" t="s">
        <v>23</v>
      </c>
      <c r="B524" s="4" t="s">
        <v>14</v>
      </c>
      <c r="C524" s="31" t="s">
        <v>435</v>
      </c>
      <c r="D524" s="4" t="s">
        <v>24</v>
      </c>
      <c r="E524" s="4" t="s">
        <v>16</v>
      </c>
      <c r="F524" s="4" t="s">
        <v>17</v>
      </c>
      <c r="G524" s="4" t="s">
        <v>18</v>
      </c>
      <c r="H524" s="4" t="s">
        <v>141</v>
      </c>
      <c r="I524" s="5" t="str">
        <f t="shared" si="8"/>
        <v>2025-03</v>
      </c>
      <c r="J524" s="4" t="s">
        <v>49</v>
      </c>
      <c r="K524" s="5" t="s">
        <v>343</v>
      </c>
      <c r="L524" s="2">
        <v>54000</v>
      </c>
      <c r="M524" s="3">
        <v>1</v>
      </c>
      <c r="N524" s="2">
        <v>54000</v>
      </c>
      <c r="O524" s="2">
        <v>5400</v>
      </c>
      <c r="P524" s="2">
        <v>59400</v>
      </c>
      <c r="Q524" s="2">
        <f>P524*12%</f>
        <v>7128</v>
      </c>
    </row>
    <row r="525" spans="1:17" hidden="1" x14ac:dyDescent="0.4">
      <c r="A525" s="4" t="s">
        <v>51</v>
      </c>
      <c r="B525" s="4" t="s">
        <v>14</v>
      </c>
      <c r="C525" s="30" t="s">
        <v>434</v>
      </c>
      <c r="D525" s="4" t="s">
        <v>52</v>
      </c>
      <c r="E525" s="4" t="s">
        <v>16</v>
      </c>
      <c r="F525" s="4" t="s">
        <v>17</v>
      </c>
      <c r="G525" s="4" t="s">
        <v>18</v>
      </c>
      <c r="H525" s="4" t="s">
        <v>141</v>
      </c>
      <c r="I525" s="5" t="str">
        <f t="shared" si="8"/>
        <v>2025-03</v>
      </c>
      <c r="J525" s="4" t="s">
        <v>49</v>
      </c>
      <c r="K525" s="5" t="s">
        <v>343</v>
      </c>
      <c r="L525" s="2">
        <v>71250</v>
      </c>
      <c r="M525" s="3">
        <v>1</v>
      </c>
      <c r="N525" s="2">
        <v>71250</v>
      </c>
      <c r="O525" s="2">
        <v>7125</v>
      </c>
      <c r="P525" s="2">
        <v>78375</v>
      </c>
      <c r="Q525" s="2">
        <f>P525*12%</f>
        <v>9405</v>
      </c>
    </row>
    <row r="526" spans="1:17" hidden="1" x14ac:dyDescent="0.4">
      <c r="A526" s="4" t="s">
        <v>32</v>
      </c>
      <c r="B526" s="4" t="s">
        <v>14</v>
      </c>
      <c r="C526" s="31" t="s">
        <v>435</v>
      </c>
      <c r="D526" s="4" t="s">
        <v>33</v>
      </c>
      <c r="E526" s="4" t="s">
        <v>16</v>
      </c>
      <c r="F526" s="4" t="s">
        <v>17</v>
      </c>
      <c r="G526" s="4" t="s">
        <v>18</v>
      </c>
      <c r="H526" s="4" t="s">
        <v>141</v>
      </c>
      <c r="I526" s="5" t="str">
        <f t="shared" si="8"/>
        <v>2025-03</v>
      </c>
      <c r="J526" s="4" t="s">
        <v>50</v>
      </c>
      <c r="K526" s="5" t="s">
        <v>343</v>
      </c>
      <c r="L526" s="2">
        <v>44000</v>
      </c>
      <c r="M526" s="3">
        <v>1</v>
      </c>
      <c r="N526" s="2">
        <v>44000</v>
      </c>
      <c r="O526" s="2">
        <v>4400</v>
      </c>
      <c r="P526" s="2">
        <v>48400</v>
      </c>
      <c r="Q526" s="2">
        <f>P526*12%</f>
        <v>5808</v>
      </c>
    </row>
    <row r="527" spans="1:17" hidden="1" x14ac:dyDescent="0.4">
      <c r="A527" s="4" t="s">
        <v>13</v>
      </c>
      <c r="B527" s="4" t="s">
        <v>14</v>
      </c>
      <c r="C527" s="30" t="s">
        <v>434</v>
      </c>
      <c r="D527" s="4" t="s">
        <v>15</v>
      </c>
      <c r="E527" s="4" t="s">
        <v>16</v>
      </c>
      <c r="F527" s="4" t="s">
        <v>17</v>
      </c>
      <c r="G527" s="4" t="s">
        <v>18</v>
      </c>
      <c r="H527" s="4" t="s">
        <v>141</v>
      </c>
      <c r="I527" s="5" t="str">
        <f t="shared" si="8"/>
        <v>2025-03</v>
      </c>
      <c r="J527" s="4" t="s">
        <v>50</v>
      </c>
      <c r="K527" s="5" t="s">
        <v>343</v>
      </c>
      <c r="L527" s="2">
        <v>42000</v>
      </c>
      <c r="M527" s="3">
        <v>5</v>
      </c>
      <c r="N527" s="2">
        <v>210000</v>
      </c>
      <c r="O527" s="2">
        <v>21000</v>
      </c>
      <c r="P527" s="2">
        <v>231000</v>
      </c>
      <c r="Q527" s="2">
        <f>P527*12%</f>
        <v>27720</v>
      </c>
    </row>
    <row r="528" spans="1:17" hidden="1" x14ac:dyDescent="0.4">
      <c r="A528" s="4" t="s">
        <v>23</v>
      </c>
      <c r="B528" s="4" t="s">
        <v>14</v>
      </c>
      <c r="C528" s="31" t="s">
        <v>435</v>
      </c>
      <c r="D528" s="4" t="s">
        <v>24</v>
      </c>
      <c r="E528" s="4" t="s">
        <v>16</v>
      </c>
      <c r="F528" s="4" t="s">
        <v>17</v>
      </c>
      <c r="G528" s="4" t="s">
        <v>18</v>
      </c>
      <c r="H528" s="4" t="s">
        <v>141</v>
      </c>
      <c r="I528" s="5" t="str">
        <f t="shared" si="8"/>
        <v>2025-03</v>
      </c>
      <c r="J528" s="4" t="s">
        <v>50</v>
      </c>
      <c r="K528" s="5" t="s">
        <v>343</v>
      </c>
      <c r="L528" s="2">
        <v>54000</v>
      </c>
      <c r="M528" s="3">
        <v>3</v>
      </c>
      <c r="N528" s="2">
        <v>162000</v>
      </c>
      <c r="O528" s="2">
        <v>16200</v>
      </c>
      <c r="P528" s="2">
        <v>178200</v>
      </c>
      <c r="Q528" s="2">
        <f>P528*12%</f>
        <v>21384</v>
      </c>
    </row>
    <row r="529" spans="1:17" hidden="1" x14ac:dyDescent="0.4">
      <c r="A529" s="4" t="s">
        <v>51</v>
      </c>
      <c r="B529" s="4" t="s">
        <v>14</v>
      </c>
      <c r="C529" s="30" t="s">
        <v>434</v>
      </c>
      <c r="D529" s="4" t="s">
        <v>52</v>
      </c>
      <c r="E529" s="4" t="s">
        <v>16</v>
      </c>
      <c r="F529" s="4" t="s">
        <v>17</v>
      </c>
      <c r="G529" s="4" t="s">
        <v>18</v>
      </c>
      <c r="H529" s="4" t="s">
        <v>141</v>
      </c>
      <c r="I529" s="5" t="str">
        <f t="shared" si="8"/>
        <v>2025-03</v>
      </c>
      <c r="J529" s="4" t="s">
        <v>50</v>
      </c>
      <c r="K529" s="5" t="s">
        <v>343</v>
      </c>
      <c r="L529" s="2">
        <v>71250</v>
      </c>
      <c r="M529" s="3">
        <v>1</v>
      </c>
      <c r="N529" s="2">
        <v>71250</v>
      </c>
      <c r="O529" s="2">
        <v>7125</v>
      </c>
      <c r="P529" s="2">
        <v>78375</v>
      </c>
      <c r="Q529" s="2">
        <f>P529*12%</f>
        <v>9405</v>
      </c>
    </row>
    <row r="530" spans="1:17" x14ac:dyDescent="0.4">
      <c r="A530" s="4" t="s">
        <v>13</v>
      </c>
      <c r="B530" s="4" t="s">
        <v>14</v>
      </c>
      <c r="C530" s="30" t="s">
        <v>434</v>
      </c>
      <c r="D530" s="4" t="s">
        <v>15</v>
      </c>
      <c r="E530" s="4" t="s">
        <v>16</v>
      </c>
      <c r="F530" s="4" t="s">
        <v>17</v>
      </c>
      <c r="G530" s="4" t="s">
        <v>18</v>
      </c>
      <c r="H530" s="4" t="s">
        <v>142</v>
      </c>
      <c r="I530" s="5" t="str">
        <f t="shared" si="8"/>
        <v>2025-03</v>
      </c>
      <c r="J530" s="4" t="s">
        <v>20</v>
      </c>
      <c r="K530" s="5" t="s">
        <v>342</v>
      </c>
      <c r="L530" s="2">
        <v>42000</v>
      </c>
      <c r="M530" s="3">
        <v>1</v>
      </c>
      <c r="N530" s="2">
        <v>42000</v>
      </c>
      <c r="O530" s="2">
        <v>4200</v>
      </c>
      <c r="P530" s="2">
        <v>46200</v>
      </c>
      <c r="Q530" s="2">
        <f>P530*8.5%</f>
        <v>3927.0000000000005</v>
      </c>
    </row>
    <row r="531" spans="1:17" x14ac:dyDescent="0.4">
      <c r="A531" s="4" t="s">
        <v>21</v>
      </c>
      <c r="B531" s="4" t="s">
        <v>14</v>
      </c>
      <c r="C531" s="31" t="s">
        <v>435</v>
      </c>
      <c r="D531" s="4" t="s">
        <v>22</v>
      </c>
      <c r="E531" s="4" t="s">
        <v>16</v>
      </c>
      <c r="F531" s="4" t="s">
        <v>17</v>
      </c>
      <c r="G531" s="4" t="s">
        <v>18</v>
      </c>
      <c r="H531" s="4" t="s">
        <v>142</v>
      </c>
      <c r="I531" s="5" t="str">
        <f t="shared" si="8"/>
        <v>2025-03</v>
      </c>
      <c r="J531" s="4" t="s">
        <v>20</v>
      </c>
      <c r="K531" s="5" t="s">
        <v>342</v>
      </c>
      <c r="L531" s="2">
        <v>54000</v>
      </c>
      <c r="M531" s="3">
        <v>1</v>
      </c>
      <c r="N531" s="2">
        <v>54000</v>
      </c>
      <c r="O531" s="2">
        <v>5400</v>
      </c>
      <c r="P531" s="2">
        <v>59400</v>
      </c>
      <c r="Q531" s="2">
        <f>P531*8.5%</f>
        <v>5049</v>
      </c>
    </row>
    <row r="532" spans="1:17" x14ac:dyDescent="0.4">
      <c r="A532" s="4" t="s">
        <v>23</v>
      </c>
      <c r="B532" s="4" t="s">
        <v>14</v>
      </c>
      <c r="C532" s="31" t="s">
        <v>435</v>
      </c>
      <c r="D532" s="4" t="s">
        <v>24</v>
      </c>
      <c r="E532" s="4" t="s">
        <v>16</v>
      </c>
      <c r="F532" s="4" t="s">
        <v>17</v>
      </c>
      <c r="G532" s="4" t="s">
        <v>18</v>
      </c>
      <c r="H532" s="4" t="s">
        <v>142</v>
      </c>
      <c r="I532" s="5" t="str">
        <f t="shared" si="8"/>
        <v>2025-03</v>
      </c>
      <c r="J532" s="4" t="s">
        <v>20</v>
      </c>
      <c r="K532" s="5" t="s">
        <v>342</v>
      </c>
      <c r="L532" s="2">
        <v>54000</v>
      </c>
      <c r="M532" s="3">
        <v>2</v>
      </c>
      <c r="N532" s="2">
        <v>108000</v>
      </c>
      <c r="O532" s="2">
        <v>10800</v>
      </c>
      <c r="P532" s="2">
        <v>118800</v>
      </c>
      <c r="Q532" s="2">
        <f>P532*8.5%</f>
        <v>10098</v>
      </c>
    </row>
    <row r="533" spans="1:17" x14ac:dyDescent="0.4">
      <c r="A533" s="4" t="s">
        <v>51</v>
      </c>
      <c r="B533" s="4" t="s">
        <v>14</v>
      </c>
      <c r="C533" s="30" t="s">
        <v>434</v>
      </c>
      <c r="D533" s="4" t="s">
        <v>52</v>
      </c>
      <c r="E533" s="4" t="s">
        <v>16</v>
      </c>
      <c r="F533" s="4" t="s">
        <v>17</v>
      </c>
      <c r="G533" s="4" t="s">
        <v>18</v>
      </c>
      <c r="H533" s="4" t="s">
        <v>142</v>
      </c>
      <c r="I533" s="5" t="str">
        <f t="shared" si="8"/>
        <v>2025-03</v>
      </c>
      <c r="J533" s="4" t="s">
        <v>20</v>
      </c>
      <c r="K533" s="5" t="s">
        <v>342</v>
      </c>
      <c r="L533" s="2">
        <v>71250</v>
      </c>
      <c r="M533" s="3">
        <v>1</v>
      </c>
      <c r="N533" s="2">
        <v>71250</v>
      </c>
      <c r="O533" s="2">
        <v>7125</v>
      </c>
      <c r="P533" s="2">
        <v>78375</v>
      </c>
      <c r="Q533" s="2">
        <f>P533*8.5%</f>
        <v>6661.8750000000009</v>
      </c>
    </row>
    <row r="534" spans="1:17" hidden="1" x14ac:dyDescent="0.4">
      <c r="A534" s="4" t="s">
        <v>32</v>
      </c>
      <c r="B534" s="4" t="s">
        <v>14</v>
      </c>
      <c r="C534" s="31" t="s">
        <v>435</v>
      </c>
      <c r="D534" s="4" t="s">
        <v>33</v>
      </c>
      <c r="E534" s="4" t="s">
        <v>16</v>
      </c>
      <c r="F534" s="4" t="s">
        <v>17</v>
      </c>
      <c r="G534" s="4" t="s">
        <v>18</v>
      </c>
      <c r="H534" s="4" t="s">
        <v>142</v>
      </c>
      <c r="I534" s="5" t="str">
        <f t="shared" si="8"/>
        <v>2025-03</v>
      </c>
      <c r="J534" s="4" t="s">
        <v>118</v>
      </c>
      <c r="K534" s="5" t="s">
        <v>342</v>
      </c>
      <c r="L534" s="2">
        <v>44000</v>
      </c>
      <c r="M534" s="3">
        <v>1</v>
      </c>
      <c r="N534" s="2">
        <v>44000</v>
      </c>
      <c r="O534" s="2">
        <v>4400</v>
      </c>
      <c r="P534" s="2">
        <v>48400</v>
      </c>
      <c r="Q534" s="2">
        <f>P534*8.5%</f>
        <v>4114</v>
      </c>
    </row>
    <row r="535" spans="1:17" hidden="1" x14ac:dyDescent="0.4">
      <c r="A535" s="4" t="s">
        <v>13</v>
      </c>
      <c r="B535" s="4" t="s">
        <v>14</v>
      </c>
      <c r="C535" s="30" t="s">
        <v>434</v>
      </c>
      <c r="D535" s="4" t="s">
        <v>15</v>
      </c>
      <c r="E535" s="4" t="s">
        <v>16</v>
      </c>
      <c r="F535" s="4" t="s">
        <v>17</v>
      </c>
      <c r="G535" s="4" t="s">
        <v>18</v>
      </c>
      <c r="H535" s="4" t="s">
        <v>142</v>
      </c>
      <c r="I535" s="5" t="str">
        <f t="shared" si="8"/>
        <v>2025-03</v>
      </c>
      <c r="J535" s="4" t="s">
        <v>118</v>
      </c>
      <c r="K535" s="5" t="s">
        <v>342</v>
      </c>
      <c r="L535" s="2">
        <v>42000</v>
      </c>
      <c r="M535" s="3">
        <v>2</v>
      </c>
      <c r="N535" s="2">
        <v>84000</v>
      </c>
      <c r="O535" s="2">
        <v>8400</v>
      </c>
      <c r="P535" s="2">
        <v>92400</v>
      </c>
      <c r="Q535" s="2">
        <f>P535*8.5%</f>
        <v>7854.0000000000009</v>
      </c>
    </row>
    <row r="536" spans="1:17" hidden="1" x14ac:dyDescent="0.4">
      <c r="A536" s="4" t="s">
        <v>23</v>
      </c>
      <c r="B536" s="4" t="s">
        <v>14</v>
      </c>
      <c r="C536" s="31" t="s">
        <v>435</v>
      </c>
      <c r="D536" s="4" t="s">
        <v>24</v>
      </c>
      <c r="E536" s="4" t="s">
        <v>16</v>
      </c>
      <c r="F536" s="4" t="s">
        <v>17</v>
      </c>
      <c r="G536" s="4" t="s">
        <v>18</v>
      </c>
      <c r="H536" s="4" t="s">
        <v>142</v>
      </c>
      <c r="I536" s="5" t="str">
        <f t="shared" si="8"/>
        <v>2025-03</v>
      </c>
      <c r="J536" s="4" t="s">
        <v>118</v>
      </c>
      <c r="K536" s="5" t="s">
        <v>342</v>
      </c>
      <c r="L536" s="2">
        <v>54000</v>
      </c>
      <c r="M536" s="3">
        <v>2</v>
      </c>
      <c r="N536" s="2">
        <v>108000</v>
      </c>
      <c r="O536" s="2">
        <v>10800</v>
      </c>
      <c r="P536" s="2">
        <v>118800</v>
      </c>
      <c r="Q536" s="2">
        <f>P536*8.5%</f>
        <v>10098</v>
      </c>
    </row>
    <row r="537" spans="1:17" hidden="1" x14ac:dyDescent="0.4">
      <c r="A537" s="4" t="s">
        <v>51</v>
      </c>
      <c r="B537" s="4" t="s">
        <v>14</v>
      </c>
      <c r="C537" s="30" t="s">
        <v>434</v>
      </c>
      <c r="D537" s="4" t="s">
        <v>52</v>
      </c>
      <c r="E537" s="4" t="s">
        <v>16</v>
      </c>
      <c r="F537" s="4" t="s">
        <v>17</v>
      </c>
      <c r="G537" s="4" t="s">
        <v>18</v>
      </c>
      <c r="H537" s="4" t="s">
        <v>142</v>
      </c>
      <c r="I537" s="5" t="str">
        <f t="shared" si="8"/>
        <v>2025-03</v>
      </c>
      <c r="J537" s="4" t="s">
        <v>118</v>
      </c>
      <c r="K537" s="5" t="s">
        <v>342</v>
      </c>
      <c r="L537" s="2">
        <v>71250</v>
      </c>
      <c r="M537" s="3">
        <v>1</v>
      </c>
      <c r="N537" s="2">
        <v>71250</v>
      </c>
      <c r="O537" s="2">
        <v>7125</v>
      </c>
      <c r="P537" s="2">
        <v>78375</v>
      </c>
      <c r="Q537" s="2">
        <f>P537*8.5%</f>
        <v>6661.8750000000009</v>
      </c>
    </row>
    <row r="538" spans="1:17" hidden="1" x14ac:dyDescent="0.4">
      <c r="A538" s="4" t="s">
        <v>32</v>
      </c>
      <c r="B538" s="4" t="s">
        <v>14</v>
      </c>
      <c r="C538" s="31" t="s">
        <v>435</v>
      </c>
      <c r="D538" s="4" t="s">
        <v>33</v>
      </c>
      <c r="E538" s="4" t="s">
        <v>16</v>
      </c>
      <c r="F538" s="4" t="s">
        <v>17</v>
      </c>
      <c r="G538" s="4" t="s">
        <v>18</v>
      </c>
      <c r="H538" s="4" t="s">
        <v>142</v>
      </c>
      <c r="I538" s="5" t="str">
        <f t="shared" si="8"/>
        <v>2025-03</v>
      </c>
      <c r="J538" s="4" t="s">
        <v>34</v>
      </c>
      <c r="K538" s="5" t="s">
        <v>342</v>
      </c>
      <c r="L538" s="2">
        <v>44000</v>
      </c>
      <c r="M538" s="3">
        <v>3</v>
      </c>
      <c r="N538" s="2">
        <v>132000</v>
      </c>
      <c r="O538" s="2">
        <v>13200</v>
      </c>
      <c r="P538" s="2">
        <v>145200</v>
      </c>
      <c r="Q538" s="2">
        <f>P538*8.5%</f>
        <v>12342</v>
      </c>
    </row>
    <row r="539" spans="1:17" hidden="1" x14ac:dyDescent="0.4">
      <c r="A539" s="4" t="s">
        <v>13</v>
      </c>
      <c r="B539" s="4" t="s">
        <v>14</v>
      </c>
      <c r="C539" s="30" t="s">
        <v>434</v>
      </c>
      <c r="D539" s="4" t="s">
        <v>15</v>
      </c>
      <c r="E539" s="4" t="s">
        <v>16</v>
      </c>
      <c r="F539" s="4" t="s">
        <v>17</v>
      </c>
      <c r="G539" s="4" t="s">
        <v>18</v>
      </c>
      <c r="H539" s="4" t="s">
        <v>142</v>
      </c>
      <c r="I539" s="5" t="str">
        <f t="shared" si="8"/>
        <v>2025-03</v>
      </c>
      <c r="J539" s="4" t="s">
        <v>34</v>
      </c>
      <c r="K539" s="5" t="s">
        <v>342</v>
      </c>
      <c r="L539" s="2">
        <v>42000</v>
      </c>
      <c r="M539" s="3">
        <v>4</v>
      </c>
      <c r="N539" s="2">
        <v>168000</v>
      </c>
      <c r="O539" s="2">
        <v>16800</v>
      </c>
      <c r="P539" s="2">
        <v>184800</v>
      </c>
      <c r="Q539" s="2">
        <f>P539*8.5%</f>
        <v>15708.000000000002</v>
      </c>
    </row>
    <row r="540" spans="1:17" hidden="1" x14ac:dyDescent="0.4">
      <c r="A540" s="4" t="s">
        <v>21</v>
      </c>
      <c r="B540" s="4" t="s">
        <v>14</v>
      </c>
      <c r="C540" s="31" t="s">
        <v>435</v>
      </c>
      <c r="D540" s="4" t="s">
        <v>22</v>
      </c>
      <c r="E540" s="4" t="s">
        <v>16</v>
      </c>
      <c r="F540" s="4" t="s">
        <v>17</v>
      </c>
      <c r="G540" s="4" t="s">
        <v>18</v>
      </c>
      <c r="H540" s="4" t="s">
        <v>142</v>
      </c>
      <c r="I540" s="5" t="str">
        <f t="shared" si="8"/>
        <v>2025-03</v>
      </c>
      <c r="J540" s="4" t="s">
        <v>34</v>
      </c>
      <c r="K540" s="5" t="s">
        <v>342</v>
      </c>
      <c r="L540" s="2">
        <v>54000</v>
      </c>
      <c r="M540" s="3">
        <v>1</v>
      </c>
      <c r="N540" s="2">
        <v>54000</v>
      </c>
      <c r="O540" s="2">
        <v>5400</v>
      </c>
      <c r="P540" s="2">
        <v>59400</v>
      </c>
      <c r="Q540" s="2">
        <f>P540*8.5%</f>
        <v>5049</v>
      </c>
    </row>
    <row r="541" spans="1:17" hidden="1" x14ac:dyDescent="0.4">
      <c r="A541" s="4" t="s">
        <v>35</v>
      </c>
      <c r="B541" s="4" t="s">
        <v>14</v>
      </c>
      <c r="C541" s="30" t="s">
        <v>434</v>
      </c>
      <c r="D541" s="4" t="s">
        <v>36</v>
      </c>
      <c r="E541" s="4" t="s">
        <v>16</v>
      </c>
      <c r="F541" s="4" t="s">
        <v>17</v>
      </c>
      <c r="G541" s="4" t="s">
        <v>18</v>
      </c>
      <c r="H541" s="4" t="s">
        <v>142</v>
      </c>
      <c r="I541" s="5" t="str">
        <f t="shared" si="8"/>
        <v>2025-03</v>
      </c>
      <c r="J541" s="4" t="s">
        <v>34</v>
      </c>
      <c r="K541" s="5" t="s">
        <v>342</v>
      </c>
      <c r="L541" s="2">
        <v>116220</v>
      </c>
      <c r="M541" s="3">
        <v>1</v>
      </c>
      <c r="N541" s="2">
        <v>116220</v>
      </c>
      <c r="O541" s="2">
        <v>11622</v>
      </c>
      <c r="P541" s="2">
        <v>127842</v>
      </c>
      <c r="Q541" s="2">
        <f>P541*8.5%</f>
        <v>10866.570000000002</v>
      </c>
    </row>
    <row r="542" spans="1:17" hidden="1" x14ac:dyDescent="0.4">
      <c r="A542" s="4" t="s">
        <v>23</v>
      </c>
      <c r="B542" s="4" t="s">
        <v>14</v>
      </c>
      <c r="C542" s="31" t="s">
        <v>435</v>
      </c>
      <c r="D542" s="4" t="s">
        <v>24</v>
      </c>
      <c r="E542" s="4" t="s">
        <v>16</v>
      </c>
      <c r="F542" s="4" t="s">
        <v>17</v>
      </c>
      <c r="G542" s="4" t="s">
        <v>18</v>
      </c>
      <c r="H542" s="4" t="s">
        <v>142</v>
      </c>
      <c r="I542" s="5" t="str">
        <f t="shared" si="8"/>
        <v>2025-03</v>
      </c>
      <c r="J542" s="4" t="s">
        <v>34</v>
      </c>
      <c r="K542" s="5" t="s">
        <v>342</v>
      </c>
      <c r="L542" s="2">
        <v>54000</v>
      </c>
      <c r="M542" s="3">
        <v>5</v>
      </c>
      <c r="N542" s="2">
        <v>270000</v>
      </c>
      <c r="O542" s="2">
        <v>27000</v>
      </c>
      <c r="P542" s="2">
        <v>297000</v>
      </c>
      <c r="Q542" s="2">
        <f>P542*8.5%</f>
        <v>25245</v>
      </c>
    </row>
    <row r="543" spans="1:17" hidden="1" x14ac:dyDescent="0.4">
      <c r="A543" s="4" t="s">
        <v>51</v>
      </c>
      <c r="B543" s="4" t="s">
        <v>14</v>
      </c>
      <c r="C543" s="30" t="s">
        <v>434</v>
      </c>
      <c r="D543" s="4" t="s">
        <v>52</v>
      </c>
      <c r="E543" s="4" t="s">
        <v>16</v>
      </c>
      <c r="F543" s="4" t="s">
        <v>17</v>
      </c>
      <c r="G543" s="4" t="s">
        <v>18</v>
      </c>
      <c r="H543" s="4" t="s">
        <v>142</v>
      </c>
      <c r="I543" s="5" t="str">
        <f t="shared" si="8"/>
        <v>2025-03</v>
      </c>
      <c r="J543" s="4" t="s">
        <v>34</v>
      </c>
      <c r="K543" s="5" t="s">
        <v>342</v>
      </c>
      <c r="L543" s="2">
        <v>71250</v>
      </c>
      <c r="M543" s="3">
        <v>1</v>
      </c>
      <c r="N543" s="2">
        <v>71250</v>
      </c>
      <c r="O543" s="2">
        <v>7125</v>
      </c>
      <c r="P543" s="2">
        <v>78375</v>
      </c>
      <c r="Q543" s="2">
        <f>P543*8.5%</f>
        <v>6661.8750000000009</v>
      </c>
    </row>
    <row r="544" spans="1:17" hidden="1" x14ac:dyDescent="0.4">
      <c r="A544" s="4" t="s">
        <v>73</v>
      </c>
      <c r="B544" s="4" t="s">
        <v>26</v>
      </c>
      <c r="C544" s="32" t="s">
        <v>436</v>
      </c>
      <c r="D544" s="4" t="s">
        <v>57</v>
      </c>
      <c r="E544" s="4" t="s">
        <v>28</v>
      </c>
      <c r="F544" s="4" t="s">
        <v>17</v>
      </c>
      <c r="G544" s="4" t="s">
        <v>18</v>
      </c>
      <c r="H544" s="4" t="s">
        <v>142</v>
      </c>
      <c r="I544" s="5" t="str">
        <f t="shared" si="8"/>
        <v>2025-03</v>
      </c>
      <c r="J544" s="4" t="s">
        <v>34</v>
      </c>
      <c r="K544" s="5" t="s">
        <v>342</v>
      </c>
      <c r="L544" s="2">
        <v>7055</v>
      </c>
      <c r="M544" s="3">
        <v>3</v>
      </c>
      <c r="N544" s="2">
        <v>21165</v>
      </c>
      <c r="O544" s="2">
        <v>2117</v>
      </c>
      <c r="P544" s="2">
        <v>23282</v>
      </c>
      <c r="Q544" s="2">
        <f>P544*8.5%</f>
        <v>1978.9700000000003</v>
      </c>
    </row>
    <row r="545" spans="1:17" hidden="1" x14ac:dyDescent="0.4">
      <c r="A545" s="4" t="s">
        <v>42</v>
      </c>
      <c r="B545" s="4" t="s">
        <v>14</v>
      </c>
      <c r="C545" s="30" t="s">
        <v>434</v>
      </c>
      <c r="D545" s="4" t="s">
        <v>43</v>
      </c>
      <c r="E545" s="4" t="s">
        <v>44</v>
      </c>
      <c r="F545" s="4" t="s">
        <v>31</v>
      </c>
      <c r="G545" s="4" t="s">
        <v>18</v>
      </c>
      <c r="H545" s="4" t="s">
        <v>142</v>
      </c>
      <c r="I545" s="5" t="str">
        <f t="shared" si="8"/>
        <v>2025-03</v>
      </c>
      <c r="J545" s="4" t="s">
        <v>34</v>
      </c>
      <c r="K545" s="5" t="s">
        <v>342</v>
      </c>
      <c r="L545" s="2">
        <v>6800</v>
      </c>
      <c r="M545" s="3">
        <v>49</v>
      </c>
      <c r="N545" s="2">
        <v>333200</v>
      </c>
      <c r="O545" s="2">
        <v>0</v>
      </c>
      <c r="P545" s="2">
        <v>333200</v>
      </c>
      <c r="Q545" s="2">
        <f>P545*8.5%</f>
        <v>28322.000000000004</v>
      </c>
    </row>
    <row r="546" spans="1:17" hidden="1" x14ac:dyDescent="0.4">
      <c r="A546" s="4" t="s">
        <v>32</v>
      </c>
      <c r="B546" s="4" t="s">
        <v>14</v>
      </c>
      <c r="C546" s="31" t="s">
        <v>435</v>
      </c>
      <c r="D546" s="4" t="s">
        <v>33</v>
      </c>
      <c r="E546" s="4" t="s">
        <v>16</v>
      </c>
      <c r="F546" s="4" t="s">
        <v>17</v>
      </c>
      <c r="G546" s="4" t="s">
        <v>18</v>
      </c>
      <c r="H546" s="4" t="s">
        <v>142</v>
      </c>
      <c r="I546" s="5" t="str">
        <f t="shared" si="8"/>
        <v>2025-03</v>
      </c>
      <c r="J546" s="4" t="s">
        <v>59</v>
      </c>
      <c r="K546" s="5" t="s">
        <v>343</v>
      </c>
      <c r="L546" s="2">
        <v>44000</v>
      </c>
      <c r="M546" s="3">
        <v>2</v>
      </c>
      <c r="N546" s="2">
        <v>88000</v>
      </c>
      <c r="O546" s="2">
        <v>8800</v>
      </c>
      <c r="P546" s="2">
        <v>96800</v>
      </c>
      <c r="Q546" s="2">
        <f>P546*12%</f>
        <v>11616</v>
      </c>
    </row>
    <row r="547" spans="1:17" hidden="1" x14ac:dyDescent="0.4">
      <c r="A547" s="4" t="s">
        <v>13</v>
      </c>
      <c r="B547" s="4" t="s">
        <v>14</v>
      </c>
      <c r="C547" s="30" t="s">
        <v>434</v>
      </c>
      <c r="D547" s="4" t="s">
        <v>15</v>
      </c>
      <c r="E547" s="4" t="s">
        <v>16</v>
      </c>
      <c r="F547" s="4" t="s">
        <v>17</v>
      </c>
      <c r="G547" s="4" t="s">
        <v>18</v>
      </c>
      <c r="H547" s="4" t="s">
        <v>142</v>
      </c>
      <c r="I547" s="5" t="str">
        <f t="shared" si="8"/>
        <v>2025-03</v>
      </c>
      <c r="J547" s="4" t="s">
        <v>59</v>
      </c>
      <c r="K547" s="5" t="s">
        <v>343</v>
      </c>
      <c r="L547" s="2">
        <v>42000</v>
      </c>
      <c r="M547" s="3">
        <v>2</v>
      </c>
      <c r="N547" s="2">
        <v>84000</v>
      </c>
      <c r="O547" s="2">
        <v>8400</v>
      </c>
      <c r="P547" s="2">
        <v>92400</v>
      </c>
      <c r="Q547" s="2">
        <f>P547*12%</f>
        <v>11088</v>
      </c>
    </row>
    <row r="548" spans="1:17" hidden="1" x14ac:dyDescent="0.4">
      <c r="A548" s="4" t="s">
        <v>23</v>
      </c>
      <c r="B548" s="4" t="s">
        <v>14</v>
      </c>
      <c r="C548" s="31" t="s">
        <v>435</v>
      </c>
      <c r="D548" s="4" t="s">
        <v>24</v>
      </c>
      <c r="E548" s="4" t="s">
        <v>16</v>
      </c>
      <c r="F548" s="4" t="s">
        <v>17</v>
      </c>
      <c r="G548" s="4" t="s">
        <v>18</v>
      </c>
      <c r="H548" s="4" t="s">
        <v>142</v>
      </c>
      <c r="I548" s="5" t="str">
        <f t="shared" si="8"/>
        <v>2025-03</v>
      </c>
      <c r="J548" s="4" t="s">
        <v>59</v>
      </c>
      <c r="K548" s="5" t="s">
        <v>343</v>
      </c>
      <c r="L548" s="2">
        <v>54000</v>
      </c>
      <c r="M548" s="3">
        <v>1</v>
      </c>
      <c r="N548" s="2">
        <v>54000</v>
      </c>
      <c r="O548" s="2">
        <v>5400</v>
      </c>
      <c r="P548" s="2">
        <v>59400</v>
      </c>
      <c r="Q548" s="2">
        <f>P548*12%</f>
        <v>7128</v>
      </c>
    </row>
    <row r="549" spans="1:17" x14ac:dyDescent="0.4">
      <c r="A549" s="4" t="s">
        <v>58</v>
      </c>
      <c r="B549" s="4" t="s">
        <v>14</v>
      </c>
      <c r="C549" s="30" t="s">
        <v>434</v>
      </c>
      <c r="D549" s="4" t="s">
        <v>36</v>
      </c>
      <c r="E549" s="4" t="s">
        <v>16</v>
      </c>
      <c r="F549" s="4" t="s">
        <v>17</v>
      </c>
      <c r="G549" s="4" t="s">
        <v>18</v>
      </c>
      <c r="H549" s="4" t="s">
        <v>143</v>
      </c>
      <c r="I549" s="5" t="str">
        <f t="shared" si="8"/>
        <v>2025-03</v>
      </c>
      <c r="J549" s="4" t="s">
        <v>20</v>
      </c>
      <c r="K549" s="5" t="s">
        <v>342</v>
      </c>
      <c r="L549" s="2">
        <v>120880</v>
      </c>
      <c r="M549" s="3">
        <v>1</v>
      </c>
      <c r="N549" s="2">
        <v>120880</v>
      </c>
      <c r="O549" s="2">
        <v>12088</v>
      </c>
      <c r="P549" s="2">
        <v>132968</v>
      </c>
      <c r="Q549" s="2">
        <f>P549*8.5%</f>
        <v>11302.28</v>
      </c>
    </row>
    <row r="550" spans="1:17" x14ac:dyDescent="0.4">
      <c r="A550" s="4" t="s">
        <v>13</v>
      </c>
      <c r="B550" s="4" t="s">
        <v>14</v>
      </c>
      <c r="C550" s="30" t="s">
        <v>434</v>
      </c>
      <c r="D550" s="4" t="s">
        <v>15</v>
      </c>
      <c r="E550" s="4" t="s">
        <v>16</v>
      </c>
      <c r="F550" s="4" t="s">
        <v>17</v>
      </c>
      <c r="G550" s="4" t="s">
        <v>18</v>
      </c>
      <c r="H550" s="4" t="s">
        <v>143</v>
      </c>
      <c r="I550" s="5" t="str">
        <f t="shared" si="8"/>
        <v>2025-03</v>
      </c>
      <c r="J550" s="4" t="s">
        <v>20</v>
      </c>
      <c r="K550" s="5" t="s">
        <v>342</v>
      </c>
      <c r="L550" s="2">
        <v>42000</v>
      </c>
      <c r="M550" s="3">
        <v>1</v>
      </c>
      <c r="N550" s="2">
        <v>42000</v>
      </c>
      <c r="O550" s="2">
        <v>4200</v>
      </c>
      <c r="P550" s="2">
        <v>46200</v>
      </c>
      <c r="Q550" s="2">
        <f>P550*8.5%</f>
        <v>3927.0000000000005</v>
      </c>
    </row>
    <row r="551" spans="1:17" x14ac:dyDescent="0.4">
      <c r="A551" s="4" t="s">
        <v>21</v>
      </c>
      <c r="B551" s="4" t="s">
        <v>14</v>
      </c>
      <c r="C551" s="31" t="s">
        <v>435</v>
      </c>
      <c r="D551" s="4" t="s">
        <v>22</v>
      </c>
      <c r="E551" s="4" t="s">
        <v>16</v>
      </c>
      <c r="F551" s="4" t="s">
        <v>17</v>
      </c>
      <c r="G551" s="4" t="s">
        <v>18</v>
      </c>
      <c r="H551" s="4" t="s">
        <v>143</v>
      </c>
      <c r="I551" s="5" t="str">
        <f t="shared" si="8"/>
        <v>2025-03</v>
      </c>
      <c r="J551" s="4" t="s">
        <v>20</v>
      </c>
      <c r="K551" s="5" t="s">
        <v>342</v>
      </c>
      <c r="L551" s="2">
        <v>54000</v>
      </c>
      <c r="M551" s="3">
        <v>1</v>
      </c>
      <c r="N551" s="2">
        <v>54000</v>
      </c>
      <c r="O551" s="2">
        <v>5400</v>
      </c>
      <c r="P551" s="2">
        <v>59400</v>
      </c>
      <c r="Q551" s="2">
        <f>P551*8.5%</f>
        <v>5049</v>
      </c>
    </row>
    <row r="552" spans="1:17" x14ac:dyDescent="0.4">
      <c r="A552" s="4" t="s">
        <v>23</v>
      </c>
      <c r="B552" s="4" t="s">
        <v>14</v>
      </c>
      <c r="C552" s="31" t="s">
        <v>435</v>
      </c>
      <c r="D552" s="4" t="s">
        <v>24</v>
      </c>
      <c r="E552" s="4" t="s">
        <v>16</v>
      </c>
      <c r="F552" s="4" t="s">
        <v>17</v>
      </c>
      <c r="G552" s="4" t="s">
        <v>18</v>
      </c>
      <c r="H552" s="4" t="s">
        <v>143</v>
      </c>
      <c r="I552" s="5" t="str">
        <f t="shared" si="8"/>
        <v>2025-03</v>
      </c>
      <c r="J552" s="4" t="s">
        <v>20</v>
      </c>
      <c r="K552" s="5" t="s">
        <v>342</v>
      </c>
      <c r="L552" s="2">
        <v>54000</v>
      </c>
      <c r="M552" s="3">
        <v>2</v>
      </c>
      <c r="N552" s="2">
        <v>108000</v>
      </c>
      <c r="O552" s="2">
        <v>10800</v>
      </c>
      <c r="P552" s="2">
        <v>118800</v>
      </c>
      <c r="Q552" s="2">
        <f>P552*8.5%</f>
        <v>10098</v>
      </c>
    </row>
    <row r="553" spans="1:17" x14ac:dyDescent="0.4">
      <c r="A553" s="4" t="s">
        <v>56</v>
      </c>
      <c r="B553" s="4" t="s">
        <v>26</v>
      </c>
      <c r="C553" s="32" t="s">
        <v>436</v>
      </c>
      <c r="D553" s="4" t="s">
        <v>57</v>
      </c>
      <c r="E553" s="4" t="s">
        <v>44</v>
      </c>
      <c r="F553" s="4" t="s">
        <v>31</v>
      </c>
      <c r="G553" s="4" t="s">
        <v>18</v>
      </c>
      <c r="H553" s="4" t="s">
        <v>143</v>
      </c>
      <c r="I553" s="5" t="str">
        <f t="shared" si="8"/>
        <v>2025-03</v>
      </c>
      <c r="J553" s="4" t="s">
        <v>20</v>
      </c>
      <c r="K553" s="5" t="s">
        <v>342</v>
      </c>
      <c r="L553" s="2">
        <v>3491</v>
      </c>
      <c r="M553" s="3">
        <v>24</v>
      </c>
      <c r="N553" s="2">
        <v>83784</v>
      </c>
      <c r="O553" s="2">
        <v>0</v>
      </c>
      <c r="P553" s="2">
        <v>83784</v>
      </c>
      <c r="Q553" s="2">
        <f>P553*8.5%</f>
        <v>7121.64</v>
      </c>
    </row>
    <row r="554" spans="1:17" hidden="1" x14ac:dyDescent="0.4">
      <c r="A554" s="4" t="s">
        <v>32</v>
      </c>
      <c r="B554" s="4" t="s">
        <v>14</v>
      </c>
      <c r="C554" s="31" t="s">
        <v>435</v>
      </c>
      <c r="D554" s="4" t="s">
        <v>33</v>
      </c>
      <c r="E554" s="4" t="s">
        <v>16</v>
      </c>
      <c r="F554" s="4" t="s">
        <v>17</v>
      </c>
      <c r="G554" s="4" t="s">
        <v>18</v>
      </c>
      <c r="H554" s="4" t="s">
        <v>143</v>
      </c>
      <c r="I554" s="5" t="str">
        <f t="shared" si="8"/>
        <v>2025-03</v>
      </c>
      <c r="J554" s="4" t="s">
        <v>34</v>
      </c>
      <c r="K554" s="5" t="s">
        <v>342</v>
      </c>
      <c r="L554" s="2">
        <v>44000</v>
      </c>
      <c r="M554" s="3">
        <v>2</v>
      </c>
      <c r="N554" s="2">
        <v>88000</v>
      </c>
      <c r="O554" s="2">
        <v>8800</v>
      </c>
      <c r="P554" s="2">
        <v>96800</v>
      </c>
      <c r="Q554" s="2">
        <f>P554*8.5%</f>
        <v>8228</v>
      </c>
    </row>
    <row r="555" spans="1:17" hidden="1" x14ac:dyDescent="0.4">
      <c r="A555" s="4" t="s">
        <v>58</v>
      </c>
      <c r="B555" s="4" t="s">
        <v>14</v>
      </c>
      <c r="C555" s="30" t="s">
        <v>434</v>
      </c>
      <c r="D555" s="4" t="s">
        <v>36</v>
      </c>
      <c r="E555" s="4" t="s">
        <v>16</v>
      </c>
      <c r="F555" s="4" t="s">
        <v>17</v>
      </c>
      <c r="G555" s="4" t="s">
        <v>18</v>
      </c>
      <c r="H555" s="4" t="s">
        <v>143</v>
      </c>
      <c r="I555" s="5" t="str">
        <f t="shared" si="8"/>
        <v>2025-03</v>
      </c>
      <c r="J555" s="4" t="s">
        <v>34</v>
      </c>
      <c r="K555" s="5" t="s">
        <v>342</v>
      </c>
      <c r="L555" s="2">
        <v>120880</v>
      </c>
      <c r="M555" s="3">
        <v>1</v>
      </c>
      <c r="N555" s="2">
        <v>120880</v>
      </c>
      <c r="O555" s="2">
        <v>12088</v>
      </c>
      <c r="P555" s="2">
        <v>132968</v>
      </c>
      <c r="Q555" s="2">
        <f>P555*8.5%</f>
        <v>11302.28</v>
      </c>
    </row>
    <row r="556" spans="1:17" hidden="1" x14ac:dyDescent="0.4">
      <c r="A556" s="4" t="s">
        <v>13</v>
      </c>
      <c r="B556" s="4" t="s">
        <v>14</v>
      </c>
      <c r="C556" s="30" t="s">
        <v>434</v>
      </c>
      <c r="D556" s="4" t="s">
        <v>15</v>
      </c>
      <c r="E556" s="4" t="s">
        <v>16</v>
      </c>
      <c r="F556" s="4" t="s">
        <v>17</v>
      </c>
      <c r="G556" s="4" t="s">
        <v>18</v>
      </c>
      <c r="H556" s="4" t="s">
        <v>143</v>
      </c>
      <c r="I556" s="5" t="str">
        <f t="shared" si="8"/>
        <v>2025-03</v>
      </c>
      <c r="J556" s="4" t="s">
        <v>34</v>
      </c>
      <c r="K556" s="5" t="s">
        <v>342</v>
      </c>
      <c r="L556" s="2">
        <v>42000</v>
      </c>
      <c r="M556" s="3">
        <v>7</v>
      </c>
      <c r="N556" s="2">
        <v>294000</v>
      </c>
      <c r="O556" s="2">
        <v>29400</v>
      </c>
      <c r="P556" s="2">
        <v>323400</v>
      </c>
      <c r="Q556" s="2">
        <f>P556*8.5%</f>
        <v>27489.000000000004</v>
      </c>
    </row>
    <row r="557" spans="1:17" hidden="1" x14ac:dyDescent="0.4">
      <c r="A557" s="4" t="s">
        <v>23</v>
      </c>
      <c r="B557" s="4" t="s">
        <v>14</v>
      </c>
      <c r="C557" s="31" t="s">
        <v>435</v>
      </c>
      <c r="D557" s="4" t="s">
        <v>24</v>
      </c>
      <c r="E557" s="4" t="s">
        <v>16</v>
      </c>
      <c r="F557" s="4" t="s">
        <v>17</v>
      </c>
      <c r="G557" s="4" t="s">
        <v>18</v>
      </c>
      <c r="H557" s="4" t="s">
        <v>143</v>
      </c>
      <c r="I557" s="5" t="str">
        <f t="shared" si="8"/>
        <v>2025-03</v>
      </c>
      <c r="J557" s="4" t="s">
        <v>34</v>
      </c>
      <c r="K557" s="5" t="s">
        <v>342</v>
      </c>
      <c r="L557" s="2">
        <v>54000</v>
      </c>
      <c r="M557" s="3">
        <v>2</v>
      </c>
      <c r="N557" s="2">
        <v>108000</v>
      </c>
      <c r="O557" s="2">
        <v>10800</v>
      </c>
      <c r="P557" s="2">
        <v>118800</v>
      </c>
      <c r="Q557" s="2">
        <f>P557*8.5%</f>
        <v>10098</v>
      </c>
    </row>
    <row r="558" spans="1:17" hidden="1" x14ac:dyDescent="0.4">
      <c r="A558" s="4" t="s">
        <v>51</v>
      </c>
      <c r="B558" s="4" t="s">
        <v>14</v>
      </c>
      <c r="C558" s="30" t="s">
        <v>434</v>
      </c>
      <c r="D558" s="4" t="s">
        <v>52</v>
      </c>
      <c r="E558" s="4" t="s">
        <v>16</v>
      </c>
      <c r="F558" s="4" t="s">
        <v>17</v>
      </c>
      <c r="G558" s="4" t="s">
        <v>18</v>
      </c>
      <c r="H558" s="4" t="s">
        <v>143</v>
      </c>
      <c r="I558" s="5" t="str">
        <f t="shared" si="8"/>
        <v>2025-03</v>
      </c>
      <c r="J558" s="4" t="s">
        <v>34</v>
      </c>
      <c r="K558" s="5" t="s">
        <v>342</v>
      </c>
      <c r="L558" s="2">
        <v>71250</v>
      </c>
      <c r="M558" s="3">
        <v>1</v>
      </c>
      <c r="N558" s="2">
        <v>71250</v>
      </c>
      <c r="O558" s="2">
        <v>7125</v>
      </c>
      <c r="P558" s="2">
        <v>78375</v>
      </c>
      <c r="Q558" s="2">
        <f>P558*8.5%</f>
        <v>6661.8750000000009</v>
      </c>
    </row>
    <row r="559" spans="1:17" hidden="1" x14ac:dyDescent="0.4">
      <c r="A559" s="4" t="s">
        <v>42</v>
      </c>
      <c r="B559" s="4" t="s">
        <v>14</v>
      </c>
      <c r="C559" s="30" t="s">
        <v>434</v>
      </c>
      <c r="D559" s="4" t="s">
        <v>43</v>
      </c>
      <c r="E559" s="4" t="s">
        <v>44</v>
      </c>
      <c r="F559" s="4" t="s">
        <v>31</v>
      </c>
      <c r="G559" s="4" t="s">
        <v>18</v>
      </c>
      <c r="H559" s="4" t="s">
        <v>143</v>
      </c>
      <c r="I559" s="5" t="str">
        <f t="shared" si="8"/>
        <v>2025-03</v>
      </c>
      <c r="J559" s="4" t="s">
        <v>34</v>
      </c>
      <c r="K559" s="5" t="s">
        <v>342</v>
      </c>
      <c r="L559" s="2">
        <v>6800</v>
      </c>
      <c r="M559" s="3">
        <v>70.400000000000006</v>
      </c>
      <c r="N559" s="2">
        <v>478720</v>
      </c>
      <c r="O559" s="2">
        <v>0</v>
      </c>
      <c r="P559" s="2">
        <v>478720</v>
      </c>
      <c r="Q559" s="2">
        <f>P559*8.5%</f>
        <v>40691.200000000004</v>
      </c>
    </row>
    <row r="560" spans="1:17" hidden="1" x14ac:dyDescent="0.4">
      <c r="A560" s="4" t="s">
        <v>13</v>
      </c>
      <c r="B560" s="4" t="s">
        <v>14</v>
      </c>
      <c r="C560" s="30" t="s">
        <v>434</v>
      </c>
      <c r="D560" s="4" t="s">
        <v>15</v>
      </c>
      <c r="E560" s="4" t="s">
        <v>16</v>
      </c>
      <c r="F560" s="4" t="s">
        <v>17</v>
      </c>
      <c r="G560" s="4" t="s">
        <v>18</v>
      </c>
      <c r="H560" s="4" t="s">
        <v>143</v>
      </c>
      <c r="I560" s="5" t="str">
        <f t="shared" si="8"/>
        <v>2025-03</v>
      </c>
      <c r="J560" s="4" t="s">
        <v>59</v>
      </c>
      <c r="K560" s="5" t="s">
        <v>343</v>
      </c>
      <c r="L560" s="2">
        <v>42000</v>
      </c>
      <c r="M560" s="3">
        <v>4</v>
      </c>
      <c r="N560" s="2">
        <v>168000</v>
      </c>
      <c r="O560" s="2">
        <v>16800</v>
      </c>
      <c r="P560" s="2">
        <v>184800</v>
      </c>
      <c r="Q560" s="2">
        <f>P560*12%</f>
        <v>22176</v>
      </c>
    </row>
    <row r="561" spans="1:17" hidden="1" x14ac:dyDescent="0.4">
      <c r="A561" s="4" t="s">
        <v>35</v>
      </c>
      <c r="B561" s="4" t="s">
        <v>14</v>
      </c>
      <c r="C561" s="30" t="s">
        <v>434</v>
      </c>
      <c r="D561" s="4" t="s">
        <v>36</v>
      </c>
      <c r="E561" s="4" t="s">
        <v>16</v>
      </c>
      <c r="F561" s="4" t="s">
        <v>17</v>
      </c>
      <c r="G561" s="4" t="s">
        <v>18</v>
      </c>
      <c r="H561" s="4" t="s">
        <v>143</v>
      </c>
      <c r="I561" s="5" t="str">
        <f t="shared" si="8"/>
        <v>2025-03</v>
      </c>
      <c r="J561" s="4" t="s">
        <v>59</v>
      </c>
      <c r="K561" s="5" t="s">
        <v>343</v>
      </c>
      <c r="L561" s="2">
        <v>116220</v>
      </c>
      <c r="M561" s="3">
        <v>1</v>
      </c>
      <c r="N561" s="2">
        <v>116220</v>
      </c>
      <c r="O561" s="2">
        <v>11622</v>
      </c>
      <c r="P561" s="2">
        <v>127842</v>
      </c>
      <c r="Q561" s="2">
        <f>P561*12%</f>
        <v>15341.039999999999</v>
      </c>
    </row>
    <row r="562" spans="1:17" hidden="1" x14ac:dyDescent="0.4">
      <c r="A562" s="4" t="s">
        <v>23</v>
      </c>
      <c r="B562" s="4" t="s">
        <v>14</v>
      </c>
      <c r="C562" s="31" t="s">
        <v>435</v>
      </c>
      <c r="D562" s="4" t="s">
        <v>24</v>
      </c>
      <c r="E562" s="4" t="s">
        <v>16</v>
      </c>
      <c r="F562" s="4" t="s">
        <v>17</v>
      </c>
      <c r="G562" s="4" t="s">
        <v>18</v>
      </c>
      <c r="H562" s="4" t="s">
        <v>143</v>
      </c>
      <c r="I562" s="5" t="str">
        <f t="shared" si="8"/>
        <v>2025-03</v>
      </c>
      <c r="J562" s="4" t="s">
        <v>59</v>
      </c>
      <c r="K562" s="5" t="s">
        <v>343</v>
      </c>
      <c r="L562" s="2">
        <v>54000</v>
      </c>
      <c r="M562" s="3">
        <v>2</v>
      </c>
      <c r="N562" s="2">
        <v>108000</v>
      </c>
      <c r="O562" s="2">
        <v>10800</v>
      </c>
      <c r="P562" s="2">
        <v>118800</v>
      </c>
      <c r="Q562" s="2">
        <f>P562*12%</f>
        <v>14256</v>
      </c>
    </row>
    <row r="563" spans="1:17" hidden="1" x14ac:dyDescent="0.4">
      <c r="A563" s="4" t="s">
        <v>51</v>
      </c>
      <c r="B563" s="4" t="s">
        <v>14</v>
      </c>
      <c r="C563" s="30" t="s">
        <v>434</v>
      </c>
      <c r="D563" s="4" t="s">
        <v>52</v>
      </c>
      <c r="E563" s="4" t="s">
        <v>16</v>
      </c>
      <c r="F563" s="4" t="s">
        <v>17</v>
      </c>
      <c r="G563" s="4" t="s">
        <v>18</v>
      </c>
      <c r="H563" s="4" t="s">
        <v>143</v>
      </c>
      <c r="I563" s="5" t="str">
        <f t="shared" si="8"/>
        <v>2025-03</v>
      </c>
      <c r="J563" s="4" t="s">
        <v>59</v>
      </c>
      <c r="K563" s="5" t="s">
        <v>343</v>
      </c>
      <c r="L563" s="2">
        <v>71250</v>
      </c>
      <c r="M563" s="3">
        <v>1</v>
      </c>
      <c r="N563" s="2">
        <v>71250</v>
      </c>
      <c r="O563" s="2">
        <v>7125</v>
      </c>
      <c r="P563" s="2">
        <v>78375</v>
      </c>
      <c r="Q563" s="2">
        <f>P563*12%</f>
        <v>9405</v>
      </c>
    </row>
    <row r="564" spans="1:17" hidden="1" x14ac:dyDescent="0.4">
      <c r="A564" s="4" t="s">
        <v>32</v>
      </c>
      <c r="B564" s="4" t="s">
        <v>14</v>
      </c>
      <c r="C564" s="31" t="s">
        <v>435</v>
      </c>
      <c r="D564" s="4" t="s">
        <v>33</v>
      </c>
      <c r="E564" s="4" t="s">
        <v>16</v>
      </c>
      <c r="F564" s="4" t="s">
        <v>17</v>
      </c>
      <c r="G564" s="4" t="s">
        <v>18</v>
      </c>
      <c r="H564" s="4" t="s">
        <v>143</v>
      </c>
      <c r="I564" s="5" t="str">
        <f t="shared" si="8"/>
        <v>2025-03</v>
      </c>
      <c r="J564" s="4" t="s">
        <v>49</v>
      </c>
      <c r="K564" s="5" t="s">
        <v>343</v>
      </c>
      <c r="L564" s="2">
        <v>44000</v>
      </c>
      <c r="M564" s="3">
        <v>3</v>
      </c>
      <c r="N564" s="2">
        <v>132000</v>
      </c>
      <c r="O564" s="2">
        <v>13200</v>
      </c>
      <c r="P564" s="2">
        <v>145200</v>
      </c>
      <c r="Q564" s="2">
        <f>P564*12%</f>
        <v>17424</v>
      </c>
    </row>
    <row r="565" spans="1:17" hidden="1" x14ac:dyDescent="0.4">
      <c r="A565" s="4" t="s">
        <v>13</v>
      </c>
      <c r="B565" s="4" t="s">
        <v>14</v>
      </c>
      <c r="C565" s="30" t="s">
        <v>434</v>
      </c>
      <c r="D565" s="4" t="s">
        <v>15</v>
      </c>
      <c r="E565" s="4" t="s">
        <v>16</v>
      </c>
      <c r="F565" s="4" t="s">
        <v>17</v>
      </c>
      <c r="G565" s="4" t="s">
        <v>18</v>
      </c>
      <c r="H565" s="4" t="s">
        <v>143</v>
      </c>
      <c r="I565" s="5" t="str">
        <f t="shared" si="8"/>
        <v>2025-03</v>
      </c>
      <c r="J565" s="4" t="s">
        <v>49</v>
      </c>
      <c r="K565" s="5" t="s">
        <v>343</v>
      </c>
      <c r="L565" s="2">
        <v>42000</v>
      </c>
      <c r="M565" s="3">
        <v>5</v>
      </c>
      <c r="N565" s="2">
        <v>210000</v>
      </c>
      <c r="O565" s="2">
        <v>21000</v>
      </c>
      <c r="P565" s="2">
        <v>231000</v>
      </c>
      <c r="Q565" s="2">
        <f>P565*12%</f>
        <v>27720</v>
      </c>
    </row>
    <row r="566" spans="1:17" hidden="1" x14ac:dyDescent="0.4">
      <c r="A566" s="4" t="s">
        <v>35</v>
      </c>
      <c r="B566" s="4" t="s">
        <v>14</v>
      </c>
      <c r="C566" s="30" t="s">
        <v>434</v>
      </c>
      <c r="D566" s="4" t="s">
        <v>36</v>
      </c>
      <c r="E566" s="4" t="s">
        <v>16</v>
      </c>
      <c r="F566" s="4" t="s">
        <v>17</v>
      </c>
      <c r="G566" s="4" t="s">
        <v>18</v>
      </c>
      <c r="H566" s="4" t="s">
        <v>143</v>
      </c>
      <c r="I566" s="5" t="str">
        <f t="shared" si="8"/>
        <v>2025-03</v>
      </c>
      <c r="J566" s="4" t="s">
        <v>49</v>
      </c>
      <c r="K566" s="5" t="s">
        <v>343</v>
      </c>
      <c r="L566" s="2">
        <v>116220</v>
      </c>
      <c r="M566" s="3">
        <v>1</v>
      </c>
      <c r="N566" s="2">
        <v>116220</v>
      </c>
      <c r="O566" s="2">
        <v>11622</v>
      </c>
      <c r="P566" s="2">
        <v>127842</v>
      </c>
      <c r="Q566" s="2">
        <f>P566*12%</f>
        <v>15341.039999999999</v>
      </c>
    </row>
    <row r="567" spans="1:17" hidden="1" x14ac:dyDescent="0.4">
      <c r="A567" s="4" t="s">
        <v>23</v>
      </c>
      <c r="B567" s="4" t="s">
        <v>14</v>
      </c>
      <c r="C567" s="31" t="s">
        <v>435</v>
      </c>
      <c r="D567" s="4" t="s">
        <v>24</v>
      </c>
      <c r="E567" s="4" t="s">
        <v>16</v>
      </c>
      <c r="F567" s="4" t="s">
        <v>17</v>
      </c>
      <c r="G567" s="4" t="s">
        <v>18</v>
      </c>
      <c r="H567" s="4" t="s">
        <v>143</v>
      </c>
      <c r="I567" s="5" t="str">
        <f t="shared" si="8"/>
        <v>2025-03</v>
      </c>
      <c r="J567" s="4" t="s">
        <v>49</v>
      </c>
      <c r="K567" s="5" t="s">
        <v>343</v>
      </c>
      <c r="L567" s="2">
        <v>54000</v>
      </c>
      <c r="M567" s="3">
        <v>2</v>
      </c>
      <c r="N567" s="2">
        <v>108000</v>
      </c>
      <c r="O567" s="2">
        <v>10800</v>
      </c>
      <c r="P567" s="2">
        <v>118800</v>
      </c>
      <c r="Q567" s="2">
        <f>P567*12%</f>
        <v>14256</v>
      </c>
    </row>
    <row r="568" spans="1:17" hidden="1" x14ac:dyDescent="0.4">
      <c r="A568" s="4" t="s">
        <v>51</v>
      </c>
      <c r="B568" s="4" t="s">
        <v>14</v>
      </c>
      <c r="C568" s="30" t="s">
        <v>434</v>
      </c>
      <c r="D568" s="4" t="s">
        <v>52</v>
      </c>
      <c r="E568" s="4" t="s">
        <v>16</v>
      </c>
      <c r="F568" s="4" t="s">
        <v>17</v>
      </c>
      <c r="G568" s="4" t="s">
        <v>18</v>
      </c>
      <c r="H568" s="4" t="s">
        <v>143</v>
      </c>
      <c r="I568" s="5" t="str">
        <f t="shared" si="8"/>
        <v>2025-03</v>
      </c>
      <c r="J568" s="4" t="s">
        <v>49</v>
      </c>
      <c r="K568" s="5" t="s">
        <v>343</v>
      </c>
      <c r="L568" s="2">
        <v>71250</v>
      </c>
      <c r="M568" s="3">
        <v>1</v>
      </c>
      <c r="N568" s="2">
        <v>71250</v>
      </c>
      <c r="O568" s="2">
        <v>7125</v>
      </c>
      <c r="P568" s="2">
        <v>78375</v>
      </c>
      <c r="Q568" s="2">
        <f>P568*12%</f>
        <v>9405</v>
      </c>
    </row>
    <row r="569" spans="1:17" x14ac:dyDescent="0.4">
      <c r="A569" s="4" t="s">
        <v>13</v>
      </c>
      <c r="B569" s="4" t="s">
        <v>14</v>
      </c>
      <c r="C569" s="30" t="s">
        <v>434</v>
      </c>
      <c r="D569" s="4" t="s">
        <v>15</v>
      </c>
      <c r="E569" s="4" t="s">
        <v>16</v>
      </c>
      <c r="F569" s="4" t="s">
        <v>17</v>
      </c>
      <c r="G569" s="4" t="s">
        <v>18</v>
      </c>
      <c r="H569" s="4" t="s">
        <v>144</v>
      </c>
      <c r="I569" s="5" t="str">
        <f t="shared" si="8"/>
        <v>2025-03</v>
      </c>
      <c r="J569" s="4" t="s">
        <v>20</v>
      </c>
      <c r="K569" s="5" t="s">
        <v>342</v>
      </c>
      <c r="L569" s="2">
        <v>42000</v>
      </c>
      <c r="M569" s="3">
        <v>2</v>
      </c>
      <c r="N569" s="2">
        <v>84000</v>
      </c>
      <c r="O569" s="2">
        <v>8400</v>
      </c>
      <c r="P569" s="2">
        <v>92400</v>
      </c>
      <c r="Q569" s="2">
        <f>P569*8.5%</f>
        <v>7854.0000000000009</v>
      </c>
    </row>
    <row r="570" spans="1:17" x14ac:dyDescent="0.4">
      <c r="A570" s="4" t="s">
        <v>21</v>
      </c>
      <c r="B570" s="4" t="s">
        <v>14</v>
      </c>
      <c r="C570" s="31" t="s">
        <v>435</v>
      </c>
      <c r="D570" s="4" t="s">
        <v>22</v>
      </c>
      <c r="E570" s="4" t="s">
        <v>16</v>
      </c>
      <c r="F570" s="4" t="s">
        <v>17</v>
      </c>
      <c r="G570" s="4" t="s">
        <v>18</v>
      </c>
      <c r="H570" s="4" t="s">
        <v>144</v>
      </c>
      <c r="I570" s="5" t="str">
        <f t="shared" si="8"/>
        <v>2025-03</v>
      </c>
      <c r="J570" s="4" t="s">
        <v>20</v>
      </c>
      <c r="K570" s="5" t="s">
        <v>342</v>
      </c>
      <c r="L570" s="2">
        <v>54000</v>
      </c>
      <c r="M570" s="3">
        <v>1</v>
      </c>
      <c r="N570" s="2">
        <v>54000</v>
      </c>
      <c r="O570" s="2">
        <v>5400</v>
      </c>
      <c r="P570" s="2">
        <v>59400</v>
      </c>
      <c r="Q570" s="2">
        <f>P570*8.5%</f>
        <v>5049</v>
      </c>
    </row>
    <row r="571" spans="1:17" x14ac:dyDescent="0.4">
      <c r="A571" s="4" t="s">
        <v>23</v>
      </c>
      <c r="B571" s="4" t="s">
        <v>14</v>
      </c>
      <c r="C571" s="31" t="s">
        <v>435</v>
      </c>
      <c r="D571" s="4" t="s">
        <v>24</v>
      </c>
      <c r="E571" s="4" t="s">
        <v>16</v>
      </c>
      <c r="F571" s="4" t="s">
        <v>17</v>
      </c>
      <c r="G571" s="4" t="s">
        <v>18</v>
      </c>
      <c r="H571" s="4" t="s">
        <v>144</v>
      </c>
      <c r="I571" s="5" t="str">
        <f t="shared" si="8"/>
        <v>2025-03</v>
      </c>
      <c r="J571" s="4" t="s">
        <v>20</v>
      </c>
      <c r="K571" s="5" t="s">
        <v>342</v>
      </c>
      <c r="L571" s="2">
        <v>54000</v>
      </c>
      <c r="M571" s="3">
        <v>2</v>
      </c>
      <c r="N571" s="2">
        <v>108000</v>
      </c>
      <c r="O571" s="2">
        <v>10800</v>
      </c>
      <c r="P571" s="2">
        <v>118800</v>
      </c>
      <c r="Q571" s="2">
        <f>P571*8.5%</f>
        <v>10098</v>
      </c>
    </row>
    <row r="572" spans="1:17" x14ac:dyDescent="0.4">
      <c r="A572" s="4" t="s">
        <v>54</v>
      </c>
      <c r="B572" s="4" t="s">
        <v>26</v>
      </c>
      <c r="C572" s="32" t="s">
        <v>436</v>
      </c>
      <c r="D572" s="4" t="s">
        <v>55</v>
      </c>
      <c r="E572" s="4" t="s">
        <v>28</v>
      </c>
      <c r="F572" s="4" t="s">
        <v>31</v>
      </c>
      <c r="G572" s="4" t="s">
        <v>18</v>
      </c>
      <c r="H572" s="4" t="s">
        <v>144</v>
      </c>
      <c r="I572" s="5" t="str">
        <f t="shared" si="8"/>
        <v>2025-03</v>
      </c>
      <c r="J572" s="4" t="s">
        <v>20</v>
      </c>
      <c r="K572" s="5" t="s">
        <v>342</v>
      </c>
      <c r="L572" s="2">
        <v>5261</v>
      </c>
      <c r="M572" s="3">
        <v>1</v>
      </c>
      <c r="N572" s="2">
        <v>5261</v>
      </c>
      <c r="O572" s="2">
        <v>0</v>
      </c>
      <c r="P572" s="2">
        <v>5261</v>
      </c>
      <c r="Q572" s="2">
        <f>P572*8.5%</f>
        <v>447.18500000000006</v>
      </c>
    </row>
    <row r="573" spans="1:17" hidden="1" x14ac:dyDescent="0.4">
      <c r="A573" s="4" t="s">
        <v>32</v>
      </c>
      <c r="B573" s="4" t="s">
        <v>14</v>
      </c>
      <c r="C573" s="31" t="s">
        <v>435</v>
      </c>
      <c r="D573" s="4" t="s">
        <v>33</v>
      </c>
      <c r="E573" s="4" t="s">
        <v>16</v>
      </c>
      <c r="F573" s="4" t="s">
        <v>17</v>
      </c>
      <c r="G573" s="4" t="s">
        <v>18</v>
      </c>
      <c r="H573" s="4" t="s">
        <v>144</v>
      </c>
      <c r="I573" s="5" t="str">
        <f t="shared" si="8"/>
        <v>2025-03</v>
      </c>
      <c r="J573" s="4" t="s">
        <v>118</v>
      </c>
      <c r="K573" s="5" t="s">
        <v>342</v>
      </c>
      <c r="L573" s="2">
        <v>44000</v>
      </c>
      <c r="M573" s="3">
        <v>1</v>
      </c>
      <c r="N573" s="2">
        <v>44000</v>
      </c>
      <c r="O573" s="2">
        <v>4400</v>
      </c>
      <c r="P573" s="2">
        <v>48400</v>
      </c>
      <c r="Q573" s="2">
        <f>P573*8.5%</f>
        <v>4114</v>
      </c>
    </row>
    <row r="574" spans="1:17" hidden="1" x14ac:dyDescent="0.4">
      <c r="A574" s="4" t="s">
        <v>13</v>
      </c>
      <c r="B574" s="4" t="s">
        <v>14</v>
      </c>
      <c r="C574" s="30" t="s">
        <v>434</v>
      </c>
      <c r="D574" s="4" t="s">
        <v>15</v>
      </c>
      <c r="E574" s="4" t="s">
        <v>16</v>
      </c>
      <c r="F574" s="4" t="s">
        <v>17</v>
      </c>
      <c r="G574" s="4" t="s">
        <v>18</v>
      </c>
      <c r="H574" s="4" t="s">
        <v>144</v>
      </c>
      <c r="I574" s="5" t="str">
        <f t="shared" si="8"/>
        <v>2025-03</v>
      </c>
      <c r="J574" s="4" t="s">
        <v>118</v>
      </c>
      <c r="K574" s="5" t="s">
        <v>342</v>
      </c>
      <c r="L574" s="2">
        <v>42000</v>
      </c>
      <c r="M574" s="3">
        <v>2</v>
      </c>
      <c r="N574" s="2">
        <v>84000</v>
      </c>
      <c r="O574" s="2">
        <v>8400</v>
      </c>
      <c r="P574" s="2">
        <v>92400</v>
      </c>
      <c r="Q574" s="2">
        <f>P574*8.5%</f>
        <v>7854.0000000000009</v>
      </c>
    </row>
    <row r="575" spans="1:17" hidden="1" x14ac:dyDescent="0.4">
      <c r="A575" s="4" t="s">
        <v>23</v>
      </c>
      <c r="B575" s="4" t="s">
        <v>14</v>
      </c>
      <c r="C575" s="31" t="s">
        <v>435</v>
      </c>
      <c r="D575" s="4" t="s">
        <v>24</v>
      </c>
      <c r="E575" s="4" t="s">
        <v>16</v>
      </c>
      <c r="F575" s="4" t="s">
        <v>17</v>
      </c>
      <c r="G575" s="4" t="s">
        <v>18</v>
      </c>
      <c r="H575" s="4" t="s">
        <v>144</v>
      </c>
      <c r="I575" s="5" t="str">
        <f t="shared" si="8"/>
        <v>2025-03</v>
      </c>
      <c r="J575" s="4" t="s">
        <v>118</v>
      </c>
      <c r="K575" s="5" t="s">
        <v>342</v>
      </c>
      <c r="L575" s="2">
        <v>54000</v>
      </c>
      <c r="M575" s="3">
        <v>2</v>
      </c>
      <c r="N575" s="2">
        <v>108000</v>
      </c>
      <c r="O575" s="2">
        <v>10800</v>
      </c>
      <c r="P575" s="2">
        <v>118800</v>
      </c>
      <c r="Q575" s="2">
        <f>P575*8.5%</f>
        <v>10098</v>
      </c>
    </row>
    <row r="576" spans="1:17" hidden="1" x14ac:dyDescent="0.4">
      <c r="A576" s="4" t="s">
        <v>82</v>
      </c>
      <c r="B576" s="4" t="s">
        <v>26</v>
      </c>
      <c r="C576" s="32" t="s">
        <v>436</v>
      </c>
      <c r="D576" s="4" t="s">
        <v>81</v>
      </c>
      <c r="E576" s="4" t="s">
        <v>16</v>
      </c>
      <c r="F576" s="4" t="s">
        <v>17</v>
      </c>
      <c r="G576" s="4" t="s">
        <v>18</v>
      </c>
      <c r="H576" s="4" t="s">
        <v>144</v>
      </c>
      <c r="I576" s="5" t="str">
        <f t="shared" si="8"/>
        <v>2025-03</v>
      </c>
      <c r="J576" s="4" t="s">
        <v>34</v>
      </c>
      <c r="K576" s="5" t="s">
        <v>342</v>
      </c>
      <c r="L576" s="2">
        <v>20925</v>
      </c>
      <c r="M576" s="3">
        <v>1</v>
      </c>
      <c r="N576" s="2">
        <v>20925</v>
      </c>
      <c r="O576" s="2">
        <v>2093</v>
      </c>
      <c r="P576" s="2">
        <v>23018</v>
      </c>
      <c r="Q576" s="2">
        <f>P576*8.5%</f>
        <v>1956.5300000000002</v>
      </c>
    </row>
    <row r="577" spans="1:17" hidden="1" x14ac:dyDescent="0.4">
      <c r="A577" s="4" t="s">
        <v>64</v>
      </c>
      <c r="B577" s="4" t="s">
        <v>65</v>
      </c>
      <c r="C577" s="32" t="s">
        <v>436</v>
      </c>
      <c r="D577" s="4" t="s">
        <v>66</v>
      </c>
      <c r="E577" s="4" t="s">
        <v>16</v>
      </c>
      <c r="F577" s="4" t="s">
        <v>17</v>
      </c>
      <c r="G577" s="4" t="s">
        <v>18</v>
      </c>
      <c r="H577" s="4" t="s">
        <v>144</v>
      </c>
      <c r="I577" s="5" t="str">
        <f t="shared" si="8"/>
        <v>2025-03</v>
      </c>
      <c r="J577" s="4" t="s">
        <v>34</v>
      </c>
      <c r="K577" s="5" t="s">
        <v>342</v>
      </c>
      <c r="L577" s="2">
        <v>10283</v>
      </c>
      <c r="M577" s="3">
        <v>1</v>
      </c>
      <c r="N577" s="2">
        <v>10283</v>
      </c>
      <c r="O577" s="2">
        <v>1028</v>
      </c>
      <c r="P577" s="2">
        <v>11311</v>
      </c>
      <c r="Q577" s="2">
        <f>P577*8.5%</f>
        <v>961.43500000000006</v>
      </c>
    </row>
    <row r="578" spans="1:17" hidden="1" x14ac:dyDescent="0.4">
      <c r="A578" s="4" t="s">
        <v>32</v>
      </c>
      <c r="B578" s="4" t="s">
        <v>14</v>
      </c>
      <c r="C578" s="31" t="s">
        <v>435</v>
      </c>
      <c r="D578" s="4" t="s">
        <v>33</v>
      </c>
      <c r="E578" s="4" t="s">
        <v>16</v>
      </c>
      <c r="F578" s="4" t="s">
        <v>17</v>
      </c>
      <c r="G578" s="4" t="s">
        <v>18</v>
      </c>
      <c r="H578" s="4" t="s">
        <v>144</v>
      </c>
      <c r="I578" s="5" t="str">
        <f t="shared" ref="I578:I641" si="9">TEXT(H578,"yyyy-mm")</f>
        <v>2025-03</v>
      </c>
      <c r="J578" s="4" t="s">
        <v>34</v>
      </c>
      <c r="K578" s="5" t="s">
        <v>342</v>
      </c>
      <c r="L578" s="2">
        <v>44000</v>
      </c>
      <c r="M578" s="3">
        <v>2</v>
      </c>
      <c r="N578" s="2">
        <v>88000</v>
      </c>
      <c r="O578" s="2">
        <v>8800</v>
      </c>
      <c r="P578" s="2">
        <v>96800</v>
      </c>
      <c r="Q578" s="2">
        <f>P578*8.5%</f>
        <v>8228</v>
      </c>
    </row>
    <row r="579" spans="1:17" hidden="1" x14ac:dyDescent="0.4">
      <c r="A579" s="4" t="s">
        <v>13</v>
      </c>
      <c r="B579" s="4" t="s">
        <v>14</v>
      </c>
      <c r="C579" s="30" t="s">
        <v>434</v>
      </c>
      <c r="D579" s="4" t="s">
        <v>15</v>
      </c>
      <c r="E579" s="4" t="s">
        <v>16</v>
      </c>
      <c r="F579" s="4" t="s">
        <v>17</v>
      </c>
      <c r="G579" s="4" t="s">
        <v>18</v>
      </c>
      <c r="H579" s="4" t="s">
        <v>144</v>
      </c>
      <c r="I579" s="5" t="str">
        <f t="shared" si="9"/>
        <v>2025-03</v>
      </c>
      <c r="J579" s="4" t="s">
        <v>34</v>
      </c>
      <c r="K579" s="5" t="s">
        <v>342</v>
      </c>
      <c r="L579" s="2">
        <v>42000</v>
      </c>
      <c r="M579" s="3">
        <v>5</v>
      </c>
      <c r="N579" s="2">
        <v>210000</v>
      </c>
      <c r="O579" s="2">
        <v>21000</v>
      </c>
      <c r="P579" s="2">
        <v>231000</v>
      </c>
      <c r="Q579" s="2">
        <f>P579*8.5%</f>
        <v>19635</v>
      </c>
    </row>
    <row r="580" spans="1:17" hidden="1" x14ac:dyDescent="0.4">
      <c r="A580" s="4" t="s">
        <v>21</v>
      </c>
      <c r="B580" s="4" t="s">
        <v>14</v>
      </c>
      <c r="C580" s="31" t="s">
        <v>435</v>
      </c>
      <c r="D580" s="4" t="s">
        <v>22</v>
      </c>
      <c r="E580" s="4" t="s">
        <v>16</v>
      </c>
      <c r="F580" s="4" t="s">
        <v>17</v>
      </c>
      <c r="G580" s="4" t="s">
        <v>18</v>
      </c>
      <c r="H580" s="4" t="s">
        <v>144</v>
      </c>
      <c r="I580" s="5" t="str">
        <f t="shared" si="9"/>
        <v>2025-03</v>
      </c>
      <c r="J580" s="4" t="s">
        <v>34</v>
      </c>
      <c r="K580" s="5" t="s">
        <v>342</v>
      </c>
      <c r="L580" s="2">
        <v>54000</v>
      </c>
      <c r="M580" s="3">
        <v>3</v>
      </c>
      <c r="N580" s="2">
        <v>162000</v>
      </c>
      <c r="O580" s="2">
        <v>16200</v>
      </c>
      <c r="P580" s="2">
        <v>178200</v>
      </c>
      <c r="Q580" s="2">
        <f>P580*8.5%</f>
        <v>15147.000000000002</v>
      </c>
    </row>
    <row r="581" spans="1:17" hidden="1" x14ac:dyDescent="0.4">
      <c r="A581" s="4" t="s">
        <v>23</v>
      </c>
      <c r="B581" s="4" t="s">
        <v>14</v>
      </c>
      <c r="C581" s="31" t="s">
        <v>435</v>
      </c>
      <c r="D581" s="4" t="s">
        <v>24</v>
      </c>
      <c r="E581" s="4" t="s">
        <v>16</v>
      </c>
      <c r="F581" s="4" t="s">
        <v>17</v>
      </c>
      <c r="G581" s="4" t="s">
        <v>18</v>
      </c>
      <c r="H581" s="4" t="s">
        <v>144</v>
      </c>
      <c r="I581" s="5" t="str">
        <f t="shared" si="9"/>
        <v>2025-03</v>
      </c>
      <c r="J581" s="4" t="s">
        <v>34</v>
      </c>
      <c r="K581" s="5" t="s">
        <v>342</v>
      </c>
      <c r="L581" s="2">
        <v>54000</v>
      </c>
      <c r="M581" s="3">
        <v>3</v>
      </c>
      <c r="N581" s="2">
        <v>162000</v>
      </c>
      <c r="O581" s="2">
        <v>16200</v>
      </c>
      <c r="P581" s="2">
        <v>178200</v>
      </c>
      <c r="Q581" s="2">
        <f>P581*8.5%</f>
        <v>15147.000000000002</v>
      </c>
    </row>
    <row r="582" spans="1:17" hidden="1" x14ac:dyDescent="0.4">
      <c r="A582" s="4" t="s">
        <v>51</v>
      </c>
      <c r="B582" s="4" t="s">
        <v>14</v>
      </c>
      <c r="C582" s="30" t="s">
        <v>434</v>
      </c>
      <c r="D582" s="4" t="s">
        <v>52</v>
      </c>
      <c r="E582" s="4" t="s">
        <v>16</v>
      </c>
      <c r="F582" s="4" t="s">
        <v>17</v>
      </c>
      <c r="G582" s="4" t="s">
        <v>18</v>
      </c>
      <c r="H582" s="4" t="s">
        <v>144</v>
      </c>
      <c r="I582" s="5" t="str">
        <f t="shared" si="9"/>
        <v>2025-03</v>
      </c>
      <c r="J582" s="4" t="s">
        <v>34</v>
      </c>
      <c r="K582" s="5" t="s">
        <v>342</v>
      </c>
      <c r="L582" s="2">
        <v>71250</v>
      </c>
      <c r="M582" s="3">
        <v>1</v>
      </c>
      <c r="N582" s="2">
        <v>71250</v>
      </c>
      <c r="O582" s="2">
        <v>7125</v>
      </c>
      <c r="P582" s="2">
        <v>78375</v>
      </c>
      <c r="Q582" s="2">
        <f>P582*8.5%</f>
        <v>6661.8750000000009</v>
      </c>
    </row>
    <row r="583" spans="1:17" hidden="1" x14ac:dyDescent="0.4">
      <c r="A583" s="4" t="s">
        <v>40</v>
      </c>
      <c r="B583" s="4" t="s">
        <v>26</v>
      </c>
      <c r="C583" s="32" t="s">
        <v>436</v>
      </c>
      <c r="D583" s="4" t="s">
        <v>41</v>
      </c>
      <c r="E583" s="4" t="s">
        <v>28</v>
      </c>
      <c r="F583" s="4" t="s">
        <v>17</v>
      </c>
      <c r="G583" s="4" t="s">
        <v>18</v>
      </c>
      <c r="H583" s="4" t="s">
        <v>144</v>
      </c>
      <c r="I583" s="5" t="str">
        <f t="shared" si="9"/>
        <v>2025-03</v>
      </c>
      <c r="J583" s="4" t="s">
        <v>34</v>
      </c>
      <c r="K583" s="5" t="s">
        <v>342</v>
      </c>
      <c r="L583" s="2">
        <v>17936</v>
      </c>
      <c r="M583" s="3">
        <v>1</v>
      </c>
      <c r="N583" s="2">
        <v>17936</v>
      </c>
      <c r="O583" s="2">
        <v>1794</v>
      </c>
      <c r="P583" s="2">
        <v>19730</v>
      </c>
      <c r="Q583" s="2">
        <f>P583*8.5%</f>
        <v>1677.0500000000002</v>
      </c>
    </row>
    <row r="584" spans="1:17" hidden="1" x14ac:dyDescent="0.4">
      <c r="A584" s="4" t="s">
        <v>70</v>
      </c>
      <c r="B584" s="4" t="s">
        <v>26</v>
      </c>
      <c r="C584" s="32" t="s">
        <v>436</v>
      </c>
      <c r="D584" s="4" t="s">
        <v>71</v>
      </c>
      <c r="E584" s="4" t="s">
        <v>28</v>
      </c>
      <c r="F584" s="4" t="s">
        <v>31</v>
      </c>
      <c r="G584" s="4" t="s">
        <v>18</v>
      </c>
      <c r="H584" s="4" t="s">
        <v>144</v>
      </c>
      <c r="I584" s="5" t="str">
        <f t="shared" si="9"/>
        <v>2025-03</v>
      </c>
      <c r="J584" s="4" t="s">
        <v>34</v>
      </c>
      <c r="K584" s="5" t="s">
        <v>342</v>
      </c>
      <c r="L584" s="2">
        <v>6624</v>
      </c>
      <c r="M584" s="3">
        <v>2</v>
      </c>
      <c r="N584" s="2">
        <v>13248</v>
      </c>
      <c r="O584" s="2">
        <v>0</v>
      </c>
      <c r="P584" s="2">
        <v>13248</v>
      </c>
      <c r="Q584" s="2">
        <f>P584*8.5%</f>
        <v>1126.0800000000002</v>
      </c>
    </row>
    <row r="585" spans="1:17" hidden="1" x14ac:dyDescent="0.4">
      <c r="A585" s="4" t="s">
        <v>42</v>
      </c>
      <c r="B585" s="4" t="s">
        <v>14</v>
      </c>
      <c r="C585" s="30" t="s">
        <v>434</v>
      </c>
      <c r="D585" s="4" t="s">
        <v>43</v>
      </c>
      <c r="E585" s="4" t="s">
        <v>44</v>
      </c>
      <c r="F585" s="4" t="s">
        <v>31</v>
      </c>
      <c r="G585" s="4" t="s">
        <v>18</v>
      </c>
      <c r="H585" s="4" t="s">
        <v>144</v>
      </c>
      <c r="I585" s="5" t="str">
        <f t="shared" si="9"/>
        <v>2025-03</v>
      </c>
      <c r="J585" s="4" t="s">
        <v>34</v>
      </c>
      <c r="K585" s="5" t="s">
        <v>342</v>
      </c>
      <c r="L585" s="2">
        <v>6800</v>
      </c>
      <c r="M585" s="3">
        <v>67.8</v>
      </c>
      <c r="N585" s="2">
        <v>461040</v>
      </c>
      <c r="O585" s="2">
        <v>0</v>
      </c>
      <c r="P585" s="2">
        <v>461040</v>
      </c>
      <c r="Q585" s="2">
        <f>P585*8.5%</f>
        <v>39188.400000000001</v>
      </c>
    </row>
    <row r="586" spans="1:17" hidden="1" x14ac:dyDescent="0.4">
      <c r="A586" s="4" t="s">
        <v>35</v>
      </c>
      <c r="B586" s="4" t="s">
        <v>14</v>
      </c>
      <c r="C586" s="30" t="s">
        <v>434</v>
      </c>
      <c r="D586" s="4" t="s">
        <v>36</v>
      </c>
      <c r="E586" s="4" t="s">
        <v>16</v>
      </c>
      <c r="F586" s="4" t="s">
        <v>17</v>
      </c>
      <c r="G586" s="4" t="s">
        <v>18</v>
      </c>
      <c r="H586" s="4" t="s">
        <v>144</v>
      </c>
      <c r="I586" s="5" t="str">
        <f t="shared" si="9"/>
        <v>2025-03</v>
      </c>
      <c r="J586" s="4" t="s">
        <v>60</v>
      </c>
      <c r="K586" s="5" t="s">
        <v>343</v>
      </c>
      <c r="L586" s="2">
        <v>116220</v>
      </c>
      <c r="M586" s="3">
        <v>4</v>
      </c>
      <c r="N586" s="2">
        <v>464880</v>
      </c>
      <c r="O586" s="2">
        <v>46488</v>
      </c>
      <c r="P586" s="2">
        <v>511368</v>
      </c>
      <c r="Q586" s="2">
        <f>P586*12%</f>
        <v>61364.159999999996</v>
      </c>
    </row>
    <row r="587" spans="1:17" hidden="1" x14ac:dyDescent="0.4">
      <c r="A587" s="4" t="s">
        <v>23</v>
      </c>
      <c r="B587" s="4" t="s">
        <v>14</v>
      </c>
      <c r="C587" s="31" t="s">
        <v>435</v>
      </c>
      <c r="D587" s="4" t="s">
        <v>24</v>
      </c>
      <c r="E587" s="4" t="s">
        <v>16</v>
      </c>
      <c r="F587" s="4" t="s">
        <v>17</v>
      </c>
      <c r="G587" s="4" t="s">
        <v>18</v>
      </c>
      <c r="H587" s="4" t="s">
        <v>144</v>
      </c>
      <c r="I587" s="5" t="str">
        <f t="shared" si="9"/>
        <v>2025-03</v>
      </c>
      <c r="J587" s="4" t="s">
        <v>60</v>
      </c>
      <c r="K587" s="5" t="s">
        <v>343</v>
      </c>
      <c r="L587" s="2">
        <v>54000</v>
      </c>
      <c r="M587" s="3">
        <v>7</v>
      </c>
      <c r="N587" s="2">
        <v>378000</v>
      </c>
      <c r="O587" s="2">
        <v>37800</v>
      </c>
      <c r="P587" s="2">
        <v>415800</v>
      </c>
      <c r="Q587" s="2">
        <f>P587*12%</f>
        <v>49896</v>
      </c>
    </row>
    <row r="588" spans="1:17" hidden="1" x14ac:dyDescent="0.4">
      <c r="A588" s="4" t="s">
        <v>51</v>
      </c>
      <c r="B588" s="4" t="s">
        <v>14</v>
      </c>
      <c r="C588" s="30" t="s">
        <v>434</v>
      </c>
      <c r="D588" s="4" t="s">
        <v>52</v>
      </c>
      <c r="E588" s="4" t="s">
        <v>16</v>
      </c>
      <c r="F588" s="4" t="s">
        <v>17</v>
      </c>
      <c r="G588" s="4" t="s">
        <v>18</v>
      </c>
      <c r="H588" s="4" t="s">
        <v>144</v>
      </c>
      <c r="I588" s="5" t="str">
        <f t="shared" si="9"/>
        <v>2025-03</v>
      </c>
      <c r="J588" s="4" t="s">
        <v>60</v>
      </c>
      <c r="K588" s="5" t="s">
        <v>343</v>
      </c>
      <c r="L588" s="2">
        <v>71250</v>
      </c>
      <c r="M588" s="3">
        <v>1</v>
      </c>
      <c r="N588" s="2">
        <v>71250</v>
      </c>
      <c r="O588" s="2">
        <v>7125</v>
      </c>
      <c r="P588" s="2">
        <v>78375</v>
      </c>
      <c r="Q588" s="2">
        <f>P588*12%</f>
        <v>9405</v>
      </c>
    </row>
    <row r="589" spans="1:17" hidden="1" x14ac:dyDescent="0.4">
      <c r="A589" s="4" t="s">
        <v>32</v>
      </c>
      <c r="B589" s="4" t="s">
        <v>14</v>
      </c>
      <c r="C589" s="31" t="s">
        <v>435</v>
      </c>
      <c r="D589" s="4" t="s">
        <v>33</v>
      </c>
      <c r="E589" s="4" t="s">
        <v>16</v>
      </c>
      <c r="F589" s="4" t="s">
        <v>17</v>
      </c>
      <c r="G589" s="4" t="s">
        <v>18</v>
      </c>
      <c r="H589" s="4" t="s">
        <v>144</v>
      </c>
      <c r="I589" s="5" t="str">
        <f t="shared" si="9"/>
        <v>2025-03</v>
      </c>
      <c r="J589" s="4" t="s">
        <v>49</v>
      </c>
      <c r="K589" s="5" t="s">
        <v>343</v>
      </c>
      <c r="L589" s="2">
        <v>44000</v>
      </c>
      <c r="M589" s="3">
        <v>4</v>
      </c>
      <c r="N589" s="2">
        <v>176000</v>
      </c>
      <c r="O589" s="2">
        <v>17600</v>
      </c>
      <c r="P589" s="2">
        <v>193600</v>
      </c>
      <c r="Q589" s="2">
        <f>P589*12%</f>
        <v>23232</v>
      </c>
    </row>
    <row r="590" spans="1:17" hidden="1" x14ac:dyDescent="0.4">
      <c r="A590" s="4" t="s">
        <v>13</v>
      </c>
      <c r="B590" s="4" t="s">
        <v>14</v>
      </c>
      <c r="C590" s="30" t="s">
        <v>434</v>
      </c>
      <c r="D590" s="4" t="s">
        <v>15</v>
      </c>
      <c r="E590" s="4" t="s">
        <v>16</v>
      </c>
      <c r="F590" s="4" t="s">
        <v>17</v>
      </c>
      <c r="G590" s="4" t="s">
        <v>18</v>
      </c>
      <c r="H590" s="4" t="s">
        <v>144</v>
      </c>
      <c r="I590" s="5" t="str">
        <f t="shared" si="9"/>
        <v>2025-03</v>
      </c>
      <c r="J590" s="4" t="s">
        <v>49</v>
      </c>
      <c r="K590" s="5" t="s">
        <v>343</v>
      </c>
      <c r="L590" s="2">
        <v>42000</v>
      </c>
      <c r="M590" s="3">
        <v>4</v>
      </c>
      <c r="N590" s="2">
        <v>168000</v>
      </c>
      <c r="O590" s="2">
        <v>16800</v>
      </c>
      <c r="P590" s="2">
        <v>184800</v>
      </c>
      <c r="Q590" s="2">
        <f>P590*12%</f>
        <v>22176</v>
      </c>
    </row>
    <row r="591" spans="1:17" hidden="1" x14ac:dyDescent="0.4">
      <c r="A591" s="4" t="s">
        <v>35</v>
      </c>
      <c r="B591" s="4" t="s">
        <v>14</v>
      </c>
      <c r="C591" s="30" t="s">
        <v>434</v>
      </c>
      <c r="D591" s="4" t="s">
        <v>36</v>
      </c>
      <c r="E591" s="4" t="s">
        <v>16</v>
      </c>
      <c r="F591" s="4" t="s">
        <v>17</v>
      </c>
      <c r="G591" s="4" t="s">
        <v>18</v>
      </c>
      <c r="H591" s="4" t="s">
        <v>144</v>
      </c>
      <c r="I591" s="5" t="str">
        <f t="shared" si="9"/>
        <v>2025-03</v>
      </c>
      <c r="J591" s="4" t="s">
        <v>49</v>
      </c>
      <c r="K591" s="5" t="s">
        <v>343</v>
      </c>
      <c r="L591" s="2">
        <v>116220</v>
      </c>
      <c r="M591" s="3">
        <v>2</v>
      </c>
      <c r="N591" s="2">
        <v>232440</v>
      </c>
      <c r="O591" s="2">
        <v>23244</v>
      </c>
      <c r="P591" s="2">
        <v>255684</v>
      </c>
      <c r="Q591" s="2">
        <f>P591*12%</f>
        <v>30682.079999999998</v>
      </c>
    </row>
    <row r="592" spans="1:17" hidden="1" x14ac:dyDescent="0.4">
      <c r="A592" s="4" t="s">
        <v>23</v>
      </c>
      <c r="B592" s="4" t="s">
        <v>14</v>
      </c>
      <c r="C592" s="31" t="s">
        <v>435</v>
      </c>
      <c r="D592" s="4" t="s">
        <v>24</v>
      </c>
      <c r="E592" s="4" t="s">
        <v>16</v>
      </c>
      <c r="F592" s="4" t="s">
        <v>17</v>
      </c>
      <c r="G592" s="4" t="s">
        <v>18</v>
      </c>
      <c r="H592" s="4" t="s">
        <v>144</v>
      </c>
      <c r="I592" s="5" t="str">
        <f t="shared" si="9"/>
        <v>2025-03</v>
      </c>
      <c r="J592" s="4" t="s">
        <v>49</v>
      </c>
      <c r="K592" s="5" t="s">
        <v>343</v>
      </c>
      <c r="L592" s="2">
        <v>54000</v>
      </c>
      <c r="M592" s="3">
        <v>4</v>
      </c>
      <c r="N592" s="2">
        <v>216000</v>
      </c>
      <c r="O592" s="2">
        <v>21600</v>
      </c>
      <c r="P592" s="2">
        <v>237600</v>
      </c>
      <c r="Q592" s="2">
        <f>P592*12%</f>
        <v>28512</v>
      </c>
    </row>
    <row r="593" spans="1:17" hidden="1" x14ac:dyDescent="0.4">
      <c r="A593" s="4" t="s">
        <v>51</v>
      </c>
      <c r="B593" s="4" t="s">
        <v>14</v>
      </c>
      <c r="C593" s="30" t="s">
        <v>434</v>
      </c>
      <c r="D593" s="4" t="s">
        <v>52</v>
      </c>
      <c r="E593" s="4" t="s">
        <v>16</v>
      </c>
      <c r="F593" s="4" t="s">
        <v>17</v>
      </c>
      <c r="G593" s="4" t="s">
        <v>18</v>
      </c>
      <c r="H593" s="4" t="s">
        <v>144</v>
      </c>
      <c r="I593" s="5" t="str">
        <f t="shared" si="9"/>
        <v>2025-03</v>
      </c>
      <c r="J593" s="4" t="s">
        <v>49</v>
      </c>
      <c r="K593" s="5" t="s">
        <v>343</v>
      </c>
      <c r="L593" s="2">
        <v>71250</v>
      </c>
      <c r="M593" s="3">
        <v>1</v>
      </c>
      <c r="N593" s="2">
        <v>71250</v>
      </c>
      <c r="O593" s="2">
        <v>7125</v>
      </c>
      <c r="P593" s="2">
        <v>78375</v>
      </c>
      <c r="Q593" s="2">
        <f>P593*12%</f>
        <v>9405</v>
      </c>
    </row>
    <row r="594" spans="1:17" hidden="1" x14ac:dyDescent="0.4">
      <c r="A594" s="4" t="s">
        <v>32</v>
      </c>
      <c r="B594" s="4" t="s">
        <v>14</v>
      </c>
      <c r="C594" s="31" t="s">
        <v>435</v>
      </c>
      <c r="D594" s="4" t="s">
        <v>33</v>
      </c>
      <c r="E594" s="4" t="s">
        <v>16</v>
      </c>
      <c r="F594" s="4" t="s">
        <v>17</v>
      </c>
      <c r="G594" s="4" t="s">
        <v>18</v>
      </c>
      <c r="H594" s="4" t="s">
        <v>144</v>
      </c>
      <c r="I594" s="5" t="str">
        <f t="shared" si="9"/>
        <v>2025-03</v>
      </c>
      <c r="J594" s="4" t="s">
        <v>50</v>
      </c>
      <c r="K594" s="5" t="s">
        <v>343</v>
      </c>
      <c r="L594" s="2">
        <v>44000</v>
      </c>
      <c r="M594" s="3">
        <v>1</v>
      </c>
      <c r="N594" s="2">
        <v>44000</v>
      </c>
      <c r="O594" s="2">
        <v>4400</v>
      </c>
      <c r="P594" s="2">
        <v>48400</v>
      </c>
      <c r="Q594" s="2">
        <f>P594*12%</f>
        <v>5808</v>
      </c>
    </row>
    <row r="595" spans="1:17" hidden="1" x14ac:dyDescent="0.4">
      <c r="A595" s="4" t="s">
        <v>13</v>
      </c>
      <c r="B595" s="4" t="s">
        <v>14</v>
      </c>
      <c r="C595" s="30" t="s">
        <v>434</v>
      </c>
      <c r="D595" s="4" t="s">
        <v>15</v>
      </c>
      <c r="E595" s="4" t="s">
        <v>16</v>
      </c>
      <c r="F595" s="4" t="s">
        <v>17</v>
      </c>
      <c r="G595" s="4" t="s">
        <v>18</v>
      </c>
      <c r="H595" s="4" t="s">
        <v>144</v>
      </c>
      <c r="I595" s="5" t="str">
        <f t="shared" si="9"/>
        <v>2025-03</v>
      </c>
      <c r="J595" s="4" t="s">
        <v>50</v>
      </c>
      <c r="K595" s="5" t="s">
        <v>343</v>
      </c>
      <c r="L595" s="2">
        <v>42000</v>
      </c>
      <c r="M595" s="3">
        <v>10</v>
      </c>
      <c r="N595" s="2">
        <v>420000</v>
      </c>
      <c r="O595" s="2">
        <v>42000</v>
      </c>
      <c r="P595" s="2">
        <v>462000</v>
      </c>
      <c r="Q595" s="2">
        <f>P595*12%</f>
        <v>55440</v>
      </c>
    </row>
    <row r="596" spans="1:17" hidden="1" x14ac:dyDescent="0.4">
      <c r="A596" s="4" t="s">
        <v>23</v>
      </c>
      <c r="B596" s="4" t="s">
        <v>14</v>
      </c>
      <c r="C596" s="31" t="s">
        <v>435</v>
      </c>
      <c r="D596" s="4" t="s">
        <v>24</v>
      </c>
      <c r="E596" s="4" t="s">
        <v>16</v>
      </c>
      <c r="F596" s="4" t="s">
        <v>17</v>
      </c>
      <c r="G596" s="4" t="s">
        <v>18</v>
      </c>
      <c r="H596" s="4" t="s">
        <v>144</v>
      </c>
      <c r="I596" s="5" t="str">
        <f t="shared" si="9"/>
        <v>2025-03</v>
      </c>
      <c r="J596" s="4" t="s">
        <v>50</v>
      </c>
      <c r="K596" s="5" t="s">
        <v>343</v>
      </c>
      <c r="L596" s="2">
        <v>54000</v>
      </c>
      <c r="M596" s="3">
        <v>5</v>
      </c>
      <c r="N596" s="2">
        <v>270000</v>
      </c>
      <c r="O596" s="2">
        <v>27000</v>
      </c>
      <c r="P596" s="2">
        <v>297000</v>
      </c>
      <c r="Q596" s="2">
        <f>P596*12%</f>
        <v>35640</v>
      </c>
    </row>
    <row r="597" spans="1:17" hidden="1" x14ac:dyDescent="0.4">
      <c r="A597" s="4" t="s">
        <v>51</v>
      </c>
      <c r="B597" s="4" t="s">
        <v>14</v>
      </c>
      <c r="C597" s="30" t="s">
        <v>434</v>
      </c>
      <c r="D597" s="4" t="s">
        <v>52</v>
      </c>
      <c r="E597" s="4" t="s">
        <v>16</v>
      </c>
      <c r="F597" s="4" t="s">
        <v>17</v>
      </c>
      <c r="G597" s="4" t="s">
        <v>18</v>
      </c>
      <c r="H597" s="4" t="s">
        <v>144</v>
      </c>
      <c r="I597" s="5" t="str">
        <f t="shared" si="9"/>
        <v>2025-03</v>
      </c>
      <c r="J597" s="4" t="s">
        <v>50</v>
      </c>
      <c r="K597" s="5" t="s">
        <v>343</v>
      </c>
      <c r="L597" s="2">
        <v>71250</v>
      </c>
      <c r="M597" s="3">
        <v>1</v>
      </c>
      <c r="N597" s="2">
        <v>71250</v>
      </c>
      <c r="O597" s="2">
        <v>7125</v>
      </c>
      <c r="P597" s="2">
        <v>78375</v>
      </c>
      <c r="Q597" s="2">
        <f>P597*12%</f>
        <v>9405</v>
      </c>
    </row>
    <row r="598" spans="1:17" x14ac:dyDescent="0.4">
      <c r="A598" s="4" t="s">
        <v>13</v>
      </c>
      <c r="B598" s="4" t="s">
        <v>14</v>
      </c>
      <c r="C598" s="30" t="s">
        <v>434</v>
      </c>
      <c r="D598" s="4" t="s">
        <v>15</v>
      </c>
      <c r="E598" s="4" t="s">
        <v>16</v>
      </c>
      <c r="F598" s="4" t="s">
        <v>17</v>
      </c>
      <c r="G598" s="4" t="s">
        <v>18</v>
      </c>
      <c r="H598" s="4" t="s">
        <v>145</v>
      </c>
      <c r="I598" s="5" t="str">
        <f t="shared" si="9"/>
        <v>2025-03</v>
      </c>
      <c r="J598" s="4" t="s">
        <v>20</v>
      </c>
      <c r="K598" s="5" t="s">
        <v>342</v>
      </c>
      <c r="L598" s="2">
        <v>42000</v>
      </c>
      <c r="M598" s="3">
        <v>1</v>
      </c>
      <c r="N598" s="2">
        <v>42000</v>
      </c>
      <c r="O598" s="2">
        <v>4200</v>
      </c>
      <c r="P598" s="2">
        <v>46200</v>
      </c>
      <c r="Q598" s="2">
        <f>P598*8.5%</f>
        <v>3927.0000000000005</v>
      </c>
    </row>
    <row r="599" spans="1:17" x14ac:dyDescent="0.4">
      <c r="A599" s="4" t="s">
        <v>21</v>
      </c>
      <c r="B599" s="4" t="s">
        <v>14</v>
      </c>
      <c r="C599" s="31" t="s">
        <v>435</v>
      </c>
      <c r="D599" s="4" t="s">
        <v>22</v>
      </c>
      <c r="E599" s="4" t="s">
        <v>16</v>
      </c>
      <c r="F599" s="4" t="s">
        <v>17</v>
      </c>
      <c r="G599" s="4" t="s">
        <v>18</v>
      </c>
      <c r="H599" s="4" t="s">
        <v>145</v>
      </c>
      <c r="I599" s="5" t="str">
        <f t="shared" si="9"/>
        <v>2025-03</v>
      </c>
      <c r="J599" s="4" t="s">
        <v>20</v>
      </c>
      <c r="K599" s="5" t="s">
        <v>342</v>
      </c>
      <c r="L599" s="2">
        <v>54000</v>
      </c>
      <c r="M599" s="3">
        <v>1</v>
      </c>
      <c r="N599" s="2">
        <v>54000</v>
      </c>
      <c r="O599" s="2">
        <v>5400</v>
      </c>
      <c r="P599" s="2">
        <v>59400</v>
      </c>
      <c r="Q599" s="2">
        <f>P599*8.5%</f>
        <v>5049</v>
      </c>
    </row>
    <row r="600" spans="1:17" x14ac:dyDescent="0.4">
      <c r="A600" s="4" t="s">
        <v>23</v>
      </c>
      <c r="B600" s="4" t="s">
        <v>14</v>
      </c>
      <c r="C600" s="31" t="s">
        <v>435</v>
      </c>
      <c r="D600" s="4" t="s">
        <v>24</v>
      </c>
      <c r="E600" s="4" t="s">
        <v>16</v>
      </c>
      <c r="F600" s="4" t="s">
        <v>17</v>
      </c>
      <c r="G600" s="4" t="s">
        <v>18</v>
      </c>
      <c r="H600" s="4" t="s">
        <v>145</v>
      </c>
      <c r="I600" s="5" t="str">
        <f t="shared" si="9"/>
        <v>2025-03</v>
      </c>
      <c r="J600" s="4" t="s">
        <v>20</v>
      </c>
      <c r="K600" s="5" t="s">
        <v>342</v>
      </c>
      <c r="L600" s="2">
        <v>54000</v>
      </c>
      <c r="M600" s="3">
        <v>2</v>
      </c>
      <c r="N600" s="2">
        <v>108000</v>
      </c>
      <c r="O600" s="2">
        <v>10800</v>
      </c>
      <c r="P600" s="2">
        <v>118800</v>
      </c>
      <c r="Q600" s="2">
        <f>P600*8.5%</f>
        <v>10098</v>
      </c>
    </row>
    <row r="601" spans="1:17" x14ac:dyDescent="0.4">
      <c r="A601" s="4" t="s">
        <v>56</v>
      </c>
      <c r="B601" s="4" t="s">
        <v>26</v>
      </c>
      <c r="C601" s="32" t="s">
        <v>436</v>
      </c>
      <c r="D601" s="4" t="s">
        <v>57</v>
      </c>
      <c r="E601" s="4" t="s">
        <v>44</v>
      </c>
      <c r="F601" s="4" t="s">
        <v>31</v>
      </c>
      <c r="G601" s="4" t="s">
        <v>18</v>
      </c>
      <c r="H601" s="4" t="s">
        <v>145</v>
      </c>
      <c r="I601" s="5" t="str">
        <f t="shared" si="9"/>
        <v>2025-03</v>
      </c>
      <c r="J601" s="4" t="s">
        <v>20</v>
      </c>
      <c r="K601" s="5" t="s">
        <v>342</v>
      </c>
      <c r="L601" s="2">
        <v>3491</v>
      </c>
      <c r="M601" s="3">
        <v>10</v>
      </c>
      <c r="N601" s="2">
        <v>34910</v>
      </c>
      <c r="O601" s="2">
        <v>0</v>
      </c>
      <c r="P601" s="2">
        <v>34910</v>
      </c>
      <c r="Q601" s="2">
        <f>P601*8.5%</f>
        <v>2967.3500000000004</v>
      </c>
    </row>
    <row r="602" spans="1:17" hidden="1" x14ac:dyDescent="0.4">
      <c r="A602" s="4" t="s">
        <v>13</v>
      </c>
      <c r="B602" s="4" t="s">
        <v>14</v>
      </c>
      <c r="C602" s="30" t="s">
        <v>434</v>
      </c>
      <c r="D602" s="4" t="s">
        <v>15</v>
      </c>
      <c r="E602" s="4" t="s">
        <v>16</v>
      </c>
      <c r="F602" s="4" t="s">
        <v>17</v>
      </c>
      <c r="G602" s="4" t="s">
        <v>18</v>
      </c>
      <c r="H602" s="4" t="s">
        <v>145</v>
      </c>
      <c r="I602" s="5" t="str">
        <f t="shared" si="9"/>
        <v>2025-03</v>
      </c>
      <c r="J602" s="4" t="s">
        <v>118</v>
      </c>
      <c r="K602" s="5" t="s">
        <v>342</v>
      </c>
      <c r="L602" s="2">
        <v>42000</v>
      </c>
      <c r="M602" s="3">
        <v>3</v>
      </c>
      <c r="N602" s="2">
        <v>126000</v>
      </c>
      <c r="O602" s="2">
        <v>12600</v>
      </c>
      <c r="P602" s="2">
        <v>138600</v>
      </c>
      <c r="Q602" s="2">
        <f>P602*8.5%</f>
        <v>11781</v>
      </c>
    </row>
    <row r="603" spans="1:17" hidden="1" x14ac:dyDescent="0.4">
      <c r="A603" s="4" t="s">
        <v>23</v>
      </c>
      <c r="B603" s="4" t="s">
        <v>14</v>
      </c>
      <c r="C603" s="31" t="s">
        <v>435</v>
      </c>
      <c r="D603" s="4" t="s">
        <v>24</v>
      </c>
      <c r="E603" s="4" t="s">
        <v>16</v>
      </c>
      <c r="F603" s="4" t="s">
        <v>17</v>
      </c>
      <c r="G603" s="4" t="s">
        <v>18</v>
      </c>
      <c r="H603" s="4" t="s">
        <v>145</v>
      </c>
      <c r="I603" s="5" t="str">
        <f t="shared" si="9"/>
        <v>2025-03</v>
      </c>
      <c r="J603" s="4" t="s">
        <v>118</v>
      </c>
      <c r="K603" s="5" t="s">
        <v>342</v>
      </c>
      <c r="L603" s="2">
        <v>54000</v>
      </c>
      <c r="M603" s="3">
        <v>1</v>
      </c>
      <c r="N603" s="2">
        <v>54000</v>
      </c>
      <c r="O603" s="2">
        <v>5400</v>
      </c>
      <c r="P603" s="2">
        <v>59400</v>
      </c>
      <c r="Q603" s="2">
        <f>P603*8.5%</f>
        <v>5049</v>
      </c>
    </row>
    <row r="604" spans="1:17" hidden="1" x14ac:dyDescent="0.4">
      <c r="A604" s="4" t="s">
        <v>51</v>
      </c>
      <c r="B604" s="4" t="s">
        <v>14</v>
      </c>
      <c r="C604" s="30" t="s">
        <v>434</v>
      </c>
      <c r="D604" s="4" t="s">
        <v>52</v>
      </c>
      <c r="E604" s="4" t="s">
        <v>16</v>
      </c>
      <c r="F604" s="4" t="s">
        <v>17</v>
      </c>
      <c r="G604" s="4" t="s">
        <v>18</v>
      </c>
      <c r="H604" s="4" t="s">
        <v>145</v>
      </c>
      <c r="I604" s="5" t="str">
        <f t="shared" si="9"/>
        <v>2025-03</v>
      </c>
      <c r="J604" s="4" t="s">
        <v>118</v>
      </c>
      <c r="K604" s="5" t="s">
        <v>342</v>
      </c>
      <c r="L604" s="2">
        <v>71250</v>
      </c>
      <c r="M604" s="3">
        <v>1</v>
      </c>
      <c r="N604" s="2">
        <v>71250</v>
      </c>
      <c r="O604" s="2">
        <v>7125</v>
      </c>
      <c r="P604" s="2">
        <v>78375</v>
      </c>
      <c r="Q604" s="2">
        <f>P604*8.5%</f>
        <v>6661.8750000000009</v>
      </c>
    </row>
    <row r="605" spans="1:17" hidden="1" x14ac:dyDescent="0.4">
      <c r="A605" s="4" t="s">
        <v>32</v>
      </c>
      <c r="B605" s="4" t="s">
        <v>14</v>
      </c>
      <c r="C605" s="31" t="s">
        <v>435</v>
      </c>
      <c r="D605" s="4" t="s">
        <v>33</v>
      </c>
      <c r="E605" s="4" t="s">
        <v>16</v>
      </c>
      <c r="F605" s="4" t="s">
        <v>17</v>
      </c>
      <c r="G605" s="4" t="s">
        <v>18</v>
      </c>
      <c r="H605" s="4" t="s">
        <v>145</v>
      </c>
      <c r="I605" s="5" t="str">
        <f t="shared" si="9"/>
        <v>2025-03</v>
      </c>
      <c r="J605" s="4" t="s">
        <v>34</v>
      </c>
      <c r="K605" s="5" t="s">
        <v>342</v>
      </c>
      <c r="L605" s="2">
        <v>44000</v>
      </c>
      <c r="M605" s="3">
        <v>2</v>
      </c>
      <c r="N605" s="2">
        <v>88000</v>
      </c>
      <c r="O605" s="2">
        <v>8800</v>
      </c>
      <c r="P605" s="2">
        <v>96800</v>
      </c>
      <c r="Q605" s="2">
        <f>P605*8.5%</f>
        <v>8228</v>
      </c>
    </row>
    <row r="606" spans="1:17" hidden="1" x14ac:dyDescent="0.4">
      <c r="A606" s="4" t="s">
        <v>58</v>
      </c>
      <c r="B606" s="4" t="s">
        <v>14</v>
      </c>
      <c r="C606" s="30" t="s">
        <v>434</v>
      </c>
      <c r="D606" s="4" t="s">
        <v>36</v>
      </c>
      <c r="E606" s="4" t="s">
        <v>16</v>
      </c>
      <c r="F606" s="4" t="s">
        <v>17</v>
      </c>
      <c r="G606" s="4" t="s">
        <v>18</v>
      </c>
      <c r="H606" s="4" t="s">
        <v>145</v>
      </c>
      <c r="I606" s="5" t="str">
        <f t="shared" si="9"/>
        <v>2025-03</v>
      </c>
      <c r="J606" s="4" t="s">
        <v>34</v>
      </c>
      <c r="K606" s="5" t="s">
        <v>342</v>
      </c>
      <c r="L606" s="2">
        <v>120880</v>
      </c>
      <c r="M606" s="3">
        <v>1</v>
      </c>
      <c r="N606" s="2">
        <v>120880</v>
      </c>
      <c r="O606" s="2">
        <v>12088</v>
      </c>
      <c r="P606" s="2">
        <v>132968</v>
      </c>
      <c r="Q606" s="2">
        <f>P606*8.5%</f>
        <v>11302.28</v>
      </c>
    </row>
    <row r="607" spans="1:17" hidden="1" x14ac:dyDescent="0.4">
      <c r="A607" s="4" t="s">
        <v>13</v>
      </c>
      <c r="B607" s="4" t="s">
        <v>14</v>
      </c>
      <c r="C607" s="30" t="s">
        <v>434</v>
      </c>
      <c r="D607" s="4" t="s">
        <v>15</v>
      </c>
      <c r="E607" s="4" t="s">
        <v>16</v>
      </c>
      <c r="F607" s="4" t="s">
        <v>17</v>
      </c>
      <c r="G607" s="4" t="s">
        <v>18</v>
      </c>
      <c r="H607" s="4" t="s">
        <v>145</v>
      </c>
      <c r="I607" s="5" t="str">
        <f t="shared" si="9"/>
        <v>2025-03</v>
      </c>
      <c r="J607" s="4" t="s">
        <v>34</v>
      </c>
      <c r="K607" s="5" t="s">
        <v>342</v>
      </c>
      <c r="L607" s="2">
        <v>42000</v>
      </c>
      <c r="M607" s="3">
        <v>4</v>
      </c>
      <c r="N607" s="2">
        <v>168000</v>
      </c>
      <c r="O607" s="2">
        <v>16800</v>
      </c>
      <c r="P607" s="2">
        <v>184800</v>
      </c>
      <c r="Q607" s="2">
        <f>P607*8.5%</f>
        <v>15708.000000000002</v>
      </c>
    </row>
    <row r="608" spans="1:17" hidden="1" x14ac:dyDescent="0.4">
      <c r="A608" s="4" t="s">
        <v>21</v>
      </c>
      <c r="B608" s="4" t="s">
        <v>14</v>
      </c>
      <c r="C608" s="31" t="s">
        <v>435</v>
      </c>
      <c r="D608" s="4" t="s">
        <v>22</v>
      </c>
      <c r="E608" s="4" t="s">
        <v>16</v>
      </c>
      <c r="F608" s="4" t="s">
        <v>17</v>
      </c>
      <c r="G608" s="4" t="s">
        <v>18</v>
      </c>
      <c r="H608" s="4" t="s">
        <v>145</v>
      </c>
      <c r="I608" s="5" t="str">
        <f t="shared" si="9"/>
        <v>2025-03</v>
      </c>
      <c r="J608" s="4" t="s">
        <v>34</v>
      </c>
      <c r="K608" s="5" t="s">
        <v>342</v>
      </c>
      <c r="L608" s="2">
        <v>54000</v>
      </c>
      <c r="M608" s="3">
        <v>1</v>
      </c>
      <c r="N608" s="2">
        <v>54000</v>
      </c>
      <c r="O608" s="2">
        <v>5400</v>
      </c>
      <c r="P608" s="2">
        <v>59400</v>
      </c>
      <c r="Q608" s="2">
        <f>P608*8.5%</f>
        <v>5049</v>
      </c>
    </row>
    <row r="609" spans="1:17" hidden="1" x14ac:dyDescent="0.4">
      <c r="A609" s="4" t="s">
        <v>23</v>
      </c>
      <c r="B609" s="4" t="s">
        <v>14</v>
      </c>
      <c r="C609" s="31" t="s">
        <v>435</v>
      </c>
      <c r="D609" s="4" t="s">
        <v>24</v>
      </c>
      <c r="E609" s="4" t="s">
        <v>16</v>
      </c>
      <c r="F609" s="4" t="s">
        <v>17</v>
      </c>
      <c r="G609" s="4" t="s">
        <v>18</v>
      </c>
      <c r="H609" s="4" t="s">
        <v>145</v>
      </c>
      <c r="I609" s="5" t="str">
        <f t="shared" si="9"/>
        <v>2025-03</v>
      </c>
      <c r="J609" s="4" t="s">
        <v>34</v>
      </c>
      <c r="K609" s="5" t="s">
        <v>342</v>
      </c>
      <c r="L609" s="2">
        <v>54000</v>
      </c>
      <c r="M609" s="3">
        <v>6</v>
      </c>
      <c r="N609" s="2">
        <v>324000</v>
      </c>
      <c r="O609" s="2">
        <v>32400</v>
      </c>
      <c r="P609" s="2">
        <v>356400</v>
      </c>
      <c r="Q609" s="2">
        <f>P609*8.5%</f>
        <v>30294.000000000004</v>
      </c>
    </row>
    <row r="610" spans="1:17" hidden="1" x14ac:dyDescent="0.4">
      <c r="A610" s="4" t="s">
        <v>67</v>
      </c>
      <c r="B610" s="4" t="s">
        <v>26</v>
      </c>
      <c r="C610" s="32" t="s">
        <v>436</v>
      </c>
      <c r="D610" s="4" t="s">
        <v>63</v>
      </c>
      <c r="E610" s="4" t="s">
        <v>28</v>
      </c>
      <c r="F610" s="4" t="s">
        <v>17</v>
      </c>
      <c r="G610" s="4" t="s">
        <v>18</v>
      </c>
      <c r="H610" s="4" t="s">
        <v>145</v>
      </c>
      <c r="I610" s="5" t="str">
        <f t="shared" si="9"/>
        <v>2025-03</v>
      </c>
      <c r="J610" s="4" t="s">
        <v>34</v>
      </c>
      <c r="K610" s="5" t="s">
        <v>342</v>
      </c>
      <c r="L610" s="2">
        <v>7558</v>
      </c>
      <c r="M610" s="3">
        <v>1</v>
      </c>
      <c r="N610" s="2">
        <v>7558</v>
      </c>
      <c r="O610" s="2">
        <v>756</v>
      </c>
      <c r="P610" s="2">
        <v>8314</v>
      </c>
      <c r="Q610" s="2">
        <f>P610*8.5%</f>
        <v>706.69</v>
      </c>
    </row>
    <row r="611" spans="1:17" hidden="1" x14ac:dyDescent="0.4">
      <c r="A611" s="4" t="s">
        <v>146</v>
      </c>
      <c r="B611" s="4" t="s">
        <v>26</v>
      </c>
      <c r="C611" s="32" t="s">
        <v>436</v>
      </c>
      <c r="D611" s="4" t="s">
        <v>147</v>
      </c>
      <c r="E611" s="4" t="s">
        <v>28</v>
      </c>
      <c r="F611" s="4" t="s">
        <v>17</v>
      </c>
      <c r="G611" s="4" t="s">
        <v>18</v>
      </c>
      <c r="H611" s="4" t="s">
        <v>145</v>
      </c>
      <c r="I611" s="5" t="str">
        <f t="shared" si="9"/>
        <v>2025-03</v>
      </c>
      <c r="J611" s="4" t="s">
        <v>34</v>
      </c>
      <c r="K611" s="5" t="s">
        <v>342</v>
      </c>
      <c r="L611" s="2">
        <v>5189</v>
      </c>
      <c r="M611" s="3">
        <v>1</v>
      </c>
      <c r="N611" s="2">
        <v>5189</v>
      </c>
      <c r="O611" s="2">
        <v>519</v>
      </c>
      <c r="P611" s="2">
        <v>5708</v>
      </c>
      <c r="Q611" s="2">
        <f>P611*8.5%</f>
        <v>485.18</v>
      </c>
    </row>
    <row r="612" spans="1:17" hidden="1" x14ac:dyDescent="0.4">
      <c r="A612" s="4" t="s">
        <v>40</v>
      </c>
      <c r="B612" s="4" t="s">
        <v>26</v>
      </c>
      <c r="C612" s="32" t="s">
        <v>436</v>
      </c>
      <c r="D612" s="4" t="s">
        <v>41</v>
      </c>
      <c r="E612" s="4" t="s">
        <v>28</v>
      </c>
      <c r="F612" s="4" t="s">
        <v>17</v>
      </c>
      <c r="G612" s="4" t="s">
        <v>18</v>
      </c>
      <c r="H612" s="4" t="s">
        <v>145</v>
      </c>
      <c r="I612" s="5" t="str">
        <f t="shared" si="9"/>
        <v>2025-03</v>
      </c>
      <c r="J612" s="4" t="s">
        <v>34</v>
      </c>
      <c r="K612" s="5" t="s">
        <v>342</v>
      </c>
      <c r="L612" s="2">
        <v>17936</v>
      </c>
      <c r="M612" s="3">
        <v>2</v>
      </c>
      <c r="N612" s="2">
        <v>35872</v>
      </c>
      <c r="O612" s="2">
        <v>3587</v>
      </c>
      <c r="P612" s="2">
        <v>39459</v>
      </c>
      <c r="Q612" s="2">
        <f>P612*8.5%</f>
        <v>3354.0150000000003</v>
      </c>
    </row>
    <row r="613" spans="1:17" hidden="1" x14ac:dyDescent="0.4">
      <c r="A613" s="4" t="s">
        <v>42</v>
      </c>
      <c r="B613" s="4" t="s">
        <v>14</v>
      </c>
      <c r="C613" s="30" t="s">
        <v>434</v>
      </c>
      <c r="D613" s="4" t="s">
        <v>43</v>
      </c>
      <c r="E613" s="4" t="s">
        <v>44</v>
      </c>
      <c r="F613" s="4" t="s">
        <v>31</v>
      </c>
      <c r="G613" s="4" t="s">
        <v>18</v>
      </c>
      <c r="H613" s="4" t="s">
        <v>145</v>
      </c>
      <c r="I613" s="5" t="str">
        <f t="shared" si="9"/>
        <v>2025-03</v>
      </c>
      <c r="J613" s="4" t="s">
        <v>34</v>
      </c>
      <c r="K613" s="5" t="s">
        <v>342</v>
      </c>
      <c r="L613" s="2">
        <v>6800</v>
      </c>
      <c r="M613" s="3">
        <v>32.9</v>
      </c>
      <c r="N613" s="2">
        <v>223720</v>
      </c>
      <c r="O613" s="2">
        <v>0</v>
      </c>
      <c r="P613" s="2">
        <v>223720</v>
      </c>
      <c r="Q613" s="2">
        <f>P613*8.5%</f>
        <v>19016.2</v>
      </c>
    </row>
    <row r="614" spans="1:17" hidden="1" x14ac:dyDescent="0.4">
      <c r="A614" s="4" t="s">
        <v>13</v>
      </c>
      <c r="B614" s="4" t="s">
        <v>14</v>
      </c>
      <c r="C614" s="30" t="s">
        <v>434</v>
      </c>
      <c r="D614" s="4" t="s">
        <v>15</v>
      </c>
      <c r="E614" s="4" t="s">
        <v>16</v>
      </c>
      <c r="F614" s="4" t="s">
        <v>17</v>
      </c>
      <c r="G614" s="4" t="s">
        <v>18</v>
      </c>
      <c r="H614" s="4" t="s">
        <v>145</v>
      </c>
      <c r="I614" s="5" t="str">
        <f t="shared" si="9"/>
        <v>2025-03</v>
      </c>
      <c r="J614" s="4" t="s">
        <v>59</v>
      </c>
      <c r="K614" s="5" t="s">
        <v>343</v>
      </c>
      <c r="L614" s="2">
        <v>42000</v>
      </c>
      <c r="M614" s="3">
        <v>6</v>
      </c>
      <c r="N614" s="2">
        <v>252000</v>
      </c>
      <c r="O614" s="2">
        <v>25200</v>
      </c>
      <c r="P614" s="2">
        <v>277200</v>
      </c>
      <c r="Q614" s="2">
        <f>P614*12%</f>
        <v>33264</v>
      </c>
    </row>
    <row r="615" spans="1:17" hidden="1" x14ac:dyDescent="0.4">
      <c r="A615" s="4" t="s">
        <v>35</v>
      </c>
      <c r="B615" s="4" t="s">
        <v>14</v>
      </c>
      <c r="C615" s="30" t="s">
        <v>434</v>
      </c>
      <c r="D615" s="4" t="s">
        <v>36</v>
      </c>
      <c r="E615" s="4" t="s">
        <v>16</v>
      </c>
      <c r="F615" s="4" t="s">
        <v>17</v>
      </c>
      <c r="G615" s="4" t="s">
        <v>18</v>
      </c>
      <c r="H615" s="4" t="s">
        <v>145</v>
      </c>
      <c r="I615" s="5" t="str">
        <f t="shared" si="9"/>
        <v>2025-03</v>
      </c>
      <c r="J615" s="4" t="s">
        <v>59</v>
      </c>
      <c r="K615" s="5" t="s">
        <v>343</v>
      </c>
      <c r="L615" s="2">
        <v>116220</v>
      </c>
      <c r="M615" s="3">
        <v>1</v>
      </c>
      <c r="N615" s="2">
        <v>116220</v>
      </c>
      <c r="O615" s="2">
        <v>11622</v>
      </c>
      <c r="P615" s="2">
        <v>127842</v>
      </c>
      <c r="Q615" s="2">
        <f>P615*12%</f>
        <v>15341.039999999999</v>
      </c>
    </row>
    <row r="616" spans="1:17" hidden="1" x14ac:dyDescent="0.4">
      <c r="A616" s="4" t="s">
        <v>23</v>
      </c>
      <c r="B616" s="4" t="s">
        <v>14</v>
      </c>
      <c r="C616" s="31" t="s">
        <v>435</v>
      </c>
      <c r="D616" s="4" t="s">
        <v>24</v>
      </c>
      <c r="E616" s="4" t="s">
        <v>16</v>
      </c>
      <c r="F616" s="4" t="s">
        <v>17</v>
      </c>
      <c r="G616" s="4" t="s">
        <v>18</v>
      </c>
      <c r="H616" s="4" t="s">
        <v>145</v>
      </c>
      <c r="I616" s="5" t="str">
        <f t="shared" si="9"/>
        <v>2025-03</v>
      </c>
      <c r="J616" s="4" t="s">
        <v>59</v>
      </c>
      <c r="K616" s="5" t="s">
        <v>343</v>
      </c>
      <c r="L616" s="2">
        <v>54000</v>
      </c>
      <c r="M616" s="3">
        <v>3</v>
      </c>
      <c r="N616" s="2">
        <v>162000</v>
      </c>
      <c r="O616" s="2">
        <v>16200</v>
      </c>
      <c r="P616" s="2">
        <v>178200</v>
      </c>
      <c r="Q616" s="2">
        <f>P616*12%</f>
        <v>21384</v>
      </c>
    </row>
    <row r="617" spans="1:17" hidden="1" x14ac:dyDescent="0.4">
      <c r="A617" s="4" t="s">
        <v>51</v>
      </c>
      <c r="B617" s="4" t="s">
        <v>14</v>
      </c>
      <c r="C617" s="30" t="s">
        <v>434</v>
      </c>
      <c r="D617" s="4" t="s">
        <v>52</v>
      </c>
      <c r="E617" s="4" t="s">
        <v>16</v>
      </c>
      <c r="F617" s="4" t="s">
        <v>17</v>
      </c>
      <c r="G617" s="4" t="s">
        <v>18</v>
      </c>
      <c r="H617" s="4" t="s">
        <v>145</v>
      </c>
      <c r="I617" s="5" t="str">
        <f t="shared" si="9"/>
        <v>2025-03</v>
      </c>
      <c r="J617" s="4" t="s">
        <v>59</v>
      </c>
      <c r="K617" s="5" t="s">
        <v>343</v>
      </c>
      <c r="L617" s="2">
        <v>71250</v>
      </c>
      <c r="M617" s="3">
        <v>1</v>
      </c>
      <c r="N617" s="2">
        <v>71250</v>
      </c>
      <c r="O617" s="2">
        <v>7125</v>
      </c>
      <c r="P617" s="2">
        <v>78375</v>
      </c>
      <c r="Q617" s="2">
        <f>P617*12%</f>
        <v>9405</v>
      </c>
    </row>
    <row r="618" spans="1:17" x14ac:dyDescent="0.4">
      <c r="A618" s="4" t="s">
        <v>58</v>
      </c>
      <c r="B618" s="4" t="s">
        <v>14</v>
      </c>
      <c r="C618" s="30" t="s">
        <v>434</v>
      </c>
      <c r="D618" s="4" t="s">
        <v>36</v>
      </c>
      <c r="E618" s="4" t="s">
        <v>16</v>
      </c>
      <c r="F618" s="4" t="s">
        <v>17</v>
      </c>
      <c r="G618" s="4" t="s">
        <v>18</v>
      </c>
      <c r="H618" s="4" t="s">
        <v>148</v>
      </c>
      <c r="I618" s="5" t="str">
        <f t="shared" si="9"/>
        <v>2025-03</v>
      </c>
      <c r="J618" s="4" t="s">
        <v>20</v>
      </c>
      <c r="K618" s="5" t="s">
        <v>342</v>
      </c>
      <c r="L618" s="2">
        <v>120880</v>
      </c>
      <c r="M618" s="3">
        <v>1</v>
      </c>
      <c r="N618" s="2">
        <v>120880</v>
      </c>
      <c r="O618" s="2">
        <v>12088</v>
      </c>
      <c r="P618" s="2">
        <v>132968</v>
      </c>
      <c r="Q618" s="2">
        <f>P618*8.5%</f>
        <v>11302.28</v>
      </c>
    </row>
    <row r="619" spans="1:17" x14ac:dyDescent="0.4">
      <c r="A619" s="4" t="s">
        <v>13</v>
      </c>
      <c r="B619" s="4" t="s">
        <v>14</v>
      </c>
      <c r="C619" s="30" t="s">
        <v>434</v>
      </c>
      <c r="D619" s="4" t="s">
        <v>15</v>
      </c>
      <c r="E619" s="4" t="s">
        <v>16</v>
      </c>
      <c r="F619" s="4" t="s">
        <v>17</v>
      </c>
      <c r="G619" s="4" t="s">
        <v>18</v>
      </c>
      <c r="H619" s="4" t="s">
        <v>148</v>
      </c>
      <c r="I619" s="5" t="str">
        <f t="shared" si="9"/>
        <v>2025-03</v>
      </c>
      <c r="J619" s="4" t="s">
        <v>20</v>
      </c>
      <c r="K619" s="5" t="s">
        <v>342</v>
      </c>
      <c r="L619" s="2">
        <v>42000</v>
      </c>
      <c r="M619" s="3">
        <v>2</v>
      </c>
      <c r="N619" s="2">
        <v>84000</v>
      </c>
      <c r="O619" s="2">
        <v>8400</v>
      </c>
      <c r="P619" s="2">
        <v>92400</v>
      </c>
      <c r="Q619" s="2">
        <f>P619*8.5%</f>
        <v>7854.0000000000009</v>
      </c>
    </row>
    <row r="620" spans="1:17" x14ac:dyDescent="0.4">
      <c r="A620" s="4" t="s">
        <v>21</v>
      </c>
      <c r="B620" s="4" t="s">
        <v>14</v>
      </c>
      <c r="C620" s="31" t="s">
        <v>435</v>
      </c>
      <c r="D620" s="4" t="s">
        <v>22</v>
      </c>
      <c r="E620" s="4" t="s">
        <v>16</v>
      </c>
      <c r="F620" s="4" t="s">
        <v>17</v>
      </c>
      <c r="G620" s="4" t="s">
        <v>18</v>
      </c>
      <c r="H620" s="4" t="s">
        <v>148</v>
      </c>
      <c r="I620" s="5" t="str">
        <f t="shared" si="9"/>
        <v>2025-03</v>
      </c>
      <c r="J620" s="4" t="s">
        <v>20</v>
      </c>
      <c r="K620" s="5" t="s">
        <v>342</v>
      </c>
      <c r="L620" s="2">
        <v>54000</v>
      </c>
      <c r="M620" s="3">
        <v>2</v>
      </c>
      <c r="N620" s="2">
        <v>108000</v>
      </c>
      <c r="O620" s="2">
        <v>10800</v>
      </c>
      <c r="P620" s="2">
        <v>118800</v>
      </c>
      <c r="Q620" s="2">
        <f>P620*8.5%</f>
        <v>10098</v>
      </c>
    </row>
    <row r="621" spans="1:17" x14ac:dyDescent="0.4">
      <c r="A621" s="4" t="s">
        <v>23</v>
      </c>
      <c r="B621" s="4" t="s">
        <v>14</v>
      </c>
      <c r="C621" s="31" t="s">
        <v>435</v>
      </c>
      <c r="D621" s="4" t="s">
        <v>24</v>
      </c>
      <c r="E621" s="4" t="s">
        <v>16</v>
      </c>
      <c r="F621" s="4" t="s">
        <v>17</v>
      </c>
      <c r="G621" s="4" t="s">
        <v>18</v>
      </c>
      <c r="H621" s="4" t="s">
        <v>148</v>
      </c>
      <c r="I621" s="5" t="str">
        <f t="shared" si="9"/>
        <v>2025-03</v>
      </c>
      <c r="J621" s="4" t="s">
        <v>20</v>
      </c>
      <c r="K621" s="5" t="s">
        <v>342</v>
      </c>
      <c r="L621" s="2">
        <v>54000</v>
      </c>
      <c r="M621" s="3">
        <v>2</v>
      </c>
      <c r="N621" s="2">
        <v>108000</v>
      </c>
      <c r="O621" s="2">
        <v>10800</v>
      </c>
      <c r="P621" s="2">
        <v>118800</v>
      </c>
      <c r="Q621" s="2">
        <f>P621*8.5%</f>
        <v>10098</v>
      </c>
    </row>
    <row r="622" spans="1:17" x14ac:dyDescent="0.4">
      <c r="A622" s="4" t="s">
        <v>100</v>
      </c>
      <c r="B622" s="4" t="s">
        <v>26</v>
      </c>
      <c r="C622" s="32" t="s">
        <v>436</v>
      </c>
      <c r="D622" s="4" t="s">
        <v>101</v>
      </c>
      <c r="E622" s="4" t="s">
        <v>28</v>
      </c>
      <c r="F622" s="4" t="s">
        <v>17</v>
      </c>
      <c r="G622" s="4" t="s">
        <v>18</v>
      </c>
      <c r="H622" s="4" t="s">
        <v>148</v>
      </c>
      <c r="I622" s="5" t="str">
        <f t="shared" si="9"/>
        <v>2025-03</v>
      </c>
      <c r="J622" s="4" t="s">
        <v>20</v>
      </c>
      <c r="K622" s="5" t="s">
        <v>342</v>
      </c>
      <c r="L622" s="2">
        <v>5620</v>
      </c>
      <c r="M622" s="3">
        <v>4</v>
      </c>
      <c r="N622" s="2">
        <v>22480</v>
      </c>
      <c r="O622" s="2">
        <v>2248</v>
      </c>
      <c r="P622" s="2">
        <v>24728</v>
      </c>
      <c r="Q622" s="2">
        <f>P622*8.5%</f>
        <v>2101.88</v>
      </c>
    </row>
    <row r="623" spans="1:17" x14ac:dyDescent="0.4">
      <c r="A623" s="4" t="s">
        <v>56</v>
      </c>
      <c r="B623" s="4" t="s">
        <v>26</v>
      </c>
      <c r="C623" s="32" t="s">
        <v>436</v>
      </c>
      <c r="D623" s="4" t="s">
        <v>57</v>
      </c>
      <c r="E623" s="4" t="s">
        <v>44</v>
      </c>
      <c r="F623" s="4" t="s">
        <v>31</v>
      </c>
      <c r="G623" s="4" t="s">
        <v>18</v>
      </c>
      <c r="H623" s="4" t="s">
        <v>148</v>
      </c>
      <c r="I623" s="5" t="str">
        <f t="shared" si="9"/>
        <v>2025-03</v>
      </c>
      <c r="J623" s="4" t="s">
        <v>20</v>
      </c>
      <c r="K623" s="5" t="s">
        <v>342</v>
      </c>
      <c r="L623" s="2">
        <v>3491</v>
      </c>
      <c r="M623" s="3">
        <v>15</v>
      </c>
      <c r="N623" s="2">
        <v>52365</v>
      </c>
      <c r="O623" s="2">
        <v>0</v>
      </c>
      <c r="P623" s="2">
        <v>52365</v>
      </c>
      <c r="Q623" s="2">
        <f>P623*8.5%</f>
        <v>4451.0250000000005</v>
      </c>
    </row>
    <row r="624" spans="1:17" hidden="1" x14ac:dyDescent="0.4">
      <c r="A624" s="4" t="s">
        <v>13</v>
      </c>
      <c r="B624" s="4" t="s">
        <v>14</v>
      </c>
      <c r="C624" s="30" t="s">
        <v>434</v>
      </c>
      <c r="D624" s="4" t="s">
        <v>15</v>
      </c>
      <c r="E624" s="4" t="s">
        <v>16</v>
      </c>
      <c r="F624" s="4" t="s">
        <v>17</v>
      </c>
      <c r="G624" s="4" t="s">
        <v>18</v>
      </c>
      <c r="H624" s="4" t="s">
        <v>148</v>
      </c>
      <c r="I624" s="5" t="str">
        <f t="shared" si="9"/>
        <v>2025-03</v>
      </c>
      <c r="J624" s="4" t="s">
        <v>34</v>
      </c>
      <c r="K624" s="5" t="s">
        <v>342</v>
      </c>
      <c r="L624" s="2">
        <v>42000</v>
      </c>
      <c r="M624" s="3">
        <v>4</v>
      </c>
      <c r="N624" s="2">
        <v>168000</v>
      </c>
      <c r="O624" s="2">
        <v>16800</v>
      </c>
      <c r="P624" s="2">
        <v>184800</v>
      </c>
      <c r="Q624" s="2">
        <f>P624*8.5%</f>
        <v>15708.000000000002</v>
      </c>
    </row>
    <row r="625" spans="1:17" hidden="1" x14ac:dyDescent="0.4">
      <c r="A625" s="4" t="s">
        <v>21</v>
      </c>
      <c r="B625" s="4" t="s">
        <v>14</v>
      </c>
      <c r="C625" s="31" t="s">
        <v>435</v>
      </c>
      <c r="D625" s="4" t="s">
        <v>22</v>
      </c>
      <c r="E625" s="4" t="s">
        <v>16</v>
      </c>
      <c r="F625" s="4" t="s">
        <v>17</v>
      </c>
      <c r="G625" s="4" t="s">
        <v>18</v>
      </c>
      <c r="H625" s="4" t="s">
        <v>148</v>
      </c>
      <c r="I625" s="5" t="str">
        <f t="shared" si="9"/>
        <v>2025-03</v>
      </c>
      <c r="J625" s="4" t="s">
        <v>34</v>
      </c>
      <c r="K625" s="5" t="s">
        <v>342</v>
      </c>
      <c r="L625" s="2">
        <v>54000</v>
      </c>
      <c r="M625" s="3">
        <v>1</v>
      </c>
      <c r="N625" s="2">
        <v>54000</v>
      </c>
      <c r="O625" s="2">
        <v>5400</v>
      </c>
      <c r="P625" s="2">
        <v>59400</v>
      </c>
      <c r="Q625" s="2">
        <f>P625*8.5%</f>
        <v>5049</v>
      </c>
    </row>
    <row r="626" spans="1:17" hidden="1" x14ac:dyDescent="0.4">
      <c r="A626" s="4" t="s">
        <v>23</v>
      </c>
      <c r="B626" s="4" t="s">
        <v>14</v>
      </c>
      <c r="C626" s="31" t="s">
        <v>435</v>
      </c>
      <c r="D626" s="4" t="s">
        <v>24</v>
      </c>
      <c r="E626" s="4" t="s">
        <v>16</v>
      </c>
      <c r="F626" s="4" t="s">
        <v>17</v>
      </c>
      <c r="G626" s="4" t="s">
        <v>18</v>
      </c>
      <c r="H626" s="4" t="s">
        <v>148</v>
      </c>
      <c r="I626" s="5" t="str">
        <f t="shared" si="9"/>
        <v>2025-03</v>
      </c>
      <c r="J626" s="4" t="s">
        <v>34</v>
      </c>
      <c r="K626" s="5" t="s">
        <v>342</v>
      </c>
      <c r="L626" s="2">
        <v>54000</v>
      </c>
      <c r="M626" s="3">
        <v>3</v>
      </c>
      <c r="N626" s="2">
        <v>162000</v>
      </c>
      <c r="O626" s="2">
        <v>16200</v>
      </c>
      <c r="P626" s="2">
        <v>178200</v>
      </c>
      <c r="Q626" s="2">
        <f>P626*8.5%</f>
        <v>15147.000000000002</v>
      </c>
    </row>
    <row r="627" spans="1:17" hidden="1" x14ac:dyDescent="0.4">
      <c r="A627" s="4" t="s">
        <v>51</v>
      </c>
      <c r="B627" s="4" t="s">
        <v>14</v>
      </c>
      <c r="C627" s="30" t="s">
        <v>434</v>
      </c>
      <c r="D627" s="4" t="s">
        <v>52</v>
      </c>
      <c r="E627" s="4" t="s">
        <v>16</v>
      </c>
      <c r="F627" s="4" t="s">
        <v>17</v>
      </c>
      <c r="G627" s="4" t="s">
        <v>18</v>
      </c>
      <c r="H627" s="4" t="s">
        <v>148</v>
      </c>
      <c r="I627" s="5" t="str">
        <f t="shared" si="9"/>
        <v>2025-03</v>
      </c>
      <c r="J627" s="4" t="s">
        <v>34</v>
      </c>
      <c r="K627" s="5" t="s">
        <v>342</v>
      </c>
      <c r="L627" s="2">
        <v>71250</v>
      </c>
      <c r="M627" s="3">
        <v>1</v>
      </c>
      <c r="N627" s="2">
        <v>71250</v>
      </c>
      <c r="O627" s="2">
        <v>7125</v>
      </c>
      <c r="P627" s="2">
        <v>78375</v>
      </c>
      <c r="Q627" s="2">
        <f>P627*8.5%</f>
        <v>6661.8750000000009</v>
      </c>
    </row>
    <row r="628" spans="1:17" hidden="1" x14ac:dyDescent="0.4">
      <c r="A628" s="4" t="s">
        <v>77</v>
      </c>
      <c r="B628" s="4" t="s">
        <v>26</v>
      </c>
      <c r="C628" s="32" t="s">
        <v>436</v>
      </c>
      <c r="D628" s="4" t="s">
        <v>78</v>
      </c>
      <c r="E628" s="4" t="s">
        <v>28</v>
      </c>
      <c r="F628" s="4" t="s">
        <v>17</v>
      </c>
      <c r="G628" s="4" t="s">
        <v>18</v>
      </c>
      <c r="H628" s="4" t="s">
        <v>148</v>
      </c>
      <c r="I628" s="5" t="str">
        <f t="shared" si="9"/>
        <v>2025-03</v>
      </c>
      <c r="J628" s="4" t="s">
        <v>34</v>
      </c>
      <c r="K628" s="5" t="s">
        <v>342</v>
      </c>
      <c r="L628" s="2">
        <v>15544</v>
      </c>
      <c r="M628" s="3">
        <v>1</v>
      </c>
      <c r="N628" s="2">
        <v>15544</v>
      </c>
      <c r="O628" s="2">
        <v>1554</v>
      </c>
      <c r="P628" s="2">
        <v>17098</v>
      </c>
      <c r="Q628" s="2">
        <f>P628*8.5%</f>
        <v>1453.3300000000002</v>
      </c>
    </row>
    <row r="629" spans="1:17" hidden="1" x14ac:dyDescent="0.4">
      <c r="A629" s="4" t="s">
        <v>42</v>
      </c>
      <c r="B629" s="4" t="s">
        <v>14</v>
      </c>
      <c r="C629" s="30" t="s">
        <v>434</v>
      </c>
      <c r="D629" s="4" t="s">
        <v>43</v>
      </c>
      <c r="E629" s="4" t="s">
        <v>44</v>
      </c>
      <c r="F629" s="4" t="s">
        <v>31</v>
      </c>
      <c r="G629" s="4" t="s">
        <v>18</v>
      </c>
      <c r="H629" s="4" t="s">
        <v>148</v>
      </c>
      <c r="I629" s="5" t="str">
        <f t="shared" si="9"/>
        <v>2025-03</v>
      </c>
      <c r="J629" s="4" t="s">
        <v>34</v>
      </c>
      <c r="K629" s="5" t="s">
        <v>342</v>
      </c>
      <c r="L629" s="2">
        <v>6800</v>
      </c>
      <c r="M629" s="3">
        <v>67.7</v>
      </c>
      <c r="N629" s="2">
        <v>460360</v>
      </c>
      <c r="O629" s="2">
        <v>0</v>
      </c>
      <c r="P629" s="2">
        <v>460360</v>
      </c>
      <c r="Q629" s="2">
        <f>P629*8.5%</f>
        <v>39130.600000000006</v>
      </c>
    </row>
    <row r="630" spans="1:17" hidden="1" x14ac:dyDescent="0.4">
      <c r="A630" s="4" t="s">
        <v>13</v>
      </c>
      <c r="B630" s="4" t="s">
        <v>14</v>
      </c>
      <c r="C630" s="30" t="s">
        <v>434</v>
      </c>
      <c r="D630" s="4" t="s">
        <v>15</v>
      </c>
      <c r="E630" s="4" t="s">
        <v>16</v>
      </c>
      <c r="F630" s="4" t="s">
        <v>17</v>
      </c>
      <c r="G630" s="4" t="s">
        <v>18</v>
      </c>
      <c r="H630" s="4" t="s">
        <v>148</v>
      </c>
      <c r="I630" s="5" t="str">
        <f t="shared" si="9"/>
        <v>2025-03</v>
      </c>
      <c r="J630" s="4" t="s">
        <v>59</v>
      </c>
      <c r="K630" s="5" t="s">
        <v>343</v>
      </c>
      <c r="L630" s="2">
        <v>42000</v>
      </c>
      <c r="M630" s="3">
        <v>4</v>
      </c>
      <c r="N630" s="2">
        <v>168000</v>
      </c>
      <c r="O630" s="2">
        <v>16800</v>
      </c>
      <c r="P630" s="2">
        <v>184800</v>
      </c>
      <c r="Q630" s="2">
        <f>P630*12%</f>
        <v>22176</v>
      </c>
    </row>
    <row r="631" spans="1:17" hidden="1" x14ac:dyDescent="0.4">
      <c r="A631" s="4" t="s">
        <v>23</v>
      </c>
      <c r="B631" s="4" t="s">
        <v>14</v>
      </c>
      <c r="C631" s="31" t="s">
        <v>435</v>
      </c>
      <c r="D631" s="4" t="s">
        <v>24</v>
      </c>
      <c r="E631" s="4" t="s">
        <v>16</v>
      </c>
      <c r="F631" s="4" t="s">
        <v>17</v>
      </c>
      <c r="G631" s="4" t="s">
        <v>18</v>
      </c>
      <c r="H631" s="4" t="s">
        <v>148</v>
      </c>
      <c r="I631" s="5" t="str">
        <f t="shared" si="9"/>
        <v>2025-03</v>
      </c>
      <c r="J631" s="4" t="s">
        <v>59</v>
      </c>
      <c r="K631" s="5" t="s">
        <v>343</v>
      </c>
      <c r="L631" s="2">
        <v>54000</v>
      </c>
      <c r="M631" s="3">
        <v>1</v>
      </c>
      <c r="N631" s="2">
        <v>54000</v>
      </c>
      <c r="O631" s="2">
        <v>5400</v>
      </c>
      <c r="P631" s="2">
        <v>59400</v>
      </c>
      <c r="Q631" s="2">
        <f>P631*12%</f>
        <v>7128</v>
      </c>
    </row>
    <row r="632" spans="1:17" hidden="1" x14ac:dyDescent="0.4">
      <c r="A632" s="4" t="s">
        <v>39</v>
      </c>
      <c r="B632" s="4" t="s">
        <v>26</v>
      </c>
      <c r="C632" s="32" t="s">
        <v>436</v>
      </c>
      <c r="D632" s="4" t="s">
        <v>27</v>
      </c>
      <c r="E632" s="4" t="s">
        <v>28</v>
      </c>
      <c r="F632" s="4" t="s">
        <v>17</v>
      </c>
      <c r="G632" s="4" t="s">
        <v>18</v>
      </c>
      <c r="H632" s="4" t="s">
        <v>148</v>
      </c>
      <c r="I632" s="5" t="str">
        <f t="shared" si="9"/>
        <v>2025-03</v>
      </c>
      <c r="J632" s="4" t="s">
        <v>59</v>
      </c>
      <c r="K632" s="5" t="s">
        <v>343</v>
      </c>
      <c r="L632" s="2">
        <v>3719</v>
      </c>
      <c r="M632" s="3">
        <v>6</v>
      </c>
      <c r="N632" s="2">
        <v>22314</v>
      </c>
      <c r="O632" s="2">
        <v>2231</v>
      </c>
      <c r="P632" s="2">
        <v>24545</v>
      </c>
      <c r="Q632" s="2">
        <f>P632*12%</f>
        <v>2945.4</v>
      </c>
    </row>
    <row r="633" spans="1:17" hidden="1" x14ac:dyDescent="0.4">
      <c r="A633" s="4" t="s">
        <v>32</v>
      </c>
      <c r="B633" s="4" t="s">
        <v>14</v>
      </c>
      <c r="C633" s="31" t="s">
        <v>435</v>
      </c>
      <c r="D633" s="4" t="s">
        <v>33</v>
      </c>
      <c r="E633" s="4" t="s">
        <v>16</v>
      </c>
      <c r="F633" s="4" t="s">
        <v>17</v>
      </c>
      <c r="G633" s="4" t="s">
        <v>18</v>
      </c>
      <c r="H633" s="4" t="s">
        <v>148</v>
      </c>
      <c r="I633" s="5" t="str">
        <f t="shared" si="9"/>
        <v>2025-03</v>
      </c>
      <c r="J633" s="4" t="s">
        <v>50</v>
      </c>
      <c r="K633" s="5" t="s">
        <v>343</v>
      </c>
      <c r="L633" s="2">
        <v>44000</v>
      </c>
      <c r="M633" s="3">
        <v>1</v>
      </c>
      <c r="N633" s="2">
        <v>44000</v>
      </c>
      <c r="O633" s="2">
        <v>4400</v>
      </c>
      <c r="P633" s="2">
        <v>48400</v>
      </c>
      <c r="Q633" s="2">
        <f>P633*12%</f>
        <v>5808</v>
      </c>
    </row>
    <row r="634" spans="1:17" hidden="1" x14ac:dyDescent="0.4">
      <c r="A634" s="4" t="s">
        <v>13</v>
      </c>
      <c r="B634" s="4" t="s">
        <v>14</v>
      </c>
      <c r="C634" s="30" t="s">
        <v>434</v>
      </c>
      <c r="D634" s="4" t="s">
        <v>15</v>
      </c>
      <c r="E634" s="4" t="s">
        <v>16</v>
      </c>
      <c r="F634" s="4" t="s">
        <v>17</v>
      </c>
      <c r="G634" s="4" t="s">
        <v>18</v>
      </c>
      <c r="H634" s="4" t="s">
        <v>148</v>
      </c>
      <c r="I634" s="5" t="str">
        <f t="shared" si="9"/>
        <v>2025-03</v>
      </c>
      <c r="J634" s="4" t="s">
        <v>50</v>
      </c>
      <c r="K634" s="5" t="s">
        <v>343</v>
      </c>
      <c r="L634" s="2">
        <v>42000</v>
      </c>
      <c r="M634" s="3">
        <v>12</v>
      </c>
      <c r="N634" s="2">
        <v>504000</v>
      </c>
      <c r="O634" s="2">
        <v>50400</v>
      </c>
      <c r="P634" s="2">
        <v>554400</v>
      </c>
      <c r="Q634" s="2">
        <f>P634*12%</f>
        <v>66528</v>
      </c>
    </row>
    <row r="635" spans="1:17" hidden="1" x14ac:dyDescent="0.4">
      <c r="A635" s="4" t="s">
        <v>23</v>
      </c>
      <c r="B635" s="4" t="s">
        <v>14</v>
      </c>
      <c r="C635" s="31" t="s">
        <v>435</v>
      </c>
      <c r="D635" s="4" t="s">
        <v>24</v>
      </c>
      <c r="E635" s="4" t="s">
        <v>16</v>
      </c>
      <c r="F635" s="4" t="s">
        <v>17</v>
      </c>
      <c r="G635" s="4" t="s">
        <v>18</v>
      </c>
      <c r="H635" s="4" t="s">
        <v>148</v>
      </c>
      <c r="I635" s="5" t="str">
        <f t="shared" si="9"/>
        <v>2025-03</v>
      </c>
      <c r="J635" s="4" t="s">
        <v>50</v>
      </c>
      <c r="K635" s="5" t="s">
        <v>343</v>
      </c>
      <c r="L635" s="2">
        <v>54000</v>
      </c>
      <c r="M635" s="3">
        <v>7</v>
      </c>
      <c r="N635" s="2">
        <v>378000</v>
      </c>
      <c r="O635" s="2">
        <v>37800</v>
      </c>
      <c r="P635" s="2">
        <v>415800</v>
      </c>
      <c r="Q635" s="2">
        <f>P635*12%</f>
        <v>49896</v>
      </c>
    </row>
    <row r="636" spans="1:17" hidden="1" x14ac:dyDescent="0.4">
      <c r="A636" s="4" t="s">
        <v>51</v>
      </c>
      <c r="B636" s="4" t="s">
        <v>14</v>
      </c>
      <c r="C636" s="30" t="s">
        <v>434</v>
      </c>
      <c r="D636" s="4" t="s">
        <v>52</v>
      </c>
      <c r="E636" s="4" t="s">
        <v>16</v>
      </c>
      <c r="F636" s="4" t="s">
        <v>17</v>
      </c>
      <c r="G636" s="4" t="s">
        <v>18</v>
      </c>
      <c r="H636" s="4" t="s">
        <v>148</v>
      </c>
      <c r="I636" s="5" t="str">
        <f t="shared" si="9"/>
        <v>2025-03</v>
      </c>
      <c r="J636" s="4" t="s">
        <v>50</v>
      </c>
      <c r="K636" s="5" t="s">
        <v>343</v>
      </c>
      <c r="L636" s="2">
        <v>71250</v>
      </c>
      <c r="M636" s="3">
        <v>2</v>
      </c>
      <c r="N636" s="2">
        <v>142500</v>
      </c>
      <c r="O636" s="2">
        <v>14250</v>
      </c>
      <c r="P636" s="2">
        <v>156750</v>
      </c>
      <c r="Q636" s="2">
        <f>P636*12%</f>
        <v>18810</v>
      </c>
    </row>
    <row r="637" spans="1:17" x14ac:dyDescent="0.4">
      <c r="A637" s="4" t="s">
        <v>13</v>
      </c>
      <c r="B637" s="4" t="s">
        <v>14</v>
      </c>
      <c r="C637" s="30" t="s">
        <v>434</v>
      </c>
      <c r="D637" s="4" t="s">
        <v>15</v>
      </c>
      <c r="E637" s="4" t="s">
        <v>16</v>
      </c>
      <c r="F637" s="4" t="s">
        <v>17</v>
      </c>
      <c r="G637" s="4" t="s">
        <v>18</v>
      </c>
      <c r="H637" s="4" t="s">
        <v>149</v>
      </c>
      <c r="I637" s="5" t="str">
        <f t="shared" si="9"/>
        <v>2025-04</v>
      </c>
      <c r="J637" s="4" t="s">
        <v>20</v>
      </c>
      <c r="K637" s="5" t="s">
        <v>342</v>
      </c>
      <c r="L637" s="2">
        <v>42000</v>
      </c>
      <c r="M637" s="3">
        <v>2</v>
      </c>
      <c r="N637" s="2">
        <v>84000</v>
      </c>
      <c r="O637" s="2">
        <v>8400</v>
      </c>
      <c r="P637" s="2">
        <v>92400</v>
      </c>
      <c r="Q637" s="2">
        <f>P637*8.5%</f>
        <v>7854.0000000000009</v>
      </c>
    </row>
    <row r="638" spans="1:17" x14ac:dyDescent="0.4">
      <c r="A638" s="4" t="s">
        <v>21</v>
      </c>
      <c r="B638" s="4" t="s">
        <v>14</v>
      </c>
      <c r="C638" s="31" t="s">
        <v>435</v>
      </c>
      <c r="D638" s="4" t="s">
        <v>22</v>
      </c>
      <c r="E638" s="4" t="s">
        <v>16</v>
      </c>
      <c r="F638" s="4" t="s">
        <v>17</v>
      </c>
      <c r="G638" s="4" t="s">
        <v>18</v>
      </c>
      <c r="H638" s="4" t="s">
        <v>149</v>
      </c>
      <c r="I638" s="5" t="str">
        <f t="shared" si="9"/>
        <v>2025-04</v>
      </c>
      <c r="J638" s="4" t="s">
        <v>20</v>
      </c>
      <c r="K638" s="5" t="s">
        <v>342</v>
      </c>
      <c r="L638" s="2">
        <v>54000</v>
      </c>
      <c r="M638" s="3">
        <v>2</v>
      </c>
      <c r="N638" s="2">
        <v>108000</v>
      </c>
      <c r="O638" s="2">
        <v>10800</v>
      </c>
      <c r="P638" s="2">
        <v>118800</v>
      </c>
      <c r="Q638" s="2">
        <f>P638*8.5%</f>
        <v>10098</v>
      </c>
    </row>
    <row r="639" spans="1:17" x14ac:dyDescent="0.4">
      <c r="A639" s="4" t="s">
        <v>23</v>
      </c>
      <c r="B639" s="4" t="s">
        <v>14</v>
      </c>
      <c r="C639" s="31" t="s">
        <v>435</v>
      </c>
      <c r="D639" s="4" t="s">
        <v>24</v>
      </c>
      <c r="E639" s="4" t="s">
        <v>16</v>
      </c>
      <c r="F639" s="4" t="s">
        <v>17</v>
      </c>
      <c r="G639" s="4" t="s">
        <v>18</v>
      </c>
      <c r="H639" s="4" t="s">
        <v>149</v>
      </c>
      <c r="I639" s="5" t="str">
        <f t="shared" si="9"/>
        <v>2025-04</v>
      </c>
      <c r="J639" s="4" t="s">
        <v>20</v>
      </c>
      <c r="K639" s="5" t="s">
        <v>342</v>
      </c>
      <c r="L639" s="2">
        <v>54000</v>
      </c>
      <c r="M639" s="3">
        <v>2</v>
      </c>
      <c r="N639" s="2">
        <v>108000</v>
      </c>
      <c r="O639" s="2">
        <v>10800</v>
      </c>
      <c r="P639" s="2">
        <v>118800</v>
      </c>
      <c r="Q639" s="2">
        <f>P639*8.5%</f>
        <v>10098</v>
      </c>
    </row>
    <row r="640" spans="1:17" x14ac:dyDescent="0.4">
      <c r="A640" s="4" t="s">
        <v>56</v>
      </c>
      <c r="B640" s="4" t="s">
        <v>26</v>
      </c>
      <c r="C640" s="32" t="s">
        <v>436</v>
      </c>
      <c r="D640" s="4" t="s">
        <v>57</v>
      </c>
      <c r="E640" s="4" t="s">
        <v>44</v>
      </c>
      <c r="F640" s="4" t="s">
        <v>31</v>
      </c>
      <c r="G640" s="4" t="s">
        <v>18</v>
      </c>
      <c r="H640" s="4" t="s">
        <v>149</v>
      </c>
      <c r="I640" s="5" t="str">
        <f t="shared" si="9"/>
        <v>2025-04</v>
      </c>
      <c r="J640" s="4" t="s">
        <v>20</v>
      </c>
      <c r="K640" s="5" t="s">
        <v>342</v>
      </c>
      <c r="L640" s="2">
        <v>3240</v>
      </c>
      <c r="M640" s="3">
        <v>15</v>
      </c>
      <c r="N640" s="2">
        <v>48600</v>
      </c>
      <c r="O640" s="2">
        <v>0</v>
      </c>
      <c r="P640" s="2">
        <v>48600</v>
      </c>
      <c r="Q640" s="2">
        <f>P640*8.5%</f>
        <v>4131</v>
      </c>
    </row>
    <row r="641" spans="1:17" hidden="1" x14ac:dyDescent="0.4">
      <c r="A641" s="4" t="s">
        <v>150</v>
      </c>
      <c r="B641" s="4" t="s">
        <v>65</v>
      </c>
      <c r="C641" s="32" t="s">
        <v>436</v>
      </c>
      <c r="D641" s="4" t="s">
        <v>151</v>
      </c>
      <c r="E641" s="4" t="s">
        <v>16</v>
      </c>
      <c r="F641" s="4" t="s">
        <v>17</v>
      </c>
      <c r="G641" s="4" t="s">
        <v>18</v>
      </c>
      <c r="H641" s="4" t="s">
        <v>149</v>
      </c>
      <c r="I641" s="5" t="str">
        <f t="shared" si="9"/>
        <v>2025-04</v>
      </c>
      <c r="J641" s="4" t="s">
        <v>34</v>
      </c>
      <c r="K641" s="5" t="s">
        <v>342</v>
      </c>
      <c r="L641" s="2">
        <v>8370</v>
      </c>
      <c r="M641" s="3">
        <v>1</v>
      </c>
      <c r="N641" s="2">
        <v>8370</v>
      </c>
      <c r="O641" s="2">
        <v>837</v>
      </c>
      <c r="P641" s="2">
        <v>9207</v>
      </c>
      <c r="Q641" s="2">
        <f>P641*8.5%</f>
        <v>782.59500000000003</v>
      </c>
    </row>
    <row r="642" spans="1:17" hidden="1" x14ac:dyDescent="0.4">
      <c r="A642" s="4" t="s">
        <v>64</v>
      </c>
      <c r="B642" s="4" t="s">
        <v>65</v>
      </c>
      <c r="C642" s="32" t="s">
        <v>436</v>
      </c>
      <c r="D642" s="4" t="s">
        <v>66</v>
      </c>
      <c r="E642" s="4" t="s">
        <v>16</v>
      </c>
      <c r="F642" s="4" t="s">
        <v>17</v>
      </c>
      <c r="G642" s="4" t="s">
        <v>18</v>
      </c>
      <c r="H642" s="4" t="s">
        <v>149</v>
      </c>
      <c r="I642" s="5" t="str">
        <f t="shared" ref="I642:I705" si="10">TEXT(H642,"yyyy-mm")</f>
        <v>2025-04</v>
      </c>
      <c r="J642" s="4" t="s">
        <v>34</v>
      </c>
      <c r="K642" s="5" t="s">
        <v>342</v>
      </c>
      <c r="L642" s="2">
        <v>10283</v>
      </c>
      <c r="M642" s="3">
        <v>1</v>
      </c>
      <c r="N642" s="2">
        <v>10283</v>
      </c>
      <c r="O642" s="2">
        <v>1028</v>
      </c>
      <c r="P642" s="2">
        <v>11311</v>
      </c>
      <c r="Q642" s="2">
        <f>P642*8.5%</f>
        <v>961.43500000000006</v>
      </c>
    </row>
    <row r="643" spans="1:17" hidden="1" x14ac:dyDescent="0.4">
      <c r="A643" s="4" t="s">
        <v>32</v>
      </c>
      <c r="B643" s="4" t="s">
        <v>14</v>
      </c>
      <c r="C643" s="31" t="s">
        <v>435</v>
      </c>
      <c r="D643" s="4" t="s">
        <v>33</v>
      </c>
      <c r="E643" s="4" t="s">
        <v>16</v>
      </c>
      <c r="F643" s="4" t="s">
        <v>17</v>
      </c>
      <c r="G643" s="4" t="s">
        <v>18</v>
      </c>
      <c r="H643" s="4" t="s">
        <v>149</v>
      </c>
      <c r="I643" s="5" t="str">
        <f t="shared" si="10"/>
        <v>2025-04</v>
      </c>
      <c r="J643" s="4" t="s">
        <v>34</v>
      </c>
      <c r="K643" s="5" t="s">
        <v>342</v>
      </c>
      <c r="L643" s="2">
        <v>44000</v>
      </c>
      <c r="M643" s="3">
        <v>1</v>
      </c>
      <c r="N643" s="2">
        <v>44000</v>
      </c>
      <c r="O643" s="2">
        <v>4400</v>
      </c>
      <c r="P643" s="2">
        <v>48400</v>
      </c>
      <c r="Q643" s="2">
        <f>P643*8.5%</f>
        <v>4114</v>
      </c>
    </row>
    <row r="644" spans="1:17" hidden="1" x14ac:dyDescent="0.4">
      <c r="A644" s="4" t="s">
        <v>58</v>
      </c>
      <c r="B644" s="4" t="s">
        <v>14</v>
      </c>
      <c r="C644" s="30" t="s">
        <v>434</v>
      </c>
      <c r="D644" s="4" t="s">
        <v>36</v>
      </c>
      <c r="E644" s="4" t="s">
        <v>16</v>
      </c>
      <c r="F644" s="4" t="s">
        <v>17</v>
      </c>
      <c r="G644" s="4" t="s">
        <v>18</v>
      </c>
      <c r="H644" s="4" t="s">
        <v>149</v>
      </c>
      <c r="I644" s="5" t="str">
        <f t="shared" si="10"/>
        <v>2025-04</v>
      </c>
      <c r="J644" s="4" t="s">
        <v>34</v>
      </c>
      <c r="K644" s="5" t="s">
        <v>342</v>
      </c>
      <c r="L644" s="2">
        <v>120880</v>
      </c>
      <c r="M644" s="3">
        <v>1</v>
      </c>
      <c r="N644" s="2">
        <v>120880</v>
      </c>
      <c r="O644" s="2">
        <v>12088</v>
      </c>
      <c r="P644" s="2">
        <v>132968</v>
      </c>
      <c r="Q644" s="2">
        <f>P644*8.5%</f>
        <v>11302.28</v>
      </c>
    </row>
    <row r="645" spans="1:17" hidden="1" x14ac:dyDescent="0.4">
      <c r="A645" s="4" t="s">
        <v>13</v>
      </c>
      <c r="B645" s="4" t="s">
        <v>14</v>
      </c>
      <c r="C645" s="30" t="s">
        <v>434</v>
      </c>
      <c r="D645" s="4" t="s">
        <v>15</v>
      </c>
      <c r="E645" s="4" t="s">
        <v>16</v>
      </c>
      <c r="F645" s="4" t="s">
        <v>17</v>
      </c>
      <c r="G645" s="4" t="s">
        <v>18</v>
      </c>
      <c r="H645" s="4" t="s">
        <v>149</v>
      </c>
      <c r="I645" s="5" t="str">
        <f t="shared" si="10"/>
        <v>2025-04</v>
      </c>
      <c r="J645" s="4" t="s">
        <v>34</v>
      </c>
      <c r="K645" s="5" t="s">
        <v>342</v>
      </c>
      <c r="L645" s="2">
        <v>42000</v>
      </c>
      <c r="M645" s="3">
        <v>5</v>
      </c>
      <c r="N645" s="2">
        <v>210000</v>
      </c>
      <c r="O645" s="2">
        <v>21000</v>
      </c>
      <c r="P645" s="2">
        <v>231000</v>
      </c>
      <c r="Q645" s="2">
        <f>P645*8.5%</f>
        <v>19635</v>
      </c>
    </row>
    <row r="646" spans="1:17" hidden="1" x14ac:dyDescent="0.4">
      <c r="A646" s="4" t="s">
        <v>35</v>
      </c>
      <c r="B646" s="4" t="s">
        <v>14</v>
      </c>
      <c r="C646" s="30" t="s">
        <v>434</v>
      </c>
      <c r="D646" s="4" t="s">
        <v>36</v>
      </c>
      <c r="E646" s="4" t="s">
        <v>16</v>
      </c>
      <c r="F646" s="4" t="s">
        <v>17</v>
      </c>
      <c r="G646" s="4" t="s">
        <v>18</v>
      </c>
      <c r="H646" s="4" t="s">
        <v>149</v>
      </c>
      <c r="I646" s="5" t="str">
        <f t="shared" si="10"/>
        <v>2025-04</v>
      </c>
      <c r="J646" s="4" t="s">
        <v>34</v>
      </c>
      <c r="K646" s="5" t="s">
        <v>342</v>
      </c>
      <c r="L646" s="2">
        <v>116220</v>
      </c>
      <c r="M646" s="3">
        <v>1</v>
      </c>
      <c r="N646" s="2">
        <v>116220</v>
      </c>
      <c r="O646" s="2">
        <v>11622</v>
      </c>
      <c r="P646" s="2">
        <v>127842</v>
      </c>
      <c r="Q646" s="2">
        <f>P646*8.5%</f>
        <v>10866.570000000002</v>
      </c>
    </row>
    <row r="647" spans="1:17" hidden="1" x14ac:dyDescent="0.4">
      <c r="A647" s="4" t="s">
        <v>51</v>
      </c>
      <c r="B647" s="4" t="s">
        <v>14</v>
      </c>
      <c r="C647" s="30" t="s">
        <v>434</v>
      </c>
      <c r="D647" s="4" t="s">
        <v>52</v>
      </c>
      <c r="E647" s="4" t="s">
        <v>16</v>
      </c>
      <c r="F647" s="4" t="s">
        <v>17</v>
      </c>
      <c r="G647" s="4" t="s">
        <v>18</v>
      </c>
      <c r="H647" s="4" t="s">
        <v>149</v>
      </c>
      <c r="I647" s="5" t="str">
        <f t="shared" si="10"/>
        <v>2025-04</v>
      </c>
      <c r="J647" s="4" t="s">
        <v>34</v>
      </c>
      <c r="K647" s="5" t="s">
        <v>342</v>
      </c>
      <c r="L647" s="2">
        <v>71250</v>
      </c>
      <c r="M647" s="3">
        <v>1</v>
      </c>
      <c r="N647" s="2">
        <v>71250</v>
      </c>
      <c r="O647" s="2">
        <v>7125</v>
      </c>
      <c r="P647" s="2">
        <v>78375</v>
      </c>
      <c r="Q647" s="2">
        <f>P647*8.5%</f>
        <v>6661.8750000000009</v>
      </c>
    </row>
    <row r="648" spans="1:17" hidden="1" x14ac:dyDescent="0.4">
      <c r="A648" s="4" t="s">
        <v>84</v>
      </c>
      <c r="B648" s="4" t="s">
        <v>26</v>
      </c>
      <c r="C648" s="32" t="s">
        <v>436</v>
      </c>
      <c r="D648" s="4" t="s">
        <v>85</v>
      </c>
      <c r="E648" s="4" t="s">
        <v>28</v>
      </c>
      <c r="F648" s="4" t="s">
        <v>17</v>
      </c>
      <c r="G648" s="4" t="s">
        <v>18</v>
      </c>
      <c r="H648" s="4" t="s">
        <v>149</v>
      </c>
      <c r="I648" s="5" t="str">
        <f t="shared" si="10"/>
        <v>2025-04</v>
      </c>
      <c r="J648" s="4" t="s">
        <v>34</v>
      </c>
      <c r="K648" s="5" t="s">
        <v>342</v>
      </c>
      <c r="L648" s="2">
        <v>5032</v>
      </c>
      <c r="M648" s="3">
        <v>1</v>
      </c>
      <c r="N648" s="2">
        <v>5032</v>
      </c>
      <c r="O648" s="2">
        <v>503</v>
      </c>
      <c r="P648" s="2">
        <v>5535</v>
      </c>
      <c r="Q648" s="2">
        <f>P648*8.5%</f>
        <v>470.47500000000002</v>
      </c>
    </row>
    <row r="649" spans="1:17" hidden="1" x14ac:dyDescent="0.4">
      <c r="A649" s="4" t="s">
        <v>73</v>
      </c>
      <c r="B649" s="4" t="s">
        <v>26</v>
      </c>
      <c r="C649" s="32" t="s">
        <v>436</v>
      </c>
      <c r="D649" s="4" t="s">
        <v>57</v>
      </c>
      <c r="E649" s="4" t="s">
        <v>28</v>
      </c>
      <c r="F649" s="4" t="s">
        <v>17</v>
      </c>
      <c r="G649" s="4" t="s">
        <v>18</v>
      </c>
      <c r="H649" s="4" t="s">
        <v>149</v>
      </c>
      <c r="I649" s="5" t="str">
        <f t="shared" si="10"/>
        <v>2025-04</v>
      </c>
      <c r="J649" s="4" t="s">
        <v>34</v>
      </c>
      <c r="K649" s="5" t="s">
        <v>342</v>
      </c>
      <c r="L649" s="2">
        <v>7055</v>
      </c>
      <c r="M649" s="3">
        <v>2</v>
      </c>
      <c r="N649" s="2">
        <v>14110</v>
      </c>
      <c r="O649" s="2">
        <v>1411</v>
      </c>
      <c r="P649" s="2">
        <v>15521</v>
      </c>
      <c r="Q649" s="2">
        <f>P649*8.5%</f>
        <v>1319.2850000000001</v>
      </c>
    </row>
    <row r="650" spans="1:17" hidden="1" x14ac:dyDescent="0.4">
      <c r="A650" s="4" t="s">
        <v>42</v>
      </c>
      <c r="B650" s="4" t="s">
        <v>14</v>
      </c>
      <c r="C650" s="30" t="s">
        <v>434</v>
      </c>
      <c r="D650" s="4" t="s">
        <v>43</v>
      </c>
      <c r="E650" s="4" t="s">
        <v>44</v>
      </c>
      <c r="F650" s="4" t="s">
        <v>31</v>
      </c>
      <c r="G650" s="4" t="s">
        <v>18</v>
      </c>
      <c r="H650" s="4" t="s">
        <v>149</v>
      </c>
      <c r="I650" s="5" t="str">
        <f t="shared" si="10"/>
        <v>2025-04</v>
      </c>
      <c r="J650" s="4" t="s">
        <v>34</v>
      </c>
      <c r="K650" s="5" t="s">
        <v>342</v>
      </c>
      <c r="L650" s="2">
        <v>6800</v>
      </c>
      <c r="M650" s="3">
        <v>64.400000000000006</v>
      </c>
      <c r="N650" s="2">
        <v>437920</v>
      </c>
      <c r="O650" s="2">
        <v>0</v>
      </c>
      <c r="P650" s="2">
        <v>437920</v>
      </c>
      <c r="Q650" s="2">
        <f>P650*8.5%</f>
        <v>37223.200000000004</v>
      </c>
    </row>
    <row r="651" spans="1:17" hidden="1" x14ac:dyDescent="0.4">
      <c r="A651" s="4" t="s">
        <v>32</v>
      </c>
      <c r="B651" s="4" t="s">
        <v>14</v>
      </c>
      <c r="C651" s="31" t="s">
        <v>435</v>
      </c>
      <c r="D651" s="4" t="s">
        <v>33</v>
      </c>
      <c r="E651" s="4" t="s">
        <v>16</v>
      </c>
      <c r="F651" s="4" t="s">
        <v>17</v>
      </c>
      <c r="G651" s="4" t="s">
        <v>18</v>
      </c>
      <c r="H651" s="4" t="s">
        <v>149</v>
      </c>
      <c r="I651" s="5" t="str">
        <f t="shared" si="10"/>
        <v>2025-04</v>
      </c>
      <c r="J651" s="4" t="s">
        <v>49</v>
      </c>
      <c r="K651" s="5" t="s">
        <v>343</v>
      </c>
      <c r="L651" s="2">
        <v>44000</v>
      </c>
      <c r="M651" s="3">
        <v>7</v>
      </c>
      <c r="N651" s="2">
        <v>308000</v>
      </c>
      <c r="O651" s="2">
        <v>30800</v>
      </c>
      <c r="P651" s="2">
        <v>338800</v>
      </c>
      <c r="Q651" s="2">
        <f>P651*12%</f>
        <v>40656</v>
      </c>
    </row>
    <row r="652" spans="1:17" hidden="1" x14ac:dyDescent="0.4">
      <c r="A652" s="4" t="s">
        <v>13</v>
      </c>
      <c r="B652" s="4" t="s">
        <v>14</v>
      </c>
      <c r="C652" s="30" t="s">
        <v>434</v>
      </c>
      <c r="D652" s="4" t="s">
        <v>15</v>
      </c>
      <c r="E652" s="4" t="s">
        <v>16</v>
      </c>
      <c r="F652" s="4" t="s">
        <v>17</v>
      </c>
      <c r="G652" s="4" t="s">
        <v>18</v>
      </c>
      <c r="H652" s="4" t="s">
        <v>149</v>
      </c>
      <c r="I652" s="5" t="str">
        <f t="shared" si="10"/>
        <v>2025-04</v>
      </c>
      <c r="J652" s="4" t="s">
        <v>49</v>
      </c>
      <c r="K652" s="5" t="s">
        <v>343</v>
      </c>
      <c r="L652" s="2">
        <v>42000</v>
      </c>
      <c r="M652" s="3">
        <v>9</v>
      </c>
      <c r="N652" s="2">
        <v>378000</v>
      </c>
      <c r="O652" s="2">
        <v>37800</v>
      </c>
      <c r="P652" s="2">
        <v>415800</v>
      </c>
      <c r="Q652" s="2">
        <f>P652*12%</f>
        <v>49896</v>
      </c>
    </row>
    <row r="653" spans="1:17" hidden="1" x14ac:dyDescent="0.4">
      <c r="A653" s="4" t="s">
        <v>35</v>
      </c>
      <c r="B653" s="4" t="s">
        <v>14</v>
      </c>
      <c r="C653" s="30" t="s">
        <v>434</v>
      </c>
      <c r="D653" s="4" t="s">
        <v>36</v>
      </c>
      <c r="E653" s="4" t="s">
        <v>16</v>
      </c>
      <c r="F653" s="4" t="s">
        <v>17</v>
      </c>
      <c r="G653" s="4" t="s">
        <v>18</v>
      </c>
      <c r="H653" s="4" t="s">
        <v>149</v>
      </c>
      <c r="I653" s="5" t="str">
        <f t="shared" si="10"/>
        <v>2025-04</v>
      </c>
      <c r="J653" s="4" t="s">
        <v>49</v>
      </c>
      <c r="K653" s="5" t="s">
        <v>343</v>
      </c>
      <c r="L653" s="2">
        <v>116220</v>
      </c>
      <c r="M653" s="3">
        <v>1</v>
      </c>
      <c r="N653" s="2">
        <v>116220</v>
      </c>
      <c r="O653" s="2">
        <v>11622</v>
      </c>
      <c r="P653" s="2">
        <v>127842</v>
      </c>
      <c r="Q653" s="2">
        <f>P653*12%</f>
        <v>15341.039999999999</v>
      </c>
    </row>
    <row r="654" spans="1:17" hidden="1" x14ac:dyDescent="0.4">
      <c r="A654" s="4" t="s">
        <v>23</v>
      </c>
      <c r="B654" s="4" t="s">
        <v>14</v>
      </c>
      <c r="C654" s="31" t="s">
        <v>435</v>
      </c>
      <c r="D654" s="4" t="s">
        <v>24</v>
      </c>
      <c r="E654" s="4" t="s">
        <v>16</v>
      </c>
      <c r="F654" s="4" t="s">
        <v>17</v>
      </c>
      <c r="G654" s="4" t="s">
        <v>18</v>
      </c>
      <c r="H654" s="4" t="s">
        <v>149</v>
      </c>
      <c r="I654" s="5" t="str">
        <f t="shared" si="10"/>
        <v>2025-04</v>
      </c>
      <c r="J654" s="4" t="s">
        <v>49</v>
      </c>
      <c r="K654" s="5" t="s">
        <v>343</v>
      </c>
      <c r="L654" s="2">
        <v>54000</v>
      </c>
      <c r="M654" s="3">
        <v>3</v>
      </c>
      <c r="N654" s="2">
        <v>162000</v>
      </c>
      <c r="O654" s="2">
        <v>16200</v>
      </c>
      <c r="P654" s="2">
        <v>178200</v>
      </c>
      <c r="Q654" s="2">
        <f>P654*12%</f>
        <v>21384</v>
      </c>
    </row>
    <row r="655" spans="1:17" x14ac:dyDescent="0.4">
      <c r="A655" s="4" t="s">
        <v>21</v>
      </c>
      <c r="B655" s="4" t="s">
        <v>14</v>
      </c>
      <c r="C655" s="31" t="s">
        <v>435</v>
      </c>
      <c r="D655" s="4" t="s">
        <v>22</v>
      </c>
      <c r="E655" s="4" t="s">
        <v>16</v>
      </c>
      <c r="F655" s="4" t="s">
        <v>17</v>
      </c>
      <c r="G655" s="4" t="s">
        <v>18</v>
      </c>
      <c r="H655" s="4" t="s">
        <v>152</v>
      </c>
      <c r="I655" s="5" t="str">
        <f t="shared" si="10"/>
        <v>2025-04</v>
      </c>
      <c r="J655" s="4" t="s">
        <v>20</v>
      </c>
      <c r="K655" s="5" t="s">
        <v>342</v>
      </c>
      <c r="L655" s="2">
        <v>54000</v>
      </c>
      <c r="M655" s="3">
        <v>1</v>
      </c>
      <c r="N655" s="2">
        <v>54000</v>
      </c>
      <c r="O655" s="2">
        <v>5400</v>
      </c>
      <c r="P655" s="2">
        <v>59400</v>
      </c>
      <c r="Q655" s="2">
        <f>P655*8.5%</f>
        <v>5049</v>
      </c>
    </row>
    <row r="656" spans="1:17" x14ac:dyDescent="0.4">
      <c r="A656" s="4" t="s">
        <v>23</v>
      </c>
      <c r="B656" s="4" t="s">
        <v>14</v>
      </c>
      <c r="C656" s="31" t="s">
        <v>435</v>
      </c>
      <c r="D656" s="4" t="s">
        <v>24</v>
      </c>
      <c r="E656" s="4" t="s">
        <v>16</v>
      </c>
      <c r="F656" s="4" t="s">
        <v>17</v>
      </c>
      <c r="G656" s="4" t="s">
        <v>18</v>
      </c>
      <c r="H656" s="4" t="s">
        <v>152</v>
      </c>
      <c r="I656" s="5" t="str">
        <f t="shared" si="10"/>
        <v>2025-04</v>
      </c>
      <c r="J656" s="4" t="s">
        <v>20</v>
      </c>
      <c r="K656" s="5" t="s">
        <v>342</v>
      </c>
      <c r="L656" s="2">
        <v>54000</v>
      </c>
      <c r="M656" s="3">
        <v>2</v>
      </c>
      <c r="N656" s="2">
        <v>108000</v>
      </c>
      <c r="O656" s="2">
        <v>10800</v>
      </c>
      <c r="P656" s="2">
        <v>118800</v>
      </c>
      <c r="Q656" s="2">
        <f>P656*8.5%</f>
        <v>10098</v>
      </c>
    </row>
    <row r="657" spans="1:17" x14ac:dyDescent="0.4">
      <c r="A657" s="4" t="s">
        <v>56</v>
      </c>
      <c r="B657" s="4" t="s">
        <v>26</v>
      </c>
      <c r="C657" s="32" t="s">
        <v>436</v>
      </c>
      <c r="D657" s="4" t="s">
        <v>57</v>
      </c>
      <c r="E657" s="4" t="s">
        <v>44</v>
      </c>
      <c r="F657" s="4" t="s">
        <v>31</v>
      </c>
      <c r="G657" s="4" t="s">
        <v>18</v>
      </c>
      <c r="H657" s="4" t="s">
        <v>152</v>
      </c>
      <c r="I657" s="5" t="str">
        <f t="shared" si="10"/>
        <v>2025-04</v>
      </c>
      <c r="J657" s="4" t="s">
        <v>20</v>
      </c>
      <c r="K657" s="5" t="s">
        <v>342</v>
      </c>
      <c r="L657" s="2">
        <v>3240</v>
      </c>
      <c r="M657" s="3">
        <v>15</v>
      </c>
      <c r="N657" s="2">
        <v>48600</v>
      </c>
      <c r="O657" s="2">
        <v>0</v>
      </c>
      <c r="P657" s="2">
        <v>48600</v>
      </c>
      <c r="Q657" s="2">
        <f>P657*8.5%</f>
        <v>4131</v>
      </c>
    </row>
    <row r="658" spans="1:17" hidden="1" x14ac:dyDescent="0.4">
      <c r="A658" s="4" t="s">
        <v>32</v>
      </c>
      <c r="B658" s="4" t="s">
        <v>14</v>
      </c>
      <c r="C658" s="31" t="s">
        <v>435</v>
      </c>
      <c r="D658" s="4" t="s">
        <v>33</v>
      </c>
      <c r="E658" s="4" t="s">
        <v>16</v>
      </c>
      <c r="F658" s="4" t="s">
        <v>17</v>
      </c>
      <c r="G658" s="4" t="s">
        <v>18</v>
      </c>
      <c r="H658" s="4" t="s">
        <v>152</v>
      </c>
      <c r="I658" s="5" t="str">
        <f t="shared" si="10"/>
        <v>2025-04</v>
      </c>
      <c r="J658" s="4" t="s">
        <v>118</v>
      </c>
      <c r="K658" s="5" t="s">
        <v>342</v>
      </c>
      <c r="L658" s="2">
        <v>44000</v>
      </c>
      <c r="M658" s="3">
        <v>2</v>
      </c>
      <c r="N658" s="2">
        <v>88000</v>
      </c>
      <c r="O658" s="2">
        <v>8800</v>
      </c>
      <c r="P658" s="2">
        <v>96800</v>
      </c>
      <c r="Q658" s="2">
        <f>P658*8.5%</f>
        <v>8228</v>
      </c>
    </row>
    <row r="659" spans="1:17" hidden="1" x14ac:dyDescent="0.4">
      <c r="A659" s="4" t="s">
        <v>13</v>
      </c>
      <c r="B659" s="4" t="s">
        <v>14</v>
      </c>
      <c r="C659" s="30" t="s">
        <v>434</v>
      </c>
      <c r="D659" s="4" t="s">
        <v>15</v>
      </c>
      <c r="E659" s="4" t="s">
        <v>16</v>
      </c>
      <c r="F659" s="4" t="s">
        <v>17</v>
      </c>
      <c r="G659" s="4" t="s">
        <v>18</v>
      </c>
      <c r="H659" s="4" t="s">
        <v>152</v>
      </c>
      <c r="I659" s="5" t="str">
        <f t="shared" si="10"/>
        <v>2025-04</v>
      </c>
      <c r="J659" s="4" t="s">
        <v>118</v>
      </c>
      <c r="K659" s="5" t="s">
        <v>342</v>
      </c>
      <c r="L659" s="2">
        <v>42000</v>
      </c>
      <c r="M659" s="3">
        <v>2</v>
      </c>
      <c r="N659" s="2">
        <v>84000</v>
      </c>
      <c r="O659" s="2">
        <v>8400</v>
      </c>
      <c r="P659" s="2">
        <v>92400</v>
      </c>
      <c r="Q659" s="2">
        <f>P659*8.5%</f>
        <v>7854.0000000000009</v>
      </c>
    </row>
    <row r="660" spans="1:17" hidden="1" x14ac:dyDescent="0.4">
      <c r="A660" s="4" t="s">
        <v>32</v>
      </c>
      <c r="B660" s="4" t="s">
        <v>14</v>
      </c>
      <c r="C660" s="31" t="s">
        <v>435</v>
      </c>
      <c r="D660" s="4" t="s">
        <v>33</v>
      </c>
      <c r="E660" s="4" t="s">
        <v>16</v>
      </c>
      <c r="F660" s="4" t="s">
        <v>17</v>
      </c>
      <c r="G660" s="4" t="s">
        <v>18</v>
      </c>
      <c r="H660" s="4" t="s">
        <v>152</v>
      </c>
      <c r="I660" s="5" t="str">
        <f t="shared" si="10"/>
        <v>2025-04</v>
      </c>
      <c r="J660" s="4" t="s">
        <v>34</v>
      </c>
      <c r="K660" s="5" t="s">
        <v>342</v>
      </c>
      <c r="L660" s="2">
        <v>44000</v>
      </c>
      <c r="M660" s="3">
        <v>4</v>
      </c>
      <c r="N660" s="2">
        <v>176000</v>
      </c>
      <c r="O660" s="2">
        <v>17600</v>
      </c>
      <c r="P660" s="2">
        <v>193600</v>
      </c>
      <c r="Q660" s="2">
        <f>P660*8.5%</f>
        <v>16456</v>
      </c>
    </row>
    <row r="661" spans="1:17" hidden="1" x14ac:dyDescent="0.4">
      <c r="A661" s="4" t="s">
        <v>58</v>
      </c>
      <c r="B661" s="4" t="s">
        <v>14</v>
      </c>
      <c r="C661" s="30" t="s">
        <v>434</v>
      </c>
      <c r="D661" s="4" t="s">
        <v>36</v>
      </c>
      <c r="E661" s="4" t="s">
        <v>16</v>
      </c>
      <c r="F661" s="4" t="s">
        <v>17</v>
      </c>
      <c r="G661" s="4" t="s">
        <v>18</v>
      </c>
      <c r="H661" s="4" t="s">
        <v>152</v>
      </c>
      <c r="I661" s="5" t="str">
        <f t="shared" si="10"/>
        <v>2025-04</v>
      </c>
      <c r="J661" s="4" t="s">
        <v>34</v>
      </c>
      <c r="K661" s="5" t="s">
        <v>342</v>
      </c>
      <c r="L661" s="2">
        <v>120880</v>
      </c>
      <c r="M661" s="3">
        <v>1</v>
      </c>
      <c r="N661" s="2">
        <v>120880</v>
      </c>
      <c r="O661" s="2">
        <v>12088</v>
      </c>
      <c r="P661" s="2">
        <v>132968</v>
      </c>
      <c r="Q661" s="2">
        <f>P661*8.5%</f>
        <v>11302.28</v>
      </c>
    </row>
    <row r="662" spans="1:17" hidden="1" x14ac:dyDescent="0.4">
      <c r="A662" s="4" t="s">
        <v>21</v>
      </c>
      <c r="B662" s="4" t="s">
        <v>14</v>
      </c>
      <c r="C662" s="31" t="s">
        <v>435</v>
      </c>
      <c r="D662" s="4" t="s">
        <v>22</v>
      </c>
      <c r="E662" s="4" t="s">
        <v>16</v>
      </c>
      <c r="F662" s="4" t="s">
        <v>17</v>
      </c>
      <c r="G662" s="4" t="s">
        <v>18</v>
      </c>
      <c r="H662" s="4" t="s">
        <v>152</v>
      </c>
      <c r="I662" s="5" t="str">
        <f t="shared" si="10"/>
        <v>2025-04</v>
      </c>
      <c r="J662" s="4" t="s">
        <v>34</v>
      </c>
      <c r="K662" s="5" t="s">
        <v>342</v>
      </c>
      <c r="L662" s="2">
        <v>54000</v>
      </c>
      <c r="M662" s="3">
        <v>2</v>
      </c>
      <c r="N662" s="2">
        <v>108000</v>
      </c>
      <c r="O662" s="2">
        <v>10800</v>
      </c>
      <c r="P662" s="2">
        <v>118800</v>
      </c>
      <c r="Q662" s="2">
        <f>P662*8.5%</f>
        <v>10098</v>
      </c>
    </row>
    <row r="663" spans="1:17" hidden="1" x14ac:dyDescent="0.4">
      <c r="A663" s="4" t="s">
        <v>23</v>
      </c>
      <c r="B663" s="4" t="s">
        <v>14</v>
      </c>
      <c r="C663" s="31" t="s">
        <v>435</v>
      </c>
      <c r="D663" s="4" t="s">
        <v>24</v>
      </c>
      <c r="E663" s="4" t="s">
        <v>16</v>
      </c>
      <c r="F663" s="4" t="s">
        <v>17</v>
      </c>
      <c r="G663" s="4" t="s">
        <v>18</v>
      </c>
      <c r="H663" s="4" t="s">
        <v>152</v>
      </c>
      <c r="I663" s="5" t="str">
        <f t="shared" si="10"/>
        <v>2025-04</v>
      </c>
      <c r="J663" s="4" t="s">
        <v>34</v>
      </c>
      <c r="K663" s="5" t="s">
        <v>342</v>
      </c>
      <c r="L663" s="2">
        <v>54000</v>
      </c>
      <c r="M663" s="3">
        <v>7</v>
      </c>
      <c r="N663" s="2">
        <v>378000</v>
      </c>
      <c r="O663" s="2">
        <v>37800</v>
      </c>
      <c r="P663" s="2">
        <v>415800</v>
      </c>
      <c r="Q663" s="2">
        <f>P663*8.5%</f>
        <v>35343</v>
      </c>
    </row>
    <row r="664" spans="1:17" hidden="1" x14ac:dyDescent="0.4">
      <c r="A664" s="4" t="s">
        <v>40</v>
      </c>
      <c r="B664" s="4" t="s">
        <v>26</v>
      </c>
      <c r="C664" s="32" t="s">
        <v>436</v>
      </c>
      <c r="D664" s="4" t="s">
        <v>41</v>
      </c>
      <c r="E664" s="4" t="s">
        <v>28</v>
      </c>
      <c r="F664" s="4" t="s">
        <v>17</v>
      </c>
      <c r="G664" s="4" t="s">
        <v>18</v>
      </c>
      <c r="H664" s="4" t="s">
        <v>152</v>
      </c>
      <c r="I664" s="5" t="str">
        <f t="shared" si="10"/>
        <v>2025-04</v>
      </c>
      <c r="J664" s="4" t="s">
        <v>34</v>
      </c>
      <c r="K664" s="5" t="s">
        <v>342</v>
      </c>
      <c r="L664" s="2">
        <v>17936</v>
      </c>
      <c r="M664" s="3">
        <v>3</v>
      </c>
      <c r="N664" s="2">
        <v>53808</v>
      </c>
      <c r="O664" s="2">
        <v>5381</v>
      </c>
      <c r="P664" s="2">
        <v>59189</v>
      </c>
      <c r="Q664" s="2">
        <f>P664*8.5%</f>
        <v>5031.0650000000005</v>
      </c>
    </row>
    <row r="665" spans="1:17" hidden="1" x14ac:dyDescent="0.4">
      <c r="A665" s="4" t="s">
        <v>42</v>
      </c>
      <c r="B665" s="4" t="s">
        <v>14</v>
      </c>
      <c r="C665" s="30" t="s">
        <v>434</v>
      </c>
      <c r="D665" s="4" t="s">
        <v>43</v>
      </c>
      <c r="E665" s="4" t="s">
        <v>44</v>
      </c>
      <c r="F665" s="4" t="s">
        <v>31</v>
      </c>
      <c r="G665" s="4" t="s">
        <v>18</v>
      </c>
      <c r="H665" s="4" t="s">
        <v>152</v>
      </c>
      <c r="I665" s="5" t="str">
        <f t="shared" si="10"/>
        <v>2025-04</v>
      </c>
      <c r="J665" s="4" t="s">
        <v>34</v>
      </c>
      <c r="K665" s="5" t="s">
        <v>342</v>
      </c>
      <c r="L665" s="2">
        <v>6800</v>
      </c>
      <c r="M665" s="3">
        <v>30.4</v>
      </c>
      <c r="N665" s="2">
        <v>206720</v>
      </c>
      <c r="O665" s="2">
        <v>0</v>
      </c>
      <c r="P665" s="2">
        <v>206720</v>
      </c>
      <c r="Q665" s="2">
        <f>P665*8.5%</f>
        <v>17571.2</v>
      </c>
    </row>
    <row r="666" spans="1:17" hidden="1" x14ac:dyDescent="0.4">
      <c r="A666" s="4" t="s">
        <v>13</v>
      </c>
      <c r="B666" s="4" t="s">
        <v>14</v>
      </c>
      <c r="C666" s="30" t="s">
        <v>434</v>
      </c>
      <c r="D666" s="4" t="s">
        <v>15</v>
      </c>
      <c r="E666" s="4" t="s">
        <v>16</v>
      </c>
      <c r="F666" s="4" t="s">
        <v>17</v>
      </c>
      <c r="G666" s="4" t="s">
        <v>18</v>
      </c>
      <c r="H666" s="4" t="s">
        <v>152</v>
      </c>
      <c r="I666" s="5" t="str">
        <f t="shared" si="10"/>
        <v>2025-04</v>
      </c>
      <c r="J666" s="4" t="s">
        <v>59</v>
      </c>
      <c r="K666" s="5" t="s">
        <v>343</v>
      </c>
      <c r="L666" s="2">
        <v>42000</v>
      </c>
      <c r="M666" s="3">
        <v>3</v>
      </c>
      <c r="N666" s="2">
        <v>126000</v>
      </c>
      <c r="O666" s="2">
        <v>12600</v>
      </c>
      <c r="P666" s="2">
        <v>138600</v>
      </c>
      <c r="Q666" s="2">
        <f>P666*12%</f>
        <v>16632</v>
      </c>
    </row>
    <row r="667" spans="1:17" hidden="1" x14ac:dyDescent="0.4">
      <c r="A667" s="4" t="s">
        <v>35</v>
      </c>
      <c r="B667" s="4" t="s">
        <v>14</v>
      </c>
      <c r="C667" s="30" t="s">
        <v>434</v>
      </c>
      <c r="D667" s="4" t="s">
        <v>36</v>
      </c>
      <c r="E667" s="4" t="s">
        <v>16</v>
      </c>
      <c r="F667" s="4" t="s">
        <v>17</v>
      </c>
      <c r="G667" s="4" t="s">
        <v>18</v>
      </c>
      <c r="H667" s="4" t="s">
        <v>152</v>
      </c>
      <c r="I667" s="5" t="str">
        <f t="shared" si="10"/>
        <v>2025-04</v>
      </c>
      <c r="J667" s="4" t="s">
        <v>59</v>
      </c>
      <c r="K667" s="5" t="s">
        <v>343</v>
      </c>
      <c r="L667" s="2">
        <v>116220</v>
      </c>
      <c r="M667" s="3">
        <v>1</v>
      </c>
      <c r="N667" s="2">
        <v>116220</v>
      </c>
      <c r="O667" s="2">
        <v>11622</v>
      </c>
      <c r="P667" s="2">
        <v>127842</v>
      </c>
      <c r="Q667" s="2">
        <f>P667*12%</f>
        <v>15341.039999999999</v>
      </c>
    </row>
    <row r="668" spans="1:17" hidden="1" x14ac:dyDescent="0.4">
      <c r="A668" s="4" t="s">
        <v>23</v>
      </c>
      <c r="B668" s="4" t="s">
        <v>14</v>
      </c>
      <c r="C668" s="31" t="s">
        <v>435</v>
      </c>
      <c r="D668" s="4" t="s">
        <v>24</v>
      </c>
      <c r="E668" s="4" t="s">
        <v>16</v>
      </c>
      <c r="F668" s="4" t="s">
        <v>17</v>
      </c>
      <c r="G668" s="4" t="s">
        <v>18</v>
      </c>
      <c r="H668" s="4" t="s">
        <v>152</v>
      </c>
      <c r="I668" s="5" t="str">
        <f t="shared" si="10"/>
        <v>2025-04</v>
      </c>
      <c r="J668" s="4" t="s">
        <v>59</v>
      </c>
      <c r="K668" s="5" t="s">
        <v>343</v>
      </c>
      <c r="L668" s="2">
        <v>54000</v>
      </c>
      <c r="M668" s="3">
        <v>2</v>
      </c>
      <c r="N668" s="2">
        <v>108000</v>
      </c>
      <c r="O668" s="2">
        <v>10800</v>
      </c>
      <c r="P668" s="2">
        <v>118800</v>
      </c>
      <c r="Q668" s="2">
        <f>P668*12%</f>
        <v>14256</v>
      </c>
    </row>
    <row r="669" spans="1:17" hidden="1" x14ac:dyDescent="0.4">
      <c r="A669" s="4" t="s">
        <v>51</v>
      </c>
      <c r="B669" s="4" t="s">
        <v>14</v>
      </c>
      <c r="C669" s="30" t="s">
        <v>434</v>
      </c>
      <c r="D669" s="4" t="s">
        <v>52</v>
      </c>
      <c r="E669" s="4" t="s">
        <v>16</v>
      </c>
      <c r="F669" s="4" t="s">
        <v>17</v>
      </c>
      <c r="G669" s="4" t="s">
        <v>18</v>
      </c>
      <c r="H669" s="4" t="s">
        <v>152</v>
      </c>
      <c r="I669" s="5" t="str">
        <f t="shared" si="10"/>
        <v>2025-04</v>
      </c>
      <c r="J669" s="4" t="s">
        <v>59</v>
      </c>
      <c r="K669" s="5" t="s">
        <v>343</v>
      </c>
      <c r="L669" s="2">
        <v>71250</v>
      </c>
      <c r="M669" s="3">
        <v>1</v>
      </c>
      <c r="N669" s="2">
        <v>71250</v>
      </c>
      <c r="O669" s="2">
        <v>7125</v>
      </c>
      <c r="P669" s="2">
        <v>78375</v>
      </c>
      <c r="Q669" s="2">
        <f>P669*12%</f>
        <v>9405</v>
      </c>
    </row>
    <row r="670" spans="1:17" hidden="1" x14ac:dyDescent="0.4">
      <c r="A670" s="4" t="s">
        <v>100</v>
      </c>
      <c r="B670" s="4" t="s">
        <v>26</v>
      </c>
      <c r="C670" s="32" t="s">
        <v>436</v>
      </c>
      <c r="D670" s="4" t="s">
        <v>101</v>
      </c>
      <c r="E670" s="4" t="s">
        <v>28</v>
      </c>
      <c r="F670" s="4" t="s">
        <v>17</v>
      </c>
      <c r="G670" s="4" t="s">
        <v>18</v>
      </c>
      <c r="H670" s="4" t="s">
        <v>152</v>
      </c>
      <c r="I670" s="5" t="str">
        <f t="shared" si="10"/>
        <v>2025-04</v>
      </c>
      <c r="J670" s="4" t="s">
        <v>59</v>
      </c>
      <c r="K670" s="5" t="s">
        <v>343</v>
      </c>
      <c r="L670" s="2">
        <v>5620</v>
      </c>
      <c r="M670" s="3">
        <v>4</v>
      </c>
      <c r="N670" s="2">
        <v>22480</v>
      </c>
      <c r="O670" s="2">
        <v>2248</v>
      </c>
      <c r="P670" s="2">
        <v>24728</v>
      </c>
      <c r="Q670" s="2">
        <f>P670*12%</f>
        <v>2967.3599999999997</v>
      </c>
    </row>
    <row r="671" spans="1:17" hidden="1" x14ac:dyDescent="0.4">
      <c r="A671" s="4" t="s">
        <v>32</v>
      </c>
      <c r="B671" s="4" t="s">
        <v>14</v>
      </c>
      <c r="C671" s="31" t="s">
        <v>435</v>
      </c>
      <c r="D671" s="4" t="s">
        <v>33</v>
      </c>
      <c r="E671" s="4" t="s">
        <v>16</v>
      </c>
      <c r="F671" s="4" t="s">
        <v>17</v>
      </c>
      <c r="G671" s="4" t="s">
        <v>18</v>
      </c>
      <c r="H671" s="4" t="s">
        <v>152</v>
      </c>
      <c r="I671" s="5" t="str">
        <f t="shared" si="10"/>
        <v>2025-04</v>
      </c>
      <c r="J671" s="4" t="s">
        <v>153</v>
      </c>
      <c r="K671" s="5" t="s">
        <v>343</v>
      </c>
      <c r="L671" s="2">
        <v>44000</v>
      </c>
      <c r="M671" s="3">
        <v>2</v>
      </c>
      <c r="N671" s="2">
        <v>88000</v>
      </c>
      <c r="O671" s="2">
        <v>8800</v>
      </c>
      <c r="P671" s="2">
        <v>96800</v>
      </c>
      <c r="Q671" s="2">
        <f>P671*12%</f>
        <v>11616</v>
      </c>
    </row>
    <row r="672" spans="1:17" hidden="1" x14ac:dyDescent="0.4">
      <c r="A672" s="4" t="s">
        <v>13</v>
      </c>
      <c r="B672" s="4" t="s">
        <v>14</v>
      </c>
      <c r="C672" s="30" t="s">
        <v>434</v>
      </c>
      <c r="D672" s="4" t="s">
        <v>15</v>
      </c>
      <c r="E672" s="4" t="s">
        <v>16</v>
      </c>
      <c r="F672" s="4" t="s">
        <v>17</v>
      </c>
      <c r="G672" s="4" t="s">
        <v>18</v>
      </c>
      <c r="H672" s="4" t="s">
        <v>152</v>
      </c>
      <c r="I672" s="5" t="str">
        <f t="shared" si="10"/>
        <v>2025-04</v>
      </c>
      <c r="J672" s="4" t="s">
        <v>153</v>
      </c>
      <c r="K672" s="5" t="s">
        <v>343</v>
      </c>
      <c r="L672" s="2">
        <v>42000</v>
      </c>
      <c r="M672" s="3">
        <v>6</v>
      </c>
      <c r="N672" s="2">
        <v>252000</v>
      </c>
      <c r="O672" s="2">
        <v>25200</v>
      </c>
      <c r="P672" s="2">
        <v>277200</v>
      </c>
      <c r="Q672" s="2">
        <f>P672*12%</f>
        <v>33264</v>
      </c>
    </row>
    <row r="673" spans="1:17" hidden="1" x14ac:dyDescent="0.4">
      <c r="A673" s="4" t="s">
        <v>23</v>
      </c>
      <c r="B673" s="4" t="s">
        <v>14</v>
      </c>
      <c r="C673" s="31" t="s">
        <v>435</v>
      </c>
      <c r="D673" s="4" t="s">
        <v>24</v>
      </c>
      <c r="E673" s="4" t="s">
        <v>16</v>
      </c>
      <c r="F673" s="4" t="s">
        <v>17</v>
      </c>
      <c r="G673" s="4" t="s">
        <v>18</v>
      </c>
      <c r="H673" s="4" t="s">
        <v>152</v>
      </c>
      <c r="I673" s="5" t="str">
        <f t="shared" si="10"/>
        <v>2025-04</v>
      </c>
      <c r="J673" s="4" t="s">
        <v>153</v>
      </c>
      <c r="K673" s="5" t="s">
        <v>343</v>
      </c>
      <c r="L673" s="2">
        <v>54000</v>
      </c>
      <c r="M673" s="3">
        <v>4</v>
      </c>
      <c r="N673" s="2">
        <v>216000</v>
      </c>
      <c r="O673" s="2">
        <v>21600</v>
      </c>
      <c r="P673" s="2">
        <v>237600</v>
      </c>
      <c r="Q673" s="2">
        <f>P673*12%</f>
        <v>28512</v>
      </c>
    </row>
    <row r="674" spans="1:17" hidden="1" x14ac:dyDescent="0.4">
      <c r="A674" s="4" t="s">
        <v>51</v>
      </c>
      <c r="B674" s="4" t="s">
        <v>14</v>
      </c>
      <c r="C674" s="30" t="s">
        <v>434</v>
      </c>
      <c r="D674" s="4" t="s">
        <v>52</v>
      </c>
      <c r="E674" s="4" t="s">
        <v>16</v>
      </c>
      <c r="F674" s="4" t="s">
        <v>17</v>
      </c>
      <c r="G674" s="4" t="s">
        <v>18</v>
      </c>
      <c r="H674" s="4" t="s">
        <v>152</v>
      </c>
      <c r="I674" s="5" t="str">
        <f t="shared" si="10"/>
        <v>2025-04</v>
      </c>
      <c r="J674" s="4" t="s">
        <v>153</v>
      </c>
      <c r="K674" s="5" t="s">
        <v>343</v>
      </c>
      <c r="L674" s="2">
        <v>71250</v>
      </c>
      <c r="M674" s="3">
        <v>1</v>
      </c>
      <c r="N674" s="2">
        <v>71250</v>
      </c>
      <c r="O674" s="2">
        <v>7125</v>
      </c>
      <c r="P674" s="2">
        <v>78375</v>
      </c>
      <c r="Q674" s="2">
        <f>P674*12%</f>
        <v>9405</v>
      </c>
    </row>
    <row r="675" spans="1:17" x14ac:dyDescent="0.4">
      <c r="A675" s="4" t="s">
        <v>13</v>
      </c>
      <c r="B675" s="4" t="s">
        <v>14</v>
      </c>
      <c r="C675" s="30" t="s">
        <v>434</v>
      </c>
      <c r="D675" s="4" t="s">
        <v>15</v>
      </c>
      <c r="E675" s="4" t="s">
        <v>16</v>
      </c>
      <c r="F675" s="4" t="s">
        <v>17</v>
      </c>
      <c r="G675" s="4" t="s">
        <v>18</v>
      </c>
      <c r="H675" s="4" t="s">
        <v>154</v>
      </c>
      <c r="I675" s="5" t="str">
        <f t="shared" si="10"/>
        <v>2025-04</v>
      </c>
      <c r="J675" s="4" t="s">
        <v>20</v>
      </c>
      <c r="K675" s="5" t="s">
        <v>342</v>
      </c>
      <c r="L675" s="2">
        <v>42000</v>
      </c>
      <c r="M675" s="3">
        <v>1</v>
      </c>
      <c r="N675" s="2">
        <v>42000</v>
      </c>
      <c r="O675" s="2">
        <v>4200</v>
      </c>
      <c r="P675" s="2">
        <v>46200</v>
      </c>
      <c r="Q675" s="2">
        <f>P675*8.5%</f>
        <v>3927.0000000000005</v>
      </c>
    </row>
    <row r="676" spans="1:17" x14ac:dyDescent="0.4">
      <c r="A676" s="4" t="s">
        <v>21</v>
      </c>
      <c r="B676" s="4" t="s">
        <v>14</v>
      </c>
      <c r="C676" s="31" t="s">
        <v>435</v>
      </c>
      <c r="D676" s="4" t="s">
        <v>22</v>
      </c>
      <c r="E676" s="4" t="s">
        <v>16</v>
      </c>
      <c r="F676" s="4" t="s">
        <v>17</v>
      </c>
      <c r="G676" s="4" t="s">
        <v>18</v>
      </c>
      <c r="H676" s="4" t="s">
        <v>154</v>
      </c>
      <c r="I676" s="5" t="str">
        <f t="shared" si="10"/>
        <v>2025-04</v>
      </c>
      <c r="J676" s="4" t="s">
        <v>20</v>
      </c>
      <c r="K676" s="5" t="s">
        <v>342</v>
      </c>
      <c r="L676" s="2">
        <v>54000</v>
      </c>
      <c r="M676" s="3">
        <v>2</v>
      </c>
      <c r="N676" s="2">
        <v>108000</v>
      </c>
      <c r="O676" s="2">
        <v>10800</v>
      </c>
      <c r="P676" s="2">
        <v>118800</v>
      </c>
      <c r="Q676" s="2">
        <f>P676*8.5%</f>
        <v>10098</v>
      </c>
    </row>
    <row r="677" spans="1:17" x14ac:dyDescent="0.4">
      <c r="A677" s="4" t="s">
        <v>23</v>
      </c>
      <c r="B677" s="4" t="s">
        <v>14</v>
      </c>
      <c r="C677" s="31" t="s">
        <v>435</v>
      </c>
      <c r="D677" s="4" t="s">
        <v>24</v>
      </c>
      <c r="E677" s="4" t="s">
        <v>16</v>
      </c>
      <c r="F677" s="4" t="s">
        <v>17</v>
      </c>
      <c r="G677" s="4" t="s">
        <v>18</v>
      </c>
      <c r="H677" s="4" t="s">
        <v>154</v>
      </c>
      <c r="I677" s="5" t="str">
        <f t="shared" si="10"/>
        <v>2025-04</v>
      </c>
      <c r="J677" s="4" t="s">
        <v>20</v>
      </c>
      <c r="K677" s="5" t="s">
        <v>342</v>
      </c>
      <c r="L677" s="2">
        <v>54000</v>
      </c>
      <c r="M677" s="3">
        <v>2</v>
      </c>
      <c r="N677" s="2">
        <v>108000</v>
      </c>
      <c r="O677" s="2">
        <v>10800</v>
      </c>
      <c r="P677" s="2">
        <v>118800</v>
      </c>
      <c r="Q677" s="2">
        <f>P677*8.5%</f>
        <v>10098</v>
      </c>
    </row>
    <row r="678" spans="1:17" x14ac:dyDescent="0.4">
      <c r="A678" s="4" t="s">
        <v>76</v>
      </c>
      <c r="B678" s="4" t="s">
        <v>65</v>
      </c>
      <c r="C678" s="32" t="s">
        <v>436</v>
      </c>
      <c r="D678" s="4" t="s">
        <v>27</v>
      </c>
      <c r="E678" s="4" t="s">
        <v>28</v>
      </c>
      <c r="F678" s="4" t="s">
        <v>17</v>
      </c>
      <c r="G678" s="4" t="s">
        <v>18</v>
      </c>
      <c r="H678" s="4" t="s">
        <v>154</v>
      </c>
      <c r="I678" s="5" t="str">
        <f t="shared" si="10"/>
        <v>2025-04</v>
      </c>
      <c r="J678" s="4" t="s">
        <v>20</v>
      </c>
      <c r="K678" s="5" t="s">
        <v>342</v>
      </c>
      <c r="L678" s="2">
        <v>17338</v>
      </c>
      <c r="M678" s="3">
        <v>1</v>
      </c>
      <c r="N678" s="2">
        <v>17338</v>
      </c>
      <c r="O678" s="2">
        <v>1734</v>
      </c>
      <c r="P678" s="2">
        <v>19072</v>
      </c>
      <c r="Q678" s="2">
        <f>P678*8.5%</f>
        <v>1621.1200000000001</v>
      </c>
    </row>
    <row r="679" spans="1:17" x14ac:dyDescent="0.4">
      <c r="A679" s="4" t="s">
        <v>54</v>
      </c>
      <c r="B679" s="4" t="s">
        <v>26</v>
      </c>
      <c r="C679" s="32" t="s">
        <v>436</v>
      </c>
      <c r="D679" s="4" t="s">
        <v>55</v>
      </c>
      <c r="E679" s="4" t="s">
        <v>28</v>
      </c>
      <c r="F679" s="4" t="s">
        <v>31</v>
      </c>
      <c r="G679" s="4" t="s">
        <v>18</v>
      </c>
      <c r="H679" s="4" t="s">
        <v>154</v>
      </c>
      <c r="I679" s="5" t="str">
        <f t="shared" si="10"/>
        <v>2025-04</v>
      </c>
      <c r="J679" s="4" t="s">
        <v>20</v>
      </c>
      <c r="K679" s="5" t="s">
        <v>342</v>
      </c>
      <c r="L679" s="2">
        <v>5261</v>
      </c>
      <c r="M679" s="3">
        <v>1</v>
      </c>
      <c r="N679" s="2">
        <v>5261</v>
      </c>
      <c r="O679" s="2">
        <v>0</v>
      </c>
      <c r="P679" s="2">
        <v>5261</v>
      </c>
      <c r="Q679" s="2">
        <f>P679*8.5%</f>
        <v>447.18500000000006</v>
      </c>
    </row>
    <row r="680" spans="1:17" x14ac:dyDescent="0.4">
      <c r="A680" s="4" t="s">
        <v>25</v>
      </c>
      <c r="B680" s="4" t="s">
        <v>26</v>
      </c>
      <c r="C680" s="32" t="s">
        <v>436</v>
      </c>
      <c r="D680" s="4" t="s">
        <v>27</v>
      </c>
      <c r="E680" s="4" t="s">
        <v>28</v>
      </c>
      <c r="F680" s="4" t="s">
        <v>17</v>
      </c>
      <c r="G680" s="4" t="s">
        <v>18</v>
      </c>
      <c r="H680" s="4" t="s">
        <v>154</v>
      </c>
      <c r="I680" s="5" t="str">
        <f t="shared" si="10"/>
        <v>2025-04</v>
      </c>
      <c r="J680" s="4" t="s">
        <v>20</v>
      </c>
      <c r="K680" s="5" t="s">
        <v>342</v>
      </c>
      <c r="L680" s="2">
        <v>2631</v>
      </c>
      <c r="M680" s="3">
        <v>1</v>
      </c>
      <c r="N680" s="2">
        <v>2631</v>
      </c>
      <c r="O680" s="2">
        <v>263</v>
      </c>
      <c r="P680" s="2">
        <v>2894</v>
      </c>
      <c r="Q680" s="2">
        <f>P680*8.5%</f>
        <v>245.99</v>
      </c>
    </row>
    <row r="681" spans="1:17" x14ac:dyDescent="0.4">
      <c r="A681" s="4" t="s">
        <v>29</v>
      </c>
      <c r="B681" s="4" t="s">
        <v>26</v>
      </c>
      <c r="C681" s="32" t="s">
        <v>436</v>
      </c>
      <c r="D681" s="4" t="s">
        <v>30</v>
      </c>
      <c r="E681" s="4" t="s">
        <v>28</v>
      </c>
      <c r="F681" s="4" t="s">
        <v>31</v>
      </c>
      <c r="G681" s="4" t="s">
        <v>18</v>
      </c>
      <c r="H681" s="4" t="s">
        <v>154</v>
      </c>
      <c r="I681" s="5" t="str">
        <f t="shared" si="10"/>
        <v>2025-04</v>
      </c>
      <c r="J681" s="4" t="s">
        <v>20</v>
      </c>
      <c r="K681" s="5" t="s">
        <v>342</v>
      </c>
      <c r="L681" s="2">
        <v>3719</v>
      </c>
      <c r="M681" s="3">
        <v>1</v>
      </c>
      <c r="N681" s="2">
        <v>3719</v>
      </c>
      <c r="O681" s="2">
        <v>0</v>
      </c>
      <c r="P681" s="2">
        <v>3719</v>
      </c>
      <c r="Q681" s="2">
        <f>P681*8.5%</f>
        <v>316.11500000000001</v>
      </c>
    </row>
    <row r="682" spans="1:17" x14ac:dyDescent="0.4">
      <c r="A682" s="4" t="s">
        <v>56</v>
      </c>
      <c r="B682" s="4" t="s">
        <v>26</v>
      </c>
      <c r="C682" s="32" t="s">
        <v>436</v>
      </c>
      <c r="D682" s="4" t="s">
        <v>57</v>
      </c>
      <c r="E682" s="4" t="s">
        <v>44</v>
      </c>
      <c r="F682" s="4" t="s">
        <v>31</v>
      </c>
      <c r="G682" s="4" t="s">
        <v>18</v>
      </c>
      <c r="H682" s="4" t="s">
        <v>154</v>
      </c>
      <c r="I682" s="5" t="str">
        <f t="shared" si="10"/>
        <v>2025-04</v>
      </c>
      <c r="J682" s="4" t="s">
        <v>20</v>
      </c>
      <c r="K682" s="5" t="s">
        <v>342</v>
      </c>
      <c r="L682" s="2">
        <v>3240</v>
      </c>
      <c r="M682" s="3">
        <v>15</v>
      </c>
      <c r="N682" s="2">
        <v>48600</v>
      </c>
      <c r="O682" s="2">
        <v>0</v>
      </c>
      <c r="P682" s="2">
        <v>48600</v>
      </c>
      <c r="Q682" s="2">
        <f>P682*8.5%</f>
        <v>4131</v>
      </c>
    </row>
    <row r="683" spans="1:17" hidden="1" x14ac:dyDescent="0.4">
      <c r="A683" s="4" t="s">
        <v>13</v>
      </c>
      <c r="B683" s="4" t="s">
        <v>14</v>
      </c>
      <c r="C683" s="30" t="s">
        <v>434</v>
      </c>
      <c r="D683" s="4" t="s">
        <v>15</v>
      </c>
      <c r="E683" s="4" t="s">
        <v>16</v>
      </c>
      <c r="F683" s="4" t="s">
        <v>17</v>
      </c>
      <c r="G683" s="4" t="s">
        <v>18</v>
      </c>
      <c r="H683" s="4" t="s">
        <v>154</v>
      </c>
      <c r="I683" s="5" t="str">
        <f t="shared" si="10"/>
        <v>2025-04</v>
      </c>
      <c r="J683" s="4" t="s">
        <v>34</v>
      </c>
      <c r="K683" s="5" t="s">
        <v>342</v>
      </c>
      <c r="L683" s="2">
        <v>42000</v>
      </c>
      <c r="M683" s="3">
        <v>6</v>
      </c>
      <c r="N683" s="2">
        <v>252000</v>
      </c>
      <c r="O683" s="2">
        <v>25200</v>
      </c>
      <c r="P683" s="2">
        <v>277200</v>
      </c>
      <c r="Q683" s="2">
        <f>P683*8.5%</f>
        <v>23562</v>
      </c>
    </row>
    <row r="684" spans="1:17" hidden="1" x14ac:dyDescent="0.4">
      <c r="A684" s="4" t="s">
        <v>51</v>
      </c>
      <c r="B684" s="4" t="s">
        <v>14</v>
      </c>
      <c r="C684" s="30" t="s">
        <v>434</v>
      </c>
      <c r="D684" s="4" t="s">
        <v>52</v>
      </c>
      <c r="E684" s="4" t="s">
        <v>16</v>
      </c>
      <c r="F684" s="4" t="s">
        <v>17</v>
      </c>
      <c r="G684" s="4" t="s">
        <v>18</v>
      </c>
      <c r="H684" s="4" t="s">
        <v>154</v>
      </c>
      <c r="I684" s="5" t="str">
        <f t="shared" si="10"/>
        <v>2025-04</v>
      </c>
      <c r="J684" s="4" t="s">
        <v>34</v>
      </c>
      <c r="K684" s="5" t="s">
        <v>342</v>
      </c>
      <c r="L684" s="2">
        <v>71250</v>
      </c>
      <c r="M684" s="3">
        <v>1</v>
      </c>
      <c r="N684" s="2">
        <v>71250</v>
      </c>
      <c r="O684" s="2">
        <v>7125</v>
      </c>
      <c r="P684" s="2">
        <v>78375</v>
      </c>
      <c r="Q684" s="2">
        <f>P684*8.5%</f>
        <v>6661.8750000000009</v>
      </c>
    </row>
    <row r="685" spans="1:17" hidden="1" x14ac:dyDescent="0.4">
      <c r="A685" s="4" t="s">
        <v>40</v>
      </c>
      <c r="B685" s="4" t="s">
        <v>26</v>
      </c>
      <c r="C685" s="32" t="s">
        <v>436</v>
      </c>
      <c r="D685" s="4" t="s">
        <v>41</v>
      </c>
      <c r="E685" s="4" t="s">
        <v>28</v>
      </c>
      <c r="F685" s="4" t="s">
        <v>17</v>
      </c>
      <c r="G685" s="4" t="s">
        <v>18</v>
      </c>
      <c r="H685" s="4" t="s">
        <v>154</v>
      </c>
      <c r="I685" s="5" t="str">
        <f t="shared" si="10"/>
        <v>2025-04</v>
      </c>
      <c r="J685" s="4" t="s">
        <v>34</v>
      </c>
      <c r="K685" s="5" t="s">
        <v>342</v>
      </c>
      <c r="L685" s="2">
        <v>17936</v>
      </c>
      <c r="M685" s="3">
        <v>2</v>
      </c>
      <c r="N685" s="2">
        <v>35872</v>
      </c>
      <c r="O685" s="2">
        <v>3587</v>
      </c>
      <c r="P685" s="2">
        <v>39459</v>
      </c>
      <c r="Q685" s="2">
        <f>P685*8.5%</f>
        <v>3354.0150000000003</v>
      </c>
    </row>
    <row r="686" spans="1:17" hidden="1" x14ac:dyDescent="0.4">
      <c r="A686" s="4" t="s">
        <v>42</v>
      </c>
      <c r="B686" s="4" t="s">
        <v>14</v>
      </c>
      <c r="C686" s="30" t="s">
        <v>434</v>
      </c>
      <c r="D686" s="4" t="s">
        <v>43</v>
      </c>
      <c r="E686" s="4" t="s">
        <v>44</v>
      </c>
      <c r="F686" s="4" t="s">
        <v>31</v>
      </c>
      <c r="G686" s="4" t="s">
        <v>18</v>
      </c>
      <c r="H686" s="4" t="s">
        <v>154</v>
      </c>
      <c r="I686" s="5" t="str">
        <f t="shared" si="10"/>
        <v>2025-04</v>
      </c>
      <c r="J686" s="4" t="s">
        <v>34</v>
      </c>
      <c r="K686" s="5" t="s">
        <v>342</v>
      </c>
      <c r="L686" s="2">
        <v>6800</v>
      </c>
      <c r="M686" s="3">
        <v>80.099999999999994</v>
      </c>
      <c r="N686" s="2">
        <v>544680</v>
      </c>
      <c r="O686" s="2">
        <v>0</v>
      </c>
      <c r="P686" s="2">
        <v>544680</v>
      </c>
      <c r="Q686" s="2">
        <f>P686*8.5%</f>
        <v>46297.8</v>
      </c>
    </row>
    <row r="687" spans="1:17" hidden="1" x14ac:dyDescent="0.4">
      <c r="A687" s="4" t="s">
        <v>13</v>
      </c>
      <c r="B687" s="4" t="s">
        <v>14</v>
      </c>
      <c r="C687" s="30" t="s">
        <v>434</v>
      </c>
      <c r="D687" s="4" t="s">
        <v>15</v>
      </c>
      <c r="E687" s="4" t="s">
        <v>16</v>
      </c>
      <c r="F687" s="4" t="s">
        <v>17</v>
      </c>
      <c r="G687" s="4" t="s">
        <v>18</v>
      </c>
      <c r="H687" s="4" t="s">
        <v>154</v>
      </c>
      <c r="I687" s="5" t="str">
        <f t="shared" si="10"/>
        <v>2025-04</v>
      </c>
      <c r="J687" s="4" t="s">
        <v>59</v>
      </c>
      <c r="K687" s="5" t="s">
        <v>343</v>
      </c>
      <c r="L687" s="2">
        <v>42000</v>
      </c>
      <c r="M687" s="3">
        <v>4</v>
      </c>
      <c r="N687" s="2">
        <v>168000</v>
      </c>
      <c r="O687" s="2">
        <v>16800</v>
      </c>
      <c r="P687" s="2">
        <v>184800</v>
      </c>
      <c r="Q687" s="2">
        <f>P687*12%</f>
        <v>22176</v>
      </c>
    </row>
    <row r="688" spans="1:17" hidden="1" x14ac:dyDescent="0.4">
      <c r="A688" s="4" t="s">
        <v>35</v>
      </c>
      <c r="B688" s="4" t="s">
        <v>14</v>
      </c>
      <c r="C688" s="30" t="s">
        <v>434</v>
      </c>
      <c r="D688" s="4" t="s">
        <v>36</v>
      </c>
      <c r="E688" s="4" t="s">
        <v>16</v>
      </c>
      <c r="F688" s="4" t="s">
        <v>17</v>
      </c>
      <c r="G688" s="4" t="s">
        <v>18</v>
      </c>
      <c r="H688" s="4" t="s">
        <v>154</v>
      </c>
      <c r="I688" s="5" t="str">
        <f t="shared" si="10"/>
        <v>2025-04</v>
      </c>
      <c r="J688" s="4" t="s">
        <v>59</v>
      </c>
      <c r="K688" s="5" t="s">
        <v>343</v>
      </c>
      <c r="L688" s="2">
        <v>116220</v>
      </c>
      <c r="M688" s="3">
        <v>1</v>
      </c>
      <c r="N688" s="2">
        <v>116220</v>
      </c>
      <c r="O688" s="2">
        <v>11622</v>
      </c>
      <c r="P688" s="2">
        <v>127842</v>
      </c>
      <c r="Q688" s="2">
        <f>P688*12%</f>
        <v>15341.039999999999</v>
      </c>
    </row>
    <row r="689" spans="1:17" hidden="1" x14ac:dyDescent="0.4">
      <c r="A689" s="4" t="s">
        <v>23</v>
      </c>
      <c r="B689" s="4" t="s">
        <v>14</v>
      </c>
      <c r="C689" s="31" t="s">
        <v>435</v>
      </c>
      <c r="D689" s="4" t="s">
        <v>24</v>
      </c>
      <c r="E689" s="4" t="s">
        <v>16</v>
      </c>
      <c r="F689" s="4" t="s">
        <v>17</v>
      </c>
      <c r="G689" s="4" t="s">
        <v>18</v>
      </c>
      <c r="H689" s="4" t="s">
        <v>154</v>
      </c>
      <c r="I689" s="5" t="str">
        <f t="shared" si="10"/>
        <v>2025-04</v>
      </c>
      <c r="J689" s="4" t="s">
        <v>59</v>
      </c>
      <c r="K689" s="5" t="s">
        <v>343</v>
      </c>
      <c r="L689" s="2">
        <v>54000</v>
      </c>
      <c r="M689" s="3">
        <v>2</v>
      </c>
      <c r="N689" s="2">
        <v>108000</v>
      </c>
      <c r="O689" s="2">
        <v>10800</v>
      </c>
      <c r="P689" s="2">
        <v>118800</v>
      </c>
      <c r="Q689" s="2">
        <f>P689*12%</f>
        <v>14256</v>
      </c>
    </row>
    <row r="690" spans="1:17" hidden="1" x14ac:dyDescent="0.4">
      <c r="A690" s="4" t="s">
        <v>112</v>
      </c>
      <c r="B690" s="4" t="s">
        <v>26</v>
      </c>
      <c r="C690" s="32" t="s">
        <v>436</v>
      </c>
      <c r="D690" s="4" t="s">
        <v>113</v>
      </c>
      <c r="E690" s="4" t="s">
        <v>28</v>
      </c>
      <c r="F690" s="4" t="s">
        <v>17</v>
      </c>
      <c r="G690" s="4" t="s">
        <v>18</v>
      </c>
      <c r="H690" s="4" t="s">
        <v>154</v>
      </c>
      <c r="I690" s="5" t="str">
        <f t="shared" si="10"/>
        <v>2025-04</v>
      </c>
      <c r="J690" s="4" t="s">
        <v>59</v>
      </c>
      <c r="K690" s="5" t="s">
        <v>343</v>
      </c>
      <c r="L690" s="2">
        <v>375</v>
      </c>
      <c r="M690" s="3">
        <v>20</v>
      </c>
      <c r="N690" s="2">
        <v>7500</v>
      </c>
      <c r="O690" s="2">
        <v>750</v>
      </c>
      <c r="P690" s="2">
        <v>8250</v>
      </c>
      <c r="Q690" s="2">
        <f>P690*12%</f>
        <v>990</v>
      </c>
    </row>
    <row r="691" spans="1:17" hidden="1" x14ac:dyDescent="0.4">
      <c r="A691" s="4" t="s">
        <v>35</v>
      </c>
      <c r="B691" s="4" t="s">
        <v>14</v>
      </c>
      <c r="C691" s="30" t="s">
        <v>434</v>
      </c>
      <c r="D691" s="4" t="s">
        <v>36</v>
      </c>
      <c r="E691" s="4" t="s">
        <v>16</v>
      </c>
      <c r="F691" s="4" t="s">
        <v>17</v>
      </c>
      <c r="G691" s="4" t="s">
        <v>18</v>
      </c>
      <c r="H691" s="4" t="s">
        <v>154</v>
      </c>
      <c r="I691" s="5" t="str">
        <f t="shared" si="10"/>
        <v>2025-04</v>
      </c>
      <c r="J691" s="4" t="s">
        <v>60</v>
      </c>
      <c r="K691" s="5" t="s">
        <v>343</v>
      </c>
      <c r="L691" s="2">
        <v>116220</v>
      </c>
      <c r="M691" s="3">
        <v>2</v>
      </c>
      <c r="N691" s="2">
        <v>232440</v>
      </c>
      <c r="O691" s="2">
        <v>23244</v>
      </c>
      <c r="P691" s="2">
        <v>255684</v>
      </c>
      <c r="Q691" s="2">
        <f>P691*12%</f>
        <v>30682.079999999998</v>
      </c>
    </row>
    <row r="692" spans="1:17" hidden="1" x14ac:dyDescent="0.4">
      <c r="A692" s="4" t="s">
        <v>23</v>
      </c>
      <c r="B692" s="4" t="s">
        <v>14</v>
      </c>
      <c r="C692" s="31" t="s">
        <v>435</v>
      </c>
      <c r="D692" s="4" t="s">
        <v>24</v>
      </c>
      <c r="E692" s="4" t="s">
        <v>16</v>
      </c>
      <c r="F692" s="4" t="s">
        <v>17</v>
      </c>
      <c r="G692" s="4" t="s">
        <v>18</v>
      </c>
      <c r="H692" s="4" t="s">
        <v>154</v>
      </c>
      <c r="I692" s="5" t="str">
        <f t="shared" si="10"/>
        <v>2025-04</v>
      </c>
      <c r="J692" s="4" t="s">
        <v>60</v>
      </c>
      <c r="K692" s="5" t="s">
        <v>343</v>
      </c>
      <c r="L692" s="2">
        <v>54000</v>
      </c>
      <c r="M692" s="3">
        <v>7</v>
      </c>
      <c r="N692" s="2">
        <v>378000</v>
      </c>
      <c r="O692" s="2">
        <v>37800</v>
      </c>
      <c r="P692" s="2">
        <v>415800</v>
      </c>
      <c r="Q692" s="2">
        <f>P692*12%</f>
        <v>49896</v>
      </c>
    </row>
    <row r="693" spans="1:17" x14ac:dyDescent="0.4">
      <c r="A693" s="4" t="s">
        <v>58</v>
      </c>
      <c r="B693" s="4" t="s">
        <v>14</v>
      </c>
      <c r="C693" s="30" t="s">
        <v>434</v>
      </c>
      <c r="D693" s="4" t="s">
        <v>36</v>
      </c>
      <c r="E693" s="4" t="s">
        <v>16</v>
      </c>
      <c r="F693" s="4" t="s">
        <v>17</v>
      </c>
      <c r="G693" s="4" t="s">
        <v>18</v>
      </c>
      <c r="H693" s="4" t="s">
        <v>155</v>
      </c>
      <c r="I693" s="5" t="str">
        <f t="shared" si="10"/>
        <v>2025-04</v>
      </c>
      <c r="J693" s="4" t="s">
        <v>20</v>
      </c>
      <c r="K693" s="5" t="s">
        <v>342</v>
      </c>
      <c r="L693" s="2">
        <v>120880</v>
      </c>
      <c r="M693" s="3">
        <v>1</v>
      </c>
      <c r="N693" s="2">
        <v>120880</v>
      </c>
      <c r="O693" s="2">
        <v>12088</v>
      </c>
      <c r="P693" s="2">
        <v>132968</v>
      </c>
      <c r="Q693" s="2">
        <f>P693*8.5%</f>
        <v>11302.28</v>
      </c>
    </row>
    <row r="694" spans="1:17" x14ac:dyDescent="0.4">
      <c r="A694" s="4" t="s">
        <v>13</v>
      </c>
      <c r="B694" s="4" t="s">
        <v>14</v>
      </c>
      <c r="C694" s="30" t="s">
        <v>434</v>
      </c>
      <c r="D694" s="4" t="s">
        <v>15</v>
      </c>
      <c r="E694" s="4" t="s">
        <v>16</v>
      </c>
      <c r="F694" s="4" t="s">
        <v>17</v>
      </c>
      <c r="G694" s="4" t="s">
        <v>18</v>
      </c>
      <c r="H694" s="4" t="s">
        <v>155</v>
      </c>
      <c r="I694" s="5" t="str">
        <f t="shared" si="10"/>
        <v>2025-04</v>
      </c>
      <c r="J694" s="4" t="s">
        <v>20</v>
      </c>
      <c r="K694" s="5" t="s">
        <v>342</v>
      </c>
      <c r="L694" s="2">
        <v>42000</v>
      </c>
      <c r="M694" s="3">
        <v>2</v>
      </c>
      <c r="N694" s="2">
        <v>84000</v>
      </c>
      <c r="O694" s="2">
        <v>8400</v>
      </c>
      <c r="P694" s="2">
        <v>92400</v>
      </c>
      <c r="Q694" s="2">
        <f>P694*8.5%</f>
        <v>7854.0000000000009</v>
      </c>
    </row>
    <row r="695" spans="1:17" x14ac:dyDescent="0.4">
      <c r="A695" s="4" t="s">
        <v>21</v>
      </c>
      <c r="B695" s="4" t="s">
        <v>14</v>
      </c>
      <c r="C695" s="31" t="s">
        <v>435</v>
      </c>
      <c r="D695" s="4" t="s">
        <v>22</v>
      </c>
      <c r="E695" s="4" t="s">
        <v>16</v>
      </c>
      <c r="F695" s="4" t="s">
        <v>17</v>
      </c>
      <c r="G695" s="4" t="s">
        <v>18</v>
      </c>
      <c r="H695" s="4" t="s">
        <v>155</v>
      </c>
      <c r="I695" s="5" t="str">
        <f t="shared" si="10"/>
        <v>2025-04</v>
      </c>
      <c r="J695" s="4" t="s">
        <v>20</v>
      </c>
      <c r="K695" s="5" t="s">
        <v>342</v>
      </c>
      <c r="L695" s="2">
        <v>54000</v>
      </c>
      <c r="M695" s="3">
        <v>1</v>
      </c>
      <c r="N695" s="2">
        <v>54000</v>
      </c>
      <c r="O695" s="2">
        <v>5400</v>
      </c>
      <c r="P695" s="2">
        <v>59400</v>
      </c>
      <c r="Q695" s="2">
        <f>P695*8.5%</f>
        <v>5049</v>
      </c>
    </row>
    <row r="696" spans="1:17" x14ac:dyDescent="0.4">
      <c r="A696" s="4" t="s">
        <v>23</v>
      </c>
      <c r="B696" s="4" t="s">
        <v>14</v>
      </c>
      <c r="C696" s="31" t="s">
        <v>435</v>
      </c>
      <c r="D696" s="4" t="s">
        <v>24</v>
      </c>
      <c r="E696" s="4" t="s">
        <v>16</v>
      </c>
      <c r="F696" s="4" t="s">
        <v>17</v>
      </c>
      <c r="G696" s="4" t="s">
        <v>18</v>
      </c>
      <c r="H696" s="4" t="s">
        <v>155</v>
      </c>
      <c r="I696" s="5" t="str">
        <f t="shared" si="10"/>
        <v>2025-04</v>
      </c>
      <c r="J696" s="4" t="s">
        <v>20</v>
      </c>
      <c r="K696" s="5" t="s">
        <v>342</v>
      </c>
      <c r="L696" s="2">
        <v>54000</v>
      </c>
      <c r="M696" s="3">
        <v>2</v>
      </c>
      <c r="N696" s="2">
        <v>108000</v>
      </c>
      <c r="O696" s="2">
        <v>10800</v>
      </c>
      <c r="P696" s="2">
        <v>118800</v>
      </c>
      <c r="Q696" s="2">
        <f>P696*8.5%</f>
        <v>10098</v>
      </c>
    </row>
    <row r="697" spans="1:17" x14ac:dyDescent="0.4">
      <c r="A697" s="4" t="s">
        <v>51</v>
      </c>
      <c r="B697" s="4" t="s">
        <v>14</v>
      </c>
      <c r="C697" s="30" t="s">
        <v>434</v>
      </c>
      <c r="D697" s="4" t="s">
        <v>52</v>
      </c>
      <c r="E697" s="4" t="s">
        <v>16</v>
      </c>
      <c r="F697" s="4" t="s">
        <v>17</v>
      </c>
      <c r="G697" s="4" t="s">
        <v>18</v>
      </c>
      <c r="H697" s="4" t="s">
        <v>155</v>
      </c>
      <c r="I697" s="5" t="str">
        <f t="shared" si="10"/>
        <v>2025-04</v>
      </c>
      <c r="J697" s="4" t="s">
        <v>20</v>
      </c>
      <c r="K697" s="5" t="s">
        <v>342</v>
      </c>
      <c r="L697" s="2">
        <v>71250</v>
      </c>
      <c r="M697" s="3">
        <v>1</v>
      </c>
      <c r="N697" s="2">
        <v>71250</v>
      </c>
      <c r="O697" s="2">
        <v>7125</v>
      </c>
      <c r="P697" s="2">
        <v>78375</v>
      </c>
      <c r="Q697" s="2">
        <f>P697*8.5%</f>
        <v>6661.8750000000009</v>
      </c>
    </row>
    <row r="698" spans="1:17" x14ac:dyDescent="0.4">
      <c r="A698" s="4" t="s">
        <v>56</v>
      </c>
      <c r="B698" s="4" t="s">
        <v>26</v>
      </c>
      <c r="C698" s="32" t="s">
        <v>436</v>
      </c>
      <c r="D698" s="4" t="s">
        <v>57</v>
      </c>
      <c r="E698" s="4" t="s">
        <v>44</v>
      </c>
      <c r="F698" s="4" t="s">
        <v>31</v>
      </c>
      <c r="G698" s="4" t="s">
        <v>18</v>
      </c>
      <c r="H698" s="4" t="s">
        <v>155</v>
      </c>
      <c r="I698" s="5" t="str">
        <f t="shared" si="10"/>
        <v>2025-04</v>
      </c>
      <c r="J698" s="4" t="s">
        <v>20</v>
      </c>
      <c r="K698" s="5" t="s">
        <v>342</v>
      </c>
      <c r="L698" s="2">
        <v>3240</v>
      </c>
      <c r="M698" s="3">
        <v>15</v>
      </c>
      <c r="N698" s="2">
        <v>48600</v>
      </c>
      <c r="O698" s="2">
        <v>0</v>
      </c>
      <c r="P698" s="2">
        <v>48600</v>
      </c>
      <c r="Q698" s="2">
        <f>P698*8.5%</f>
        <v>4131</v>
      </c>
    </row>
    <row r="699" spans="1:17" hidden="1" x14ac:dyDescent="0.4">
      <c r="A699" s="4" t="s">
        <v>13</v>
      </c>
      <c r="B699" s="4" t="s">
        <v>14</v>
      </c>
      <c r="C699" s="30" t="s">
        <v>434</v>
      </c>
      <c r="D699" s="4" t="s">
        <v>15</v>
      </c>
      <c r="E699" s="4" t="s">
        <v>16</v>
      </c>
      <c r="F699" s="4" t="s">
        <v>17</v>
      </c>
      <c r="G699" s="4" t="s">
        <v>18</v>
      </c>
      <c r="H699" s="4" t="s">
        <v>155</v>
      </c>
      <c r="I699" s="5" t="str">
        <f t="shared" si="10"/>
        <v>2025-04</v>
      </c>
      <c r="J699" s="4" t="s">
        <v>118</v>
      </c>
      <c r="K699" s="5" t="s">
        <v>342</v>
      </c>
      <c r="L699" s="2">
        <v>42000</v>
      </c>
      <c r="M699" s="3">
        <v>2</v>
      </c>
      <c r="N699" s="2">
        <v>84000</v>
      </c>
      <c r="O699" s="2">
        <v>8400</v>
      </c>
      <c r="P699" s="2">
        <v>92400</v>
      </c>
      <c r="Q699" s="2">
        <f>P699*8.5%</f>
        <v>7854.0000000000009</v>
      </c>
    </row>
    <row r="700" spans="1:17" hidden="1" x14ac:dyDescent="0.4">
      <c r="A700" s="4" t="s">
        <v>23</v>
      </c>
      <c r="B700" s="4" t="s">
        <v>14</v>
      </c>
      <c r="C700" s="31" t="s">
        <v>435</v>
      </c>
      <c r="D700" s="4" t="s">
        <v>24</v>
      </c>
      <c r="E700" s="4" t="s">
        <v>16</v>
      </c>
      <c r="F700" s="4" t="s">
        <v>17</v>
      </c>
      <c r="G700" s="4" t="s">
        <v>18</v>
      </c>
      <c r="H700" s="4" t="s">
        <v>155</v>
      </c>
      <c r="I700" s="5" t="str">
        <f t="shared" si="10"/>
        <v>2025-04</v>
      </c>
      <c r="J700" s="4" t="s">
        <v>118</v>
      </c>
      <c r="K700" s="5" t="s">
        <v>342</v>
      </c>
      <c r="L700" s="2">
        <v>54000</v>
      </c>
      <c r="M700" s="3">
        <v>2</v>
      </c>
      <c r="N700" s="2">
        <v>108000</v>
      </c>
      <c r="O700" s="2">
        <v>10800</v>
      </c>
      <c r="P700" s="2">
        <v>118800</v>
      </c>
      <c r="Q700" s="2">
        <f>P700*8.5%</f>
        <v>10098</v>
      </c>
    </row>
    <row r="701" spans="1:17" hidden="1" x14ac:dyDescent="0.4">
      <c r="A701" s="4" t="s">
        <v>82</v>
      </c>
      <c r="B701" s="4" t="s">
        <v>26</v>
      </c>
      <c r="C701" s="32" t="s">
        <v>436</v>
      </c>
      <c r="D701" s="4" t="s">
        <v>81</v>
      </c>
      <c r="E701" s="4" t="s">
        <v>16</v>
      </c>
      <c r="F701" s="4" t="s">
        <v>17</v>
      </c>
      <c r="G701" s="4" t="s">
        <v>18</v>
      </c>
      <c r="H701" s="4" t="s">
        <v>155</v>
      </c>
      <c r="I701" s="5" t="str">
        <f t="shared" si="10"/>
        <v>2025-04</v>
      </c>
      <c r="J701" s="4" t="s">
        <v>34</v>
      </c>
      <c r="K701" s="5" t="s">
        <v>342</v>
      </c>
      <c r="L701" s="2">
        <v>20925</v>
      </c>
      <c r="M701" s="3">
        <v>1</v>
      </c>
      <c r="N701" s="2">
        <v>20925</v>
      </c>
      <c r="O701" s="2">
        <v>2093</v>
      </c>
      <c r="P701" s="2">
        <v>23018</v>
      </c>
      <c r="Q701" s="2">
        <f>P701*8.5%</f>
        <v>1956.5300000000002</v>
      </c>
    </row>
    <row r="702" spans="1:17" hidden="1" x14ac:dyDescent="0.4">
      <c r="A702" s="4" t="s">
        <v>32</v>
      </c>
      <c r="B702" s="4" t="s">
        <v>14</v>
      </c>
      <c r="C702" s="31" t="s">
        <v>435</v>
      </c>
      <c r="D702" s="4" t="s">
        <v>33</v>
      </c>
      <c r="E702" s="4" t="s">
        <v>16</v>
      </c>
      <c r="F702" s="4" t="s">
        <v>17</v>
      </c>
      <c r="G702" s="4" t="s">
        <v>18</v>
      </c>
      <c r="H702" s="4" t="s">
        <v>155</v>
      </c>
      <c r="I702" s="5" t="str">
        <f t="shared" si="10"/>
        <v>2025-04</v>
      </c>
      <c r="J702" s="4" t="s">
        <v>34</v>
      </c>
      <c r="K702" s="5" t="s">
        <v>342</v>
      </c>
      <c r="L702" s="2">
        <v>44000</v>
      </c>
      <c r="M702" s="3">
        <v>2</v>
      </c>
      <c r="N702" s="2">
        <v>88000</v>
      </c>
      <c r="O702" s="2">
        <v>8800</v>
      </c>
      <c r="P702" s="2">
        <v>96800</v>
      </c>
      <c r="Q702" s="2">
        <f>P702*8.5%</f>
        <v>8228</v>
      </c>
    </row>
    <row r="703" spans="1:17" hidden="1" x14ac:dyDescent="0.4">
      <c r="A703" s="4" t="s">
        <v>13</v>
      </c>
      <c r="B703" s="4" t="s">
        <v>14</v>
      </c>
      <c r="C703" s="30" t="s">
        <v>434</v>
      </c>
      <c r="D703" s="4" t="s">
        <v>15</v>
      </c>
      <c r="E703" s="4" t="s">
        <v>16</v>
      </c>
      <c r="F703" s="4" t="s">
        <v>17</v>
      </c>
      <c r="G703" s="4" t="s">
        <v>18</v>
      </c>
      <c r="H703" s="4" t="s">
        <v>155</v>
      </c>
      <c r="I703" s="5" t="str">
        <f t="shared" si="10"/>
        <v>2025-04</v>
      </c>
      <c r="J703" s="4" t="s">
        <v>34</v>
      </c>
      <c r="K703" s="5" t="s">
        <v>342</v>
      </c>
      <c r="L703" s="2">
        <v>42000</v>
      </c>
      <c r="M703" s="3">
        <v>6</v>
      </c>
      <c r="N703" s="2">
        <v>252000</v>
      </c>
      <c r="O703" s="2">
        <v>25200</v>
      </c>
      <c r="P703" s="2">
        <v>277200</v>
      </c>
      <c r="Q703" s="2">
        <f>P703*8.5%</f>
        <v>23562</v>
      </c>
    </row>
    <row r="704" spans="1:17" hidden="1" x14ac:dyDescent="0.4">
      <c r="A704" s="4" t="s">
        <v>21</v>
      </c>
      <c r="B704" s="4" t="s">
        <v>14</v>
      </c>
      <c r="C704" s="31" t="s">
        <v>435</v>
      </c>
      <c r="D704" s="4" t="s">
        <v>22</v>
      </c>
      <c r="E704" s="4" t="s">
        <v>16</v>
      </c>
      <c r="F704" s="4" t="s">
        <v>17</v>
      </c>
      <c r="G704" s="4" t="s">
        <v>18</v>
      </c>
      <c r="H704" s="4" t="s">
        <v>155</v>
      </c>
      <c r="I704" s="5" t="str">
        <f t="shared" si="10"/>
        <v>2025-04</v>
      </c>
      <c r="J704" s="4" t="s">
        <v>34</v>
      </c>
      <c r="K704" s="5" t="s">
        <v>342</v>
      </c>
      <c r="L704" s="2">
        <v>54000</v>
      </c>
      <c r="M704" s="3">
        <v>2</v>
      </c>
      <c r="N704" s="2">
        <v>108000</v>
      </c>
      <c r="O704" s="2">
        <v>10800</v>
      </c>
      <c r="P704" s="2">
        <v>118800</v>
      </c>
      <c r="Q704" s="2">
        <f>P704*8.5%</f>
        <v>10098</v>
      </c>
    </row>
    <row r="705" spans="1:17" hidden="1" x14ac:dyDescent="0.4">
      <c r="A705" s="4" t="s">
        <v>35</v>
      </c>
      <c r="B705" s="4" t="s">
        <v>14</v>
      </c>
      <c r="C705" s="30" t="s">
        <v>434</v>
      </c>
      <c r="D705" s="4" t="s">
        <v>36</v>
      </c>
      <c r="E705" s="4" t="s">
        <v>16</v>
      </c>
      <c r="F705" s="4" t="s">
        <v>17</v>
      </c>
      <c r="G705" s="4" t="s">
        <v>18</v>
      </c>
      <c r="H705" s="4" t="s">
        <v>155</v>
      </c>
      <c r="I705" s="5" t="str">
        <f t="shared" si="10"/>
        <v>2025-04</v>
      </c>
      <c r="J705" s="4" t="s">
        <v>34</v>
      </c>
      <c r="K705" s="5" t="s">
        <v>342</v>
      </c>
      <c r="L705" s="2">
        <v>116220</v>
      </c>
      <c r="M705" s="3">
        <v>1</v>
      </c>
      <c r="N705" s="2">
        <v>116220</v>
      </c>
      <c r="O705" s="2">
        <v>11622</v>
      </c>
      <c r="P705" s="2">
        <v>127842</v>
      </c>
      <c r="Q705" s="2">
        <f>P705*8.5%</f>
        <v>10866.570000000002</v>
      </c>
    </row>
    <row r="706" spans="1:17" hidden="1" x14ac:dyDescent="0.4">
      <c r="A706" s="4" t="s">
        <v>23</v>
      </c>
      <c r="B706" s="4" t="s">
        <v>14</v>
      </c>
      <c r="C706" s="31" t="s">
        <v>435</v>
      </c>
      <c r="D706" s="4" t="s">
        <v>24</v>
      </c>
      <c r="E706" s="4" t="s">
        <v>16</v>
      </c>
      <c r="F706" s="4" t="s">
        <v>17</v>
      </c>
      <c r="G706" s="4" t="s">
        <v>18</v>
      </c>
      <c r="H706" s="4" t="s">
        <v>155</v>
      </c>
      <c r="I706" s="5" t="str">
        <f t="shared" ref="I706:I769" si="11">TEXT(H706,"yyyy-mm")</f>
        <v>2025-04</v>
      </c>
      <c r="J706" s="4" t="s">
        <v>34</v>
      </c>
      <c r="K706" s="5" t="s">
        <v>342</v>
      </c>
      <c r="L706" s="2">
        <v>54000</v>
      </c>
      <c r="M706" s="3">
        <v>4</v>
      </c>
      <c r="N706" s="2">
        <v>216000</v>
      </c>
      <c r="O706" s="2">
        <v>21600</v>
      </c>
      <c r="P706" s="2">
        <v>237600</v>
      </c>
      <c r="Q706" s="2">
        <f>P706*8.5%</f>
        <v>20196</v>
      </c>
    </row>
    <row r="707" spans="1:17" hidden="1" x14ac:dyDescent="0.4">
      <c r="A707" s="4" t="s">
        <v>51</v>
      </c>
      <c r="B707" s="4" t="s">
        <v>14</v>
      </c>
      <c r="C707" s="30" t="s">
        <v>434</v>
      </c>
      <c r="D707" s="4" t="s">
        <v>52</v>
      </c>
      <c r="E707" s="4" t="s">
        <v>16</v>
      </c>
      <c r="F707" s="4" t="s">
        <v>17</v>
      </c>
      <c r="G707" s="4" t="s">
        <v>18</v>
      </c>
      <c r="H707" s="4" t="s">
        <v>155</v>
      </c>
      <c r="I707" s="5" t="str">
        <f t="shared" si="11"/>
        <v>2025-04</v>
      </c>
      <c r="J707" s="4" t="s">
        <v>34</v>
      </c>
      <c r="K707" s="5" t="s">
        <v>342</v>
      </c>
      <c r="L707" s="2">
        <v>71250</v>
      </c>
      <c r="M707" s="3">
        <v>1</v>
      </c>
      <c r="N707" s="2">
        <v>71250</v>
      </c>
      <c r="O707" s="2">
        <v>7125</v>
      </c>
      <c r="P707" s="2">
        <v>78375</v>
      </c>
      <c r="Q707" s="2">
        <f>P707*8.5%</f>
        <v>6661.8750000000009</v>
      </c>
    </row>
    <row r="708" spans="1:17" hidden="1" x14ac:dyDescent="0.4">
      <c r="A708" s="4" t="s">
        <v>37</v>
      </c>
      <c r="B708" s="4" t="s">
        <v>26</v>
      </c>
      <c r="C708" s="32" t="s">
        <v>436</v>
      </c>
      <c r="D708" s="4" t="s">
        <v>38</v>
      </c>
      <c r="E708" s="4" t="s">
        <v>28</v>
      </c>
      <c r="F708" s="4" t="s">
        <v>17</v>
      </c>
      <c r="G708" s="4" t="s">
        <v>18</v>
      </c>
      <c r="H708" s="4" t="s">
        <v>155</v>
      </c>
      <c r="I708" s="5" t="str">
        <f t="shared" si="11"/>
        <v>2025-04</v>
      </c>
      <c r="J708" s="4" t="s">
        <v>34</v>
      </c>
      <c r="K708" s="5" t="s">
        <v>342</v>
      </c>
      <c r="L708" s="2">
        <v>395</v>
      </c>
      <c r="M708" s="3">
        <v>20</v>
      </c>
      <c r="N708" s="2">
        <v>7900</v>
      </c>
      <c r="O708" s="2">
        <v>790</v>
      </c>
      <c r="P708" s="2">
        <v>8690</v>
      </c>
      <c r="Q708" s="2">
        <f>P708*8.5%</f>
        <v>738.65000000000009</v>
      </c>
    </row>
    <row r="709" spans="1:17" hidden="1" x14ac:dyDescent="0.4">
      <c r="A709" s="4" t="s">
        <v>70</v>
      </c>
      <c r="B709" s="4" t="s">
        <v>26</v>
      </c>
      <c r="C709" s="32" t="s">
        <v>436</v>
      </c>
      <c r="D709" s="4" t="s">
        <v>71</v>
      </c>
      <c r="E709" s="4" t="s">
        <v>28</v>
      </c>
      <c r="F709" s="4" t="s">
        <v>31</v>
      </c>
      <c r="G709" s="4" t="s">
        <v>18</v>
      </c>
      <c r="H709" s="4" t="s">
        <v>155</v>
      </c>
      <c r="I709" s="5" t="str">
        <f t="shared" si="11"/>
        <v>2025-04</v>
      </c>
      <c r="J709" s="4" t="s">
        <v>34</v>
      </c>
      <c r="K709" s="5" t="s">
        <v>342</v>
      </c>
      <c r="L709" s="2">
        <v>6624</v>
      </c>
      <c r="M709" s="3">
        <v>2</v>
      </c>
      <c r="N709" s="2">
        <v>13248</v>
      </c>
      <c r="O709" s="2">
        <v>0</v>
      </c>
      <c r="P709" s="2">
        <v>13248</v>
      </c>
      <c r="Q709" s="2">
        <f>P709*8.5%</f>
        <v>1126.0800000000002</v>
      </c>
    </row>
    <row r="710" spans="1:17" hidden="1" x14ac:dyDescent="0.4">
      <c r="A710" s="4" t="s">
        <v>42</v>
      </c>
      <c r="B710" s="4" t="s">
        <v>14</v>
      </c>
      <c r="C710" s="30" t="s">
        <v>434</v>
      </c>
      <c r="D710" s="4" t="s">
        <v>43</v>
      </c>
      <c r="E710" s="4" t="s">
        <v>44</v>
      </c>
      <c r="F710" s="4" t="s">
        <v>31</v>
      </c>
      <c r="G710" s="4" t="s">
        <v>18</v>
      </c>
      <c r="H710" s="4" t="s">
        <v>155</v>
      </c>
      <c r="I710" s="5" t="str">
        <f t="shared" si="11"/>
        <v>2025-04</v>
      </c>
      <c r="J710" s="4" t="s">
        <v>34</v>
      </c>
      <c r="K710" s="5" t="s">
        <v>342</v>
      </c>
      <c r="L710" s="2">
        <v>6800</v>
      </c>
      <c r="M710" s="3">
        <v>62.6</v>
      </c>
      <c r="N710" s="2">
        <v>425680</v>
      </c>
      <c r="O710" s="2">
        <v>0</v>
      </c>
      <c r="P710" s="2">
        <v>425680</v>
      </c>
      <c r="Q710" s="2">
        <f>P710*8.5%</f>
        <v>36182.800000000003</v>
      </c>
    </row>
    <row r="711" spans="1:17" hidden="1" x14ac:dyDescent="0.4">
      <c r="A711" s="4" t="s">
        <v>45</v>
      </c>
      <c r="B711" s="4" t="s">
        <v>26</v>
      </c>
      <c r="C711" s="32" t="s">
        <v>436</v>
      </c>
      <c r="D711" s="4" t="s">
        <v>46</v>
      </c>
      <c r="E711" s="4" t="s">
        <v>47</v>
      </c>
      <c r="F711" s="4" t="s">
        <v>17</v>
      </c>
      <c r="G711" s="4" t="s">
        <v>18</v>
      </c>
      <c r="H711" s="4" t="s">
        <v>155</v>
      </c>
      <c r="I711" s="5" t="str">
        <f t="shared" si="11"/>
        <v>2025-04</v>
      </c>
      <c r="J711" s="4" t="s">
        <v>34</v>
      </c>
      <c r="K711" s="5" t="s">
        <v>342</v>
      </c>
      <c r="L711" s="2">
        <v>6576</v>
      </c>
      <c r="M711" s="3">
        <v>2</v>
      </c>
      <c r="N711" s="2">
        <v>13152</v>
      </c>
      <c r="O711" s="2">
        <v>1315</v>
      </c>
      <c r="P711" s="2">
        <v>14467</v>
      </c>
      <c r="Q711" s="2">
        <f>P711*8.5%</f>
        <v>1229.6950000000002</v>
      </c>
    </row>
    <row r="712" spans="1:17" hidden="1" x14ac:dyDescent="0.4">
      <c r="A712" s="4" t="s">
        <v>32</v>
      </c>
      <c r="B712" s="4" t="s">
        <v>14</v>
      </c>
      <c r="C712" s="31" t="s">
        <v>435</v>
      </c>
      <c r="D712" s="4" t="s">
        <v>33</v>
      </c>
      <c r="E712" s="4" t="s">
        <v>16</v>
      </c>
      <c r="F712" s="4" t="s">
        <v>17</v>
      </c>
      <c r="G712" s="4" t="s">
        <v>18</v>
      </c>
      <c r="H712" s="4" t="s">
        <v>155</v>
      </c>
      <c r="I712" s="5" t="str">
        <f t="shared" si="11"/>
        <v>2025-04</v>
      </c>
      <c r="J712" s="4" t="s">
        <v>49</v>
      </c>
      <c r="K712" s="5" t="s">
        <v>343</v>
      </c>
      <c r="L712" s="2">
        <v>44000</v>
      </c>
      <c r="M712" s="3">
        <v>6</v>
      </c>
      <c r="N712" s="2">
        <v>264000</v>
      </c>
      <c r="O712" s="2">
        <v>26400</v>
      </c>
      <c r="P712" s="2">
        <v>290400</v>
      </c>
      <c r="Q712" s="2">
        <f>P712*12%</f>
        <v>34848</v>
      </c>
    </row>
    <row r="713" spans="1:17" hidden="1" x14ac:dyDescent="0.4">
      <c r="A713" s="4" t="s">
        <v>13</v>
      </c>
      <c r="B713" s="4" t="s">
        <v>14</v>
      </c>
      <c r="C713" s="30" t="s">
        <v>434</v>
      </c>
      <c r="D713" s="4" t="s">
        <v>15</v>
      </c>
      <c r="E713" s="4" t="s">
        <v>16</v>
      </c>
      <c r="F713" s="4" t="s">
        <v>17</v>
      </c>
      <c r="G713" s="4" t="s">
        <v>18</v>
      </c>
      <c r="H713" s="4" t="s">
        <v>155</v>
      </c>
      <c r="I713" s="5" t="str">
        <f t="shared" si="11"/>
        <v>2025-04</v>
      </c>
      <c r="J713" s="4" t="s">
        <v>49</v>
      </c>
      <c r="K713" s="5" t="s">
        <v>343</v>
      </c>
      <c r="L713" s="2">
        <v>42000</v>
      </c>
      <c r="M713" s="3">
        <v>8</v>
      </c>
      <c r="N713" s="2">
        <v>336000</v>
      </c>
      <c r="O713" s="2">
        <v>33600</v>
      </c>
      <c r="P713" s="2">
        <v>369600</v>
      </c>
      <c r="Q713" s="2">
        <f>P713*12%</f>
        <v>44352</v>
      </c>
    </row>
    <row r="714" spans="1:17" hidden="1" x14ac:dyDescent="0.4">
      <c r="A714" s="4" t="s">
        <v>35</v>
      </c>
      <c r="B714" s="4" t="s">
        <v>14</v>
      </c>
      <c r="C714" s="30" t="s">
        <v>434</v>
      </c>
      <c r="D714" s="4" t="s">
        <v>36</v>
      </c>
      <c r="E714" s="4" t="s">
        <v>16</v>
      </c>
      <c r="F714" s="4" t="s">
        <v>17</v>
      </c>
      <c r="G714" s="4" t="s">
        <v>18</v>
      </c>
      <c r="H714" s="4" t="s">
        <v>155</v>
      </c>
      <c r="I714" s="5" t="str">
        <f t="shared" si="11"/>
        <v>2025-04</v>
      </c>
      <c r="J714" s="4" t="s">
        <v>49</v>
      </c>
      <c r="K714" s="5" t="s">
        <v>343</v>
      </c>
      <c r="L714" s="2">
        <v>116220</v>
      </c>
      <c r="M714" s="3">
        <v>1</v>
      </c>
      <c r="N714" s="2">
        <v>116220</v>
      </c>
      <c r="O714" s="2">
        <v>11622</v>
      </c>
      <c r="P714" s="2">
        <v>127842</v>
      </c>
      <c r="Q714" s="2">
        <f>P714*12%</f>
        <v>15341.039999999999</v>
      </c>
    </row>
    <row r="715" spans="1:17" hidden="1" x14ac:dyDescent="0.4">
      <c r="A715" s="4" t="s">
        <v>23</v>
      </c>
      <c r="B715" s="4" t="s">
        <v>14</v>
      </c>
      <c r="C715" s="31" t="s">
        <v>435</v>
      </c>
      <c r="D715" s="4" t="s">
        <v>24</v>
      </c>
      <c r="E715" s="4" t="s">
        <v>16</v>
      </c>
      <c r="F715" s="4" t="s">
        <v>17</v>
      </c>
      <c r="G715" s="4" t="s">
        <v>18</v>
      </c>
      <c r="H715" s="4" t="s">
        <v>155</v>
      </c>
      <c r="I715" s="5" t="str">
        <f t="shared" si="11"/>
        <v>2025-04</v>
      </c>
      <c r="J715" s="4" t="s">
        <v>49</v>
      </c>
      <c r="K715" s="5" t="s">
        <v>343</v>
      </c>
      <c r="L715" s="2">
        <v>54000</v>
      </c>
      <c r="M715" s="3">
        <v>4</v>
      </c>
      <c r="N715" s="2">
        <v>216000</v>
      </c>
      <c r="O715" s="2">
        <v>21600</v>
      </c>
      <c r="P715" s="2">
        <v>237600</v>
      </c>
      <c r="Q715" s="2">
        <f>P715*12%</f>
        <v>28512</v>
      </c>
    </row>
    <row r="716" spans="1:17" hidden="1" x14ac:dyDescent="0.4">
      <c r="A716" s="4" t="s">
        <v>32</v>
      </c>
      <c r="B716" s="4" t="s">
        <v>14</v>
      </c>
      <c r="C716" s="31" t="s">
        <v>435</v>
      </c>
      <c r="D716" s="4" t="s">
        <v>33</v>
      </c>
      <c r="E716" s="4" t="s">
        <v>16</v>
      </c>
      <c r="F716" s="4" t="s">
        <v>17</v>
      </c>
      <c r="G716" s="4" t="s">
        <v>18</v>
      </c>
      <c r="H716" s="4" t="s">
        <v>155</v>
      </c>
      <c r="I716" s="5" t="str">
        <f t="shared" si="11"/>
        <v>2025-04</v>
      </c>
      <c r="J716" s="4" t="s">
        <v>50</v>
      </c>
      <c r="K716" s="5" t="s">
        <v>343</v>
      </c>
      <c r="L716" s="2">
        <v>44000</v>
      </c>
      <c r="M716" s="3">
        <v>1</v>
      </c>
      <c r="N716" s="2">
        <v>44000</v>
      </c>
      <c r="O716" s="2">
        <v>4400</v>
      </c>
      <c r="P716" s="2">
        <v>48400</v>
      </c>
      <c r="Q716" s="2">
        <f>P716*12%</f>
        <v>5808</v>
      </c>
    </row>
    <row r="717" spans="1:17" hidden="1" x14ac:dyDescent="0.4">
      <c r="A717" s="4" t="s">
        <v>13</v>
      </c>
      <c r="B717" s="4" t="s">
        <v>14</v>
      </c>
      <c r="C717" s="30" t="s">
        <v>434</v>
      </c>
      <c r="D717" s="4" t="s">
        <v>15</v>
      </c>
      <c r="E717" s="4" t="s">
        <v>16</v>
      </c>
      <c r="F717" s="4" t="s">
        <v>17</v>
      </c>
      <c r="G717" s="4" t="s">
        <v>18</v>
      </c>
      <c r="H717" s="4" t="s">
        <v>155</v>
      </c>
      <c r="I717" s="5" t="str">
        <f t="shared" si="11"/>
        <v>2025-04</v>
      </c>
      <c r="J717" s="4" t="s">
        <v>50</v>
      </c>
      <c r="K717" s="5" t="s">
        <v>343</v>
      </c>
      <c r="L717" s="2">
        <v>42000</v>
      </c>
      <c r="M717" s="3">
        <v>10</v>
      </c>
      <c r="N717" s="2">
        <v>420000</v>
      </c>
      <c r="O717" s="2">
        <v>42000</v>
      </c>
      <c r="P717" s="2">
        <v>462000</v>
      </c>
      <c r="Q717" s="2">
        <f>P717*12%</f>
        <v>55440</v>
      </c>
    </row>
    <row r="718" spans="1:17" hidden="1" x14ac:dyDescent="0.4">
      <c r="A718" s="4" t="s">
        <v>23</v>
      </c>
      <c r="B718" s="4" t="s">
        <v>14</v>
      </c>
      <c r="C718" s="31" t="s">
        <v>435</v>
      </c>
      <c r="D718" s="4" t="s">
        <v>24</v>
      </c>
      <c r="E718" s="4" t="s">
        <v>16</v>
      </c>
      <c r="F718" s="4" t="s">
        <v>17</v>
      </c>
      <c r="G718" s="4" t="s">
        <v>18</v>
      </c>
      <c r="H718" s="4" t="s">
        <v>155</v>
      </c>
      <c r="I718" s="5" t="str">
        <f t="shared" si="11"/>
        <v>2025-04</v>
      </c>
      <c r="J718" s="4" t="s">
        <v>50</v>
      </c>
      <c r="K718" s="5" t="s">
        <v>343</v>
      </c>
      <c r="L718" s="2">
        <v>54000</v>
      </c>
      <c r="M718" s="3">
        <v>5</v>
      </c>
      <c r="N718" s="2">
        <v>270000</v>
      </c>
      <c r="O718" s="2">
        <v>27000</v>
      </c>
      <c r="P718" s="2">
        <v>297000</v>
      </c>
      <c r="Q718" s="2">
        <f>P718*12%</f>
        <v>35640</v>
      </c>
    </row>
    <row r="719" spans="1:17" hidden="1" x14ac:dyDescent="0.4">
      <c r="A719" s="4" t="s">
        <v>51</v>
      </c>
      <c r="B719" s="4" t="s">
        <v>14</v>
      </c>
      <c r="C719" s="30" t="s">
        <v>434</v>
      </c>
      <c r="D719" s="4" t="s">
        <v>52</v>
      </c>
      <c r="E719" s="4" t="s">
        <v>16</v>
      </c>
      <c r="F719" s="4" t="s">
        <v>17</v>
      </c>
      <c r="G719" s="4" t="s">
        <v>18</v>
      </c>
      <c r="H719" s="4" t="s">
        <v>155</v>
      </c>
      <c r="I719" s="5" t="str">
        <f t="shared" si="11"/>
        <v>2025-04</v>
      </c>
      <c r="J719" s="4" t="s">
        <v>50</v>
      </c>
      <c r="K719" s="5" t="s">
        <v>343</v>
      </c>
      <c r="L719" s="2">
        <v>71250</v>
      </c>
      <c r="M719" s="3">
        <v>1</v>
      </c>
      <c r="N719" s="2">
        <v>71250</v>
      </c>
      <c r="O719" s="2">
        <v>7125</v>
      </c>
      <c r="P719" s="2">
        <v>78375</v>
      </c>
      <c r="Q719" s="2">
        <f>P719*12%</f>
        <v>9405</v>
      </c>
    </row>
    <row r="720" spans="1:17" x14ac:dyDescent="0.4">
      <c r="A720" s="4" t="s">
        <v>13</v>
      </c>
      <c r="B720" s="4" t="s">
        <v>14</v>
      </c>
      <c r="C720" s="30" t="s">
        <v>434</v>
      </c>
      <c r="D720" s="4" t="s">
        <v>15</v>
      </c>
      <c r="E720" s="4" t="s">
        <v>16</v>
      </c>
      <c r="F720" s="4" t="s">
        <v>17</v>
      </c>
      <c r="G720" s="4" t="s">
        <v>18</v>
      </c>
      <c r="H720" s="4" t="s">
        <v>156</v>
      </c>
      <c r="I720" s="5" t="str">
        <f t="shared" si="11"/>
        <v>2025-04</v>
      </c>
      <c r="J720" s="4" t="s">
        <v>20</v>
      </c>
      <c r="K720" s="5" t="s">
        <v>342</v>
      </c>
      <c r="L720" s="2">
        <v>42000</v>
      </c>
      <c r="M720" s="3">
        <v>1</v>
      </c>
      <c r="N720" s="2">
        <v>42000</v>
      </c>
      <c r="O720" s="2">
        <v>4200</v>
      </c>
      <c r="P720" s="2">
        <v>46200</v>
      </c>
      <c r="Q720" s="2">
        <f>P720*8.5%</f>
        <v>3927.0000000000005</v>
      </c>
    </row>
    <row r="721" spans="1:17" x14ac:dyDescent="0.4">
      <c r="A721" s="4" t="s">
        <v>21</v>
      </c>
      <c r="B721" s="4" t="s">
        <v>14</v>
      </c>
      <c r="C721" s="31" t="s">
        <v>435</v>
      </c>
      <c r="D721" s="4" t="s">
        <v>22</v>
      </c>
      <c r="E721" s="4" t="s">
        <v>16</v>
      </c>
      <c r="F721" s="4" t="s">
        <v>17</v>
      </c>
      <c r="G721" s="4" t="s">
        <v>18</v>
      </c>
      <c r="H721" s="4" t="s">
        <v>156</v>
      </c>
      <c r="I721" s="5" t="str">
        <f t="shared" si="11"/>
        <v>2025-04</v>
      </c>
      <c r="J721" s="4" t="s">
        <v>20</v>
      </c>
      <c r="K721" s="5" t="s">
        <v>342</v>
      </c>
      <c r="L721" s="2">
        <v>54000</v>
      </c>
      <c r="M721" s="3">
        <v>1</v>
      </c>
      <c r="N721" s="2">
        <v>54000</v>
      </c>
      <c r="O721" s="2">
        <v>5400</v>
      </c>
      <c r="P721" s="2">
        <v>59400</v>
      </c>
      <c r="Q721" s="2">
        <f>P721*8.5%</f>
        <v>5049</v>
      </c>
    </row>
    <row r="722" spans="1:17" x14ac:dyDescent="0.4">
      <c r="A722" s="4" t="s">
        <v>23</v>
      </c>
      <c r="B722" s="4" t="s">
        <v>14</v>
      </c>
      <c r="C722" s="31" t="s">
        <v>435</v>
      </c>
      <c r="D722" s="4" t="s">
        <v>24</v>
      </c>
      <c r="E722" s="4" t="s">
        <v>16</v>
      </c>
      <c r="F722" s="4" t="s">
        <v>17</v>
      </c>
      <c r="G722" s="4" t="s">
        <v>18</v>
      </c>
      <c r="H722" s="4" t="s">
        <v>156</v>
      </c>
      <c r="I722" s="5" t="str">
        <f t="shared" si="11"/>
        <v>2025-04</v>
      </c>
      <c r="J722" s="4" t="s">
        <v>20</v>
      </c>
      <c r="K722" s="5" t="s">
        <v>342</v>
      </c>
      <c r="L722" s="2">
        <v>54000</v>
      </c>
      <c r="M722" s="3">
        <v>2</v>
      </c>
      <c r="N722" s="2">
        <v>108000</v>
      </c>
      <c r="O722" s="2">
        <v>10800</v>
      </c>
      <c r="P722" s="2">
        <v>118800</v>
      </c>
      <c r="Q722" s="2">
        <f>P722*8.5%</f>
        <v>10098</v>
      </c>
    </row>
    <row r="723" spans="1:17" x14ac:dyDescent="0.4">
      <c r="A723" s="4" t="s">
        <v>56</v>
      </c>
      <c r="B723" s="4" t="s">
        <v>26</v>
      </c>
      <c r="C723" s="32" t="s">
        <v>436</v>
      </c>
      <c r="D723" s="4" t="s">
        <v>57</v>
      </c>
      <c r="E723" s="4" t="s">
        <v>44</v>
      </c>
      <c r="F723" s="4" t="s">
        <v>31</v>
      </c>
      <c r="G723" s="4" t="s">
        <v>18</v>
      </c>
      <c r="H723" s="4" t="s">
        <v>156</v>
      </c>
      <c r="I723" s="5" t="str">
        <f t="shared" si="11"/>
        <v>2025-04</v>
      </c>
      <c r="J723" s="4" t="s">
        <v>20</v>
      </c>
      <c r="K723" s="5" t="s">
        <v>342</v>
      </c>
      <c r="L723" s="2">
        <v>3240</v>
      </c>
      <c r="M723" s="3">
        <v>5</v>
      </c>
      <c r="N723" s="2">
        <v>16200</v>
      </c>
      <c r="O723" s="2">
        <v>0</v>
      </c>
      <c r="P723" s="2">
        <v>16200</v>
      </c>
      <c r="Q723" s="2">
        <f>P723*8.5%</f>
        <v>1377</v>
      </c>
    </row>
    <row r="724" spans="1:17" hidden="1" x14ac:dyDescent="0.4">
      <c r="A724" s="4" t="s">
        <v>32</v>
      </c>
      <c r="B724" s="4" t="s">
        <v>14</v>
      </c>
      <c r="C724" s="31" t="s">
        <v>435</v>
      </c>
      <c r="D724" s="4" t="s">
        <v>33</v>
      </c>
      <c r="E724" s="4" t="s">
        <v>16</v>
      </c>
      <c r="F724" s="4" t="s">
        <v>17</v>
      </c>
      <c r="G724" s="4" t="s">
        <v>18</v>
      </c>
      <c r="H724" s="4" t="s">
        <v>156</v>
      </c>
      <c r="I724" s="5" t="str">
        <f t="shared" si="11"/>
        <v>2025-04</v>
      </c>
      <c r="J724" s="4" t="s">
        <v>118</v>
      </c>
      <c r="K724" s="5" t="s">
        <v>342</v>
      </c>
      <c r="L724" s="2">
        <v>44000</v>
      </c>
      <c r="M724" s="3">
        <v>1</v>
      </c>
      <c r="N724" s="2">
        <v>44000</v>
      </c>
      <c r="O724" s="2">
        <v>4400</v>
      </c>
      <c r="P724" s="2">
        <v>48400</v>
      </c>
      <c r="Q724" s="2">
        <f>P724*8.5%</f>
        <v>4114</v>
      </c>
    </row>
    <row r="725" spans="1:17" hidden="1" x14ac:dyDescent="0.4">
      <c r="A725" s="4" t="s">
        <v>13</v>
      </c>
      <c r="B725" s="4" t="s">
        <v>14</v>
      </c>
      <c r="C725" s="30" t="s">
        <v>434</v>
      </c>
      <c r="D725" s="4" t="s">
        <v>15</v>
      </c>
      <c r="E725" s="4" t="s">
        <v>16</v>
      </c>
      <c r="F725" s="4" t="s">
        <v>17</v>
      </c>
      <c r="G725" s="4" t="s">
        <v>18</v>
      </c>
      <c r="H725" s="4" t="s">
        <v>156</v>
      </c>
      <c r="I725" s="5" t="str">
        <f t="shared" si="11"/>
        <v>2025-04</v>
      </c>
      <c r="J725" s="4" t="s">
        <v>118</v>
      </c>
      <c r="K725" s="5" t="s">
        <v>342</v>
      </c>
      <c r="L725" s="2">
        <v>42000</v>
      </c>
      <c r="M725" s="3">
        <v>2</v>
      </c>
      <c r="N725" s="2">
        <v>84000</v>
      </c>
      <c r="O725" s="2">
        <v>8400</v>
      </c>
      <c r="P725" s="2">
        <v>92400</v>
      </c>
      <c r="Q725" s="2">
        <f>P725*8.5%</f>
        <v>7854.0000000000009</v>
      </c>
    </row>
    <row r="726" spans="1:17" hidden="1" x14ac:dyDescent="0.4">
      <c r="A726" s="4" t="s">
        <v>23</v>
      </c>
      <c r="B726" s="4" t="s">
        <v>14</v>
      </c>
      <c r="C726" s="31" t="s">
        <v>435</v>
      </c>
      <c r="D726" s="4" t="s">
        <v>24</v>
      </c>
      <c r="E726" s="4" t="s">
        <v>16</v>
      </c>
      <c r="F726" s="4" t="s">
        <v>17</v>
      </c>
      <c r="G726" s="4" t="s">
        <v>18</v>
      </c>
      <c r="H726" s="4" t="s">
        <v>156</v>
      </c>
      <c r="I726" s="5" t="str">
        <f t="shared" si="11"/>
        <v>2025-04</v>
      </c>
      <c r="J726" s="4" t="s">
        <v>118</v>
      </c>
      <c r="K726" s="5" t="s">
        <v>342</v>
      </c>
      <c r="L726" s="2">
        <v>54000</v>
      </c>
      <c r="M726" s="3">
        <v>1</v>
      </c>
      <c r="N726" s="2">
        <v>54000</v>
      </c>
      <c r="O726" s="2">
        <v>5400</v>
      </c>
      <c r="P726" s="2">
        <v>59400</v>
      </c>
      <c r="Q726" s="2">
        <f>P726*8.5%</f>
        <v>5049</v>
      </c>
    </row>
    <row r="727" spans="1:17" hidden="1" x14ac:dyDescent="0.4">
      <c r="A727" s="4" t="s">
        <v>64</v>
      </c>
      <c r="B727" s="4" t="s">
        <v>65</v>
      </c>
      <c r="C727" s="32" t="s">
        <v>436</v>
      </c>
      <c r="D727" s="4" t="s">
        <v>66</v>
      </c>
      <c r="E727" s="4" t="s">
        <v>16</v>
      </c>
      <c r="F727" s="4" t="s">
        <v>17</v>
      </c>
      <c r="G727" s="4" t="s">
        <v>18</v>
      </c>
      <c r="H727" s="4" t="s">
        <v>156</v>
      </c>
      <c r="I727" s="5" t="str">
        <f t="shared" si="11"/>
        <v>2025-04</v>
      </c>
      <c r="J727" s="4" t="s">
        <v>34</v>
      </c>
      <c r="K727" s="5" t="s">
        <v>342</v>
      </c>
      <c r="L727" s="2">
        <v>10283</v>
      </c>
      <c r="M727" s="3">
        <v>1</v>
      </c>
      <c r="N727" s="2">
        <v>10283</v>
      </c>
      <c r="O727" s="2">
        <v>1028</v>
      </c>
      <c r="P727" s="2">
        <v>11311</v>
      </c>
      <c r="Q727" s="2">
        <f>P727*8.5%</f>
        <v>961.43500000000006</v>
      </c>
    </row>
    <row r="728" spans="1:17" hidden="1" x14ac:dyDescent="0.4">
      <c r="A728" s="4" t="s">
        <v>32</v>
      </c>
      <c r="B728" s="4" t="s">
        <v>14</v>
      </c>
      <c r="C728" s="31" t="s">
        <v>435</v>
      </c>
      <c r="D728" s="4" t="s">
        <v>33</v>
      </c>
      <c r="E728" s="4" t="s">
        <v>16</v>
      </c>
      <c r="F728" s="4" t="s">
        <v>17</v>
      </c>
      <c r="G728" s="4" t="s">
        <v>18</v>
      </c>
      <c r="H728" s="4" t="s">
        <v>156</v>
      </c>
      <c r="I728" s="5" t="str">
        <f t="shared" si="11"/>
        <v>2025-04</v>
      </c>
      <c r="J728" s="4" t="s">
        <v>34</v>
      </c>
      <c r="K728" s="5" t="s">
        <v>342</v>
      </c>
      <c r="L728" s="2">
        <v>44000</v>
      </c>
      <c r="M728" s="3">
        <v>3</v>
      </c>
      <c r="N728" s="2">
        <v>132000</v>
      </c>
      <c r="O728" s="2">
        <v>13200</v>
      </c>
      <c r="P728" s="2">
        <v>145200</v>
      </c>
      <c r="Q728" s="2">
        <f>P728*8.5%</f>
        <v>12342</v>
      </c>
    </row>
    <row r="729" spans="1:17" hidden="1" x14ac:dyDescent="0.4">
      <c r="A729" s="4" t="s">
        <v>58</v>
      </c>
      <c r="B729" s="4" t="s">
        <v>14</v>
      </c>
      <c r="C729" s="30" t="s">
        <v>434</v>
      </c>
      <c r="D729" s="4" t="s">
        <v>36</v>
      </c>
      <c r="E729" s="4" t="s">
        <v>16</v>
      </c>
      <c r="F729" s="4" t="s">
        <v>17</v>
      </c>
      <c r="G729" s="4" t="s">
        <v>18</v>
      </c>
      <c r="H729" s="4" t="s">
        <v>156</v>
      </c>
      <c r="I729" s="5" t="str">
        <f t="shared" si="11"/>
        <v>2025-04</v>
      </c>
      <c r="J729" s="4" t="s">
        <v>34</v>
      </c>
      <c r="K729" s="5" t="s">
        <v>342</v>
      </c>
      <c r="L729" s="2">
        <v>120880</v>
      </c>
      <c r="M729" s="3">
        <v>1</v>
      </c>
      <c r="N729" s="2">
        <v>120880</v>
      </c>
      <c r="O729" s="2">
        <v>12088</v>
      </c>
      <c r="P729" s="2">
        <v>132968</v>
      </c>
      <c r="Q729" s="2">
        <f>P729*8.5%</f>
        <v>11302.28</v>
      </c>
    </row>
    <row r="730" spans="1:17" hidden="1" x14ac:dyDescent="0.4">
      <c r="A730" s="4" t="s">
        <v>13</v>
      </c>
      <c r="B730" s="4" t="s">
        <v>14</v>
      </c>
      <c r="C730" s="30" t="s">
        <v>434</v>
      </c>
      <c r="D730" s="4" t="s">
        <v>15</v>
      </c>
      <c r="E730" s="4" t="s">
        <v>16</v>
      </c>
      <c r="F730" s="4" t="s">
        <v>17</v>
      </c>
      <c r="G730" s="4" t="s">
        <v>18</v>
      </c>
      <c r="H730" s="4" t="s">
        <v>156</v>
      </c>
      <c r="I730" s="5" t="str">
        <f t="shared" si="11"/>
        <v>2025-04</v>
      </c>
      <c r="J730" s="4" t="s">
        <v>34</v>
      </c>
      <c r="K730" s="5" t="s">
        <v>342</v>
      </c>
      <c r="L730" s="2">
        <v>42000</v>
      </c>
      <c r="M730" s="3">
        <v>4</v>
      </c>
      <c r="N730" s="2">
        <v>168000</v>
      </c>
      <c r="O730" s="2">
        <v>16800</v>
      </c>
      <c r="P730" s="2">
        <v>184800</v>
      </c>
      <c r="Q730" s="2">
        <f>P730*8.5%</f>
        <v>15708.000000000002</v>
      </c>
    </row>
    <row r="731" spans="1:17" hidden="1" x14ac:dyDescent="0.4">
      <c r="A731" s="4" t="s">
        <v>21</v>
      </c>
      <c r="B731" s="4" t="s">
        <v>14</v>
      </c>
      <c r="C731" s="31" t="s">
        <v>435</v>
      </c>
      <c r="D731" s="4" t="s">
        <v>22</v>
      </c>
      <c r="E731" s="4" t="s">
        <v>16</v>
      </c>
      <c r="F731" s="4" t="s">
        <v>17</v>
      </c>
      <c r="G731" s="4" t="s">
        <v>18</v>
      </c>
      <c r="H731" s="4" t="s">
        <v>156</v>
      </c>
      <c r="I731" s="5" t="str">
        <f t="shared" si="11"/>
        <v>2025-04</v>
      </c>
      <c r="J731" s="4" t="s">
        <v>34</v>
      </c>
      <c r="K731" s="5" t="s">
        <v>342</v>
      </c>
      <c r="L731" s="2">
        <v>54000</v>
      </c>
      <c r="M731" s="3">
        <v>1</v>
      </c>
      <c r="N731" s="2">
        <v>54000</v>
      </c>
      <c r="O731" s="2">
        <v>5400</v>
      </c>
      <c r="P731" s="2">
        <v>59400</v>
      </c>
      <c r="Q731" s="2">
        <f>P731*8.5%</f>
        <v>5049</v>
      </c>
    </row>
    <row r="732" spans="1:17" hidden="1" x14ac:dyDescent="0.4">
      <c r="A732" s="4" t="s">
        <v>23</v>
      </c>
      <c r="B732" s="4" t="s">
        <v>14</v>
      </c>
      <c r="C732" s="31" t="s">
        <v>435</v>
      </c>
      <c r="D732" s="4" t="s">
        <v>24</v>
      </c>
      <c r="E732" s="4" t="s">
        <v>16</v>
      </c>
      <c r="F732" s="4" t="s">
        <v>17</v>
      </c>
      <c r="G732" s="4" t="s">
        <v>18</v>
      </c>
      <c r="H732" s="4" t="s">
        <v>156</v>
      </c>
      <c r="I732" s="5" t="str">
        <f t="shared" si="11"/>
        <v>2025-04</v>
      </c>
      <c r="J732" s="4" t="s">
        <v>34</v>
      </c>
      <c r="K732" s="5" t="s">
        <v>342</v>
      </c>
      <c r="L732" s="2">
        <v>54000</v>
      </c>
      <c r="M732" s="3">
        <v>5</v>
      </c>
      <c r="N732" s="2">
        <v>270000</v>
      </c>
      <c r="O732" s="2">
        <v>27000</v>
      </c>
      <c r="P732" s="2">
        <v>297000</v>
      </c>
      <c r="Q732" s="2">
        <f>P732*8.5%</f>
        <v>25245</v>
      </c>
    </row>
    <row r="733" spans="1:17" hidden="1" x14ac:dyDescent="0.4">
      <c r="A733" s="4" t="s">
        <v>51</v>
      </c>
      <c r="B733" s="4" t="s">
        <v>14</v>
      </c>
      <c r="C733" s="30" t="s">
        <v>434</v>
      </c>
      <c r="D733" s="4" t="s">
        <v>52</v>
      </c>
      <c r="E733" s="4" t="s">
        <v>16</v>
      </c>
      <c r="F733" s="4" t="s">
        <v>17</v>
      </c>
      <c r="G733" s="4" t="s">
        <v>18</v>
      </c>
      <c r="H733" s="4" t="s">
        <v>156</v>
      </c>
      <c r="I733" s="5" t="str">
        <f t="shared" si="11"/>
        <v>2025-04</v>
      </c>
      <c r="J733" s="4" t="s">
        <v>34</v>
      </c>
      <c r="K733" s="5" t="s">
        <v>342</v>
      </c>
      <c r="L733" s="2">
        <v>71250</v>
      </c>
      <c r="M733" s="3">
        <v>1</v>
      </c>
      <c r="N733" s="2">
        <v>71250</v>
      </c>
      <c r="O733" s="2">
        <v>7125</v>
      </c>
      <c r="P733" s="2">
        <v>78375</v>
      </c>
      <c r="Q733" s="2">
        <f>P733*8.5%</f>
        <v>6661.8750000000009</v>
      </c>
    </row>
    <row r="734" spans="1:17" hidden="1" x14ac:dyDescent="0.4">
      <c r="A734" s="4" t="s">
        <v>42</v>
      </c>
      <c r="B734" s="4" t="s">
        <v>14</v>
      </c>
      <c r="C734" s="30" t="s">
        <v>434</v>
      </c>
      <c r="D734" s="4" t="s">
        <v>43</v>
      </c>
      <c r="E734" s="4" t="s">
        <v>44</v>
      </c>
      <c r="F734" s="4" t="s">
        <v>31</v>
      </c>
      <c r="G734" s="4" t="s">
        <v>18</v>
      </c>
      <c r="H734" s="4" t="s">
        <v>156</v>
      </c>
      <c r="I734" s="5" t="str">
        <f t="shared" si="11"/>
        <v>2025-04</v>
      </c>
      <c r="J734" s="4" t="s">
        <v>34</v>
      </c>
      <c r="K734" s="5" t="s">
        <v>342</v>
      </c>
      <c r="L734" s="2">
        <v>6800</v>
      </c>
      <c r="M734" s="3">
        <v>48.6</v>
      </c>
      <c r="N734" s="2">
        <v>330480</v>
      </c>
      <c r="O734" s="2">
        <v>0</v>
      </c>
      <c r="P734" s="2">
        <v>330480</v>
      </c>
      <c r="Q734" s="2">
        <f>P734*8.5%</f>
        <v>28090.800000000003</v>
      </c>
    </row>
    <row r="735" spans="1:17" hidden="1" x14ac:dyDescent="0.4">
      <c r="A735" s="4" t="s">
        <v>13</v>
      </c>
      <c r="B735" s="4" t="s">
        <v>14</v>
      </c>
      <c r="C735" s="30" t="s">
        <v>434</v>
      </c>
      <c r="D735" s="4" t="s">
        <v>15</v>
      </c>
      <c r="E735" s="4" t="s">
        <v>16</v>
      </c>
      <c r="F735" s="4" t="s">
        <v>17</v>
      </c>
      <c r="G735" s="4" t="s">
        <v>18</v>
      </c>
      <c r="H735" s="4" t="s">
        <v>156</v>
      </c>
      <c r="I735" s="5" t="str">
        <f t="shared" si="11"/>
        <v>2025-04</v>
      </c>
      <c r="J735" s="4" t="s">
        <v>59</v>
      </c>
      <c r="K735" s="5" t="s">
        <v>343</v>
      </c>
      <c r="L735" s="2">
        <v>42000</v>
      </c>
      <c r="M735" s="3">
        <v>4</v>
      </c>
      <c r="N735" s="2">
        <v>168000</v>
      </c>
      <c r="O735" s="2">
        <v>16800</v>
      </c>
      <c r="P735" s="2">
        <v>184800</v>
      </c>
      <c r="Q735" s="2">
        <f>P735*12%</f>
        <v>22176</v>
      </c>
    </row>
    <row r="736" spans="1:17" hidden="1" x14ac:dyDescent="0.4">
      <c r="A736" s="4" t="s">
        <v>23</v>
      </c>
      <c r="B736" s="4" t="s">
        <v>14</v>
      </c>
      <c r="C736" s="31" t="s">
        <v>435</v>
      </c>
      <c r="D736" s="4" t="s">
        <v>24</v>
      </c>
      <c r="E736" s="4" t="s">
        <v>16</v>
      </c>
      <c r="F736" s="4" t="s">
        <v>17</v>
      </c>
      <c r="G736" s="4" t="s">
        <v>18</v>
      </c>
      <c r="H736" s="4" t="s">
        <v>156</v>
      </c>
      <c r="I736" s="5" t="str">
        <f t="shared" si="11"/>
        <v>2025-04</v>
      </c>
      <c r="J736" s="4" t="s">
        <v>59</v>
      </c>
      <c r="K736" s="5" t="s">
        <v>343</v>
      </c>
      <c r="L736" s="2">
        <v>54000</v>
      </c>
      <c r="M736" s="3">
        <v>2</v>
      </c>
      <c r="N736" s="2">
        <v>108000</v>
      </c>
      <c r="O736" s="2">
        <v>10800</v>
      </c>
      <c r="P736" s="2">
        <v>118800</v>
      </c>
      <c r="Q736" s="2">
        <f>P736*12%</f>
        <v>14256</v>
      </c>
    </row>
    <row r="737" spans="1:17" hidden="1" x14ac:dyDescent="0.4">
      <c r="A737" s="4" t="s">
        <v>51</v>
      </c>
      <c r="B737" s="4" t="s">
        <v>14</v>
      </c>
      <c r="C737" s="30" t="s">
        <v>434</v>
      </c>
      <c r="D737" s="4" t="s">
        <v>52</v>
      </c>
      <c r="E737" s="4" t="s">
        <v>16</v>
      </c>
      <c r="F737" s="4" t="s">
        <v>17</v>
      </c>
      <c r="G737" s="4" t="s">
        <v>18</v>
      </c>
      <c r="H737" s="4" t="s">
        <v>156</v>
      </c>
      <c r="I737" s="5" t="str">
        <f t="shared" si="11"/>
        <v>2025-04</v>
      </c>
      <c r="J737" s="4" t="s">
        <v>59</v>
      </c>
      <c r="K737" s="5" t="s">
        <v>343</v>
      </c>
      <c r="L737" s="2">
        <v>71250</v>
      </c>
      <c r="M737" s="3">
        <v>1</v>
      </c>
      <c r="N737" s="2">
        <v>71250</v>
      </c>
      <c r="O737" s="2">
        <v>7125</v>
      </c>
      <c r="P737" s="2">
        <v>78375</v>
      </c>
      <c r="Q737" s="2">
        <f>P737*12%</f>
        <v>9405</v>
      </c>
    </row>
    <row r="738" spans="1:17" hidden="1" x14ac:dyDescent="0.4">
      <c r="A738" s="4" t="s">
        <v>32</v>
      </c>
      <c r="B738" s="4" t="s">
        <v>14</v>
      </c>
      <c r="C738" s="31" t="s">
        <v>435</v>
      </c>
      <c r="D738" s="4" t="s">
        <v>33</v>
      </c>
      <c r="E738" s="4" t="s">
        <v>16</v>
      </c>
      <c r="F738" s="4" t="s">
        <v>17</v>
      </c>
      <c r="G738" s="4" t="s">
        <v>18</v>
      </c>
      <c r="H738" s="4" t="s">
        <v>156</v>
      </c>
      <c r="I738" s="5" t="str">
        <f t="shared" si="11"/>
        <v>2025-04</v>
      </c>
      <c r="J738" s="4" t="s">
        <v>49</v>
      </c>
      <c r="K738" s="5" t="s">
        <v>343</v>
      </c>
      <c r="L738" s="2">
        <v>44000</v>
      </c>
      <c r="M738" s="3">
        <v>6</v>
      </c>
      <c r="N738" s="2">
        <v>264000</v>
      </c>
      <c r="O738" s="2">
        <v>26400</v>
      </c>
      <c r="P738" s="2">
        <v>290400</v>
      </c>
      <c r="Q738" s="2">
        <f>P738*12%</f>
        <v>34848</v>
      </c>
    </row>
    <row r="739" spans="1:17" hidden="1" x14ac:dyDescent="0.4">
      <c r="A739" s="4" t="s">
        <v>13</v>
      </c>
      <c r="B739" s="4" t="s">
        <v>14</v>
      </c>
      <c r="C739" s="30" t="s">
        <v>434</v>
      </c>
      <c r="D739" s="4" t="s">
        <v>15</v>
      </c>
      <c r="E739" s="4" t="s">
        <v>16</v>
      </c>
      <c r="F739" s="4" t="s">
        <v>17</v>
      </c>
      <c r="G739" s="4" t="s">
        <v>18</v>
      </c>
      <c r="H739" s="4" t="s">
        <v>156</v>
      </c>
      <c r="I739" s="5" t="str">
        <f t="shared" si="11"/>
        <v>2025-04</v>
      </c>
      <c r="J739" s="4" t="s">
        <v>49</v>
      </c>
      <c r="K739" s="5" t="s">
        <v>343</v>
      </c>
      <c r="L739" s="2">
        <v>42000</v>
      </c>
      <c r="M739" s="3">
        <v>8</v>
      </c>
      <c r="N739" s="2">
        <v>336000</v>
      </c>
      <c r="O739" s="2">
        <v>33600</v>
      </c>
      <c r="P739" s="2">
        <v>369600</v>
      </c>
      <c r="Q739" s="2">
        <f>P739*12%</f>
        <v>44352</v>
      </c>
    </row>
    <row r="740" spans="1:17" hidden="1" x14ac:dyDescent="0.4">
      <c r="A740" s="4" t="s">
        <v>35</v>
      </c>
      <c r="B740" s="4" t="s">
        <v>14</v>
      </c>
      <c r="C740" s="30" t="s">
        <v>434</v>
      </c>
      <c r="D740" s="4" t="s">
        <v>36</v>
      </c>
      <c r="E740" s="4" t="s">
        <v>16</v>
      </c>
      <c r="F740" s="4" t="s">
        <v>17</v>
      </c>
      <c r="G740" s="4" t="s">
        <v>18</v>
      </c>
      <c r="H740" s="4" t="s">
        <v>156</v>
      </c>
      <c r="I740" s="5" t="str">
        <f t="shared" si="11"/>
        <v>2025-04</v>
      </c>
      <c r="J740" s="4" t="s">
        <v>49</v>
      </c>
      <c r="K740" s="5" t="s">
        <v>343</v>
      </c>
      <c r="L740" s="2">
        <v>116220</v>
      </c>
      <c r="M740" s="3">
        <v>1</v>
      </c>
      <c r="N740" s="2">
        <v>116220</v>
      </c>
      <c r="O740" s="2">
        <v>11622</v>
      </c>
      <c r="P740" s="2">
        <v>127842</v>
      </c>
      <c r="Q740" s="2">
        <f>P740*12%</f>
        <v>15341.039999999999</v>
      </c>
    </row>
    <row r="741" spans="1:17" hidden="1" x14ac:dyDescent="0.4">
      <c r="A741" s="4" t="s">
        <v>23</v>
      </c>
      <c r="B741" s="4" t="s">
        <v>14</v>
      </c>
      <c r="C741" s="31" t="s">
        <v>435</v>
      </c>
      <c r="D741" s="4" t="s">
        <v>24</v>
      </c>
      <c r="E741" s="4" t="s">
        <v>16</v>
      </c>
      <c r="F741" s="4" t="s">
        <v>17</v>
      </c>
      <c r="G741" s="4" t="s">
        <v>18</v>
      </c>
      <c r="H741" s="4" t="s">
        <v>156</v>
      </c>
      <c r="I741" s="5" t="str">
        <f t="shared" si="11"/>
        <v>2025-04</v>
      </c>
      <c r="J741" s="4" t="s">
        <v>49</v>
      </c>
      <c r="K741" s="5" t="s">
        <v>343</v>
      </c>
      <c r="L741" s="2">
        <v>54000</v>
      </c>
      <c r="M741" s="3">
        <v>2</v>
      </c>
      <c r="N741" s="2">
        <v>108000</v>
      </c>
      <c r="O741" s="2">
        <v>10800</v>
      </c>
      <c r="P741" s="2">
        <v>118800</v>
      </c>
      <c r="Q741" s="2">
        <f>P741*12%</f>
        <v>14256</v>
      </c>
    </row>
    <row r="742" spans="1:17" hidden="1" x14ac:dyDescent="0.4">
      <c r="A742" s="4" t="s">
        <v>51</v>
      </c>
      <c r="B742" s="4" t="s">
        <v>14</v>
      </c>
      <c r="C742" s="30" t="s">
        <v>434</v>
      </c>
      <c r="D742" s="4" t="s">
        <v>52</v>
      </c>
      <c r="E742" s="4" t="s">
        <v>16</v>
      </c>
      <c r="F742" s="4" t="s">
        <v>17</v>
      </c>
      <c r="G742" s="4" t="s">
        <v>18</v>
      </c>
      <c r="H742" s="4" t="s">
        <v>156</v>
      </c>
      <c r="I742" s="5" t="str">
        <f t="shared" si="11"/>
        <v>2025-04</v>
      </c>
      <c r="J742" s="4" t="s">
        <v>49</v>
      </c>
      <c r="K742" s="5" t="s">
        <v>343</v>
      </c>
      <c r="L742" s="2">
        <v>71250</v>
      </c>
      <c r="M742" s="3">
        <v>1</v>
      </c>
      <c r="N742" s="2">
        <v>71250</v>
      </c>
      <c r="O742" s="2">
        <v>7125</v>
      </c>
      <c r="P742" s="2">
        <v>78375</v>
      </c>
      <c r="Q742" s="2">
        <f>P742*12%</f>
        <v>9405</v>
      </c>
    </row>
    <row r="743" spans="1:17" x14ac:dyDescent="0.4">
      <c r="A743" s="4" t="s">
        <v>13</v>
      </c>
      <c r="B743" s="4" t="s">
        <v>14</v>
      </c>
      <c r="C743" s="30" t="s">
        <v>434</v>
      </c>
      <c r="D743" s="4" t="s">
        <v>15</v>
      </c>
      <c r="E743" s="4" t="s">
        <v>16</v>
      </c>
      <c r="F743" s="4" t="s">
        <v>17</v>
      </c>
      <c r="G743" s="4" t="s">
        <v>18</v>
      </c>
      <c r="H743" s="4" t="s">
        <v>157</v>
      </c>
      <c r="I743" s="5" t="str">
        <f t="shared" si="11"/>
        <v>2025-04</v>
      </c>
      <c r="J743" s="4" t="s">
        <v>20</v>
      </c>
      <c r="K743" s="5" t="s">
        <v>342</v>
      </c>
      <c r="L743" s="2">
        <v>42000</v>
      </c>
      <c r="M743" s="3">
        <v>2</v>
      </c>
      <c r="N743" s="2">
        <v>84000</v>
      </c>
      <c r="O743" s="2">
        <v>8400</v>
      </c>
      <c r="P743" s="2">
        <v>92400</v>
      </c>
      <c r="Q743" s="2">
        <f>P743*8.5%</f>
        <v>7854.0000000000009</v>
      </c>
    </row>
    <row r="744" spans="1:17" x14ac:dyDescent="0.4">
      <c r="A744" s="4" t="s">
        <v>21</v>
      </c>
      <c r="B744" s="4" t="s">
        <v>14</v>
      </c>
      <c r="C744" s="31" t="s">
        <v>435</v>
      </c>
      <c r="D744" s="4" t="s">
        <v>22</v>
      </c>
      <c r="E744" s="4" t="s">
        <v>16</v>
      </c>
      <c r="F744" s="4" t="s">
        <v>17</v>
      </c>
      <c r="G744" s="4" t="s">
        <v>18</v>
      </c>
      <c r="H744" s="4" t="s">
        <v>157</v>
      </c>
      <c r="I744" s="5" t="str">
        <f t="shared" si="11"/>
        <v>2025-04</v>
      </c>
      <c r="J744" s="4" t="s">
        <v>20</v>
      </c>
      <c r="K744" s="5" t="s">
        <v>342</v>
      </c>
      <c r="L744" s="2">
        <v>54000</v>
      </c>
      <c r="M744" s="3">
        <v>2</v>
      </c>
      <c r="N744" s="2">
        <v>108000</v>
      </c>
      <c r="O744" s="2">
        <v>10800</v>
      </c>
      <c r="P744" s="2">
        <v>118800</v>
      </c>
      <c r="Q744" s="2">
        <f>P744*8.5%</f>
        <v>10098</v>
      </c>
    </row>
    <row r="745" spans="1:17" x14ac:dyDescent="0.4">
      <c r="A745" s="4" t="s">
        <v>23</v>
      </c>
      <c r="B745" s="4" t="s">
        <v>14</v>
      </c>
      <c r="C745" s="31" t="s">
        <v>435</v>
      </c>
      <c r="D745" s="4" t="s">
        <v>24</v>
      </c>
      <c r="E745" s="4" t="s">
        <v>16</v>
      </c>
      <c r="F745" s="4" t="s">
        <v>17</v>
      </c>
      <c r="G745" s="4" t="s">
        <v>18</v>
      </c>
      <c r="H745" s="4" t="s">
        <v>157</v>
      </c>
      <c r="I745" s="5" t="str">
        <f t="shared" si="11"/>
        <v>2025-04</v>
      </c>
      <c r="J745" s="4" t="s">
        <v>20</v>
      </c>
      <c r="K745" s="5" t="s">
        <v>342</v>
      </c>
      <c r="L745" s="2">
        <v>54000</v>
      </c>
      <c r="M745" s="3">
        <v>2</v>
      </c>
      <c r="N745" s="2">
        <v>108000</v>
      </c>
      <c r="O745" s="2">
        <v>10800</v>
      </c>
      <c r="P745" s="2">
        <v>118800</v>
      </c>
      <c r="Q745" s="2">
        <f>P745*8.5%</f>
        <v>10098</v>
      </c>
    </row>
    <row r="746" spans="1:17" x14ac:dyDescent="0.4">
      <c r="A746" s="4" t="s">
        <v>56</v>
      </c>
      <c r="B746" s="4" t="s">
        <v>26</v>
      </c>
      <c r="C746" s="32" t="s">
        <v>436</v>
      </c>
      <c r="D746" s="4" t="s">
        <v>57</v>
      </c>
      <c r="E746" s="4" t="s">
        <v>44</v>
      </c>
      <c r="F746" s="4" t="s">
        <v>31</v>
      </c>
      <c r="G746" s="4" t="s">
        <v>18</v>
      </c>
      <c r="H746" s="4" t="s">
        <v>157</v>
      </c>
      <c r="I746" s="5" t="str">
        <f t="shared" si="11"/>
        <v>2025-04</v>
      </c>
      <c r="J746" s="4" t="s">
        <v>20</v>
      </c>
      <c r="K746" s="5" t="s">
        <v>342</v>
      </c>
      <c r="L746" s="2">
        <v>3240</v>
      </c>
      <c r="M746" s="3">
        <v>15</v>
      </c>
      <c r="N746" s="2">
        <v>48600</v>
      </c>
      <c r="O746" s="2">
        <v>0</v>
      </c>
      <c r="P746" s="2">
        <v>48600</v>
      </c>
      <c r="Q746" s="2">
        <f>P746*8.5%</f>
        <v>4131</v>
      </c>
    </row>
    <row r="747" spans="1:17" hidden="1" x14ac:dyDescent="0.4">
      <c r="A747" s="4" t="s">
        <v>58</v>
      </c>
      <c r="B747" s="4" t="s">
        <v>14</v>
      </c>
      <c r="C747" s="30" t="s">
        <v>434</v>
      </c>
      <c r="D747" s="4" t="s">
        <v>36</v>
      </c>
      <c r="E747" s="4" t="s">
        <v>16</v>
      </c>
      <c r="F747" s="4" t="s">
        <v>17</v>
      </c>
      <c r="G747" s="4" t="s">
        <v>18</v>
      </c>
      <c r="H747" s="4" t="s">
        <v>157</v>
      </c>
      <c r="I747" s="5" t="str">
        <f t="shared" si="11"/>
        <v>2025-04</v>
      </c>
      <c r="J747" s="4" t="s">
        <v>34</v>
      </c>
      <c r="K747" s="5" t="s">
        <v>342</v>
      </c>
      <c r="L747" s="2">
        <v>120880</v>
      </c>
      <c r="M747" s="3">
        <v>1</v>
      </c>
      <c r="N747" s="2">
        <v>120880</v>
      </c>
      <c r="O747" s="2">
        <v>12088</v>
      </c>
      <c r="P747" s="2">
        <v>132968</v>
      </c>
      <c r="Q747" s="2">
        <f>P747*8.5%</f>
        <v>11302.28</v>
      </c>
    </row>
    <row r="748" spans="1:17" hidden="1" x14ac:dyDescent="0.4">
      <c r="A748" s="4" t="s">
        <v>13</v>
      </c>
      <c r="B748" s="4" t="s">
        <v>14</v>
      </c>
      <c r="C748" s="30" t="s">
        <v>434</v>
      </c>
      <c r="D748" s="4" t="s">
        <v>15</v>
      </c>
      <c r="E748" s="4" t="s">
        <v>16</v>
      </c>
      <c r="F748" s="4" t="s">
        <v>17</v>
      </c>
      <c r="G748" s="4" t="s">
        <v>18</v>
      </c>
      <c r="H748" s="4" t="s">
        <v>157</v>
      </c>
      <c r="I748" s="5" t="str">
        <f t="shared" si="11"/>
        <v>2025-04</v>
      </c>
      <c r="J748" s="4" t="s">
        <v>34</v>
      </c>
      <c r="K748" s="5" t="s">
        <v>342</v>
      </c>
      <c r="L748" s="2">
        <v>42000</v>
      </c>
      <c r="M748" s="3">
        <v>7</v>
      </c>
      <c r="N748" s="2">
        <v>294000</v>
      </c>
      <c r="O748" s="2">
        <v>29400</v>
      </c>
      <c r="P748" s="2">
        <v>323400</v>
      </c>
      <c r="Q748" s="2">
        <f>P748*8.5%</f>
        <v>27489.000000000004</v>
      </c>
    </row>
    <row r="749" spans="1:17" hidden="1" x14ac:dyDescent="0.4">
      <c r="A749" s="4" t="s">
        <v>21</v>
      </c>
      <c r="B749" s="4" t="s">
        <v>14</v>
      </c>
      <c r="C749" s="31" t="s">
        <v>435</v>
      </c>
      <c r="D749" s="4" t="s">
        <v>22</v>
      </c>
      <c r="E749" s="4" t="s">
        <v>16</v>
      </c>
      <c r="F749" s="4" t="s">
        <v>17</v>
      </c>
      <c r="G749" s="4" t="s">
        <v>18</v>
      </c>
      <c r="H749" s="4" t="s">
        <v>157</v>
      </c>
      <c r="I749" s="5" t="str">
        <f t="shared" si="11"/>
        <v>2025-04</v>
      </c>
      <c r="J749" s="4" t="s">
        <v>34</v>
      </c>
      <c r="K749" s="5" t="s">
        <v>342</v>
      </c>
      <c r="L749" s="2">
        <v>54000</v>
      </c>
      <c r="M749" s="3">
        <v>1</v>
      </c>
      <c r="N749" s="2">
        <v>54000</v>
      </c>
      <c r="O749" s="2">
        <v>5400</v>
      </c>
      <c r="P749" s="2">
        <v>59400</v>
      </c>
      <c r="Q749" s="2">
        <f>P749*8.5%</f>
        <v>5049</v>
      </c>
    </row>
    <row r="750" spans="1:17" hidden="1" x14ac:dyDescent="0.4">
      <c r="A750" s="4" t="s">
        <v>35</v>
      </c>
      <c r="B750" s="4" t="s">
        <v>14</v>
      </c>
      <c r="C750" s="30" t="s">
        <v>434</v>
      </c>
      <c r="D750" s="4" t="s">
        <v>36</v>
      </c>
      <c r="E750" s="4" t="s">
        <v>16</v>
      </c>
      <c r="F750" s="4" t="s">
        <v>17</v>
      </c>
      <c r="G750" s="4" t="s">
        <v>18</v>
      </c>
      <c r="H750" s="4" t="s">
        <v>157</v>
      </c>
      <c r="I750" s="5" t="str">
        <f t="shared" si="11"/>
        <v>2025-04</v>
      </c>
      <c r="J750" s="4" t="s">
        <v>34</v>
      </c>
      <c r="K750" s="5" t="s">
        <v>342</v>
      </c>
      <c r="L750" s="2">
        <v>116220</v>
      </c>
      <c r="M750" s="3">
        <v>1</v>
      </c>
      <c r="N750" s="2">
        <v>116220</v>
      </c>
      <c r="O750" s="2">
        <v>11622</v>
      </c>
      <c r="P750" s="2">
        <v>127842</v>
      </c>
      <c r="Q750" s="2">
        <f>P750*8.5%</f>
        <v>10866.570000000002</v>
      </c>
    </row>
    <row r="751" spans="1:17" hidden="1" x14ac:dyDescent="0.4">
      <c r="A751" s="4" t="s">
        <v>23</v>
      </c>
      <c r="B751" s="4" t="s">
        <v>14</v>
      </c>
      <c r="C751" s="31" t="s">
        <v>435</v>
      </c>
      <c r="D751" s="4" t="s">
        <v>24</v>
      </c>
      <c r="E751" s="4" t="s">
        <v>16</v>
      </c>
      <c r="F751" s="4" t="s">
        <v>17</v>
      </c>
      <c r="G751" s="4" t="s">
        <v>18</v>
      </c>
      <c r="H751" s="4" t="s">
        <v>157</v>
      </c>
      <c r="I751" s="5" t="str">
        <f t="shared" si="11"/>
        <v>2025-04</v>
      </c>
      <c r="J751" s="4" t="s">
        <v>34</v>
      </c>
      <c r="K751" s="5" t="s">
        <v>342</v>
      </c>
      <c r="L751" s="2">
        <v>54000</v>
      </c>
      <c r="M751" s="3">
        <v>3</v>
      </c>
      <c r="N751" s="2">
        <v>162000</v>
      </c>
      <c r="O751" s="2">
        <v>16200</v>
      </c>
      <c r="P751" s="2">
        <v>178200</v>
      </c>
      <c r="Q751" s="2">
        <f>P751*8.5%</f>
        <v>15147.000000000002</v>
      </c>
    </row>
    <row r="752" spans="1:17" hidden="1" x14ac:dyDescent="0.4">
      <c r="A752" s="4" t="s">
        <v>51</v>
      </c>
      <c r="B752" s="4" t="s">
        <v>14</v>
      </c>
      <c r="C752" s="30" t="s">
        <v>434</v>
      </c>
      <c r="D752" s="4" t="s">
        <v>52</v>
      </c>
      <c r="E752" s="4" t="s">
        <v>16</v>
      </c>
      <c r="F752" s="4" t="s">
        <v>17</v>
      </c>
      <c r="G752" s="4" t="s">
        <v>18</v>
      </c>
      <c r="H752" s="4" t="s">
        <v>157</v>
      </c>
      <c r="I752" s="5" t="str">
        <f t="shared" si="11"/>
        <v>2025-04</v>
      </c>
      <c r="J752" s="4" t="s">
        <v>34</v>
      </c>
      <c r="K752" s="5" t="s">
        <v>342</v>
      </c>
      <c r="L752" s="2">
        <v>71250</v>
      </c>
      <c r="M752" s="3">
        <v>1</v>
      </c>
      <c r="N752" s="2">
        <v>71250</v>
      </c>
      <c r="O752" s="2">
        <v>7125</v>
      </c>
      <c r="P752" s="2">
        <v>78375</v>
      </c>
      <c r="Q752" s="2">
        <f>P752*8.5%</f>
        <v>6661.8750000000009</v>
      </c>
    </row>
    <row r="753" spans="1:17" hidden="1" x14ac:dyDescent="0.4">
      <c r="A753" s="4" t="s">
        <v>67</v>
      </c>
      <c r="B753" s="4" t="s">
        <v>26</v>
      </c>
      <c r="C753" s="32" t="s">
        <v>436</v>
      </c>
      <c r="D753" s="4" t="s">
        <v>63</v>
      </c>
      <c r="E753" s="4" t="s">
        <v>28</v>
      </c>
      <c r="F753" s="4" t="s">
        <v>17</v>
      </c>
      <c r="G753" s="4" t="s">
        <v>18</v>
      </c>
      <c r="H753" s="4" t="s">
        <v>157</v>
      </c>
      <c r="I753" s="5" t="str">
        <f t="shared" si="11"/>
        <v>2025-04</v>
      </c>
      <c r="J753" s="4" t="s">
        <v>34</v>
      </c>
      <c r="K753" s="5" t="s">
        <v>342</v>
      </c>
      <c r="L753" s="2">
        <v>7558</v>
      </c>
      <c r="M753" s="3">
        <v>1</v>
      </c>
      <c r="N753" s="2">
        <v>7558</v>
      </c>
      <c r="O753" s="2">
        <v>756</v>
      </c>
      <c r="P753" s="2">
        <v>8314</v>
      </c>
      <c r="Q753" s="2">
        <f>P753*8.5%</f>
        <v>706.69</v>
      </c>
    </row>
    <row r="754" spans="1:17" hidden="1" x14ac:dyDescent="0.4">
      <c r="A754" s="4" t="s">
        <v>86</v>
      </c>
      <c r="B754" s="4" t="s">
        <v>26</v>
      </c>
      <c r="C754" s="32" t="s">
        <v>436</v>
      </c>
      <c r="D754" s="4" t="s">
        <v>78</v>
      </c>
      <c r="E754" s="4" t="s">
        <v>28</v>
      </c>
      <c r="F754" s="4" t="s">
        <v>17</v>
      </c>
      <c r="G754" s="4" t="s">
        <v>18</v>
      </c>
      <c r="H754" s="4" t="s">
        <v>157</v>
      </c>
      <c r="I754" s="5" t="str">
        <f t="shared" si="11"/>
        <v>2025-04</v>
      </c>
      <c r="J754" s="4" t="s">
        <v>34</v>
      </c>
      <c r="K754" s="5" t="s">
        <v>342</v>
      </c>
      <c r="L754" s="2">
        <v>15544</v>
      </c>
      <c r="M754" s="3">
        <v>1</v>
      </c>
      <c r="N754" s="2">
        <v>15544</v>
      </c>
      <c r="O754" s="2">
        <v>1554</v>
      </c>
      <c r="P754" s="2">
        <v>17098</v>
      </c>
      <c r="Q754" s="2">
        <f>P754*8.5%</f>
        <v>1453.3300000000002</v>
      </c>
    </row>
    <row r="755" spans="1:17" hidden="1" x14ac:dyDescent="0.4">
      <c r="A755" s="4" t="s">
        <v>123</v>
      </c>
      <c r="B755" s="4" t="s">
        <v>26</v>
      </c>
      <c r="C755" s="32" t="s">
        <v>436</v>
      </c>
      <c r="D755" s="4" t="s">
        <v>124</v>
      </c>
      <c r="E755" s="4" t="s">
        <v>28</v>
      </c>
      <c r="F755" s="4" t="s">
        <v>17</v>
      </c>
      <c r="G755" s="4" t="s">
        <v>18</v>
      </c>
      <c r="H755" s="4" t="s">
        <v>157</v>
      </c>
      <c r="I755" s="5" t="str">
        <f t="shared" si="11"/>
        <v>2025-04</v>
      </c>
      <c r="J755" s="4" t="s">
        <v>34</v>
      </c>
      <c r="K755" s="5" t="s">
        <v>342</v>
      </c>
      <c r="L755" s="2">
        <v>454</v>
      </c>
      <c r="M755" s="3">
        <v>10</v>
      </c>
      <c r="N755" s="2">
        <v>4540</v>
      </c>
      <c r="O755" s="2">
        <v>454</v>
      </c>
      <c r="P755" s="2">
        <v>4994</v>
      </c>
      <c r="Q755" s="2">
        <f>P755*8.5%</f>
        <v>424.49</v>
      </c>
    </row>
    <row r="756" spans="1:17" hidden="1" x14ac:dyDescent="0.4">
      <c r="A756" s="4" t="s">
        <v>42</v>
      </c>
      <c r="B756" s="4" t="s">
        <v>14</v>
      </c>
      <c r="C756" s="30" t="s">
        <v>434</v>
      </c>
      <c r="D756" s="4" t="s">
        <v>43</v>
      </c>
      <c r="E756" s="4" t="s">
        <v>44</v>
      </c>
      <c r="F756" s="4" t="s">
        <v>31</v>
      </c>
      <c r="G756" s="4" t="s">
        <v>18</v>
      </c>
      <c r="H756" s="4" t="s">
        <v>157</v>
      </c>
      <c r="I756" s="5" t="str">
        <f t="shared" si="11"/>
        <v>2025-04</v>
      </c>
      <c r="J756" s="4" t="s">
        <v>34</v>
      </c>
      <c r="K756" s="5" t="s">
        <v>342</v>
      </c>
      <c r="L756" s="2">
        <v>6800</v>
      </c>
      <c r="M756" s="3">
        <v>65.400000000000006</v>
      </c>
      <c r="N756" s="2">
        <v>444720</v>
      </c>
      <c r="O756" s="2">
        <v>0</v>
      </c>
      <c r="P756" s="2">
        <v>444720</v>
      </c>
      <c r="Q756" s="2">
        <f>P756*8.5%</f>
        <v>37801.200000000004</v>
      </c>
    </row>
    <row r="757" spans="1:17" hidden="1" x14ac:dyDescent="0.4">
      <c r="A757" s="4" t="s">
        <v>13</v>
      </c>
      <c r="B757" s="4" t="s">
        <v>14</v>
      </c>
      <c r="C757" s="30" t="s">
        <v>434</v>
      </c>
      <c r="D757" s="4" t="s">
        <v>15</v>
      </c>
      <c r="E757" s="4" t="s">
        <v>16</v>
      </c>
      <c r="F757" s="4" t="s">
        <v>17</v>
      </c>
      <c r="G757" s="4" t="s">
        <v>18</v>
      </c>
      <c r="H757" s="4" t="s">
        <v>157</v>
      </c>
      <c r="I757" s="5" t="str">
        <f t="shared" si="11"/>
        <v>2025-04</v>
      </c>
      <c r="J757" s="4" t="s">
        <v>59</v>
      </c>
      <c r="K757" s="5" t="s">
        <v>343</v>
      </c>
      <c r="L757" s="2">
        <v>42000</v>
      </c>
      <c r="M757" s="3">
        <v>2</v>
      </c>
      <c r="N757" s="2">
        <v>84000</v>
      </c>
      <c r="O757" s="2">
        <v>8400</v>
      </c>
      <c r="P757" s="2">
        <v>92400</v>
      </c>
      <c r="Q757" s="2">
        <f>P757*12%</f>
        <v>11088</v>
      </c>
    </row>
    <row r="758" spans="1:17" hidden="1" x14ac:dyDescent="0.4">
      <c r="A758" s="4" t="s">
        <v>35</v>
      </c>
      <c r="B758" s="4" t="s">
        <v>14</v>
      </c>
      <c r="C758" s="30" t="s">
        <v>434</v>
      </c>
      <c r="D758" s="4" t="s">
        <v>36</v>
      </c>
      <c r="E758" s="4" t="s">
        <v>16</v>
      </c>
      <c r="F758" s="4" t="s">
        <v>17</v>
      </c>
      <c r="G758" s="4" t="s">
        <v>18</v>
      </c>
      <c r="H758" s="4" t="s">
        <v>157</v>
      </c>
      <c r="I758" s="5" t="str">
        <f t="shared" si="11"/>
        <v>2025-04</v>
      </c>
      <c r="J758" s="4" t="s">
        <v>59</v>
      </c>
      <c r="K758" s="5" t="s">
        <v>343</v>
      </c>
      <c r="L758" s="2">
        <v>116220</v>
      </c>
      <c r="M758" s="3">
        <v>1</v>
      </c>
      <c r="N758" s="2">
        <v>116220</v>
      </c>
      <c r="O758" s="2">
        <v>11622</v>
      </c>
      <c r="P758" s="2">
        <v>127842</v>
      </c>
      <c r="Q758" s="2">
        <f>P758*12%</f>
        <v>15341.039999999999</v>
      </c>
    </row>
    <row r="759" spans="1:17" hidden="1" x14ac:dyDescent="0.4">
      <c r="A759" s="4" t="s">
        <v>23</v>
      </c>
      <c r="B759" s="4" t="s">
        <v>14</v>
      </c>
      <c r="C759" s="31" t="s">
        <v>435</v>
      </c>
      <c r="D759" s="4" t="s">
        <v>24</v>
      </c>
      <c r="E759" s="4" t="s">
        <v>16</v>
      </c>
      <c r="F759" s="4" t="s">
        <v>17</v>
      </c>
      <c r="G759" s="4" t="s">
        <v>18</v>
      </c>
      <c r="H759" s="4" t="s">
        <v>157</v>
      </c>
      <c r="I759" s="5" t="str">
        <f t="shared" si="11"/>
        <v>2025-04</v>
      </c>
      <c r="J759" s="4" t="s">
        <v>59</v>
      </c>
      <c r="K759" s="5" t="s">
        <v>343</v>
      </c>
      <c r="L759" s="2">
        <v>54000</v>
      </c>
      <c r="M759" s="3">
        <v>1</v>
      </c>
      <c r="N759" s="2">
        <v>54000</v>
      </c>
      <c r="O759" s="2">
        <v>5400</v>
      </c>
      <c r="P759" s="2">
        <v>59400</v>
      </c>
      <c r="Q759" s="2">
        <f>P759*12%</f>
        <v>7128</v>
      </c>
    </row>
    <row r="760" spans="1:17" hidden="1" x14ac:dyDescent="0.4">
      <c r="A760" s="4" t="s">
        <v>51</v>
      </c>
      <c r="B760" s="4" t="s">
        <v>14</v>
      </c>
      <c r="C760" s="30" t="s">
        <v>434</v>
      </c>
      <c r="D760" s="4" t="s">
        <v>52</v>
      </c>
      <c r="E760" s="4" t="s">
        <v>16</v>
      </c>
      <c r="F760" s="4" t="s">
        <v>17</v>
      </c>
      <c r="G760" s="4" t="s">
        <v>18</v>
      </c>
      <c r="H760" s="4" t="s">
        <v>157</v>
      </c>
      <c r="I760" s="5" t="str">
        <f t="shared" si="11"/>
        <v>2025-04</v>
      </c>
      <c r="J760" s="4" t="s">
        <v>59</v>
      </c>
      <c r="K760" s="5" t="s">
        <v>343</v>
      </c>
      <c r="L760" s="2">
        <v>71250</v>
      </c>
      <c r="M760" s="3">
        <v>1</v>
      </c>
      <c r="N760" s="2">
        <v>71250</v>
      </c>
      <c r="O760" s="2">
        <v>7125</v>
      </c>
      <c r="P760" s="2">
        <v>78375</v>
      </c>
      <c r="Q760" s="2">
        <f>P760*12%</f>
        <v>9405</v>
      </c>
    </row>
    <row r="761" spans="1:17" hidden="1" x14ac:dyDescent="0.4">
      <c r="A761" s="4" t="s">
        <v>32</v>
      </c>
      <c r="B761" s="4" t="s">
        <v>14</v>
      </c>
      <c r="C761" s="31" t="s">
        <v>435</v>
      </c>
      <c r="D761" s="4" t="s">
        <v>33</v>
      </c>
      <c r="E761" s="4" t="s">
        <v>16</v>
      </c>
      <c r="F761" s="4" t="s">
        <v>17</v>
      </c>
      <c r="G761" s="4" t="s">
        <v>18</v>
      </c>
      <c r="H761" s="4" t="s">
        <v>157</v>
      </c>
      <c r="I761" s="5" t="str">
        <f t="shared" si="11"/>
        <v>2025-04</v>
      </c>
      <c r="J761" s="4" t="s">
        <v>50</v>
      </c>
      <c r="K761" s="5" t="s">
        <v>343</v>
      </c>
      <c r="L761" s="2">
        <v>44000</v>
      </c>
      <c r="M761" s="3">
        <v>1</v>
      </c>
      <c r="N761" s="2">
        <v>44000</v>
      </c>
      <c r="O761" s="2">
        <v>4400</v>
      </c>
      <c r="P761" s="2">
        <v>48400</v>
      </c>
      <c r="Q761" s="2">
        <f>P761*12%</f>
        <v>5808</v>
      </c>
    </row>
    <row r="762" spans="1:17" hidden="1" x14ac:dyDescent="0.4">
      <c r="A762" s="4" t="s">
        <v>13</v>
      </c>
      <c r="B762" s="4" t="s">
        <v>14</v>
      </c>
      <c r="C762" s="30" t="s">
        <v>434</v>
      </c>
      <c r="D762" s="4" t="s">
        <v>15</v>
      </c>
      <c r="E762" s="4" t="s">
        <v>16</v>
      </c>
      <c r="F762" s="4" t="s">
        <v>17</v>
      </c>
      <c r="G762" s="4" t="s">
        <v>18</v>
      </c>
      <c r="H762" s="4" t="s">
        <v>157</v>
      </c>
      <c r="I762" s="5" t="str">
        <f t="shared" si="11"/>
        <v>2025-04</v>
      </c>
      <c r="J762" s="4" t="s">
        <v>50</v>
      </c>
      <c r="K762" s="5" t="s">
        <v>343</v>
      </c>
      <c r="L762" s="2">
        <v>42000</v>
      </c>
      <c r="M762" s="3">
        <v>12</v>
      </c>
      <c r="N762" s="2">
        <v>504000</v>
      </c>
      <c r="O762" s="2">
        <v>50400</v>
      </c>
      <c r="P762" s="2">
        <v>554400</v>
      </c>
      <c r="Q762" s="2">
        <f>P762*12%</f>
        <v>66528</v>
      </c>
    </row>
    <row r="763" spans="1:17" hidden="1" x14ac:dyDescent="0.4">
      <c r="A763" s="4" t="s">
        <v>35</v>
      </c>
      <c r="B763" s="4" t="s">
        <v>14</v>
      </c>
      <c r="C763" s="30" t="s">
        <v>434</v>
      </c>
      <c r="D763" s="4" t="s">
        <v>36</v>
      </c>
      <c r="E763" s="4" t="s">
        <v>16</v>
      </c>
      <c r="F763" s="4" t="s">
        <v>17</v>
      </c>
      <c r="G763" s="4" t="s">
        <v>18</v>
      </c>
      <c r="H763" s="4" t="s">
        <v>157</v>
      </c>
      <c r="I763" s="5" t="str">
        <f t="shared" si="11"/>
        <v>2025-04</v>
      </c>
      <c r="J763" s="4" t="s">
        <v>50</v>
      </c>
      <c r="K763" s="5" t="s">
        <v>343</v>
      </c>
      <c r="L763" s="2">
        <v>116220</v>
      </c>
      <c r="M763" s="3">
        <v>1</v>
      </c>
      <c r="N763" s="2">
        <v>116220</v>
      </c>
      <c r="O763" s="2">
        <v>11622</v>
      </c>
      <c r="P763" s="2">
        <v>127842</v>
      </c>
      <c r="Q763" s="2">
        <f>P763*12%</f>
        <v>15341.039999999999</v>
      </c>
    </row>
    <row r="764" spans="1:17" hidden="1" x14ac:dyDescent="0.4">
      <c r="A764" s="4" t="s">
        <v>23</v>
      </c>
      <c r="B764" s="4" t="s">
        <v>14</v>
      </c>
      <c r="C764" s="31" t="s">
        <v>435</v>
      </c>
      <c r="D764" s="4" t="s">
        <v>24</v>
      </c>
      <c r="E764" s="4" t="s">
        <v>16</v>
      </c>
      <c r="F764" s="4" t="s">
        <v>17</v>
      </c>
      <c r="G764" s="4" t="s">
        <v>18</v>
      </c>
      <c r="H764" s="4" t="s">
        <v>157</v>
      </c>
      <c r="I764" s="5" t="str">
        <f t="shared" si="11"/>
        <v>2025-04</v>
      </c>
      <c r="J764" s="4" t="s">
        <v>50</v>
      </c>
      <c r="K764" s="5" t="s">
        <v>343</v>
      </c>
      <c r="L764" s="2">
        <v>54000</v>
      </c>
      <c r="M764" s="3">
        <v>5</v>
      </c>
      <c r="N764" s="2">
        <v>270000</v>
      </c>
      <c r="O764" s="2">
        <v>27000</v>
      </c>
      <c r="P764" s="2">
        <v>297000</v>
      </c>
      <c r="Q764" s="2">
        <f>P764*12%</f>
        <v>35640</v>
      </c>
    </row>
    <row r="765" spans="1:17" hidden="1" x14ac:dyDescent="0.4">
      <c r="A765" s="4" t="s">
        <v>51</v>
      </c>
      <c r="B765" s="4" t="s">
        <v>14</v>
      </c>
      <c r="C765" s="30" t="s">
        <v>434</v>
      </c>
      <c r="D765" s="4" t="s">
        <v>52</v>
      </c>
      <c r="E765" s="4" t="s">
        <v>16</v>
      </c>
      <c r="F765" s="4" t="s">
        <v>17</v>
      </c>
      <c r="G765" s="4" t="s">
        <v>18</v>
      </c>
      <c r="H765" s="4" t="s">
        <v>157</v>
      </c>
      <c r="I765" s="5" t="str">
        <f t="shared" si="11"/>
        <v>2025-04</v>
      </c>
      <c r="J765" s="4" t="s">
        <v>50</v>
      </c>
      <c r="K765" s="5" t="s">
        <v>343</v>
      </c>
      <c r="L765" s="2">
        <v>71250</v>
      </c>
      <c r="M765" s="3">
        <v>1</v>
      </c>
      <c r="N765" s="2">
        <v>71250</v>
      </c>
      <c r="O765" s="2">
        <v>7125</v>
      </c>
      <c r="P765" s="2">
        <v>78375</v>
      </c>
      <c r="Q765" s="2">
        <f>P765*12%</f>
        <v>9405</v>
      </c>
    </row>
    <row r="766" spans="1:17" x14ac:dyDescent="0.4">
      <c r="A766" s="4" t="s">
        <v>13</v>
      </c>
      <c r="B766" s="4" t="s">
        <v>14</v>
      </c>
      <c r="C766" s="30" t="s">
        <v>434</v>
      </c>
      <c r="D766" s="4" t="s">
        <v>15</v>
      </c>
      <c r="E766" s="4" t="s">
        <v>16</v>
      </c>
      <c r="F766" s="4" t="s">
        <v>17</v>
      </c>
      <c r="G766" s="4" t="s">
        <v>18</v>
      </c>
      <c r="H766" s="4" t="s">
        <v>158</v>
      </c>
      <c r="I766" s="5" t="str">
        <f t="shared" si="11"/>
        <v>2025-04</v>
      </c>
      <c r="J766" s="4" t="s">
        <v>20</v>
      </c>
      <c r="K766" s="5" t="s">
        <v>342</v>
      </c>
      <c r="L766" s="2">
        <v>42000</v>
      </c>
      <c r="M766" s="3">
        <v>2</v>
      </c>
      <c r="N766" s="2">
        <v>84000</v>
      </c>
      <c r="O766" s="2">
        <v>8400</v>
      </c>
      <c r="P766" s="2">
        <v>92400</v>
      </c>
      <c r="Q766" s="2">
        <f>P766*8.5%</f>
        <v>7854.0000000000009</v>
      </c>
    </row>
    <row r="767" spans="1:17" x14ac:dyDescent="0.4">
      <c r="A767" s="4" t="s">
        <v>21</v>
      </c>
      <c r="B767" s="4" t="s">
        <v>14</v>
      </c>
      <c r="C767" s="31" t="s">
        <v>435</v>
      </c>
      <c r="D767" s="4" t="s">
        <v>22</v>
      </c>
      <c r="E767" s="4" t="s">
        <v>16</v>
      </c>
      <c r="F767" s="4" t="s">
        <v>17</v>
      </c>
      <c r="G767" s="4" t="s">
        <v>18</v>
      </c>
      <c r="H767" s="4" t="s">
        <v>158</v>
      </c>
      <c r="I767" s="5" t="str">
        <f t="shared" si="11"/>
        <v>2025-04</v>
      </c>
      <c r="J767" s="4" t="s">
        <v>20</v>
      </c>
      <c r="K767" s="5" t="s">
        <v>342</v>
      </c>
      <c r="L767" s="2">
        <v>54000</v>
      </c>
      <c r="M767" s="3">
        <v>1</v>
      </c>
      <c r="N767" s="2">
        <v>54000</v>
      </c>
      <c r="O767" s="2">
        <v>5400</v>
      </c>
      <c r="P767" s="2">
        <v>59400</v>
      </c>
      <c r="Q767" s="2">
        <f>P767*8.5%</f>
        <v>5049</v>
      </c>
    </row>
    <row r="768" spans="1:17" x14ac:dyDescent="0.4">
      <c r="A768" s="4" t="s">
        <v>23</v>
      </c>
      <c r="B768" s="4" t="s">
        <v>14</v>
      </c>
      <c r="C768" s="31" t="s">
        <v>435</v>
      </c>
      <c r="D768" s="4" t="s">
        <v>24</v>
      </c>
      <c r="E768" s="4" t="s">
        <v>16</v>
      </c>
      <c r="F768" s="4" t="s">
        <v>17</v>
      </c>
      <c r="G768" s="4" t="s">
        <v>18</v>
      </c>
      <c r="H768" s="4" t="s">
        <v>158</v>
      </c>
      <c r="I768" s="5" t="str">
        <f t="shared" si="11"/>
        <v>2025-04</v>
      </c>
      <c r="J768" s="4" t="s">
        <v>20</v>
      </c>
      <c r="K768" s="5" t="s">
        <v>342</v>
      </c>
      <c r="L768" s="2">
        <v>54000</v>
      </c>
      <c r="M768" s="3">
        <v>2</v>
      </c>
      <c r="N768" s="2">
        <v>108000</v>
      </c>
      <c r="O768" s="2">
        <v>10800</v>
      </c>
      <c r="P768" s="2">
        <v>118800</v>
      </c>
      <c r="Q768" s="2">
        <f>P768*8.5%</f>
        <v>10098</v>
      </c>
    </row>
    <row r="769" spans="1:17" x14ac:dyDescent="0.4">
      <c r="A769" s="4" t="s">
        <v>56</v>
      </c>
      <c r="B769" s="4" t="s">
        <v>26</v>
      </c>
      <c r="C769" s="32" t="s">
        <v>436</v>
      </c>
      <c r="D769" s="4" t="s">
        <v>57</v>
      </c>
      <c r="E769" s="4" t="s">
        <v>44</v>
      </c>
      <c r="F769" s="4" t="s">
        <v>31</v>
      </c>
      <c r="G769" s="4" t="s">
        <v>18</v>
      </c>
      <c r="H769" s="4" t="s">
        <v>158</v>
      </c>
      <c r="I769" s="5" t="str">
        <f t="shared" si="11"/>
        <v>2025-04</v>
      </c>
      <c r="J769" s="4" t="s">
        <v>20</v>
      </c>
      <c r="K769" s="5" t="s">
        <v>342</v>
      </c>
      <c r="L769" s="2">
        <v>3240</v>
      </c>
      <c r="M769" s="3">
        <v>5</v>
      </c>
      <c r="N769" s="2">
        <v>16200</v>
      </c>
      <c r="O769" s="2">
        <v>0</v>
      </c>
      <c r="P769" s="2">
        <v>16200</v>
      </c>
      <c r="Q769" s="2">
        <f>P769*8.5%</f>
        <v>1377</v>
      </c>
    </row>
    <row r="770" spans="1:17" hidden="1" x14ac:dyDescent="0.4">
      <c r="A770" s="4" t="s">
        <v>13</v>
      </c>
      <c r="B770" s="4" t="s">
        <v>14</v>
      </c>
      <c r="C770" s="30" t="s">
        <v>434</v>
      </c>
      <c r="D770" s="4" t="s">
        <v>15</v>
      </c>
      <c r="E770" s="4" t="s">
        <v>16</v>
      </c>
      <c r="F770" s="4" t="s">
        <v>17</v>
      </c>
      <c r="G770" s="4" t="s">
        <v>18</v>
      </c>
      <c r="H770" s="4" t="s">
        <v>158</v>
      </c>
      <c r="I770" s="5" t="str">
        <f t="shared" ref="I770:I833" si="12">TEXT(H770,"yyyy-mm")</f>
        <v>2025-04</v>
      </c>
      <c r="J770" s="4" t="s">
        <v>118</v>
      </c>
      <c r="K770" s="5" t="s">
        <v>342</v>
      </c>
      <c r="L770" s="2">
        <v>42000</v>
      </c>
      <c r="M770" s="3">
        <v>2</v>
      </c>
      <c r="N770" s="2">
        <v>84000</v>
      </c>
      <c r="O770" s="2">
        <v>8400</v>
      </c>
      <c r="P770" s="2">
        <v>92400</v>
      </c>
      <c r="Q770" s="2">
        <f>P770*8.5%</f>
        <v>7854.0000000000009</v>
      </c>
    </row>
    <row r="771" spans="1:17" hidden="1" x14ac:dyDescent="0.4">
      <c r="A771" s="4" t="s">
        <v>51</v>
      </c>
      <c r="B771" s="4" t="s">
        <v>14</v>
      </c>
      <c r="C771" s="30" t="s">
        <v>434</v>
      </c>
      <c r="D771" s="4" t="s">
        <v>52</v>
      </c>
      <c r="E771" s="4" t="s">
        <v>16</v>
      </c>
      <c r="F771" s="4" t="s">
        <v>17</v>
      </c>
      <c r="G771" s="4" t="s">
        <v>18</v>
      </c>
      <c r="H771" s="4" t="s">
        <v>158</v>
      </c>
      <c r="I771" s="5" t="str">
        <f t="shared" si="12"/>
        <v>2025-04</v>
      </c>
      <c r="J771" s="4" t="s">
        <v>118</v>
      </c>
      <c r="K771" s="5" t="s">
        <v>342</v>
      </c>
      <c r="L771" s="2">
        <v>71250</v>
      </c>
      <c r="M771" s="3">
        <v>1</v>
      </c>
      <c r="N771" s="2">
        <v>71250</v>
      </c>
      <c r="O771" s="2">
        <v>7125</v>
      </c>
      <c r="P771" s="2">
        <v>78375</v>
      </c>
      <c r="Q771" s="2">
        <f>P771*8.5%</f>
        <v>6661.8750000000009</v>
      </c>
    </row>
    <row r="772" spans="1:17" hidden="1" x14ac:dyDescent="0.4">
      <c r="A772" s="4" t="s">
        <v>80</v>
      </c>
      <c r="B772" s="4" t="s">
        <v>26</v>
      </c>
      <c r="C772" s="32" t="s">
        <v>436</v>
      </c>
      <c r="D772" s="4" t="s">
        <v>81</v>
      </c>
      <c r="E772" s="4" t="s">
        <v>16</v>
      </c>
      <c r="F772" s="4" t="s">
        <v>17</v>
      </c>
      <c r="G772" s="4" t="s">
        <v>18</v>
      </c>
      <c r="H772" s="4" t="s">
        <v>158</v>
      </c>
      <c r="I772" s="5" t="str">
        <f t="shared" si="12"/>
        <v>2025-04</v>
      </c>
      <c r="J772" s="4" t="s">
        <v>34</v>
      </c>
      <c r="K772" s="5" t="s">
        <v>342</v>
      </c>
      <c r="L772" s="2">
        <v>17696</v>
      </c>
      <c r="M772" s="3">
        <v>1</v>
      </c>
      <c r="N772" s="2">
        <v>17696</v>
      </c>
      <c r="O772" s="2">
        <v>1770</v>
      </c>
      <c r="P772" s="2">
        <v>19466</v>
      </c>
      <c r="Q772" s="2">
        <f>P772*8.5%</f>
        <v>1654.6100000000001</v>
      </c>
    </row>
    <row r="773" spans="1:17" hidden="1" x14ac:dyDescent="0.4">
      <c r="A773" s="4" t="s">
        <v>32</v>
      </c>
      <c r="B773" s="4" t="s">
        <v>14</v>
      </c>
      <c r="C773" s="31" t="s">
        <v>435</v>
      </c>
      <c r="D773" s="4" t="s">
        <v>33</v>
      </c>
      <c r="E773" s="4" t="s">
        <v>16</v>
      </c>
      <c r="F773" s="4" t="s">
        <v>17</v>
      </c>
      <c r="G773" s="4" t="s">
        <v>18</v>
      </c>
      <c r="H773" s="4" t="s">
        <v>158</v>
      </c>
      <c r="I773" s="5" t="str">
        <f t="shared" si="12"/>
        <v>2025-04</v>
      </c>
      <c r="J773" s="4" t="s">
        <v>34</v>
      </c>
      <c r="K773" s="5" t="s">
        <v>342</v>
      </c>
      <c r="L773" s="2">
        <v>44000</v>
      </c>
      <c r="M773" s="3">
        <v>3</v>
      </c>
      <c r="N773" s="2">
        <v>132000</v>
      </c>
      <c r="O773" s="2">
        <v>13200</v>
      </c>
      <c r="P773" s="2">
        <v>145200</v>
      </c>
      <c r="Q773" s="2">
        <f>P773*8.5%</f>
        <v>12342</v>
      </c>
    </row>
    <row r="774" spans="1:17" hidden="1" x14ac:dyDescent="0.4">
      <c r="A774" s="4" t="s">
        <v>58</v>
      </c>
      <c r="B774" s="4" t="s">
        <v>14</v>
      </c>
      <c r="C774" s="30" t="s">
        <v>434</v>
      </c>
      <c r="D774" s="4" t="s">
        <v>36</v>
      </c>
      <c r="E774" s="4" t="s">
        <v>16</v>
      </c>
      <c r="F774" s="4" t="s">
        <v>17</v>
      </c>
      <c r="G774" s="4" t="s">
        <v>18</v>
      </c>
      <c r="H774" s="4" t="s">
        <v>158</v>
      </c>
      <c r="I774" s="5" t="str">
        <f t="shared" si="12"/>
        <v>2025-04</v>
      </c>
      <c r="J774" s="4" t="s">
        <v>34</v>
      </c>
      <c r="K774" s="5" t="s">
        <v>342</v>
      </c>
      <c r="L774" s="2">
        <v>120880</v>
      </c>
      <c r="M774" s="3">
        <v>1</v>
      </c>
      <c r="N774" s="2">
        <v>120880</v>
      </c>
      <c r="O774" s="2">
        <v>12088</v>
      </c>
      <c r="P774" s="2">
        <v>132968</v>
      </c>
      <c r="Q774" s="2">
        <f>P774*8.5%</f>
        <v>11302.28</v>
      </c>
    </row>
    <row r="775" spans="1:17" hidden="1" x14ac:dyDescent="0.4">
      <c r="A775" s="4" t="s">
        <v>13</v>
      </c>
      <c r="B775" s="4" t="s">
        <v>14</v>
      </c>
      <c r="C775" s="30" t="s">
        <v>434</v>
      </c>
      <c r="D775" s="4" t="s">
        <v>15</v>
      </c>
      <c r="E775" s="4" t="s">
        <v>16</v>
      </c>
      <c r="F775" s="4" t="s">
        <v>17</v>
      </c>
      <c r="G775" s="4" t="s">
        <v>18</v>
      </c>
      <c r="H775" s="4" t="s">
        <v>158</v>
      </c>
      <c r="I775" s="5" t="str">
        <f t="shared" si="12"/>
        <v>2025-04</v>
      </c>
      <c r="J775" s="4" t="s">
        <v>34</v>
      </c>
      <c r="K775" s="5" t="s">
        <v>342</v>
      </c>
      <c r="L775" s="2">
        <v>42000</v>
      </c>
      <c r="M775" s="3">
        <v>5</v>
      </c>
      <c r="N775" s="2">
        <v>210000</v>
      </c>
      <c r="O775" s="2">
        <v>21000</v>
      </c>
      <c r="P775" s="2">
        <v>231000</v>
      </c>
      <c r="Q775" s="2">
        <f>P775*8.5%</f>
        <v>19635</v>
      </c>
    </row>
    <row r="776" spans="1:17" hidden="1" x14ac:dyDescent="0.4">
      <c r="A776" s="4" t="s">
        <v>21</v>
      </c>
      <c r="B776" s="4" t="s">
        <v>14</v>
      </c>
      <c r="C776" s="31" t="s">
        <v>435</v>
      </c>
      <c r="D776" s="4" t="s">
        <v>22</v>
      </c>
      <c r="E776" s="4" t="s">
        <v>16</v>
      </c>
      <c r="F776" s="4" t="s">
        <v>17</v>
      </c>
      <c r="G776" s="4" t="s">
        <v>18</v>
      </c>
      <c r="H776" s="4" t="s">
        <v>158</v>
      </c>
      <c r="I776" s="5" t="str">
        <f t="shared" si="12"/>
        <v>2025-04</v>
      </c>
      <c r="J776" s="4" t="s">
        <v>34</v>
      </c>
      <c r="K776" s="5" t="s">
        <v>342</v>
      </c>
      <c r="L776" s="2">
        <v>54000</v>
      </c>
      <c r="M776" s="3">
        <v>1</v>
      </c>
      <c r="N776" s="2">
        <v>54000</v>
      </c>
      <c r="O776" s="2">
        <v>5400</v>
      </c>
      <c r="P776" s="2">
        <v>59400</v>
      </c>
      <c r="Q776" s="2">
        <f>P776*8.5%</f>
        <v>5049</v>
      </c>
    </row>
    <row r="777" spans="1:17" hidden="1" x14ac:dyDescent="0.4">
      <c r="A777" s="4" t="s">
        <v>23</v>
      </c>
      <c r="B777" s="4" t="s">
        <v>14</v>
      </c>
      <c r="C777" s="31" t="s">
        <v>435</v>
      </c>
      <c r="D777" s="4" t="s">
        <v>24</v>
      </c>
      <c r="E777" s="4" t="s">
        <v>16</v>
      </c>
      <c r="F777" s="4" t="s">
        <v>17</v>
      </c>
      <c r="G777" s="4" t="s">
        <v>18</v>
      </c>
      <c r="H777" s="4" t="s">
        <v>158</v>
      </c>
      <c r="I777" s="5" t="str">
        <f t="shared" si="12"/>
        <v>2025-04</v>
      </c>
      <c r="J777" s="4" t="s">
        <v>34</v>
      </c>
      <c r="K777" s="5" t="s">
        <v>342</v>
      </c>
      <c r="L777" s="2">
        <v>54000</v>
      </c>
      <c r="M777" s="3">
        <v>4</v>
      </c>
      <c r="N777" s="2">
        <v>216000</v>
      </c>
      <c r="O777" s="2">
        <v>21600</v>
      </c>
      <c r="P777" s="2">
        <v>237600</v>
      </c>
      <c r="Q777" s="2">
        <f>P777*8.5%</f>
        <v>20196</v>
      </c>
    </row>
    <row r="778" spans="1:17" hidden="1" x14ac:dyDescent="0.4">
      <c r="A778" s="4" t="s">
        <v>73</v>
      </c>
      <c r="B778" s="4" t="s">
        <v>26</v>
      </c>
      <c r="C778" s="32" t="s">
        <v>436</v>
      </c>
      <c r="D778" s="4" t="s">
        <v>57</v>
      </c>
      <c r="E778" s="4" t="s">
        <v>28</v>
      </c>
      <c r="F778" s="4" t="s">
        <v>17</v>
      </c>
      <c r="G778" s="4" t="s">
        <v>18</v>
      </c>
      <c r="H778" s="4" t="s">
        <v>158</v>
      </c>
      <c r="I778" s="5" t="str">
        <f t="shared" si="12"/>
        <v>2025-04</v>
      </c>
      <c r="J778" s="4" t="s">
        <v>34</v>
      </c>
      <c r="K778" s="5" t="s">
        <v>342</v>
      </c>
      <c r="L778" s="2">
        <v>7055</v>
      </c>
      <c r="M778" s="3">
        <v>2</v>
      </c>
      <c r="N778" s="2">
        <v>14110</v>
      </c>
      <c r="O778" s="2">
        <v>1411</v>
      </c>
      <c r="P778" s="2">
        <v>15521</v>
      </c>
      <c r="Q778" s="2">
        <f>P778*8.5%</f>
        <v>1319.2850000000001</v>
      </c>
    </row>
    <row r="779" spans="1:17" hidden="1" x14ac:dyDescent="0.4">
      <c r="A779" s="4" t="s">
        <v>42</v>
      </c>
      <c r="B779" s="4" t="s">
        <v>14</v>
      </c>
      <c r="C779" s="30" t="s">
        <v>434</v>
      </c>
      <c r="D779" s="4" t="s">
        <v>43</v>
      </c>
      <c r="E779" s="4" t="s">
        <v>44</v>
      </c>
      <c r="F779" s="4" t="s">
        <v>31</v>
      </c>
      <c r="G779" s="4" t="s">
        <v>18</v>
      </c>
      <c r="H779" s="4" t="s">
        <v>158</v>
      </c>
      <c r="I779" s="5" t="str">
        <f t="shared" si="12"/>
        <v>2025-04</v>
      </c>
      <c r="J779" s="4" t="s">
        <v>34</v>
      </c>
      <c r="K779" s="5" t="s">
        <v>342</v>
      </c>
      <c r="L779" s="2">
        <v>6800</v>
      </c>
      <c r="M779" s="3">
        <v>67</v>
      </c>
      <c r="N779" s="2">
        <v>455600</v>
      </c>
      <c r="O779" s="2">
        <v>0</v>
      </c>
      <c r="P779" s="2">
        <v>455600</v>
      </c>
      <c r="Q779" s="2">
        <f>P779*8.5%</f>
        <v>38726</v>
      </c>
    </row>
    <row r="780" spans="1:17" hidden="1" x14ac:dyDescent="0.4">
      <c r="A780" s="4" t="s">
        <v>58</v>
      </c>
      <c r="B780" s="4" t="s">
        <v>14</v>
      </c>
      <c r="C780" s="30" t="s">
        <v>434</v>
      </c>
      <c r="D780" s="4" t="s">
        <v>36</v>
      </c>
      <c r="E780" s="4" t="s">
        <v>16</v>
      </c>
      <c r="F780" s="4" t="s">
        <v>17</v>
      </c>
      <c r="G780" s="4" t="s">
        <v>18</v>
      </c>
      <c r="H780" s="4" t="s">
        <v>158</v>
      </c>
      <c r="I780" s="5" t="str">
        <f t="shared" si="12"/>
        <v>2025-04</v>
      </c>
      <c r="J780" s="4" t="s">
        <v>153</v>
      </c>
      <c r="K780" s="5" t="s">
        <v>343</v>
      </c>
      <c r="L780" s="2">
        <v>120880</v>
      </c>
      <c r="M780" s="3">
        <v>1</v>
      </c>
      <c r="N780" s="2">
        <v>120880</v>
      </c>
      <c r="O780" s="2">
        <v>12088</v>
      </c>
      <c r="P780" s="2">
        <v>132968</v>
      </c>
      <c r="Q780" s="2">
        <f>P780*12%</f>
        <v>15956.16</v>
      </c>
    </row>
    <row r="781" spans="1:17" hidden="1" x14ac:dyDescent="0.4">
      <c r="A781" s="4" t="s">
        <v>13</v>
      </c>
      <c r="B781" s="4" t="s">
        <v>14</v>
      </c>
      <c r="C781" s="30" t="s">
        <v>434</v>
      </c>
      <c r="D781" s="4" t="s">
        <v>15</v>
      </c>
      <c r="E781" s="4" t="s">
        <v>16</v>
      </c>
      <c r="F781" s="4" t="s">
        <v>17</v>
      </c>
      <c r="G781" s="4" t="s">
        <v>18</v>
      </c>
      <c r="H781" s="4" t="s">
        <v>158</v>
      </c>
      <c r="I781" s="5" t="str">
        <f t="shared" si="12"/>
        <v>2025-04</v>
      </c>
      <c r="J781" s="4" t="s">
        <v>153</v>
      </c>
      <c r="K781" s="5" t="s">
        <v>343</v>
      </c>
      <c r="L781" s="2">
        <v>42000</v>
      </c>
      <c r="M781" s="3">
        <v>4</v>
      </c>
      <c r="N781" s="2">
        <v>168000</v>
      </c>
      <c r="O781" s="2">
        <v>16800</v>
      </c>
      <c r="P781" s="2">
        <v>184800</v>
      </c>
      <c r="Q781" s="2">
        <f>P781*12%</f>
        <v>22176</v>
      </c>
    </row>
    <row r="782" spans="1:17" hidden="1" x14ac:dyDescent="0.4">
      <c r="A782" s="4" t="s">
        <v>23</v>
      </c>
      <c r="B782" s="4" t="s">
        <v>14</v>
      </c>
      <c r="C782" s="31" t="s">
        <v>435</v>
      </c>
      <c r="D782" s="4" t="s">
        <v>24</v>
      </c>
      <c r="E782" s="4" t="s">
        <v>16</v>
      </c>
      <c r="F782" s="4" t="s">
        <v>17</v>
      </c>
      <c r="G782" s="4" t="s">
        <v>18</v>
      </c>
      <c r="H782" s="4" t="s">
        <v>158</v>
      </c>
      <c r="I782" s="5" t="str">
        <f t="shared" si="12"/>
        <v>2025-04</v>
      </c>
      <c r="J782" s="4" t="s">
        <v>153</v>
      </c>
      <c r="K782" s="5" t="s">
        <v>343</v>
      </c>
      <c r="L782" s="2">
        <v>54000</v>
      </c>
      <c r="M782" s="3">
        <v>4</v>
      </c>
      <c r="N782" s="2">
        <v>216000</v>
      </c>
      <c r="O782" s="2">
        <v>21600</v>
      </c>
      <c r="P782" s="2">
        <v>237600</v>
      </c>
      <c r="Q782" s="2">
        <f>P782*12%</f>
        <v>28512</v>
      </c>
    </row>
    <row r="783" spans="1:17" hidden="1" x14ac:dyDescent="0.4">
      <c r="A783" s="4" t="s">
        <v>51</v>
      </c>
      <c r="B783" s="4" t="s">
        <v>14</v>
      </c>
      <c r="C783" s="30" t="s">
        <v>434</v>
      </c>
      <c r="D783" s="4" t="s">
        <v>52</v>
      </c>
      <c r="E783" s="4" t="s">
        <v>16</v>
      </c>
      <c r="F783" s="4" t="s">
        <v>17</v>
      </c>
      <c r="G783" s="4" t="s">
        <v>18</v>
      </c>
      <c r="H783" s="4" t="s">
        <v>158</v>
      </c>
      <c r="I783" s="5" t="str">
        <f t="shared" si="12"/>
        <v>2025-04</v>
      </c>
      <c r="J783" s="4" t="s">
        <v>153</v>
      </c>
      <c r="K783" s="5" t="s">
        <v>343</v>
      </c>
      <c r="L783" s="2">
        <v>71250</v>
      </c>
      <c r="M783" s="3">
        <v>1</v>
      </c>
      <c r="N783" s="2">
        <v>71250</v>
      </c>
      <c r="O783" s="2">
        <v>7125</v>
      </c>
      <c r="P783" s="2">
        <v>78375</v>
      </c>
      <c r="Q783" s="2">
        <f>P783*12%</f>
        <v>9405</v>
      </c>
    </row>
    <row r="784" spans="1:17" hidden="1" x14ac:dyDescent="0.4">
      <c r="A784" s="4" t="s">
        <v>32</v>
      </c>
      <c r="B784" s="4" t="s">
        <v>14</v>
      </c>
      <c r="C784" s="31" t="s">
        <v>435</v>
      </c>
      <c r="D784" s="4" t="s">
        <v>33</v>
      </c>
      <c r="E784" s="4" t="s">
        <v>16</v>
      </c>
      <c r="F784" s="4" t="s">
        <v>17</v>
      </c>
      <c r="G784" s="4" t="s">
        <v>18</v>
      </c>
      <c r="H784" s="4" t="s">
        <v>158</v>
      </c>
      <c r="I784" s="5" t="str">
        <f t="shared" si="12"/>
        <v>2025-04</v>
      </c>
      <c r="J784" s="4" t="s">
        <v>49</v>
      </c>
      <c r="K784" s="5" t="s">
        <v>343</v>
      </c>
      <c r="L784" s="2">
        <v>44000</v>
      </c>
      <c r="M784" s="3">
        <v>2</v>
      </c>
      <c r="N784" s="2">
        <v>88000</v>
      </c>
      <c r="O784" s="2">
        <v>8800</v>
      </c>
      <c r="P784" s="2">
        <v>96800</v>
      </c>
      <c r="Q784" s="2">
        <f>P784*12%</f>
        <v>11616</v>
      </c>
    </row>
    <row r="785" spans="1:17" hidden="1" x14ac:dyDescent="0.4">
      <c r="A785" s="4" t="s">
        <v>13</v>
      </c>
      <c r="B785" s="4" t="s">
        <v>14</v>
      </c>
      <c r="C785" s="30" t="s">
        <v>434</v>
      </c>
      <c r="D785" s="4" t="s">
        <v>15</v>
      </c>
      <c r="E785" s="4" t="s">
        <v>16</v>
      </c>
      <c r="F785" s="4" t="s">
        <v>17</v>
      </c>
      <c r="G785" s="4" t="s">
        <v>18</v>
      </c>
      <c r="H785" s="4" t="s">
        <v>158</v>
      </c>
      <c r="I785" s="5" t="str">
        <f t="shared" si="12"/>
        <v>2025-04</v>
      </c>
      <c r="J785" s="4" t="s">
        <v>49</v>
      </c>
      <c r="K785" s="5" t="s">
        <v>343</v>
      </c>
      <c r="L785" s="2">
        <v>42000</v>
      </c>
      <c r="M785" s="3">
        <v>2</v>
      </c>
      <c r="N785" s="2">
        <v>84000</v>
      </c>
      <c r="O785" s="2">
        <v>8400</v>
      </c>
      <c r="P785" s="2">
        <v>92400</v>
      </c>
      <c r="Q785" s="2">
        <f>P785*12%</f>
        <v>11088</v>
      </c>
    </row>
    <row r="786" spans="1:17" hidden="1" x14ac:dyDescent="0.4">
      <c r="A786" s="4" t="s">
        <v>35</v>
      </c>
      <c r="B786" s="4" t="s">
        <v>14</v>
      </c>
      <c r="C786" s="30" t="s">
        <v>434</v>
      </c>
      <c r="D786" s="4" t="s">
        <v>36</v>
      </c>
      <c r="E786" s="4" t="s">
        <v>16</v>
      </c>
      <c r="F786" s="4" t="s">
        <v>17</v>
      </c>
      <c r="G786" s="4" t="s">
        <v>18</v>
      </c>
      <c r="H786" s="4" t="s">
        <v>158</v>
      </c>
      <c r="I786" s="5" t="str">
        <f t="shared" si="12"/>
        <v>2025-04</v>
      </c>
      <c r="J786" s="4" t="s">
        <v>49</v>
      </c>
      <c r="K786" s="5" t="s">
        <v>343</v>
      </c>
      <c r="L786" s="2">
        <v>116220</v>
      </c>
      <c r="M786" s="3">
        <v>2</v>
      </c>
      <c r="N786" s="2">
        <v>232440</v>
      </c>
      <c r="O786" s="2">
        <v>23244</v>
      </c>
      <c r="P786" s="2">
        <v>255684</v>
      </c>
      <c r="Q786" s="2">
        <f>P786*12%</f>
        <v>30682.079999999998</v>
      </c>
    </row>
    <row r="787" spans="1:17" hidden="1" x14ac:dyDescent="0.4">
      <c r="A787" s="4" t="s">
        <v>23</v>
      </c>
      <c r="B787" s="4" t="s">
        <v>14</v>
      </c>
      <c r="C787" s="31" t="s">
        <v>435</v>
      </c>
      <c r="D787" s="4" t="s">
        <v>24</v>
      </c>
      <c r="E787" s="4" t="s">
        <v>16</v>
      </c>
      <c r="F787" s="4" t="s">
        <v>17</v>
      </c>
      <c r="G787" s="4" t="s">
        <v>18</v>
      </c>
      <c r="H787" s="4" t="s">
        <v>158</v>
      </c>
      <c r="I787" s="5" t="str">
        <f t="shared" si="12"/>
        <v>2025-04</v>
      </c>
      <c r="J787" s="4" t="s">
        <v>49</v>
      </c>
      <c r="K787" s="5" t="s">
        <v>343</v>
      </c>
      <c r="L787" s="2">
        <v>54000</v>
      </c>
      <c r="M787" s="3">
        <v>1</v>
      </c>
      <c r="N787" s="2">
        <v>54000</v>
      </c>
      <c r="O787" s="2">
        <v>5400</v>
      </c>
      <c r="P787" s="2">
        <v>59400</v>
      </c>
      <c r="Q787" s="2">
        <f>P787*12%</f>
        <v>7128</v>
      </c>
    </row>
    <row r="788" spans="1:17" hidden="1" x14ac:dyDescent="0.4">
      <c r="A788" s="4" t="s">
        <v>51</v>
      </c>
      <c r="B788" s="4" t="s">
        <v>14</v>
      </c>
      <c r="C788" s="30" t="s">
        <v>434</v>
      </c>
      <c r="D788" s="4" t="s">
        <v>52</v>
      </c>
      <c r="E788" s="4" t="s">
        <v>16</v>
      </c>
      <c r="F788" s="4" t="s">
        <v>17</v>
      </c>
      <c r="G788" s="4" t="s">
        <v>18</v>
      </c>
      <c r="H788" s="4" t="s">
        <v>158</v>
      </c>
      <c r="I788" s="5" t="str">
        <f t="shared" si="12"/>
        <v>2025-04</v>
      </c>
      <c r="J788" s="4" t="s">
        <v>49</v>
      </c>
      <c r="K788" s="5" t="s">
        <v>343</v>
      </c>
      <c r="L788" s="2">
        <v>71250</v>
      </c>
      <c r="M788" s="3">
        <v>1</v>
      </c>
      <c r="N788" s="2">
        <v>71250</v>
      </c>
      <c r="O788" s="2">
        <v>7125</v>
      </c>
      <c r="P788" s="2">
        <v>78375</v>
      </c>
      <c r="Q788" s="2">
        <f>P788*12%</f>
        <v>9405</v>
      </c>
    </row>
    <row r="789" spans="1:17" hidden="1" x14ac:dyDescent="0.4">
      <c r="A789" s="4" t="s">
        <v>13</v>
      </c>
      <c r="B789" s="4" t="s">
        <v>14</v>
      </c>
      <c r="C789" s="30" t="s">
        <v>434</v>
      </c>
      <c r="D789" s="4" t="s">
        <v>15</v>
      </c>
      <c r="E789" s="4" t="s">
        <v>16</v>
      </c>
      <c r="F789" s="4" t="s">
        <v>17</v>
      </c>
      <c r="G789" s="4" t="s">
        <v>18</v>
      </c>
      <c r="H789" s="4" t="s">
        <v>158</v>
      </c>
      <c r="I789" s="5" t="str">
        <f t="shared" si="12"/>
        <v>2025-04</v>
      </c>
      <c r="J789" s="4" t="s">
        <v>159</v>
      </c>
      <c r="K789" s="5" t="s">
        <v>342</v>
      </c>
      <c r="L789" s="2">
        <v>42000</v>
      </c>
      <c r="M789" s="3">
        <v>1</v>
      </c>
      <c r="N789" s="2">
        <v>42000</v>
      </c>
      <c r="O789" s="2">
        <v>4200</v>
      </c>
      <c r="P789" s="2">
        <v>46200</v>
      </c>
      <c r="Q789" s="2">
        <f>P789*8.5%</f>
        <v>3927.0000000000005</v>
      </c>
    </row>
    <row r="790" spans="1:17" hidden="1" x14ac:dyDescent="0.4">
      <c r="A790" s="4" t="s">
        <v>23</v>
      </c>
      <c r="B790" s="4" t="s">
        <v>14</v>
      </c>
      <c r="C790" s="31" t="s">
        <v>435</v>
      </c>
      <c r="D790" s="4" t="s">
        <v>24</v>
      </c>
      <c r="E790" s="4" t="s">
        <v>16</v>
      </c>
      <c r="F790" s="4" t="s">
        <v>17</v>
      </c>
      <c r="G790" s="4" t="s">
        <v>18</v>
      </c>
      <c r="H790" s="4" t="s">
        <v>158</v>
      </c>
      <c r="I790" s="5" t="str">
        <f t="shared" si="12"/>
        <v>2025-04</v>
      </c>
      <c r="J790" s="4" t="s">
        <v>159</v>
      </c>
      <c r="K790" s="5" t="s">
        <v>342</v>
      </c>
      <c r="L790" s="2">
        <v>54000</v>
      </c>
      <c r="M790" s="3">
        <v>2</v>
      </c>
      <c r="N790" s="2">
        <v>108000</v>
      </c>
      <c r="O790" s="2">
        <v>10800</v>
      </c>
      <c r="P790" s="2">
        <v>118800</v>
      </c>
      <c r="Q790" s="2">
        <f>P790*8.5%</f>
        <v>10098</v>
      </c>
    </row>
    <row r="791" spans="1:17" x14ac:dyDescent="0.4">
      <c r="A791" s="4" t="s">
        <v>58</v>
      </c>
      <c r="B791" s="4" t="s">
        <v>14</v>
      </c>
      <c r="C791" s="30" t="s">
        <v>434</v>
      </c>
      <c r="D791" s="4" t="s">
        <v>36</v>
      </c>
      <c r="E791" s="4" t="s">
        <v>16</v>
      </c>
      <c r="F791" s="4" t="s">
        <v>17</v>
      </c>
      <c r="G791" s="4" t="s">
        <v>18</v>
      </c>
      <c r="H791" s="4" t="s">
        <v>160</v>
      </c>
      <c r="I791" s="5" t="str">
        <f t="shared" si="12"/>
        <v>2025-04</v>
      </c>
      <c r="J791" s="4" t="s">
        <v>20</v>
      </c>
      <c r="K791" s="5" t="s">
        <v>342</v>
      </c>
      <c r="L791" s="2">
        <v>120880</v>
      </c>
      <c r="M791" s="3">
        <v>1</v>
      </c>
      <c r="N791" s="2">
        <v>120880</v>
      </c>
      <c r="O791" s="2">
        <v>12088</v>
      </c>
      <c r="P791" s="2">
        <v>132968</v>
      </c>
      <c r="Q791" s="2">
        <f>P791*8.5%</f>
        <v>11302.28</v>
      </c>
    </row>
    <row r="792" spans="1:17" x14ac:dyDescent="0.4">
      <c r="A792" s="4" t="s">
        <v>13</v>
      </c>
      <c r="B792" s="4" t="s">
        <v>14</v>
      </c>
      <c r="C792" s="30" t="s">
        <v>434</v>
      </c>
      <c r="D792" s="4" t="s">
        <v>15</v>
      </c>
      <c r="E792" s="4" t="s">
        <v>16</v>
      </c>
      <c r="F792" s="4" t="s">
        <v>17</v>
      </c>
      <c r="G792" s="4" t="s">
        <v>18</v>
      </c>
      <c r="H792" s="4" t="s">
        <v>160</v>
      </c>
      <c r="I792" s="5" t="str">
        <f t="shared" si="12"/>
        <v>2025-04</v>
      </c>
      <c r="J792" s="4" t="s">
        <v>20</v>
      </c>
      <c r="K792" s="5" t="s">
        <v>342</v>
      </c>
      <c r="L792" s="2">
        <v>42000</v>
      </c>
      <c r="M792" s="3">
        <v>1</v>
      </c>
      <c r="N792" s="2">
        <v>42000</v>
      </c>
      <c r="O792" s="2">
        <v>4200</v>
      </c>
      <c r="P792" s="2">
        <v>46200</v>
      </c>
      <c r="Q792" s="2">
        <f>P792*8.5%</f>
        <v>3927.0000000000005</v>
      </c>
    </row>
    <row r="793" spans="1:17" x14ac:dyDescent="0.4">
      <c r="A793" s="4" t="s">
        <v>21</v>
      </c>
      <c r="B793" s="4" t="s">
        <v>14</v>
      </c>
      <c r="C793" s="31" t="s">
        <v>435</v>
      </c>
      <c r="D793" s="4" t="s">
        <v>22</v>
      </c>
      <c r="E793" s="4" t="s">
        <v>16</v>
      </c>
      <c r="F793" s="4" t="s">
        <v>17</v>
      </c>
      <c r="G793" s="4" t="s">
        <v>18</v>
      </c>
      <c r="H793" s="4" t="s">
        <v>160</v>
      </c>
      <c r="I793" s="5" t="str">
        <f t="shared" si="12"/>
        <v>2025-04</v>
      </c>
      <c r="J793" s="4" t="s">
        <v>20</v>
      </c>
      <c r="K793" s="5" t="s">
        <v>342</v>
      </c>
      <c r="L793" s="2">
        <v>54000</v>
      </c>
      <c r="M793" s="3">
        <v>2</v>
      </c>
      <c r="N793" s="2">
        <v>108000</v>
      </c>
      <c r="O793" s="2">
        <v>10800</v>
      </c>
      <c r="P793" s="2">
        <v>118800</v>
      </c>
      <c r="Q793" s="2">
        <f>P793*8.5%</f>
        <v>10098</v>
      </c>
    </row>
    <row r="794" spans="1:17" x14ac:dyDescent="0.4">
      <c r="A794" s="4" t="s">
        <v>23</v>
      </c>
      <c r="B794" s="4" t="s">
        <v>14</v>
      </c>
      <c r="C794" s="31" t="s">
        <v>435</v>
      </c>
      <c r="D794" s="4" t="s">
        <v>24</v>
      </c>
      <c r="E794" s="4" t="s">
        <v>16</v>
      </c>
      <c r="F794" s="4" t="s">
        <v>17</v>
      </c>
      <c r="G794" s="4" t="s">
        <v>18</v>
      </c>
      <c r="H794" s="4" t="s">
        <v>160</v>
      </c>
      <c r="I794" s="5" t="str">
        <f t="shared" si="12"/>
        <v>2025-04</v>
      </c>
      <c r="J794" s="4" t="s">
        <v>20</v>
      </c>
      <c r="K794" s="5" t="s">
        <v>342</v>
      </c>
      <c r="L794" s="2">
        <v>54000</v>
      </c>
      <c r="M794" s="3">
        <v>2</v>
      </c>
      <c r="N794" s="2">
        <v>108000</v>
      </c>
      <c r="O794" s="2">
        <v>10800</v>
      </c>
      <c r="P794" s="2">
        <v>118800</v>
      </c>
      <c r="Q794" s="2">
        <f>P794*8.5%</f>
        <v>10098</v>
      </c>
    </row>
    <row r="795" spans="1:17" x14ac:dyDescent="0.4">
      <c r="A795" s="4" t="s">
        <v>54</v>
      </c>
      <c r="B795" s="4" t="s">
        <v>26</v>
      </c>
      <c r="C795" s="32" t="s">
        <v>436</v>
      </c>
      <c r="D795" s="4" t="s">
        <v>55</v>
      </c>
      <c r="E795" s="4" t="s">
        <v>28</v>
      </c>
      <c r="F795" s="4" t="s">
        <v>31</v>
      </c>
      <c r="G795" s="4" t="s">
        <v>18</v>
      </c>
      <c r="H795" s="4" t="s">
        <v>160</v>
      </c>
      <c r="I795" s="5" t="str">
        <f t="shared" si="12"/>
        <v>2025-04</v>
      </c>
      <c r="J795" s="4" t="s">
        <v>20</v>
      </c>
      <c r="K795" s="5" t="s">
        <v>342</v>
      </c>
      <c r="L795" s="2">
        <v>5261</v>
      </c>
      <c r="M795" s="3">
        <v>1</v>
      </c>
      <c r="N795" s="2">
        <v>5261</v>
      </c>
      <c r="O795" s="2">
        <v>0</v>
      </c>
      <c r="P795" s="2">
        <v>5261</v>
      </c>
      <c r="Q795" s="2">
        <f>P795*8.5%</f>
        <v>447.18500000000006</v>
      </c>
    </row>
    <row r="796" spans="1:17" x14ac:dyDescent="0.4">
      <c r="A796" s="4" t="s">
        <v>56</v>
      </c>
      <c r="B796" s="4" t="s">
        <v>26</v>
      </c>
      <c r="C796" s="32" t="s">
        <v>436</v>
      </c>
      <c r="D796" s="4" t="s">
        <v>57</v>
      </c>
      <c r="E796" s="4" t="s">
        <v>44</v>
      </c>
      <c r="F796" s="4" t="s">
        <v>31</v>
      </c>
      <c r="G796" s="4" t="s">
        <v>18</v>
      </c>
      <c r="H796" s="4" t="s">
        <v>160</v>
      </c>
      <c r="I796" s="5" t="str">
        <f t="shared" si="12"/>
        <v>2025-04</v>
      </c>
      <c r="J796" s="4" t="s">
        <v>20</v>
      </c>
      <c r="K796" s="5" t="s">
        <v>342</v>
      </c>
      <c r="L796" s="2">
        <v>3240</v>
      </c>
      <c r="M796" s="3">
        <v>15</v>
      </c>
      <c r="N796" s="2">
        <v>48600</v>
      </c>
      <c r="O796" s="2">
        <v>0</v>
      </c>
      <c r="P796" s="2">
        <v>48600</v>
      </c>
      <c r="Q796" s="2">
        <f>P796*8.5%</f>
        <v>4131</v>
      </c>
    </row>
    <row r="797" spans="1:17" hidden="1" x14ac:dyDescent="0.4">
      <c r="A797" s="4" t="s">
        <v>32</v>
      </c>
      <c r="B797" s="4" t="s">
        <v>14</v>
      </c>
      <c r="C797" s="31" t="s">
        <v>435</v>
      </c>
      <c r="D797" s="4" t="s">
        <v>33</v>
      </c>
      <c r="E797" s="4" t="s">
        <v>16</v>
      </c>
      <c r="F797" s="4" t="s">
        <v>17</v>
      </c>
      <c r="G797" s="4" t="s">
        <v>18</v>
      </c>
      <c r="H797" s="4" t="s">
        <v>160</v>
      </c>
      <c r="I797" s="5" t="str">
        <f t="shared" si="12"/>
        <v>2025-04</v>
      </c>
      <c r="J797" s="4" t="s">
        <v>118</v>
      </c>
      <c r="K797" s="5" t="s">
        <v>342</v>
      </c>
      <c r="L797" s="2">
        <v>44000</v>
      </c>
      <c r="M797" s="3">
        <v>1</v>
      </c>
      <c r="N797" s="2">
        <v>44000</v>
      </c>
      <c r="O797" s="2">
        <v>4400</v>
      </c>
      <c r="P797" s="2">
        <v>48400</v>
      </c>
      <c r="Q797" s="2">
        <f>P797*8.5%</f>
        <v>4114</v>
      </c>
    </row>
    <row r="798" spans="1:17" hidden="1" x14ac:dyDescent="0.4">
      <c r="A798" s="4" t="s">
        <v>13</v>
      </c>
      <c r="B798" s="4" t="s">
        <v>14</v>
      </c>
      <c r="C798" s="30" t="s">
        <v>434</v>
      </c>
      <c r="D798" s="4" t="s">
        <v>15</v>
      </c>
      <c r="E798" s="4" t="s">
        <v>16</v>
      </c>
      <c r="F798" s="4" t="s">
        <v>17</v>
      </c>
      <c r="G798" s="4" t="s">
        <v>18</v>
      </c>
      <c r="H798" s="4" t="s">
        <v>160</v>
      </c>
      <c r="I798" s="5" t="str">
        <f t="shared" si="12"/>
        <v>2025-04</v>
      </c>
      <c r="J798" s="4" t="s">
        <v>118</v>
      </c>
      <c r="K798" s="5" t="s">
        <v>342</v>
      </c>
      <c r="L798" s="2">
        <v>42000</v>
      </c>
      <c r="M798" s="3">
        <v>2</v>
      </c>
      <c r="N798" s="2">
        <v>84000</v>
      </c>
      <c r="O798" s="2">
        <v>8400</v>
      </c>
      <c r="P798" s="2">
        <v>92400</v>
      </c>
      <c r="Q798" s="2">
        <f>P798*8.5%</f>
        <v>7854.0000000000009</v>
      </c>
    </row>
    <row r="799" spans="1:17" hidden="1" x14ac:dyDescent="0.4">
      <c r="A799" s="4" t="s">
        <v>23</v>
      </c>
      <c r="B799" s="4" t="s">
        <v>14</v>
      </c>
      <c r="C799" s="31" t="s">
        <v>435</v>
      </c>
      <c r="D799" s="4" t="s">
        <v>24</v>
      </c>
      <c r="E799" s="4" t="s">
        <v>16</v>
      </c>
      <c r="F799" s="4" t="s">
        <v>17</v>
      </c>
      <c r="G799" s="4" t="s">
        <v>18</v>
      </c>
      <c r="H799" s="4" t="s">
        <v>160</v>
      </c>
      <c r="I799" s="5" t="str">
        <f t="shared" si="12"/>
        <v>2025-04</v>
      </c>
      <c r="J799" s="4" t="s">
        <v>118</v>
      </c>
      <c r="K799" s="5" t="s">
        <v>342</v>
      </c>
      <c r="L799" s="2">
        <v>54000</v>
      </c>
      <c r="M799" s="3">
        <v>1</v>
      </c>
      <c r="N799" s="2">
        <v>54000</v>
      </c>
      <c r="O799" s="2">
        <v>5400</v>
      </c>
      <c r="P799" s="2">
        <v>59400</v>
      </c>
      <c r="Q799" s="2">
        <f>P799*8.5%</f>
        <v>5049</v>
      </c>
    </row>
    <row r="800" spans="1:17" hidden="1" x14ac:dyDescent="0.4">
      <c r="A800" s="4" t="s">
        <v>32</v>
      </c>
      <c r="B800" s="4" t="s">
        <v>14</v>
      </c>
      <c r="C800" s="31" t="s">
        <v>435</v>
      </c>
      <c r="D800" s="4" t="s">
        <v>33</v>
      </c>
      <c r="E800" s="4" t="s">
        <v>16</v>
      </c>
      <c r="F800" s="4" t="s">
        <v>17</v>
      </c>
      <c r="G800" s="4" t="s">
        <v>18</v>
      </c>
      <c r="H800" s="4" t="s">
        <v>160</v>
      </c>
      <c r="I800" s="5" t="str">
        <f t="shared" si="12"/>
        <v>2025-04</v>
      </c>
      <c r="J800" s="4" t="s">
        <v>34</v>
      </c>
      <c r="K800" s="5" t="s">
        <v>342</v>
      </c>
      <c r="L800" s="2">
        <v>44000</v>
      </c>
      <c r="M800" s="3">
        <v>2</v>
      </c>
      <c r="N800" s="2">
        <v>88000</v>
      </c>
      <c r="O800" s="2">
        <v>8800</v>
      </c>
      <c r="P800" s="2">
        <v>96800</v>
      </c>
      <c r="Q800" s="2">
        <f>P800*8.5%</f>
        <v>8228</v>
      </c>
    </row>
    <row r="801" spans="1:17" hidden="1" x14ac:dyDescent="0.4">
      <c r="A801" s="4" t="s">
        <v>58</v>
      </c>
      <c r="B801" s="4" t="s">
        <v>14</v>
      </c>
      <c r="C801" s="30" t="s">
        <v>434</v>
      </c>
      <c r="D801" s="4" t="s">
        <v>36</v>
      </c>
      <c r="E801" s="4" t="s">
        <v>16</v>
      </c>
      <c r="F801" s="4" t="s">
        <v>17</v>
      </c>
      <c r="G801" s="4" t="s">
        <v>18</v>
      </c>
      <c r="H801" s="4" t="s">
        <v>160</v>
      </c>
      <c r="I801" s="5" t="str">
        <f t="shared" si="12"/>
        <v>2025-04</v>
      </c>
      <c r="J801" s="4" t="s">
        <v>34</v>
      </c>
      <c r="K801" s="5" t="s">
        <v>342</v>
      </c>
      <c r="L801" s="2">
        <v>120880</v>
      </c>
      <c r="M801" s="3">
        <v>1</v>
      </c>
      <c r="N801" s="2">
        <v>120880</v>
      </c>
      <c r="O801" s="2">
        <v>12088</v>
      </c>
      <c r="P801" s="2">
        <v>132968</v>
      </c>
      <c r="Q801" s="2">
        <f>P801*8.5%</f>
        <v>11302.28</v>
      </c>
    </row>
    <row r="802" spans="1:17" hidden="1" x14ac:dyDescent="0.4">
      <c r="A802" s="4" t="s">
        <v>13</v>
      </c>
      <c r="B802" s="4" t="s">
        <v>14</v>
      </c>
      <c r="C802" s="30" t="s">
        <v>434</v>
      </c>
      <c r="D802" s="4" t="s">
        <v>15</v>
      </c>
      <c r="E802" s="4" t="s">
        <v>16</v>
      </c>
      <c r="F802" s="4" t="s">
        <v>17</v>
      </c>
      <c r="G802" s="4" t="s">
        <v>18</v>
      </c>
      <c r="H802" s="4" t="s">
        <v>160</v>
      </c>
      <c r="I802" s="5" t="str">
        <f t="shared" si="12"/>
        <v>2025-04</v>
      </c>
      <c r="J802" s="4" t="s">
        <v>34</v>
      </c>
      <c r="K802" s="5" t="s">
        <v>342</v>
      </c>
      <c r="L802" s="2">
        <v>42000</v>
      </c>
      <c r="M802" s="3">
        <v>4</v>
      </c>
      <c r="N802" s="2">
        <v>168000</v>
      </c>
      <c r="O802" s="2">
        <v>16800</v>
      </c>
      <c r="P802" s="2">
        <v>184800</v>
      </c>
      <c r="Q802" s="2">
        <f>P802*8.5%</f>
        <v>15708.000000000002</v>
      </c>
    </row>
    <row r="803" spans="1:17" hidden="1" x14ac:dyDescent="0.4">
      <c r="A803" s="4" t="s">
        <v>21</v>
      </c>
      <c r="B803" s="4" t="s">
        <v>14</v>
      </c>
      <c r="C803" s="31" t="s">
        <v>435</v>
      </c>
      <c r="D803" s="4" t="s">
        <v>22</v>
      </c>
      <c r="E803" s="4" t="s">
        <v>16</v>
      </c>
      <c r="F803" s="4" t="s">
        <v>17</v>
      </c>
      <c r="G803" s="4" t="s">
        <v>18</v>
      </c>
      <c r="H803" s="4" t="s">
        <v>160</v>
      </c>
      <c r="I803" s="5" t="str">
        <f t="shared" si="12"/>
        <v>2025-04</v>
      </c>
      <c r="J803" s="4" t="s">
        <v>34</v>
      </c>
      <c r="K803" s="5" t="s">
        <v>342</v>
      </c>
      <c r="L803" s="2">
        <v>54000</v>
      </c>
      <c r="M803" s="3">
        <v>1</v>
      </c>
      <c r="N803" s="2">
        <v>54000</v>
      </c>
      <c r="O803" s="2">
        <v>5400</v>
      </c>
      <c r="P803" s="2">
        <v>59400</v>
      </c>
      <c r="Q803" s="2">
        <f>P803*8.5%</f>
        <v>5049</v>
      </c>
    </row>
    <row r="804" spans="1:17" hidden="1" x14ac:dyDescent="0.4">
      <c r="A804" s="4" t="s">
        <v>23</v>
      </c>
      <c r="B804" s="4" t="s">
        <v>14</v>
      </c>
      <c r="C804" s="31" t="s">
        <v>435</v>
      </c>
      <c r="D804" s="4" t="s">
        <v>24</v>
      </c>
      <c r="E804" s="4" t="s">
        <v>16</v>
      </c>
      <c r="F804" s="4" t="s">
        <v>17</v>
      </c>
      <c r="G804" s="4" t="s">
        <v>18</v>
      </c>
      <c r="H804" s="4" t="s">
        <v>160</v>
      </c>
      <c r="I804" s="5" t="str">
        <f t="shared" si="12"/>
        <v>2025-04</v>
      </c>
      <c r="J804" s="4" t="s">
        <v>34</v>
      </c>
      <c r="K804" s="5" t="s">
        <v>342</v>
      </c>
      <c r="L804" s="2">
        <v>54000</v>
      </c>
      <c r="M804" s="3">
        <v>5</v>
      </c>
      <c r="N804" s="2">
        <v>270000</v>
      </c>
      <c r="O804" s="2">
        <v>27000</v>
      </c>
      <c r="P804" s="2">
        <v>297000</v>
      </c>
      <c r="Q804" s="2">
        <f>P804*8.5%</f>
        <v>25245</v>
      </c>
    </row>
    <row r="805" spans="1:17" hidden="1" x14ac:dyDescent="0.4">
      <c r="A805" s="4" t="s">
        <v>84</v>
      </c>
      <c r="B805" s="4" t="s">
        <v>26</v>
      </c>
      <c r="C805" s="32" t="s">
        <v>436</v>
      </c>
      <c r="D805" s="4" t="s">
        <v>85</v>
      </c>
      <c r="E805" s="4" t="s">
        <v>28</v>
      </c>
      <c r="F805" s="4" t="s">
        <v>17</v>
      </c>
      <c r="G805" s="4" t="s">
        <v>18</v>
      </c>
      <c r="H805" s="4" t="s">
        <v>160</v>
      </c>
      <c r="I805" s="5" t="str">
        <f t="shared" si="12"/>
        <v>2025-04</v>
      </c>
      <c r="J805" s="4" t="s">
        <v>34</v>
      </c>
      <c r="K805" s="5" t="s">
        <v>342</v>
      </c>
      <c r="L805" s="2">
        <v>5032</v>
      </c>
      <c r="M805" s="3">
        <v>1</v>
      </c>
      <c r="N805" s="2">
        <v>5032</v>
      </c>
      <c r="O805" s="2">
        <v>503</v>
      </c>
      <c r="P805" s="2">
        <v>5535</v>
      </c>
      <c r="Q805" s="2">
        <f>P805*8.5%</f>
        <v>470.47500000000002</v>
      </c>
    </row>
    <row r="806" spans="1:17" hidden="1" x14ac:dyDescent="0.4">
      <c r="A806" s="4" t="s">
        <v>70</v>
      </c>
      <c r="B806" s="4" t="s">
        <v>26</v>
      </c>
      <c r="C806" s="32" t="s">
        <v>436</v>
      </c>
      <c r="D806" s="4" t="s">
        <v>71</v>
      </c>
      <c r="E806" s="4" t="s">
        <v>28</v>
      </c>
      <c r="F806" s="4" t="s">
        <v>31</v>
      </c>
      <c r="G806" s="4" t="s">
        <v>18</v>
      </c>
      <c r="H806" s="4" t="s">
        <v>160</v>
      </c>
      <c r="I806" s="5" t="str">
        <f t="shared" si="12"/>
        <v>2025-04</v>
      </c>
      <c r="J806" s="4" t="s">
        <v>34</v>
      </c>
      <c r="K806" s="5" t="s">
        <v>342</v>
      </c>
      <c r="L806" s="2">
        <v>6624</v>
      </c>
      <c r="M806" s="3">
        <v>2</v>
      </c>
      <c r="N806" s="2">
        <v>13248</v>
      </c>
      <c r="O806" s="2">
        <v>0</v>
      </c>
      <c r="P806" s="2">
        <v>13248</v>
      </c>
      <c r="Q806" s="2">
        <f>P806*8.5%</f>
        <v>1126.0800000000002</v>
      </c>
    </row>
    <row r="807" spans="1:17" hidden="1" x14ac:dyDescent="0.4">
      <c r="A807" s="4" t="s">
        <v>42</v>
      </c>
      <c r="B807" s="4" t="s">
        <v>14</v>
      </c>
      <c r="C807" s="30" t="s">
        <v>434</v>
      </c>
      <c r="D807" s="4" t="s">
        <v>43</v>
      </c>
      <c r="E807" s="4" t="s">
        <v>44</v>
      </c>
      <c r="F807" s="4" t="s">
        <v>31</v>
      </c>
      <c r="G807" s="4" t="s">
        <v>18</v>
      </c>
      <c r="H807" s="4" t="s">
        <v>160</v>
      </c>
      <c r="I807" s="5" t="str">
        <f t="shared" si="12"/>
        <v>2025-04</v>
      </c>
      <c r="J807" s="4" t="s">
        <v>34</v>
      </c>
      <c r="K807" s="5" t="s">
        <v>342</v>
      </c>
      <c r="L807" s="2">
        <v>6800</v>
      </c>
      <c r="M807" s="3">
        <v>31.2</v>
      </c>
      <c r="N807" s="2">
        <v>212160</v>
      </c>
      <c r="O807" s="2">
        <v>0</v>
      </c>
      <c r="P807" s="2">
        <v>212160</v>
      </c>
      <c r="Q807" s="2">
        <f>P807*8.5%</f>
        <v>18033.600000000002</v>
      </c>
    </row>
    <row r="808" spans="1:17" hidden="1" x14ac:dyDescent="0.4">
      <c r="A808" s="4" t="s">
        <v>13</v>
      </c>
      <c r="B808" s="4" t="s">
        <v>14</v>
      </c>
      <c r="C808" s="30" t="s">
        <v>434</v>
      </c>
      <c r="D808" s="4" t="s">
        <v>15</v>
      </c>
      <c r="E808" s="4" t="s">
        <v>16</v>
      </c>
      <c r="F808" s="4" t="s">
        <v>17</v>
      </c>
      <c r="G808" s="4" t="s">
        <v>18</v>
      </c>
      <c r="H808" s="4" t="s">
        <v>160</v>
      </c>
      <c r="I808" s="5" t="str">
        <f t="shared" si="12"/>
        <v>2025-04</v>
      </c>
      <c r="J808" s="4" t="s">
        <v>59</v>
      </c>
      <c r="K808" s="5" t="s">
        <v>343</v>
      </c>
      <c r="L808" s="2">
        <v>42000</v>
      </c>
      <c r="M808" s="3">
        <v>4</v>
      </c>
      <c r="N808" s="2">
        <v>168000</v>
      </c>
      <c r="O808" s="2">
        <v>16800</v>
      </c>
      <c r="P808" s="2">
        <v>184800</v>
      </c>
      <c r="Q808" s="2">
        <f>P808*12%</f>
        <v>22176</v>
      </c>
    </row>
    <row r="809" spans="1:17" hidden="1" x14ac:dyDescent="0.4">
      <c r="A809" s="4" t="s">
        <v>35</v>
      </c>
      <c r="B809" s="4" t="s">
        <v>14</v>
      </c>
      <c r="C809" s="30" t="s">
        <v>434</v>
      </c>
      <c r="D809" s="4" t="s">
        <v>36</v>
      </c>
      <c r="E809" s="4" t="s">
        <v>16</v>
      </c>
      <c r="F809" s="4" t="s">
        <v>17</v>
      </c>
      <c r="G809" s="4" t="s">
        <v>18</v>
      </c>
      <c r="H809" s="4" t="s">
        <v>160</v>
      </c>
      <c r="I809" s="5" t="str">
        <f t="shared" si="12"/>
        <v>2025-04</v>
      </c>
      <c r="J809" s="4" t="s">
        <v>59</v>
      </c>
      <c r="K809" s="5" t="s">
        <v>343</v>
      </c>
      <c r="L809" s="2">
        <v>116220</v>
      </c>
      <c r="M809" s="3">
        <v>1</v>
      </c>
      <c r="N809" s="2">
        <v>116220</v>
      </c>
      <c r="O809" s="2">
        <v>11622</v>
      </c>
      <c r="P809" s="2">
        <v>127842</v>
      </c>
      <c r="Q809" s="2">
        <f>P809*12%</f>
        <v>15341.039999999999</v>
      </c>
    </row>
    <row r="810" spans="1:17" hidden="1" x14ac:dyDescent="0.4">
      <c r="A810" s="4" t="s">
        <v>23</v>
      </c>
      <c r="B810" s="4" t="s">
        <v>14</v>
      </c>
      <c r="C810" s="31" t="s">
        <v>435</v>
      </c>
      <c r="D810" s="4" t="s">
        <v>24</v>
      </c>
      <c r="E810" s="4" t="s">
        <v>16</v>
      </c>
      <c r="F810" s="4" t="s">
        <v>17</v>
      </c>
      <c r="G810" s="4" t="s">
        <v>18</v>
      </c>
      <c r="H810" s="4" t="s">
        <v>160</v>
      </c>
      <c r="I810" s="5" t="str">
        <f t="shared" si="12"/>
        <v>2025-04</v>
      </c>
      <c r="J810" s="4" t="s">
        <v>59</v>
      </c>
      <c r="K810" s="5" t="s">
        <v>343</v>
      </c>
      <c r="L810" s="2">
        <v>54000</v>
      </c>
      <c r="M810" s="3">
        <v>2</v>
      </c>
      <c r="N810" s="2">
        <v>108000</v>
      </c>
      <c r="O810" s="2">
        <v>10800</v>
      </c>
      <c r="P810" s="2">
        <v>118800</v>
      </c>
      <c r="Q810" s="2">
        <f>P810*12%</f>
        <v>14256</v>
      </c>
    </row>
    <row r="811" spans="1:17" hidden="1" x14ac:dyDescent="0.4">
      <c r="A811" s="4" t="s">
        <v>100</v>
      </c>
      <c r="B811" s="4" t="s">
        <v>26</v>
      </c>
      <c r="C811" s="32" t="s">
        <v>436</v>
      </c>
      <c r="D811" s="4" t="s">
        <v>101</v>
      </c>
      <c r="E811" s="4" t="s">
        <v>28</v>
      </c>
      <c r="F811" s="4" t="s">
        <v>17</v>
      </c>
      <c r="G811" s="4" t="s">
        <v>18</v>
      </c>
      <c r="H811" s="4" t="s">
        <v>160</v>
      </c>
      <c r="I811" s="5" t="str">
        <f t="shared" si="12"/>
        <v>2025-04</v>
      </c>
      <c r="J811" s="4" t="s">
        <v>59</v>
      </c>
      <c r="K811" s="5" t="s">
        <v>343</v>
      </c>
      <c r="L811" s="2">
        <v>5620</v>
      </c>
      <c r="M811" s="3">
        <v>4</v>
      </c>
      <c r="N811" s="2">
        <v>22480</v>
      </c>
      <c r="O811" s="2">
        <v>2248</v>
      </c>
      <c r="P811" s="2">
        <v>24728</v>
      </c>
      <c r="Q811" s="2">
        <f>P811*12%</f>
        <v>2967.3599999999997</v>
      </c>
    </row>
    <row r="812" spans="1:17" x14ac:dyDescent="0.4">
      <c r="A812" s="4" t="s">
        <v>13</v>
      </c>
      <c r="B812" s="4" t="s">
        <v>14</v>
      </c>
      <c r="C812" s="30" t="s">
        <v>434</v>
      </c>
      <c r="D812" s="4" t="s">
        <v>15</v>
      </c>
      <c r="E812" s="4" t="s">
        <v>16</v>
      </c>
      <c r="F812" s="4" t="s">
        <v>17</v>
      </c>
      <c r="G812" s="4" t="s">
        <v>18</v>
      </c>
      <c r="H812" s="4" t="s">
        <v>161</v>
      </c>
      <c r="I812" s="5" t="str">
        <f t="shared" si="12"/>
        <v>2025-04</v>
      </c>
      <c r="J812" s="4" t="s">
        <v>20</v>
      </c>
      <c r="K812" s="5" t="s">
        <v>342</v>
      </c>
      <c r="L812" s="2">
        <v>42000</v>
      </c>
      <c r="M812" s="3">
        <v>1</v>
      </c>
      <c r="N812" s="2">
        <v>42000</v>
      </c>
      <c r="O812" s="2">
        <v>4200</v>
      </c>
      <c r="P812" s="2">
        <v>46200</v>
      </c>
      <c r="Q812" s="2">
        <f>P812*8.5%</f>
        <v>3927.0000000000005</v>
      </c>
    </row>
    <row r="813" spans="1:17" x14ac:dyDescent="0.4">
      <c r="A813" s="4" t="s">
        <v>21</v>
      </c>
      <c r="B813" s="4" t="s">
        <v>14</v>
      </c>
      <c r="C813" s="31" t="s">
        <v>435</v>
      </c>
      <c r="D813" s="4" t="s">
        <v>22</v>
      </c>
      <c r="E813" s="4" t="s">
        <v>16</v>
      </c>
      <c r="F813" s="4" t="s">
        <v>17</v>
      </c>
      <c r="G813" s="4" t="s">
        <v>18</v>
      </c>
      <c r="H813" s="4" t="s">
        <v>161</v>
      </c>
      <c r="I813" s="5" t="str">
        <f t="shared" si="12"/>
        <v>2025-04</v>
      </c>
      <c r="J813" s="4" t="s">
        <v>20</v>
      </c>
      <c r="K813" s="5" t="s">
        <v>342</v>
      </c>
      <c r="L813" s="2">
        <v>54000</v>
      </c>
      <c r="M813" s="3">
        <v>2</v>
      </c>
      <c r="N813" s="2">
        <v>108000</v>
      </c>
      <c r="O813" s="2">
        <v>10800</v>
      </c>
      <c r="P813" s="2">
        <v>118800</v>
      </c>
      <c r="Q813" s="2">
        <f>P813*8.5%</f>
        <v>10098</v>
      </c>
    </row>
    <row r="814" spans="1:17" x14ac:dyDescent="0.4">
      <c r="A814" s="4" t="s">
        <v>23</v>
      </c>
      <c r="B814" s="4" t="s">
        <v>14</v>
      </c>
      <c r="C814" s="31" t="s">
        <v>435</v>
      </c>
      <c r="D814" s="4" t="s">
        <v>24</v>
      </c>
      <c r="E814" s="4" t="s">
        <v>16</v>
      </c>
      <c r="F814" s="4" t="s">
        <v>17</v>
      </c>
      <c r="G814" s="4" t="s">
        <v>18</v>
      </c>
      <c r="H814" s="4" t="s">
        <v>161</v>
      </c>
      <c r="I814" s="5" t="str">
        <f t="shared" si="12"/>
        <v>2025-04</v>
      </c>
      <c r="J814" s="4" t="s">
        <v>20</v>
      </c>
      <c r="K814" s="5" t="s">
        <v>342</v>
      </c>
      <c r="L814" s="2">
        <v>54000</v>
      </c>
      <c r="M814" s="3">
        <v>2</v>
      </c>
      <c r="N814" s="2">
        <v>108000</v>
      </c>
      <c r="O814" s="2">
        <v>10800</v>
      </c>
      <c r="P814" s="2">
        <v>118800</v>
      </c>
      <c r="Q814" s="2">
        <f>P814*8.5%</f>
        <v>10098</v>
      </c>
    </row>
    <row r="815" spans="1:17" x14ac:dyDescent="0.4">
      <c r="A815" s="4" t="s">
        <v>51</v>
      </c>
      <c r="B815" s="4" t="s">
        <v>14</v>
      </c>
      <c r="C815" s="30" t="s">
        <v>434</v>
      </c>
      <c r="D815" s="4" t="s">
        <v>52</v>
      </c>
      <c r="E815" s="4" t="s">
        <v>16</v>
      </c>
      <c r="F815" s="4" t="s">
        <v>17</v>
      </c>
      <c r="G815" s="4" t="s">
        <v>18</v>
      </c>
      <c r="H815" s="4" t="s">
        <v>161</v>
      </c>
      <c r="I815" s="5" t="str">
        <f t="shared" si="12"/>
        <v>2025-04</v>
      </c>
      <c r="J815" s="4" t="s">
        <v>20</v>
      </c>
      <c r="K815" s="5" t="s">
        <v>342</v>
      </c>
      <c r="L815" s="2">
        <v>71250</v>
      </c>
      <c r="M815" s="3">
        <v>1</v>
      </c>
      <c r="N815" s="2">
        <v>71250</v>
      </c>
      <c r="O815" s="2">
        <v>7125</v>
      </c>
      <c r="P815" s="2">
        <v>78375</v>
      </c>
      <c r="Q815" s="2">
        <f>P815*8.5%</f>
        <v>6661.8750000000009</v>
      </c>
    </row>
    <row r="816" spans="1:17" x14ac:dyDescent="0.4">
      <c r="A816" s="4" t="s">
        <v>127</v>
      </c>
      <c r="B816" s="4" t="s">
        <v>26</v>
      </c>
      <c r="C816" s="32" t="s">
        <v>436</v>
      </c>
      <c r="D816" s="4" t="s">
        <v>128</v>
      </c>
      <c r="E816" s="4" t="s">
        <v>28</v>
      </c>
      <c r="F816" s="4" t="s">
        <v>17</v>
      </c>
      <c r="G816" s="4" t="s">
        <v>18</v>
      </c>
      <c r="H816" s="4" t="s">
        <v>161</v>
      </c>
      <c r="I816" s="5" t="str">
        <f t="shared" si="12"/>
        <v>2025-04</v>
      </c>
      <c r="J816" s="4" t="s">
        <v>20</v>
      </c>
      <c r="K816" s="5" t="s">
        <v>342</v>
      </c>
      <c r="L816" s="2">
        <v>2870</v>
      </c>
      <c r="M816" s="3">
        <v>4</v>
      </c>
      <c r="N816" s="2">
        <v>11480</v>
      </c>
      <c r="O816" s="2">
        <v>1148</v>
      </c>
      <c r="P816" s="2">
        <v>12628</v>
      </c>
      <c r="Q816" s="2">
        <f>P816*8.5%</f>
        <v>1073.3800000000001</v>
      </c>
    </row>
    <row r="817" spans="1:17" x14ac:dyDescent="0.4">
      <c r="A817" s="4" t="s">
        <v>56</v>
      </c>
      <c r="B817" s="4" t="s">
        <v>26</v>
      </c>
      <c r="C817" s="32" t="s">
        <v>436</v>
      </c>
      <c r="D817" s="4" t="s">
        <v>57</v>
      </c>
      <c r="E817" s="4" t="s">
        <v>44</v>
      </c>
      <c r="F817" s="4" t="s">
        <v>31</v>
      </c>
      <c r="G817" s="4" t="s">
        <v>18</v>
      </c>
      <c r="H817" s="4" t="s">
        <v>161</v>
      </c>
      <c r="I817" s="5" t="str">
        <f t="shared" si="12"/>
        <v>2025-04</v>
      </c>
      <c r="J817" s="4" t="s">
        <v>20</v>
      </c>
      <c r="K817" s="5" t="s">
        <v>342</v>
      </c>
      <c r="L817" s="2">
        <v>3240</v>
      </c>
      <c r="M817" s="3">
        <v>15</v>
      </c>
      <c r="N817" s="2">
        <v>48600</v>
      </c>
      <c r="O817" s="2">
        <v>0</v>
      </c>
      <c r="P817" s="2">
        <v>48600</v>
      </c>
      <c r="Q817" s="2">
        <f>P817*8.5%</f>
        <v>4131</v>
      </c>
    </row>
    <row r="818" spans="1:17" hidden="1" x14ac:dyDescent="0.4">
      <c r="A818" s="4" t="s">
        <v>64</v>
      </c>
      <c r="B818" s="4" t="s">
        <v>65</v>
      </c>
      <c r="C818" s="32" t="s">
        <v>436</v>
      </c>
      <c r="D818" s="4" t="s">
        <v>66</v>
      </c>
      <c r="E818" s="4" t="s">
        <v>16</v>
      </c>
      <c r="F818" s="4" t="s">
        <v>17</v>
      </c>
      <c r="G818" s="4" t="s">
        <v>18</v>
      </c>
      <c r="H818" s="4" t="s">
        <v>161</v>
      </c>
      <c r="I818" s="5" t="str">
        <f t="shared" si="12"/>
        <v>2025-04</v>
      </c>
      <c r="J818" s="4" t="s">
        <v>34</v>
      </c>
      <c r="K818" s="5" t="s">
        <v>342</v>
      </c>
      <c r="L818" s="2">
        <v>10283</v>
      </c>
      <c r="M818" s="3">
        <v>1</v>
      </c>
      <c r="N818" s="2">
        <v>10283</v>
      </c>
      <c r="O818" s="2">
        <v>1028</v>
      </c>
      <c r="P818" s="2">
        <v>11311</v>
      </c>
      <c r="Q818" s="2">
        <f>P818*8.5%</f>
        <v>961.43500000000006</v>
      </c>
    </row>
    <row r="819" spans="1:17" hidden="1" x14ac:dyDescent="0.4">
      <c r="A819" s="4" t="s">
        <v>13</v>
      </c>
      <c r="B819" s="4" t="s">
        <v>14</v>
      </c>
      <c r="C819" s="30" t="s">
        <v>434</v>
      </c>
      <c r="D819" s="4" t="s">
        <v>15</v>
      </c>
      <c r="E819" s="4" t="s">
        <v>16</v>
      </c>
      <c r="F819" s="4" t="s">
        <v>17</v>
      </c>
      <c r="G819" s="4" t="s">
        <v>18</v>
      </c>
      <c r="H819" s="4" t="s">
        <v>161</v>
      </c>
      <c r="I819" s="5" t="str">
        <f t="shared" si="12"/>
        <v>2025-04</v>
      </c>
      <c r="J819" s="4" t="s">
        <v>34</v>
      </c>
      <c r="K819" s="5" t="s">
        <v>342</v>
      </c>
      <c r="L819" s="2">
        <v>42000</v>
      </c>
      <c r="M819" s="3">
        <v>5</v>
      </c>
      <c r="N819" s="2">
        <v>210000</v>
      </c>
      <c r="O819" s="2">
        <v>21000</v>
      </c>
      <c r="P819" s="2">
        <v>231000</v>
      </c>
      <c r="Q819" s="2">
        <f>P819*8.5%</f>
        <v>19635</v>
      </c>
    </row>
    <row r="820" spans="1:17" hidden="1" x14ac:dyDescent="0.4">
      <c r="A820" s="4" t="s">
        <v>21</v>
      </c>
      <c r="B820" s="4" t="s">
        <v>14</v>
      </c>
      <c r="C820" s="31" t="s">
        <v>435</v>
      </c>
      <c r="D820" s="4" t="s">
        <v>22</v>
      </c>
      <c r="E820" s="4" t="s">
        <v>16</v>
      </c>
      <c r="F820" s="4" t="s">
        <v>17</v>
      </c>
      <c r="G820" s="4" t="s">
        <v>18</v>
      </c>
      <c r="H820" s="4" t="s">
        <v>161</v>
      </c>
      <c r="I820" s="5" t="str">
        <f t="shared" si="12"/>
        <v>2025-04</v>
      </c>
      <c r="J820" s="4" t="s">
        <v>34</v>
      </c>
      <c r="K820" s="5" t="s">
        <v>342</v>
      </c>
      <c r="L820" s="2">
        <v>54000</v>
      </c>
      <c r="M820" s="3">
        <v>2</v>
      </c>
      <c r="N820" s="2">
        <v>108000</v>
      </c>
      <c r="O820" s="2">
        <v>10800</v>
      </c>
      <c r="P820" s="2">
        <v>118800</v>
      </c>
      <c r="Q820" s="2">
        <f>P820*8.5%</f>
        <v>10098</v>
      </c>
    </row>
    <row r="821" spans="1:17" hidden="1" x14ac:dyDescent="0.4">
      <c r="A821" s="4" t="s">
        <v>35</v>
      </c>
      <c r="B821" s="4" t="s">
        <v>14</v>
      </c>
      <c r="C821" s="30" t="s">
        <v>434</v>
      </c>
      <c r="D821" s="4" t="s">
        <v>36</v>
      </c>
      <c r="E821" s="4" t="s">
        <v>16</v>
      </c>
      <c r="F821" s="4" t="s">
        <v>17</v>
      </c>
      <c r="G821" s="4" t="s">
        <v>18</v>
      </c>
      <c r="H821" s="4" t="s">
        <v>161</v>
      </c>
      <c r="I821" s="5" t="str">
        <f t="shared" si="12"/>
        <v>2025-04</v>
      </c>
      <c r="J821" s="4" t="s">
        <v>34</v>
      </c>
      <c r="K821" s="5" t="s">
        <v>342</v>
      </c>
      <c r="L821" s="2">
        <v>116220</v>
      </c>
      <c r="M821" s="3">
        <v>1</v>
      </c>
      <c r="N821" s="2">
        <v>116220</v>
      </c>
      <c r="O821" s="2">
        <v>11622</v>
      </c>
      <c r="P821" s="2">
        <v>127842</v>
      </c>
      <c r="Q821" s="2">
        <f>P821*8.5%</f>
        <v>10866.570000000002</v>
      </c>
    </row>
    <row r="822" spans="1:17" hidden="1" x14ac:dyDescent="0.4">
      <c r="A822" s="4" t="s">
        <v>23</v>
      </c>
      <c r="B822" s="4" t="s">
        <v>14</v>
      </c>
      <c r="C822" s="31" t="s">
        <v>435</v>
      </c>
      <c r="D822" s="4" t="s">
        <v>24</v>
      </c>
      <c r="E822" s="4" t="s">
        <v>16</v>
      </c>
      <c r="F822" s="4" t="s">
        <v>17</v>
      </c>
      <c r="G822" s="4" t="s">
        <v>18</v>
      </c>
      <c r="H822" s="4" t="s">
        <v>161</v>
      </c>
      <c r="I822" s="5" t="str">
        <f t="shared" si="12"/>
        <v>2025-04</v>
      </c>
      <c r="J822" s="4" t="s">
        <v>34</v>
      </c>
      <c r="K822" s="5" t="s">
        <v>342</v>
      </c>
      <c r="L822" s="2">
        <v>54000</v>
      </c>
      <c r="M822" s="3">
        <v>4</v>
      </c>
      <c r="N822" s="2">
        <v>216000</v>
      </c>
      <c r="O822" s="2">
        <v>21600</v>
      </c>
      <c r="P822" s="2">
        <v>237600</v>
      </c>
      <c r="Q822" s="2">
        <f>P822*8.5%</f>
        <v>20196</v>
      </c>
    </row>
    <row r="823" spans="1:17" hidden="1" x14ac:dyDescent="0.4">
      <c r="A823" s="4" t="s">
        <v>51</v>
      </c>
      <c r="B823" s="4" t="s">
        <v>14</v>
      </c>
      <c r="C823" s="30" t="s">
        <v>434</v>
      </c>
      <c r="D823" s="4" t="s">
        <v>52</v>
      </c>
      <c r="E823" s="4" t="s">
        <v>16</v>
      </c>
      <c r="F823" s="4" t="s">
        <v>17</v>
      </c>
      <c r="G823" s="4" t="s">
        <v>18</v>
      </c>
      <c r="H823" s="4" t="s">
        <v>161</v>
      </c>
      <c r="I823" s="5" t="str">
        <f t="shared" si="12"/>
        <v>2025-04</v>
      </c>
      <c r="J823" s="4" t="s">
        <v>34</v>
      </c>
      <c r="K823" s="5" t="s">
        <v>342</v>
      </c>
      <c r="L823" s="2">
        <v>71250</v>
      </c>
      <c r="M823" s="3">
        <v>2</v>
      </c>
      <c r="N823" s="2">
        <v>142500</v>
      </c>
      <c r="O823" s="2">
        <v>14250</v>
      </c>
      <c r="P823" s="2">
        <v>156750</v>
      </c>
      <c r="Q823" s="2">
        <f>P823*8.5%</f>
        <v>13323.750000000002</v>
      </c>
    </row>
    <row r="824" spans="1:17" hidden="1" x14ac:dyDescent="0.4">
      <c r="A824" s="4" t="s">
        <v>162</v>
      </c>
      <c r="B824" s="4" t="s">
        <v>26</v>
      </c>
      <c r="C824" s="32" t="s">
        <v>436</v>
      </c>
      <c r="D824" s="4" t="s">
        <v>163</v>
      </c>
      <c r="E824" s="4" t="s">
        <v>28</v>
      </c>
      <c r="F824" s="4" t="s">
        <v>17</v>
      </c>
      <c r="G824" s="4" t="s">
        <v>18</v>
      </c>
      <c r="H824" s="4" t="s">
        <v>161</v>
      </c>
      <c r="I824" s="5" t="str">
        <f t="shared" si="12"/>
        <v>2025-04</v>
      </c>
      <c r="J824" s="4" t="s">
        <v>34</v>
      </c>
      <c r="K824" s="5" t="s">
        <v>342</v>
      </c>
      <c r="L824" s="2">
        <v>4843</v>
      </c>
      <c r="M824" s="3">
        <v>2</v>
      </c>
      <c r="N824" s="2">
        <v>9686</v>
      </c>
      <c r="O824" s="2">
        <v>969</v>
      </c>
      <c r="P824" s="2">
        <v>10655</v>
      </c>
      <c r="Q824" s="2">
        <f>P824*8.5%</f>
        <v>905.67500000000007</v>
      </c>
    </row>
    <row r="825" spans="1:17" hidden="1" x14ac:dyDescent="0.4">
      <c r="A825" s="4" t="s">
        <v>42</v>
      </c>
      <c r="B825" s="4" t="s">
        <v>14</v>
      </c>
      <c r="C825" s="30" t="s">
        <v>434</v>
      </c>
      <c r="D825" s="4" t="s">
        <v>43</v>
      </c>
      <c r="E825" s="4" t="s">
        <v>44</v>
      </c>
      <c r="F825" s="4" t="s">
        <v>31</v>
      </c>
      <c r="G825" s="4" t="s">
        <v>18</v>
      </c>
      <c r="H825" s="4" t="s">
        <v>161</v>
      </c>
      <c r="I825" s="5" t="str">
        <f t="shared" si="12"/>
        <v>2025-04</v>
      </c>
      <c r="J825" s="4" t="s">
        <v>34</v>
      </c>
      <c r="K825" s="5" t="s">
        <v>342</v>
      </c>
      <c r="L825" s="2">
        <v>6800</v>
      </c>
      <c r="M825" s="3">
        <v>82.2</v>
      </c>
      <c r="N825" s="2">
        <v>558960</v>
      </c>
      <c r="O825" s="2">
        <v>0</v>
      </c>
      <c r="P825" s="2">
        <v>558960</v>
      </c>
      <c r="Q825" s="2">
        <f>P825*8.5%</f>
        <v>47511.600000000006</v>
      </c>
    </row>
    <row r="826" spans="1:17" hidden="1" x14ac:dyDescent="0.4">
      <c r="A826" s="4" t="s">
        <v>13</v>
      </c>
      <c r="B826" s="4" t="s">
        <v>14</v>
      </c>
      <c r="C826" s="30" t="s">
        <v>434</v>
      </c>
      <c r="D826" s="4" t="s">
        <v>15</v>
      </c>
      <c r="E826" s="4" t="s">
        <v>16</v>
      </c>
      <c r="F826" s="4" t="s">
        <v>17</v>
      </c>
      <c r="G826" s="4" t="s">
        <v>18</v>
      </c>
      <c r="H826" s="4" t="s">
        <v>161</v>
      </c>
      <c r="I826" s="5" t="str">
        <f t="shared" si="12"/>
        <v>2025-04</v>
      </c>
      <c r="J826" s="4" t="s">
        <v>59</v>
      </c>
      <c r="K826" s="5" t="s">
        <v>343</v>
      </c>
      <c r="L826" s="2">
        <v>42000</v>
      </c>
      <c r="M826" s="3">
        <v>6</v>
      </c>
      <c r="N826" s="2">
        <v>252000</v>
      </c>
      <c r="O826" s="2">
        <v>25200</v>
      </c>
      <c r="P826" s="2">
        <v>277200</v>
      </c>
      <c r="Q826" s="2">
        <f>P826*12%</f>
        <v>33264</v>
      </c>
    </row>
    <row r="827" spans="1:17" hidden="1" x14ac:dyDescent="0.4">
      <c r="A827" s="4" t="s">
        <v>35</v>
      </c>
      <c r="B827" s="4" t="s">
        <v>14</v>
      </c>
      <c r="C827" s="30" t="s">
        <v>434</v>
      </c>
      <c r="D827" s="4" t="s">
        <v>36</v>
      </c>
      <c r="E827" s="4" t="s">
        <v>16</v>
      </c>
      <c r="F827" s="4" t="s">
        <v>17</v>
      </c>
      <c r="G827" s="4" t="s">
        <v>18</v>
      </c>
      <c r="H827" s="4" t="s">
        <v>161</v>
      </c>
      <c r="I827" s="5" t="str">
        <f t="shared" si="12"/>
        <v>2025-04</v>
      </c>
      <c r="J827" s="4" t="s">
        <v>59</v>
      </c>
      <c r="K827" s="5" t="s">
        <v>343</v>
      </c>
      <c r="L827" s="2">
        <v>116220</v>
      </c>
      <c r="M827" s="3">
        <v>2</v>
      </c>
      <c r="N827" s="2">
        <v>232440</v>
      </c>
      <c r="O827" s="2">
        <v>23244</v>
      </c>
      <c r="P827" s="2">
        <v>255684</v>
      </c>
      <c r="Q827" s="2">
        <f>P827*12%</f>
        <v>30682.079999999998</v>
      </c>
    </row>
    <row r="828" spans="1:17" hidden="1" x14ac:dyDescent="0.4">
      <c r="A828" s="4" t="s">
        <v>23</v>
      </c>
      <c r="B828" s="4" t="s">
        <v>14</v>
      </c>
      <c r="C828" s="31" t="s">
        <v>435</v>
      </c>
      <c r="D828" s="4" t="s">
        <v>24</v>
      </c>
      <c r="E828" s="4" t="s">
        <v>16</v>
      </c>
      <c r="F828" s="4" t="s">
        <v>17</v>
      </c>
      <c r="G828" s="4" t="s">
        <v>18</v>
      </c>
      <c r="H828" s="4" t="s">
        <v>161</v>
      </c>
      <c r="I828" s="5" t="str">
        <f t="shared" si="12"/>
        <v>2025-04</v>
      </c>
      <c r="J828" s="4" t="s">
        <v>59</v>
      </c>
      <c r="K828" s="5" t="s">
        <v>343</v>
      </c>
      <c r="L828" s="2">
        <v>54000</v>
      </c>
      <c r="M828" s="3">
        <v>2</v>
      </c>
      <c r="N828" s="2">
        <v>108000</v>
      </c>
      <c r="O828" s="2">
        <v>10800</v>
      </c>
      <c r="P828" s="2">
        <v>118800</v>
      </c>
      <c r="Q828" s="2">
        <f>P828*12%</f>
        <v>14256</v>
      </c>
    </row>
    <row r="829" spans="1:17" hidden="1" x14ac:dyDescent="0.4">
      <c r="A829" s="4" t="s">
        <v>51</v>
      </c>
      <c r="B829" s="4" t="s">
        <v>14</v>
      </c>
      <c r="C829" s="30" t="s">
        <v>434</v>
      </c>
      <c r="D829" s="4" t="s">
        <v>52</v>
      </c>
      <c r="E829" s="4" t="s">
        <v>16</v>
      </c>
      <c r="F829" s="4" t="s">
        <v>17</v>
      </c>
      <c r="G829" s="4" t="s">
        <v>18</v>
      </c>
      <c r="H829" s="4" t="s">
        <v>161</v>
      </c>
      <c r="I829" s="5" t="str">
        <f t="shared" si="12"/>
        <v>2025-04</v>
      </c>
      <c r="J829" s="4" t="s">
        <v>59</v>
      </c>
      <c r="K829" s="5" t="s">
        <v>343</v>
      </c>
      <c r="L829" s="2">
        <v>71250</v>
      </c>
      <c r="M829" s="3">
        <v>2</v>
      </c>
      <c r="N829" s="2">
        <v>142500</v>
      </c>
      <c r="O829" s="2">
        <v>14250</v>
      </c>
      <c r="P829" s="2">
        <v>156750</v>
      </c>
      <c r="Q829" s="2">
        <f>P829*12%</f>
        <v>18810</v>
      </c>
    </row>
    <row r="830" spans="1:17" hidden="1" x14ac:dyDescent="0.4">
      <c r="A830" s="4" t="s">
        <v>35</v>
      </c>
      <c r="B830" s="4" t="s">
        <v>14</v>
      </c>
      <c r="C830" s="30" t="s">
        <v>434</v>
      </c>
      <c r="D830" s="4" t="s">
        <v>36</v>
      </c>
      <c r="E830" s="4" t="s">
        <v>16</v>
      </c>
      <c r="F830" s="4" t="s">
        <v>17</v>
      </c>
      <c r="G830" s="4" t="s">
        <v>18</v>
      </c>
      <c r="H830" s="4" t="s">
        <v>161</v>
      </c>
      <c r="I830" s="5" t="str">
        <f t="shared" si="12"/>
        <v>2025-04</v>
      </c>
      <c r="J830" s="4" t="s">
        <v>60</v>
      </c>
      <c r="K830" s="5" t="s">
        <v>343</v>
      </c>
      <c r="L830" s="2">
        <v>116220</v>
      </c>
      <c r="M830" s="3">
        <v>2</v>
      </c>
      <c r="N830" s="2">
        <v>232440</v>
      </c>
      <c r="O830" s="2">
        <v>23244</v>
      </c>
      <c r="P830" s="2">
        <v>255684</v>
      </c>
      <c r="Q830" s="2">
        <f>P830*12%</f>
        <v>30682.079999999998</v>
      </c>
    </row>
    <row r="831" spans="1:17" hidden="1" x14ac:dyDescent="0.4">
      <c r="A831" s="4" t="s">
        <v>23</v>
      </c>
      <c r="B831" s="4" t="s">
        <v>14</v>
      </c>
      <c r="C831" s="31" t="s">
        <v>435</v>
      </c>
      <c r="D831" s="4" t="s">
        <v>24</v>
      </c>
      <c r="E831" s="4" t="s">
        <v>16</v>
      </c>
      <c r="F831" s="4" t="s">
        <v>17</v>
      </c>
      <c r="G831" s="4" t="s">
        <v>18</v>
      </c>
      <c r="H831" s="4" t="s">
        <v>161</v>
      </c>
      <c r="I831" s="5" t="str">
        <f t="shared" si="12"/>
        <v>2025-04</v>
      </c>
      <c r="J831" s="4" t="s">
        <v>60</v>
      </c>
      <c r="K831" s="5" t="s">
        <v>343</v>
      </c>
      <c r="L831" s="2">
        <v>54000</v>
      </c>
      <c r="M831" s="3">
        <v>10</v>
      </c>
      <c r="N831" s="2">
        <v>540000</v>
      </c>
      <c r="O831" s="2">
        <v>54000</v>
      </c>
      <c r="P831" s="2">
        <v>594000</v>
      </c>
      <c r="Q831" s="2">
        <f>P831*12%</f>
        <v>71280</v>
      </c>
    </row>
    <row r="832" spans="1:17" hidden="1" x14ac:dyDescent="0.4">
      <c r="A832" s="4" t="s">
        <v>32</v>
      </c>
      <c r="B832" s="4" t="s">
        <v>14</v>
      </c>
      <c r="C832" s="31" t="s">
        <v>435</v>
      </c>
      <c r="D832" s="4" t="s">
        <v>33</v>
      </c>
      <c r="E832" s="4" t="s">
        <v>16</v>
      </c>
      <c r="F832" s="4" t="s">
        <v>17</v>
      </c>
      <c r="G832" s="4" t="s">
        <v>18</v>
      </c>
      <c r="H832" s="4" t="s">
        <v>161</v>
      </c>
      <c r="I832" s="5" t="str">
        <f t="shared" si="12"/>
        <v>2025-04</v>
      </c>
      <c r="J832" s="4" t="s">
        <v>50</v>
      </c>
      <c r="K832" s="5" t="s">
        <v>343</v>
      </c>
      <c r="L832" s="2">
        <v>44000</v>
      </c>
      <c r="M832" s="3">
        <v>1</v>
      </c>
      <c r="N832" s="2">
        <v>44000</v>
      </c>
      <c r="O832" s="2">
        <v>4400</v>
      </c>
      <c r="P832" s="2">
        <v>48400</v>
      </c>
      <c r="Q832" s="2">
        <f>P832*12%</f>
        <v>5808</v>
      </c>
    </row>
    <row r="833" spans="1:17" hidden="1" x14ac:dyDescent="0.4">
      <c r="A833" s="4" t="s">
        <v>13</v>
      </c>
      <c r="B833" s="4" t="s">
        <v>14</v>
      </c>
      <c r="C833" s="30" t="s">
        <v>434</v>
      </c>
      <c r="D833" s="4" t="s">
        <v>15</v>
      </c>
      <c r="E833" s="4" t="s">
        <v>16</v>
      </c>
      <c r="F833" s="4" t="s">
        <v>17</v>
      </c>
      <c r="G833" s="4" t="s">
        <v>18</v>
      </c>
      <c r="H833" s="4" t="s">
        <v>161</v>
      </c>
      <c r="I833" s="5" t="str">
        <f t="shared" si="12"/>
        <v>2025-04</v>
      </c>
      <c r="J833" s="4" t="s">
        <v>50</v>
      </c>
      <c r="K833" s="5" t="s">
        <v>343</v>
      </c>
      <c r="L833" s="2">
        <v>42000</v>
      </c>
      <c r="M833" s="3">
        <v>15</v>
      </c>
      <c r="N833" s="2">
        <v>630000</v>
      </c>
      <c r="O833" s="2">
        <v>63000</v>
      </c>
      <c r="P833" s="2">
        <v>693000</v>
      </c>
      <c r="Q833" s="2">
        <f>P833*12%</f>
        <v>83160</v>
      </c>
    </row>
    <row r="834" spans="1:17" hidden="1" x14ac:dyDescent="0.4">
      <c r="A834" s="4" t="s">
        <v>23</v>
      </c>
      <c r="B834" s="4" t="s">
        <v>14</v>
      </c>
      <c r="C834" s="31" t="s">
        <v>435</v>
      </c>
      <c r="D834" s="4" t="s">
        <v>24</v>
      </c>
      <c r="E834" s="4" t="s">
        <v>16</v>
      </c>
      <c r="F834" s="4" t="s">
        <v>17</v>
      </c>
      <c r="G834" s="4" t="s">
        <v>18</v>
      </c>
      <c r="H834" s="4" t="s">
        <v>161</v>
      </c>
      <c r="I834" s="5" t="str">
        <f t="shared" ref="I834:I897" si="13">TEXT(H834,"yyyy-mm")</f>
        <v>2025-04</v>
      </c>
      <c r="J834" s="4" t="s">
        <v>50</v>
      </c>
      <c r="K834" s="5" t="s">
        <v>343</v>
      </c>
      <c r="L834" s="2">
        <v>54000</v>
      </c>
      <c r="M834" s="3">
        <v>5</v>
      </c>
      <c r="N834" s="2">
        <v>270000</v>
      </c>
      <c r="O834" s="2">
        <v>27000</v>
      </c>
      <c r="P834" s="2">
        <v>297000</v>
      </c>
      <c r="Q834" s="2">
        <f>P834*12%</f>
        <v>35640</v>
      </c>
    </row>
    <row r="835" spans="1:17" hidden="1" x14ac:dyDescent="0.4">
      <c r="A835" s="4" t="s">
        <v>51</v>
      </c>
      <c r="B835" s="4" t="s">
        <v>14</v>
      </c>
      <c r="C835" s="30" t="s">
        <v>434</v>
      </c>
      <c r="D835" s="4" t="s">
        <v>52</v>
      </c>
      <c r="E835" s="4" t="s">
        <v>16</v>
      </c>
      <c r="F835" s="4" t="s">
        <v>17</v>
      </c>
      <c r="G835" s="4" t="s">
        <v>18</v>
      </c>
      <c r="H835" s="4" t="s">
        <v>161</v>
      </c>
      <c r="I835" s="5" t="str">
        <f t="shared" si="13"/>
        <v>2025-04</v>
      </c>
      <c r="J835" s="4" t="s">
        <v>50</v>
      </c>
      <c r="K835" s="5" t="s">
        <v>343</v>
      </c>
      <c r="L835" s="2">
        <v>71250</v>
      </c>
      <c r="M835" s="3">
        <v>2</v>
      </c>
      <c r="N835" s="2">
        <v>142500</v>
      </c>
      <c r="O835" s="2">
        <v>14250</v>
      </c>
      <c r="P835" s="2">
        <v>156750</v>
      </c>
      <c r="Q835" s="2">
        <f>P835*12%</f>
        <v>18810</v>
      </c>
    </row>
    <row r="836" spans="1:17" x14ac:dyDescent="0.4">
      <c r="A836" s="4" t="s">
        <v>58</v>
      </c>
      <c r="B836" s="4" t="s">
        <v>14</v>
      </c>
      <c r="C836" s="30" t="s">
        <v>434</v>
      </c>
      <c r="D836" s="4" t="s">
        <v>36</v>
      </c>
      <c r="E836" s="4" t="s">
        <v>16</v>
      </c>
      <c r="F836" s="4" t="s">
        <v>17</v>
      </c>
      <c r="G836" s="4" t="s">
        <v>18</v>
      </c>
      <c r="H836" s="4" t="s">
        <v>164</v>
      </c>
      <c r="I836" s="5" t="str">
        <f t="shared" si="13"/>
        <v>2025-04</v>
      </c>
      <c r="J836" s="4" t="s">
        <v>20</v>
      </c>
      <c r="K836" s="5" t="s">
        <v>342</v>
      </c>
      <c r="L836" s="2">
        <v>120880</v>
      </c>
      <c r="M836" s="3">
        <v>1</v>
      </c>
      <c r="N836" s="2">
        <v>120880</v>
      </c>
      <c r="O836" s="2">
        <v>12088</v>
      </c>
      <c r="P836" s="2">
        <v>132968</v>
      </c>
      <c r="Q836" s="2">
        <f>P836*8.5%</f>
        <v>11302.28</v>
      </c>
    </row>
    <row r="837" spans="1:17" x14ac:dyDescent="0.4">
      <c r="A837" s="4" t="s">
        <v>13</v>
      </c>
      <c r="B837" s="4" t="s">
        <v>14</v>
      </c>
      <c r="C837" s="30" t="s">
        <v>434</v>
      </c>
      <c r="D837" s="4" t="s">
        <v>15</v>
      </c>
      <c r="E837" s="4" t="s">
        <v>16</v>
      </c>
      <c r="F837" s="4" t="s">
        <v>17</v>
      </c>
      <c r="G837" s="4" t="s">
        <v>18</v>
      </c>
      <c r="H837" s="4" t="s">
        <v>164</v>
      </c>
      <c r="I837" s="5" t="str">
        <f t="shared" si="13"/>
        <v>2025-04</v>
      </c>
      <c r="J837" s="4" t="s">
        <v>20</v>
      </c>
      <c r="K837" s="5" t="s">
        <v>342</v>
      </c>
      <c r="L837" s="2">
        <v>42000</v>
      </c>
      <c r="M837" s="3">
        <v>2</v>
      </c>
      <c r="N837" s="2">
        <v>84000</v>
      </c>
      <c r="O837" s="2">
        <v>8400</v>
      </c>
      <c r="P837" s="2">
        <v>92400</v>
      </c>
      <c r="Q837" s="2">
        <f>P837*8.5%</f>
        <v>7854.0000000000009</v>
      </c>
    </row>
    <row r="838" spans="1:17" x14ac:dyDescent="0.4">
      <c r="A838" s="4" t="s">
        <v>21</v>
      </c>
      <c r="B838" s="4" t="s">
        <v>14</v>
      </c>
      <c r="C838" s="31" t="s">
        <v>435</v>
      </c>
      <c r="D838" s="4" t="s">
        <v>22</v>
      </c>
      <c r="E838" s="4" t="s">
        <v>16</v>
      </c>
      <c r="F838" s="4" t="s">
        <v>17</v>
      </c>
      <c r="G838" s="4" t="s">
        <v>18</v>
      </c>
      <c r="H838" s="4" t="s">
        <v>164</v>
      </c>
      <c r="I838" s="5" t="str">
        <f t="shared" si="13"/>
        <v>2025-04</v>
      </c>
      <c r="J838" s="4" t="s">
        <v>20</v>
      </c>
      <c r="K838" s="5" t="s">
        <v>342</v>
      </c>
      <c r="L838" s="2">
        <v>54000</v>
      </c>
      <c r="M838" s="3">
        <v>1</v>
      </c>
      <c r="N838" s="2">
        <v>54000</v>
      </c>
      <c r="O838" s="2">
        <v>5400</v>
      </c>
      <c r="P838" s="2">
        <v>59400</v>
      </c>
      <c r="Q838" s="2">
        <f>P838*8.5%</f>
        <v>5049</v>
      </c>
    </row>
    <row r="839" spans="1:17" x14ac:dyDescent="0.4">
      <c r="A839" s="4" t="s">
        <v>23</v>
      </c>
      <c r="B839" s="4" t="s">
        <v>14</v>
      </c>
      <c r="C839" s="31" t="s">
        <v>435</v>
      </c>
      <c r="D839" s="4" t="s">
        <v>24</v>
      </c>
      <c r="E839" s="4" t="s">
        <v>16</v>
      </c>
      <c r="F839" s="4" t="s">
        <v>17</v>
      </c>
      <c r="G839" s="4" t="s">
        <v>18</v>
      </c>
      <c r="H839" s="4" t="s">
        <v>164</v>
      </c>
      <c r="I839" s="5" t="str">
        <f t="shared" si="13"/>
        <v>2025-04</v>
      </c>
      <c r="J839" s="4" t="s">
        <v>20</v>
      </c>
      <c r="K839" s="5" t="s">
        <v>342</v>
      </c>
      <c r="L839" s="2">
        <v>54000</v>
      </c>
      <c r="M839" s="3">
        <v>3</v>
      </c>
      <c r="N839" s="2">
        <v>162000</v>
      </c>
      <c r="O839" s="2">
        <v>16200</v>
      </c>
      <c r="P839" s="2">
        <v>178200</v>
      </c>
      <c r="Q839" s="2">
        <f>P839*8.5%</f>
        <v>15147.000000000002</v>
      </c>
    </row>
    <row r="840" spans="1:17" x14ac:dyDescent="0.4">
      <c r="A840" s="4" t="s">
        <v>56</v>
      </c>
      <c r="B840" s="4" t="s">
        <v>26</v>
      </c>
      <c r="C840" s="32" t="s">
        <v>436</v>
      </c>
      <c r="D840" s="4" t="s">
        <v>57</v>
      </c>
      <c r="E840" s="4" t="s">
        <v>44</v>
      </c>
      <c r="F840" s="4" t="s">
        <v>31</v>
      </c>
      <c r="G840" s="4" t="s">
        <v>18</v>
      </c>
      <c r="H840" s="4" t="s">
        <v>164</v>
      </c>
      <c r="I840" s="5" t="str">
        <f t="shared" si="13"/>
        <v>2025-04</v>
      </c>
      <c r="J840" s="4" t="s">
        <v>20</v>
      </c>
      <c r="K840" s="5" t="s">
        <v>342</v>
      </c>
      <c r="L840" s="2">
        <v>3240</v>
      </c>
      <c r="M840" s="3">
        <v>8</v>
      </c>
      <c r="N840" s="2">
        <v>25920</v>
      </c>
      <c r="O840" s="2">
        <v>0</v>
      </c>
      <c r="P840" s="2">
        <v>25920</v>
      </c>
      <c r="Q840" s="2">
        <f>P840*8.5%</f>
        <v>2203.2000000000003</v>
      </c>
    </row>
    <row r="841" spans="1:17" hidden="1" x14ac:dyDescent="0.4">
      <c r="A841" s="4" t="s">
        <v>32</v>
      </c>
      <c r="B841" s="4" t="s">
        <v>14</v>
      </c>
      <c r="C841" s="31" t="s">
        <v>435</v>
      </c>
      <c r="D841" s="4" t="s">
        <v>33</v>
      </c>
      <c r="E841" s="4" t="s">
        <v>16</v>
      </c>
      <c r="F841" s="4" t="s">
        <v>17</v>
      </c>
      <c r="G841" s="4" t="s">
        <v>18</v>
      </c>
      <c r="H841" s="4" t="s">
        <v>164</v>
      </c>
      <c r="I841" s="5" t="str">
        <f t="shared" si="13"/>
        <v>2025-04</v>
      </c>
      <c r="J841" s="4" t="s">
        <v>118</v>
      </c>
      <c r="K841" s="5" t="s">
        <v>342</v>
      </c>
      <c r="L841" s="2">
        <v>44000</v>
      </c>
      <c r="M841" s="3">
        <v>1</v>
      </c>
      <c r="N841" s="2">
        <v>44000</v>
      </c>
      <c r="O841" s="2">
        <v>4400</v>
      </c>
      <c r="P841" s="2">
        <v>48400</v>
      </c>
      <c r="Q841" s="2">
        <f>P841*8.5%</f>
        <v>4114</v>
      </c>
    </row>
    <row r="842" spans="1:17" hidden="1" x14ac:dyDescent="0.4">
      <c r="A842" s="4" t="s">
        <v>13</v>
      </c>
      <c r="B842" s="4" t="s">
        <v>14</v>
      </c>
      <c r="C842" s="30" t="s">
        <v>434</v>
      </c>
      <c r="D842" s="4" t="s">
        <v>15</v>
      </c>
      <c r="E842" s="4" t="s">
        <v>16</v>
      </c>
      <c r="F842" s="4" t="s">
        <v>17</v>
      </c>
      <c r="G842" s="4" t="s">
        <v>18</v>
      </c>
      <c r="H842" s="4" t="s">
        <v>164</v>
      </c>
      <c r="I842" s="5" t="str">
        <f t="shared" si="13"/>
        <v>2025-04</v>
      </c>
      <c r="J842" s="4" t="s">
        <v>118</v>
      </c>
      <c r="K842" s="5" t="s">
        <v>342</v>
      </c>
      <c r="L842" s="2">
        <v>42000</v>
      </c>
      <c r="M842" s="3">
        <v>3</v>
      </c>
      <c r="N842" s="2">
        <v>126000</v>
      </c>
      <c r="O842" s="2">
        <v>12600</v>
      </c>
      <c r="P842" s="2">
        <v>138600</v>
      </c>
      <c r="Q842" s="2">
        <f>P842*8.5%</f>
        <v>11781</v>
      </c>
    </row>
    <row r="843" spans="1:17" hidden="1" x14ac:dyDescent="0.4">
      <c r="A843" s="4" t="s">
        <v>35</v>
      </c>
      <c r="B843" s="4" t="s">
        <v>14</v>
      </c>
      <c r="C843" s="30" t="s">
        <v>434</v>
      </c>
      <c r="D843" s="4" t="s">
        <v>36</v>
      </c>
      <c r="E843" s="4" t="s">
        <v>16</v>
      </c>
      <c r="F843" s="4" t="s">
        <v>17</v>
      </c>
      <c r="G843" s="4" t="s">
        <v>18</v>
      </c>
      <c r="H843" s="4" t="s">
        <v>164</v>
      </c>
      <c r="I843" s="5" t="str">
        <f t="shared" si="13"/>
        <v>2025-04</v>
      </c>
      <c r="J843" s="4" t="s">
        <v>118</v>
      </c>
      <c r="K843" s="5" t="s">
        <v>342</v>
      </c>
      <c r="L843" s="2">
        <v>116220</v>
      </c>
      <c r="M843" s="3">
        <v>1</v>
      </c>
      <c r="N843" s="2">
        <v>116220</v>
      </c>
      <c r="O843" s="2">
        <v>11622</v>
      </c>
      <c r="P843" s="2">
        <v>127842</v>
      </c>
      <c r="Q843" s="2">
        <f>P843*8.5%</f>
        <v>10866.570000000002</v>
      </c>
    </row>
    <row r="844" spans="1:17" hidden="1" x14ac:dyDescent="0.4">
      <c r="A844" s="4" t="s">
        <v>23</v>
      </c>
      <c r="B844" s="4" t="s">
        <v>14</v>
      </c>
      <c r="C844" s="31" t="s">
        <v>435</v>
      </c>
      <c r="D844" s="4" t="s">
        <v>24</v>
      </c>
      <c r="E844" s="4" t="s">
        <v>16</v>
      </c>
      <c r="F844" s="4" t="s">
        <v>17</v>
      </c>
      <c r="G844" s="4" t="s">
        <v>18</v>
      </c>
      <c r="H844" s="4" t="s">
        <v>164</v>
      </c>
      <c r="I844" s="5" t="str">
        <f t="shared" si="13"/>
        <v>2025-04</v>
      </c>
      <c r="J844" s="4" t="s">
        <v>118</v>
      </c>
      <c r="K844" s="5" t="s">
        <v>342</v>
      </c>
      <c r="L844" s="2">
        <v>54000</v>
      </c>
      <c r="M844" s="3">
        <v>2</v>
      </c>
      <c r="N844" s="2">
        <v>108000</v>
      </c>
      <c r="O844" s="2">
        <v>10800</v>
      </c>
      <c r="P844" s="2">
        <v>118800</v>
      </c>
      <c r="Q844" s="2">
        <f>P844*8.5%</f>
        <v>10098</v>
      </c>
    </row>
    <row r="845" spans="1:17" hidden="1" x14ac:dyDescent="0.4">
      <c r="A845" s="4" t="s">
        <v>51</v>
      </c>
      <c r="B845" s="4" t="s">
        <v>14</v>
      </c>
      <c r="C845" s="30" t="s">
        <v>434</v>
      </c>
      <c r="D845" s="4" t="s">
        <v>52</v>
      </c>
      <c r="E845" s="4" t="s">
        <v>16</v>
      </c>
      <c r="F845" s="4" t="s">
        <v>17</v>
      </c>
      <c r="G845" s="4" t="s">
        <v>18</v>
      </c>
      <c r="H845" s="4" t="s">
        <v>164</v>
      </c>
      <c r="I845" s="5" t="str">
        <f t="shared" si="13"/>
        <v>2025-04</v>
      </c>
      <c r="J845" s="4" t="s">
        <v>118</v>
      </c>
      <c r="K845" s="5" t="s">
        <v>342</v>
      </c>
      <c r="L845" s="2">
        <v>71250</v>
      </c>
      <c r="M845" s="3">
        <v>1</v>
      </c>
      <c r="N845" s="2">
        <v>71250</v>
      </c>
      <c r="O845" s="2">
        <v>7125</v>
      </c>
      <c r="P845" s="2">
        <v>78375</v>
      </c>
      <c r="Q845" s="2">
        <f>P845*8.5%</f>
        <v>6661.8750000000009</v>
      </c>
    </row>
    <row r="846" spans="1:17" hidden="1" x14ac:dyDescent="0.4">
      <c r="A846" s="4" t="s">
        <v>32</v>
      </c>
      <c r="B846" s="4" t="s">
        <v>14</v>
      </c>
      <c r="C846" s="31" t="s">
        <v>435</v>
      </c>
      <c r="D846" s="4" t="s">
        <v>33</v>
      </c>
      <c r="E846" s="4" t="s">
        <v>16</v>
      </c>
      <c r="F846" s="4" t="s">
        <v>17</v>
      </c>
      <c r="G846" s="4" t="s">
        <v>18</v>
      </c>
      <c r="H846" s="4" t="s">
        <v>164</v>
      </c>
      <c r="I846" s="5" t="str">
        <f t="shared" si="13"/>
        <v>2025-04</v>
      </c>
      <c r="J846" s="4" t="s">
        <v>34</v>
      </c>
      <c r="K846" s="5" t="s">
        <v>342</v>
      </c>
      <c r="L846" s="2">
        <v>44000</v>
      </c>
      <c r="M846" s="3">
        <v>2</v>
      </c>
      <c r="N846" s="2">
        <v>88000</v>
      </c>
      <c r="O846" s="2">
        <v>8800</v>
      </c>
      <c r="P846" s="2">
        <v>96800</v>
      </c>
      <c r="Q846" s="2">
        <f>P846*8.5%</f>
        <v>8228</v>
      </c>
    </row>
    <row r="847" spans="1:17" hidden="1" x14ac:dyDescent="0.4">
      <c r="A847" s="4" t="s">
        <v>58</v>
      </c>
      <c r="B847" s="4" t="s">
        <v>14</v>
      </c>
      <c r="C847" s="30" t="s">
        <v>434</v>
      </c>
      <c r="D847" s="4" t="s">
        <v>36</v>
      </c>
      <c r="E847" s="4" t="s">
        <v>16</v>
      </c>
      <c r="F847" s="4" t="s">
        <v>17</v>
      </c>
      <c r="G847" s="4" t="s">
        <v>18</v>
      </c>
      <c r="H847" s="4" t="s">
        <v>164</v>
      </c>
      <c r="I847" s="5" t="str">
        <f t="shared" si="13"/>
        <v>2025-04</v>
      </c>
      <c r="J847" s="4" t="s">
        <v>34</v>
      </c>
      <c r="K847" s="5" t="s">
        <v>342</v>
      </c>
      <c r="L847" s="2">
        <v>120880</v>
      </c>
      <c r="M847" s="3">
        <v>1</v>
      </c>
      <c r="N847" s="2">
        <v>120880</v>
      </c>
      <c r="O847" s="2">
        <v>12088</v>
      </c>
      <c r="P847" s="2">
        <v>132968</v>
      </c>
      <c r="Q847" s="2">
        <f>P847*8.5%</f>
        <v>11302.28</v>
      </c>
    </row>
    <row r="848" spans="1:17" hidden="1" x14ac:dyDescent="0.4">
      <c r="A848" s="4" t="s">
        <v>13</v>
      </c>
      <c r="B848" s="4" t="s">
        <v>14</v>
      </c>
      <c r="C848" s="30" t="s">
        <v>434</v>
      </c>
      <c r="D848" s="4" t="s">
        <v>15</v>
      </c>
      <c r="E848" s="4" t="s">
        <v>16</v>
      </c>
      <c r="F848" s="4" t="s">
        <v>17</v>
      </c>
      <c r="G848" s="4" t="s">
        <v>18</v>
      </c>
      <c r="H848" s="4" t="s">
        <v>164</v>
      </c>
      <c r="I848" s="5" t="str">
        <f t="shared" si="13"/>
        <v>2025-04</v>
      </c>
      <c r="J848" s="4" t="s">
        <v>34</v>
      </c>
      <c r="K848" s="5" t="s">
        <v>342</v>
      </c>
      <c r="L848" s="2">
        <v>42000</v>
      </c>
      <c r="M848" s="3">
        <v>6</v>
      </c>
      <c r="N848" s="2">
        <v>252000</v>
      </c>
      <c r="O848" s="2">
        <v>25200</v>
      </c>
      <c r="P848" s="2">
        <v>277200</v>
      </c>
      <c r="Q848" s="2">
        <f>P848*8.5%</f>
        <v>23562</v>
      </c>
    </row>
    <row r="849" spans="1:17" hidden="1" x14ac:dyDescent="0.4">
      <c r="A849" s="4" t="s">
        <v>21</v>
      </c>
      <c r="B849" s="4" t="s">
        <v>14</v>
      </c>
      <c r="C849" s="31" t="s">
        <v>435</v>
      </c>
      <c r="D849" s="4" t="s">
        <v>22</v>
      </c>
      <c r="E849" s="4" t="s">
        <v>16</v>
      </c>
      <c r="F849" s="4" t="s">
        <v>17</v>
      </c>
      <c r="G849" s="4" t="s">
        <v>18</v>
      </c>
      <c r="H849" s="4" t="s">
        <v>164</v>
      </c>
      <c r="I849" s="5" t="str">
        <f t="shared" si="13"/>
        <v>2025-04</v>
      </c>
      <c r="J849" s="4" t="s">
        <v>34</v>
      </c>
      <c r="K849" s="5" t="s">
        <v>342</v>
      </c>
      <c r="L849" s="2">
        <v>54000</v>
      </c>
      <c r="M849" s="3">
        <v>1</v>
      </c>
      <c r="N849" s="2">
        <v>54000</v>
      </c>
      <c r="O849" s="2">
        <v>5400</v>
      </c>
      <c r="P849" s="2">
        <v>59400</v>
      </c>
      <c r="Q849" s="2">
        <f>P849*8.5%</f>
        <v>5049</v>
      </c>
    </row>
    <row r="850" spans="1:17" hidden="1" x14ac:dyDescent="0.4">
      <c r="A850" s="4" t="s">
        <v>23</v>
      </c>
      <c r="B850" s="4" t="s">
        <v>14</v>
      </c>
      <c r="C850" s="31" t="s">
        <v>435</v>
      </c>
      <c r="D850" s="4" t="s">
        <v>24</v>
      </c>
      <c r="E850" s="4" t="s">
        <v>16</v>
      </c>
      <c r="F850" s="4" t="s">
        <v>17</v>
      </c>
      <c r="G850" s="4" t="s">
        <v>18</v>
      </c>
      <c r="H850" s="4" t="s">
        <v>164</v>
      </c>
      <c r="I850" s="5" t="str">
        <f t="shared" si="13"/>
        <v>2025-04</v>
      </c>
      <c r="J850" s="4" t="s">
        <v>34</v>
      </c>
      <c r="K850" s="5" t="s">
        <v>342</v>
      </c>
      <c r="L850" s="2">
        <v>54000</v>
      </c>
      <c r="M850" s="3">
        <v>2</v>
      </c>
      <c r="N850" s="2">
        <v>108000</v>
      </c>
      <c r="O850" s="2">
        <v>10800</v>
      </c>
      <c r="P850" s="2">
        <v>118800</v>
      </c>
      <c r="Q850" s="2">
        <f>P850*8.5%</f>
        <v>10098</v>
      </c>
    </row>
    <row r="851" spans="1:17" hidden="1" x14ac:dyDescent="0.4">
      <c r="A851" s="4" t="s">
        <v>51</v>
      </c>
      <c r="B851" s="4" t="s">
        <v>14</v>
      </c>
      <c r="C851" s="30" t="s">
        <v>434</v>
      </c>
      <c r="D851" s="4" t="s">
        <v>52</v>
      </c>
      <c r="E851" s="4" t="s">
        <v>16</v>
      </c>
      <c r="F851" s="4" t="s">
        <v>17</v>
      </c>
      <c r="G851" s="4" t="s">
        <v>18</v>
      </c>
      <c r="H851" s="4" t="s">
        <v>164</v>
      </c>
      <c r="I851" s="5" t="str">
        <f t="shared" si="13"/>
        <v>2025-04</v>
      </c>
      <c r="J851" s="4" t="s">
        <v>34</v>
      </c>
      <c r="K851" s="5" t="s">
        <v>342</v>
      </c>
      <c r="L851" s="2">
        <v>71250</v>
      </c>
      <c r="M851" s="3">
        <v>1</v>
      </c>
      <c r="N851" s="2">
        <v>71250</v>
      </c>
      <c r="O851" s="2">
        <v>7125</v>
      </c>
      <c r="P851" s="2">
        <v>78375</v>
      </c>
      <c r="Q851" s="2">
        <f>P851*8.5%</f>
        <v>6661.8750000000009</v>
      </c>
    </row>
    <row r="852" spans="1:17" hidden="1" x14ac:dyDescent="0.4">
      <c r="A852" s="4" t="s">
        <v>42</v>
      </c>
      <c r="B852" s="4" t="s">
        <v>14</v>
      </c>
      <c r="C852" s="30" t="s">
        <v>434</v>
      </c>
      <c r="D852" s="4" t="s">
        <v>43</v>
      </c>
      <c r="E852" s="4" t="s">
        <v>44</v>
      </c>
      <c r="F852" s="4" t="s">
        <v>31</v>
      </c>
      <c r="G852" s="4" t="s">
        <v>18</v>
      </c>
      <c r="H852" s="4" t="s">
        <v>164</v>
      </c>
      <c r="I852" s="5" t="str">
        <f t="shared" si="13"/>
        <v>2025-04</v>
      </c>
      <c r="J852" s="4" t="s">
        <v>34</v>
      </c>
      <c r="K852" s="5" t="s">
        <v>342</v>
      </c>
      <c r="L852" s="2">
        <v>6800</v>
      </c>
      <c r="M852" s="3">
        <v>82.7</v>
      </c>
      <c r="N852" s="2">
        <v>562360</v>
      </c>
      <c r="O852" s="2">
        <v>0</v>
      </c>
      <c r="P852" s="2">
        <v>562360</v>
      </c>
      <c r="Q852" s="2">
        <f>P852*8.5%</f>
        <v>47800.600000000006</v>
      </c>
    </row>
    <row r="853" spans="1:17" hidden="1" x14ac:dyDescent="0.4">
      <c r="A853" s="4" t="s">
        <v>32</v>
      </c>
      <c r="B853" s="4" t="s">
        <v>14</v>
      </c>
      <c r="C853" s="31" t="s">
        <v>435</v>
      </c>
      <c r="D853" s="4" t="s">
        <v>33</v>
      </c>
      <c r="E853" s="4" t="s">
        <v>16</v>
      </c>
      <c r="F853" s="4" t="s">
        <v>17</v>
      </c>
      <c r="G853" s="4" t="s">
        <v>18</v>
      </c>
      <c r="H853" s="4" t="s">
        <v>164</v>
      </c>
      <c r="I853" s="5" t="str">
        <f t="shared" si="13"/>
        <v>2025-04</v>
      </c>
      <c r="J853" s="4" t="s">
        <v>49</v>
      </c>
      <c r="K853" s="5" t="s">
        <v>343</v>
      </c>
      <c r="L853" s="2">
        <v>44000</v>
      </c>
      <c r="M853" s="3">
        <v>4</v>
      </c>
      <c r="N853" s="2">
        <v>176000</v>
      </c>
      <c r="O853" s="2">
        <v>17600</v>
      </c>
      <c r="P853" s="2">
        <v>193600</v>
      </c>
      <c r="Q853" s="2">
        <f>P853*12%</f>
        <v>23232</v>
      </c>
    </row>
    <row r="854" spans="1:17" hidden="1" x14ac:dyDescent="0.4">
      <c r="A854" s="4" t="s">
        <v>13</v>
      </c>
      <c r="B854" s="4" t="s">
        <v>14</v>
      </c>
      <c r="C854" s="30" t="s">
        <v>434</v>
      </c>
      <c r="D854" s="4" t="s">
        <v>15</v>
      </c>
      <c r="E854" s="4" t="s">
        <v>16</v>
      </c>
      <c r="F854" s="4" t="s">
        <v>17</v>
      </c>
      <c r="G854" s="4" t="s">
        <v>18</v>
      </c>
      <c r="H854" s="4" t="s">
        <v>164</v>
      </c>
      <c r="I854" s="5" t="str">
        <f t="shared" si="13"/>
        <v>2025-04</v>
      </c>
      <c r="J854" s="4" t="s">
        <v>49</v>
      </c>
      <c r="K854" s="5" t="s">
        <v>343</v>
      </c>
      <c r="L854" s="2">
        <v>42000</v>
      </c>
      <c r="M854" s="3">
        <v>9</v>
      </c>
      <c r="N854" s="2">
        <v>378000</v>
      </c>
      <c r="O854" s="2">
        <v>37800</v>
      </c>
      <c r="P854" s="2">
        <v>415800</v>
      </c>
      <c r="Q854" s="2">
        <f>P854*12%</f>
        <v>49896</v>
      </c>
    </row>
    <row r="855" spans="1:17" hidden="1" x14ac:dyDescent="0.4">
      <c r="A855" s="4" t="s">
        <v>35</v>
      </c>
      <c r="B855" s="4" t="s">
        <v>14</v>
      </c>
      <c r="C855" s="30" t="s">
        <v>434</v>
      </c>
      <c r="D855" s="4" t="s">
        <v>36</v>
      </c>
      <c r="E855" s="4" t="s">
        <v>16</v>
      </c>
      <c r="F855" s="4" t="s">
        <v>17</v>
      </c>
      <c r="G855" s="4" t="s">
        <v>18</v>
      </c>
      <c r="H855" s="4" t="s">
        <v>164</v>
      </c>
      <c r="I855" s="5" t="str">
        <f t="shared" si="13"/>
        <v>2025-04</v>
      </c>
      <c r="J855" s="4" t="s">
        <v>49</v>
      </c>
      <c r="K855" s="5" t="s">
        <v>343</v>
      </c>
      <c r="L855" s="2">
        <v>116220</v>
      </c>
      <c r="M855" s="3">
        <v>1</v>
      </c>
      <c r="N855" s="2">
        <v>116220</v>
      </c>
      <c r="O855" s="2">
        <v>11622</v>
      </c>
      <c r="P855" s="2">
        <v>127842</v>
      </c>
      <c r="Q855" s="2">
        <f>P855*12%</f>
        <v>15341.039999999999</v>
      </c>
    </row>
    <row r="856" spans="1:17" hidden="1" x14ac:dyDescent="0.4">
      <c r="A856" s="4" t="s">
        <v>23</v>
      </c>
      <c r="B856" s="4" t="s">
        <v>14</v>
      </c>
      <c r="C856" s="31" t="s">
        <v>435</v>
      </c>
      <c r="D856" s="4" t="s">
        <v>24</v>
      </c>
      <c r="E856" s="4" t="s">
        <v>16</v>
      </c>
      <c r="F856" s="4" t="s">
        <v>17</v>
      </c>
      <c r="G856" s="4" t="s">
        <v>18</v>
      </c>
      <c r="H856" s="4" t="s">
        <v>164</v>
      </c>
      <c r="I856" s="5" t="str">
        <f t="shared" si="13"/>
        <v>2025-04</v>
      </c>
      <c r="J856" s="4" t="s">
        <v>49</v>
      </c>
      <c r="K856" s="5" t="s">
        <v>343</v>
      </c>
      <c r="L856" s="2">
        <v>54000</v>
      </c>
      <c r="M856" s="3">
        <v>5</v>
      </c>
      <c r="N856" s="2">
        <v>270000</v>
      </c>
      <c r="O856" s="2">
        <v>27000</v>
      </c>
      <c r="P856" s="2">
        <v>297000</v>
      </c>
      <c r="Q856" s="2">
        <f>P856*12%</f>
        <v>35640</v>
      </c>
    </row>
    <row r="857" spans="1:17" x14ac:dyDescent="0.4">
      <c r="A857" s="4" t="s">
        <v>13</v>
      </c>
      <c r="B857" s="4" t="s">
        <v>14</v>
      </c>
      <c r="C857" s="30" t="s">
        <v>434</v>
      </c>
      <c r="D857" s="4" t="s">
        <v>15</v>
      </c>
      <c r="E857" s="4" t="s">
        <v>16</v>
      </c>
      <c r="F857" s="4" t="s">
        <v>17</v>
      </c>
      <c r="G857" s="4" t="s">
        <v>18</v>
      </c>
      <c r="H857" s="4" t="s">
        <v>165</v>
      </c>
      <c r="I857" s="5" t="str">
        <f t="shared" si="13"/>
        <v>2025-04</v>
      </c>
      <c r="J857" s="4" t="s">
        <v>20</v>
      </c>
      <c r="K857" s="5" t="s">
        <v>342</v>
      </c>
      <c r="L857" s="2">
        <v>42000</v>
      </c>
      <c r="M857" s="3">
        <v>2</v>
      </c>
      <c r="N857" s="2">
        <v>84000</v>
      </c>
      <c r="O857" s="2">
        <v>8400</v>
      </c>
      <c r="P857" s="2">
        <v>92400</v>
      </c>
      <c r="Q857" s="2">
        <f>P857*8.5%</f>
        <v>7854.0000000000009</v>
      </c>
    </row>
    <row r="858" spans="1:17" x14ac:dyDescent="0.4">
      <c r="A858" s="4" t="s">
        <v>21</v>
      </c>
      <c r="B858" s="4" t="s">
        <v>14</v>
      </c>
      <c r="C858" s="31" t="s">
        <v>435</v>
      </c>
      <c r="D858" s="4" t="s">
        <v>22</v>
      </c>
      <c r="E858" s="4" t="s">
        <v>16</v>
      </c>
      <c r="F858" s="4" t="s">
        <v>17</v>
      </c>
      <c r="G858" s="4" t="s">
        <v>18</v>
      </c>
      <c r="H858" s="4" t="s">
        <v>165</v>
      </c>
      <c r="I858" s="5" t="str">
        <f t="shared" si="13"/>
        <v>2025-04</v>
      </c>
      <c r="J858" s="4" t="s">
        <v>20</v>
      </c>
      <c r="K858" s="5" t="s">
        <v>342</v>
      </c>
      <c r="L858" s="2">
        <v>54000</v>
      </c>
      <c r="M858" s="3">
        <v>1</v>
      </c>
      <c r="N858" s="2">
        <v>54000</v>
      </c>
      <c r="O858" s="2">
        <v>5400</v>
      </c>
      <c r="P858" s="2">
        <v>59400</v>
      </c>
      <c r="Q858" s="2">
        <f>P858*8.5%</f>
        <v>5049</v>
      </c>
    </row>
    <row r="859" spans="1:17" x14ac:dyDescent="0.4">
      <c r="A859" s="4" t="s">
        <v>23</v>
      </c>
      <c r="B859" s="4" t="s">
        <v>14</v>
      </c>
      <c r="C859" s="31" t="s">
        <v>435</v>
      </c>
      <c r="D859" s="4" t="s">
        <v>24</v>
      </c>
      <c r="E859" s="4" t="s">
        <v>16</v>
      </c>
      <c r="F859" s="4" t="s">
        <v>17</v>
      </c>
      <c r="G859" s="4" t="s">
        <v>18</v>
      </c>
      <c r="H859" s="4" t="s">
        <v>165</v>
      </c>
      <c r="I859" s="5" t="str">
        <f t="shared" si="13"/>
        <v>2025-04</v>
      </c>
      <c r="J859" s="4" t="s">
        <v>20</v>
      </c>
      <c r="K859" s="5" t="s">
        <v>342</v>
      </c>
      <c r="L859" s="2">
        <v>54000</v>
      </c>
      <c r="M859" s="3">
        <v>3</v>
      </c>
      <c r="N859" s="2">
        <v>162000</v>
      </c>
      <c r="O859" s="2">
        <v>16200</v>
      </c>
      <c r="P859" s="2">
        <v>178200</v>
      </c>
      <c r="Q859" s="2">
        <f>P859*8.5%</f>
        <v>15147.000000000002</v>
      </c>
    </row>
    <row r="860" spans="1:17" x14ac:dyDescent="0.4">
      <c r="A860" s="4" t="s">
        <v>76</v>
      </c>
      <c r="B860" s="4" t="s">
        <v>65</v>
      </c>
      <c r="C860" s="32" t="s">
        <v>436</v>
      </c>
      <c r="D860" s="4" t="s">
        <v>27</v>
      </c>
      <c r="E860" s="4" t="s">
        <v>28</v>
      </c>
      <c r="F860" s="4" t="s">
        <v>17</v>
      </c>
      <c r="G860" s="4" t="s">
        <v>18</v>
      </c>
      <c r="H860" s="4" t="s">
        <v>165</v>
      </c>
      <c r="I860" s="5" t="str">
        <f t="shared" si="13"/>
        <v>2025-04</v>
      </c>
      <c r="J860" s="4" t="s">
        <v>20</v>
      </c>
      <c r="K860" s="5" t="s">
        <v>342</v>
      </c>
      <c r="L860" s="2">
        <v>17338</v>
      </c>
      <c r="M860" s="3">
        <v>1</v>
      </c>
      <c r="N860" s="2">
        <v>17338</v>
      </c>
      <c r="O860" s="2">
        <v>1734</v>
      </c>
      <c r="P860" s="2">
        <v>19072</v>
      </c>
      <c r="Q860" s="2">
        <f>P860*8.5%</f>
        <v>1621.1200000000001</v>
      </c>
    </row>
    <row r="861" spans="1:17" x14ac:dyDescent="0.4">
      <c r="A861" s="4" t="s">
        <v>25</v>
      </c>
      <c r="B861" s="4" t="s">
        <v>26</v>
      </c>
      <c r="C861" s="32" t="s">
        <v>436</v>
      </c>
      <c r="D861" s="4" t="s">
        <v>27</v>
      </c>
      <c r="E861" s="4" t="s">
        <v>28</v>
      </c>
      <c r="F861" s="4" t="s">
        <v>17</v>
      </c>
      <c r="G861" s="4" t="s">
        <v>18</v>
      </c>
      <c r="H861" s="4" t="s">
        <v>165</v>
      </c>
      <c r="I861" s="5" t="str">
        <f t="shared" si="13"/>
        <v>2025-04</v>
      </c>
      <c r="J861" s="4" t="s">
        <v>20</v>
      </c>
      <c r="K861" s="5" t="s">
        <v>342</v>
      </c>
      <c r="L861" s="2">
        <v>2631</v>
      </c>
      <c r="M861" s="3">
        <v>1</v>
      </c>
      <c r="N861" s="2">
        <v>2631</v>
      </c>
      <c r="O861" s="2">
        <v>263</v>
      </c>
      <c r="P861" s="2">
        <v>2894</v>
      </c>
      <c r="Q861" s="2">
        <f>P861*8.5%</f>
        <v>245.99</v>
      </c>
    </row>
    <row r="862" spans="1:17" x14ac:dyDescent="0.4">
      <c r="A862" s="4" t="s">
        <v>29</v>
      </c>
      <c r="B862" s="4" t="s">
        <v>26</v>
      </c>
      <c r="C862" s="32" t="s">
        <v>436</v>
      </c>
      <c r="D862" s="4" t="s">
        <v>30</v>
      </c>
      <c r="E862" s="4" t="s">
        <v>28</v>
      </c>
      <c r="F862" s="4" t="s">
        <v>31</v>
      </c>
      <c r="G862" s="4" t="s">
        <v>18</v>
      </c>
      <c r="H862" s="4" t="s">
        <v>165</v>
      </c>
      <c r="I862" s="5" t="str">
        <f t="shared" si="13"/>
        <v>2025-04</v>
      </c>
      <c r="J862" s="4" t="s">
        <v>20</v>
      </c>
      <c r="K862" s="5" t="s">
        <v>342</v>
      </c>
      <c r="L862" s="2">
        <v>3719</v>
      </c>
      <c r="M862" s="3">
        <v>1</v>
      </c>
      <c r="N862" s="2">
        <v>3719</v>
      </c>
      <c r="O862" s="2">
        <v>0</v>
      </c>
      <c r="P862" s="2">
        <v>3719</v>
      </c>
      <c r="Q862" s="2">
        <f>P862*8.5%</f>
        <v>316.11500000000001</v>
      </c>
    </row>
    <row r="863" spans="1:17" x14ac:dyDescent="0.4">
      <c r="A863" s="4" t="s">
        <v>56</v>
      </c>
      <c r="B863" s="4" t="s">
        <v>26</v>
      </c>
      <c r="C863" s="32" t="s">
        <v>436</v>
      </c>
      <c r="D863" s="4" t="s">
        <v>57</v>
      </c>
      <c r="E863" s="4" t="s">
        <v>44</v>
      </c>
      <c r="F863" s="4" t="s">
        <v>31</v>
      </c>
      <c r="G863" s="4" t="s">
        <v>18</v>
      </c>
      <c r="H863" s="4" t="s">
        <v>165</v>
      </c>
      <c r="I863" s="5" t="str">
        <f t="shared" si="13"/>
        <v>2025-04</v>
      </c>
      <c r="J863" s="4" t="s">
        <v>20</v>
      </c>
      <c r="K863" s="5" t="s">
        <v>342</v>
      </c>
      <c r="L863" s="2">
        <v>3240</v>
      </c>
      <c r="M863" s="3">
        <v>15</v>
      </c>
      <c r="N863" s="2">
        <v>48600</v>
      </c>
      <c r="O863" s="2">
        <v>0</v>
      </c>
      <c r="P863" s="2">
        <v>48600</v>
      </c>
      <c r="Q863" s="2">
        <f>P863*8.5%</f>
        <v>4131</v>
      </c>
    </row>
    <row r="864" spans="1:17" hidden="1" x14ac:dyDescent="0.4">
      <c r="A864" s="4" t="s">
        <v>32</v>
      </c>
      <c r="B864" s="4" t="s">
        <v>14</v>
      </c>
      <c r="C864" s="31" t="s">
        <v>435</v>
      </c>
      <c r="D864" s="4" t="s">
        <v>33</v>
      </c>
      <c r="E864" s="4" t="s">
        <v>16</v>
      </c>
      <c r="F864" s="4" t="s">
        <v>17</v>
      </c>
      <c r="G864" s="4" t="s">
        <v>18</v>
      </c>
      <c r="H864" s="4" t="s">
        <v>165</v>
      </c>
      <c r="I864" s="5" t="str">
        <f t="shared" si="13"/>
        <v>2025-04</v>
      </c>
      <c r="J864" s="4" t="s">
        <v>118</v>
      </c>
      <c r="K864" s="5" t="s">
        <v>342</v>
      </c>
      <c r="L864" s="2">
        <v>44000</v>
      </c>
      <c r="M864" s="3">
        <v>1</v>
      </c>
      <c r="N864" s="2">
        <v>44000</v>
      </c>
      <c r="O864" s="2">
        <v>4400</v>
      </c>
      <c r="P864" s="2">
        <v>48400</v>
      </c>
      <c r="Q864" s="2">
        <f>P864*8.5%</f>
        <v>4114</v>
      </c>
    </row>
    <row r="865" spans="1:17" hidden="1" x14ac:dyDescent="0.4">
      <c r="A865" s="4" t="s">
        <v>13</v>
      </c>
      <c r="B865" s="4" t="s">
        <v>14</v>
      </c>
      <c r="C865" s="30" t="s">
        <v>434</v>
      </c>
      <c r="D865" s="4" t="s">
        <v>15</v>
      </c>
      <c r="E865" s="4" t="s">
        <v>16</v>
      </c>
      <c r="F865" s="4" t="s">
        <v>17</v>
      </c>
      <c r="G865" s="4" t="s">
        <v>18</v>
      </c>
      <c r="H865" s="4" t="s">
        <v>165</v>
      </c>
      <c r="I865" s="5" t="str">
        <f t="shared" si="13"/>
        <v>2025-04</v>
      </c>
      <c r="J865" s="4" t="s">
        <v>118</v>
      </c>
      <c r="K865" s="5" t="s">
        <v>342</v>
      </c>
      <c r="L865" s="2">
        <v>42000</v>
      </c>
      <c r="M865" s="3">
        <v>3</v>
      </c>
      <c r="N865" s="2">
        <v>126000</v>
      </c>
      <c r="O865" s="2">
        <v>12600</v>
      </c>
      <c r="P865" s="2">
        <v>138600</v>
      </c>
      <c r="Q865" s="2">
        <f>P865*8.5%</f>
        <v>11781</v>
      </c>
    </row>
    <row r="866" spans="1:17" hidden="1" x14ac:dyDescent="0.4">
      <c r="A866" s="4" t="s">
        <v>32</v>
      </c>
      <c r="B866" s="4" t="s">
        <v>14</v>
      </c>
      <c r="C866" s="31" t="s">
        <v>435</v>
      </c>
      <c r="D866" s="4" t="s">
        <v>33</v>
      </c>
      <c r="E866" s="4" t="s">
        <v>16</v>
      </c>
      <c r="F866" s="4" t="s">
        <v>17</v>
      </c>
      <c r="G866" s="4" t="s">
        <v>18</v>
      </c>
      <c r="H866" s="4" t="s">
        <v>165</v>
      </c>
      <c r="I866" s="5" t="str">
        <f t="shared" si="13"/>
        <v>2025-04</v>
      </c>
      <c r="J866" s="4" t="s">
        <v>34</v>
      </c>
      <c r="K866" s="5" t="s">
        <v>342</v>
      </c>
      <c r="L866" s="2">
        <v>44000</v>
      </c>
      <c r="M866" s="3">
        <v>3</v>
      </c>
      <c r="N866" s="2">
        <v>132000</v>
      </c>
      <c r="O866" s="2">
        <v>13200</v>
      </c>
      <c r="P866" s="2">
        <v>145200</v>
      </c>
      <c r="Q866" s="2">
        <f>P866*8.5%</f>
        <v>12342</v>
      </c>
    </row>
    <row r="867" spans="1:17" hidden="1" x14ac:dyDescent="0.4">
      <c r="A867" s="4" t="s">
        <v>58</v>
      </c>
      <c r="B867" s="4" t="s">
        <v>14</v>
      </c>
      <c r="C867" s="30" t="s">
        <v>434</v>
      </c>
      <c r="D867" s="4" t="s">
        <v>36</v>
      </c>
      <c r="E867" s="4" t="s">
        <v>16</v>
      </c>
      <c r="F867" s="4" t="s">
        <v>17</v>
      </c>
      <c r="G867" s="4" t="s">
        <v>18</v>
      </c>
      <c r="H867" s="4" t="s">
        <v>165</v>
      </c>
      <c r="I867" s="5" t="str">
        <f t="shared" si="13"/>
        <v>2025-04</v>
      </c>
      <c r="J867" s="4" t="s">
        <v>34</v>
      </c>
      <c r="K867" s="5" t="s">
        <v>342</v>
      </c>
      <c r="L867" s="2">
        <v>120880</v>
      </c>
      <c r="M867" s="3">
        <v>1</v>
      </c>
      <c r="N867" s="2">
        <v>120880</v>
      </c>
      <c r="O867" s="2">
        <v>12088</v>
      </c>
      <c r="P867" s="2">
        <v>132968</v>
      </c>
      <c r="Q867" s="2">
        <f>P867*8.5%</f>
        <v>11302.28</v>
      </c>
    </row>
    <row r="868" spans="1:17" hidden="1" x14ac:dyDescent="0.4">
      <c r="A868" s="4" t="s">
        <v>13</v>
      </c>
      <c r="B868" s="4" t="s">
        <v>14</v>
      </c>
      <c r="C868" s="30" t="s">
        <v>434</v>
      </c>
      <c r="D868" s="4" t="s">
        <v>15</v>
      </c>
      <c r="E868" s="4" t="s">
        <v>16</v>
      </c>
      <c r="F868" s="4" t="s">
        <v>17</v>
      </c>
      <c r="G868" s="4" t="s">
        <v>18</v>
      </c>
      <c r="H868" s="4" t="s">
        <v>165</v>
      </c>
      <c r="I868" s="5" t="str">
        <f t="shared" si="13"/>
        <v>2025-04</v>
      </c>
      <c r="J868" s="4" t="s">
        <v>34</v>
      </c>
      <c r="K868" s="5" t="s">
        <v>342</v>
      </c>
      <c r="L868" s="2">
        <v>42000</v>
      </c>
      <c r="M868" s="3">
        <v>2</v>
      </c>
      <c r="N868" s="2">
        <v>84000</v>
      </c>
      <c r="O868" s="2">
        <v>8400</v>
      </c>
      <c r="P868" s="2">
        <v>92400</v>
      </c>
      <c r="Q868" s="2">
        <f>P868*8.5%</f>
        <v>7854.0000000000009</v>
      </c>
    </row>
    <row r="869" spans="1:17" hidden="1" x14ac:dyDescent="0.4">
      <c r="A869" s="4" t="s">
        <v>21</v>
      </c>
      <c r="B869" s="4" t="s">
        <v>14</v>
      </c>
      <c r="C869" s="31" t="s">
        <v>435</v>
      </c>
      <c r="D869" s="4" t="s">
        <v>22</v>
      </c>
      <c r="E869" s="4" t="s">
        <v>16</v>
      </c>
      <c r="F869" s="4" t="s">
        <v>17</v>
      </c>
      <c r="G869" s="4" t="s">
        <v>18</v>
      </c>
      <c r="H869" s="4" t="s">
        <v>165</v>
      </c>
      <c r="I869" s="5" t="str">
        <f t="shared" si="13"/>
        <v>2025-04</v>
      </c>
      <c r="J869" s="4" t="s">
        <v>34</v>
      </c>
      <c r="K869" s="5" t="s">
        <v>342</v>
      </c>
      <c r="L869" s="2">
        <v>54000</v>
      </c>
      <c r="M869" s="3">
        <v>2</v>
      </c>
      <c r="N869" s="2">
        <v>108000</v>
      </c>
      <c r="O869" s="2">
        <v>10800</v>
      </c>
      <c r="P869" s="2">
        <v>118800</v>
      </c>
      <c r="Q869" s="2">
        <f>P869*8.5%</f>
        <v>10098</v>
      </c>
    </row>
    <row r="870" spans="1:17" hidden="1" x14ac:dyDescent="0.4">
      <c r="A870" s="4" t="s">
        <v>23</v>
      </c>
      <c r="B870" s="4" t="s">
        <v>14</v>
      </c>
      <c r="C870" s="31" t="s">
        <v>435</v>
      </c>
      <c r="D870" s="4" t="s">
        <v>24</v>
      </c>
      <c r="E870" s="4" t="s">
        <v>16</v>
      </c>
      <c r="F870" s="4" t="s">
        <v>17</v>
      </c>
      <c r="G870" s="4" t="s">
        <v>18</v>
      </c>
      <c r="H870" s="4" t="s">
        <v>165</v>
      </c>
      <c r="I870" s="5" t="str">
        <f t="shared" si="13"/>
        <v>2025-04</v>
      </c>
      <c r="J870" s="4" t="s">
        <v>34</v>
      </c>
      <c r="K870" s="5" t="s">
        <v>342</v>
      </c>
      <c r="L870" s="2">
        <v>54000</v>
      </c>
      <c r="M870" s="3">
        <v>5</v>
      </c>
      <c r="N870" s="2">
        <v>270000</v>
      </c>
      <c r="O870" s="2">
        <v>27000</v>
      </c>
      <c r="P870" s="2">
        <v>297000</v>
      </c>
      <c r="Q870" s="2">
        <f>P870*8.5%</f>
        <v>25245</v>
      </c>
    </row>
    <row r="871" spans="1:17" hidden="1" x14ac:dyDescent="0.4">
      <c r="A871" s="4" t="s">
        <v>51</v>
      </c>
      <c r="B871" s="4" t="s">
        <v>14</v>
      </c>
      <c r="C871" s="30" t="s">
        <v>434</v>
      </c>
      <c r="D871" s="4" t="s">
        <v>52</v>
      </c>
      <c r="E871" s="4" t="s">
        <v>16</v>
      </c>
      <c r="F871" s="4" t="s">
        <v>17</v>
      </c>
      <c r="G871" s="4" t="s">
        <v>18</v>
      </c>
      <c r="H871" s="4" t="s">
        <v>165</v>
      </c>
      <c r="I871" s="5" t="str">
        <f t="shared" si="13"/>
        <v>2025-04</v>
      </c>
      <c r="J871" s="4" t="s">
        <v>34</v>
      </c>
      <c r="K871" s="5" t="s">
        <v>342</v>
      </c>
      <c r="L871" s="2">
        <v>71250</v>
      </c>
      <c r="M871" s="3">
        <v>1</v>
      </c>
      <c r="N871" s="2">
        <v>71250</v>
      </c>
      <c r="O871" s="2">
        <v>7125</v>
      </c>
      <c r="P871" s="2">
        <v>78375</v>
      </c>
      <c r="Q871" s="2">
        <f>P871*8.5%</f>
        <v>6661.8750000000009</v>
      </c>
    </row>
    <row r="872" spans="1:17" hidden="1" x14ac:dyDescent="0.4">
      <c r="A872" s="4" t="s">
        <v>37</v>
      </c>
      <c r="B872" s="4" t="s">
        <v>26</v>
      </c>
      <c r="C872" s="32" t="s">
        <v>436</v>
      </c>
      <c r="D872" s="4" t="s">
        <v>38</v>
      </c>
      <c r="E872" s="4" t="s">
        <v>28</v>
      </c>
      <c r="F872" s="4" t="s">
        <v>17</v>
      </c>
      <c r="G872" s="4" t="s">
        <v>18</v>
      </c>
      <c r="H872" s="4" t="s">
        <v>165</v>
      </c>
      <c r="I872" s="5" t="str">
        <f t="shared" si="13"/>
        <v>2025-04</v>
      </c>
      <c r="J872" s="4" t="s">
        <v>34</v>
      </c>
      <c r="K872" s="5" t="s">
        <v>342</v>
      </c>
      <c r="L872" s="2">
        <v>395</v>
      </c>
      <c r="M872" s="3">
        <v>20</v>
      </c>
      <c r="N872" s="2">
        <v>7900</v>
      </c>
      <c r="O872" s="2">
        <v>790</v>
      </c>
      <c r="P872" s="2">
        <v>8690</v>
      </c>
      <c r="Q872" s="2">
        <f>P872*8.5%</f>
        <v>738.65000000000009</v>
      </c>
    </row>
    <row r="873" spans="1:17" hidden="1" x14ac:dyDescent="0.4">
      <c r="A873" s="4" t="s">
        <v>40</v>
      </c>
      <c r="B873" s="4" t="s">
        <v>26</v>
      </c>
      <c r="C873" s="32" t="s">
        <v>436</v>
      </c>
      <c r="D873" s="4" t="s">
        <v>41</v>
      </c>
      <c r="E873" s="4" t="s">
        <v>28</v>
      </c>
      <c r="F873" s="4" t="s">
        <v>17</v>
      </c>
      <c r="G873" s="4" t="s">
        <v>18</v>
      </c>
      <c r="H873" s="4" t="s">
        <v>165</v>
      </c>
      <c r="I873" s="5" t="str">
        <f t="shared" si="13"/>
        <v>2025-04</v>
      </c>
      <c r="J873" s="4" t="s">
        <v>34</v>
      </c>
      <c r="K873" s="5" t="s">
        <v>342</v>
      </c>
      <c r="L873" s="2">
        <v>17936</v>
      </c>
      <c r="M873" s="3">
        <v>2</v>
      </c>
      <c r="N873" s="2">
        <v>35872</v>
      </c>
      <c r="O873" s="2">
        <v>3587</v>
      </c>
      <c r="P873" s="2">
        <v>39459</v>
      </c>
      <c r="Q873" s="2">
        <f>P873*8.5%</f>
        <v>3354.0150000000003</v>
      </c>
    </row>
    <row r="874" spans="1:17" hidden="1" x14ac:dyDescent="0.4">
      <c r="A874" s="4" t="s">
        <v>42</v>
      </c>
      <c r="B874" s="4" t="s">
        <v>14</v>
      </c>
      <c r="C874" s="30" t="s">
        <v>434</v>
      </c>
      <c r="D874" s="4" t="s">
        <v>43</v>
      </c>
      <c r="E874" s="4" t="s">
        <v>44</v>
      </c>
      <c r="F874" s="4" t="s">
        <v>31</v>
      </c>
      <c r="G874" s="4" t="s">
        <v>18</v>
      </c>
      <c r="H874" s="4" t="s">
        <v>165</v>
      </c>
      <c r="I874" s="5" t="str">
        <f t="shared" si="13"/>
        <v>2025-04</v>
      </c>
      <c r="J874" s="4" t="s">
        <v>34</v>
      </c>
      <c r="K874" s="5" t="s">
        <v>342</v>
      </c>
      <c r="L874" s="2">
        <v>6800</v>
      </c>
      <c r="M874" s="3">
        <v>48</v>
      </c>
      <c r="N874" s="2">
        <v>326400</v>
      </c>
      <c r="O874" s="2">
        <v>0</v>
      </c>
      <c r="P874" s="2">
        <v>326400</v>
      </c>
      <c r="Q874" s="2">
        <f>P874*8.5%</f>
        <v>27744.000000000004</v>
      </c>
    </row>
    <row r="875" spans="1:17" hidden="1" x14ac:dyDescent="0.4">
      <c r="A875" s="4" t="s">
        <v>13</v>
      </c>
      <c r="B875" s="4" t="s">
        <v>14</v>
      </c>
      <c r="C875" s="30" t="s">
        <v>434</v>
      </c>
      <c r="D875" s="4" t="s">
        <v>15</v>
      </c>
      <c r="E875" s="4" t="s">
        <v>16</v>
      </c>
      <c r="F875" s="4" t="s">
        <v>17</v>
      </c>
      <c r="G875" s="4" t="s">
        <v>18</v>
      </c>
      <c r="H875" s="4" t="s">
        <v>165</v>
      </c>
      <c r="I875" s="5" t="str">
        <f t="shared" si="13"/>
        <v>2025-04</v>
      </c>
      <c r="J875" s="4" t="s">
        <v>59</v>
      </c>
      <c r="K875" s="5" t="s">
        <v>343</v>
      </c>
      <c r="L875" s="2">
        <v>42000</v>
      </c>
      <c r="M875" s="3">
        <v>6</v>
      </c>
      <c r="N875" s="2">
        <v>252000</v>
      </c>
      <c r="O875" s="2">
        <v>25200</v>
      </c>
      <c r="P875" s="2">
        <v>277200</v>
      </c>
      <c r="Q875" s="2">
        <f>P875*12%</f>
        <v>33264</v>
      </c>
    </row>
    <row r="876" spans="1:17" hidden="1" x14ac:dyDescent="0.4">
      <c r="A876" s="4" t="s">
        <v>35</v>
      </c>
      <c r="B876" s="4" t="s">
        <v>14</v>
      </c>
      <c r="C876" s="30" t="s">
        <v>434</v>
      </c>
      <c r="D876" s="4" t="s">
        <v>36</v>
      </c>
      <c r="E876" s="4" t="s">
        <v>16</v>
      </c>
      <c r="F876" s="4" t="s">
        <v>17</v>
      </c>
      <c r="G876" s="4" t="s">
        <v>18</v>
      </c>
      <c r="H876" s="4" t="s">
        <v>165</v>
      </c>
      <c r="I876" s="5" t="str">
        <f t="shared" si="13"/>
        <v>2025-04</v>
      </c>
      <c r="J876" s="4" t="s">
        <v>59</v>
      </c>
      <c r="K876" s="5" t="s">
        <v>343</v>
      </c>
      <c r="L876" s="2">
        <v>116220</v>
      </c>
      <c r="M876" s="3">
        <v>1</v>
      </c>
      <c r="N876" s="2">
        <v>116220</v>
      </c>
      <c r="O876" s="2">
        <v>11622</v>
      </c>
      <c r="P876" s="2">
        <v>127842</v>
      </c>
      <c r="Q876" s="2">
        <f>P876*12%</f>
        <v>15341.039999999999</v>
      </c>
    </row>
    <row r="877" spans="1:17" hidden="1" x14ac:dyDescent="0.4">
      <c r="A877" s="4" t="s">
        <v>23</v>
      </c>
      <c r="B877" s="4" t="s">
        <v>14</v>
      </c>
      <c r="C877" s="31" t="s">
        <v>435</v>
      </c>
      <c r="D877" s="4" t="s">
        <v>24</v>
      </c>
      <c r="E877" s="4" t="s">
        <v>16</v>
      </c>
      <c r="F877" s="4" t="s">
        <v>17</v>
      </c>
      <c r="G877" s="4" t="s">
        <v>18</v>
      </c>
      <c r="H877" s="4" t="s">
        <v>165</v>
      </c>
      <c r="I877" s="5" t="str">
        <f t="shared" si="13"/>
        <v>2025-04</v>
      </c>
      <c r="J877" s="4" t="s">
        <v>59</v>
      </c>
      <c r="K877" s="5" t="s">
        <v>343</v>
      </c>
      <c r="L877" s="2">
        <v>54000</v>
      </c>
      <c r="M877" s="3">
        <v>2</v>
      </c>
      <c r="N877" s="2">
        <v>108000</v>
      </c>
      <c r="O877" s="2">
        <v>10800</v>
      </c>
      <c r="P877" s="2">
        <v>118800</v>
      </c>
      <c r="Q877" s="2">
        <f>P877*12%</f>
        <v>14256</v>
      </c>
    </row>
    <row r="878" spans="1:17" hidden="1" x14ac:dyDescent="0.4">
      <c r="A878" s="4" t="s">
        <v>51</v>
      </c>
      <c r="B878" s="4" t="s">
        <v>14</v>
      </c>
      <c r="C878" s="30" t="s">
        <v>434</v>
      </c>
      <c r="D878" s="4" t="s">
        <v>52</v>
      </c>
      <c r="E878" s="4" t="s">
        <v>16</v>
      </c>
      <c r="F878" s="4" t="s">
        <v>17</v>
      </c>
      <c r="G878" s="4" t="s">
        <v>18</v>
      </c>
      <c r="H878" s="4" t="s">
        <v>165</v>
      </c>
      <c r="I878" s="5" t="str">
        <f t="shared" si="13"/>
        <v>2025-04</v>
      </c>
      <c r="J878" s="4" t="s">
        <v>59</v>
      </c>
      <c r="K878" s="5" t="s">
        <v>343</v>
      </c>
      <c r="L878" s="2">
        <v>71250</v>
      </c>
      <c r="M878" s="3">
        <v>1</v>
      </c>
      <c r="N878" s="2">
        <v>71250</v>
      </c>
      <c r="O878" s="2">
        <v>7125</v>
      </c>
      <c r="P878" s="2">
        <v>78375</v>
      </c>
      <c r="Q878" s="2">
        <f>P878*12%</f>
        <v>9405</v>
      </c>
    </row>
    <row r="879" spans="1:17" hidden="1" x14ac:dyDescent="0.4">
      <c r="A879" s="4" t="s">
        <v>23</v>
      </c>
      <c r="B879" s="4" t="s">
        <v>14</v>
      </c>
      <c r="C879" s="31" t="s">
        <v>435</v>
      </c>
      <c r="D879" s="4" t="s">
        <v>24</v>
      </c>
      <c r="E879" s="4" t="s">
        <v>16</v>
      </c>
      <c r="F879" s="4" t="s">
        <v>17</v>
      </c>
      <c r="G879" s="4" t="s">
        <v>18</v>
      </c>
      <c r="H879" s="4" t="s">
        <v>165</v>
      </c>
      <c r="I879" s="5" t="str">
        <f t="shared" si="13"/>
        <v>2025-04</v>
      </c>
      <c r="J879" s="4" t="s">
        <v>166</v>
      </c>
      <c r="K879" s="5" t="s">
        <v>342</v>
      </c>
      <c r="L879" s="2">
        <v>54000</v>
      </c>
      <c r="M879" s="3">
        <v>2</v>
      </c>
      <c r="N879" s="2">
        <v>108000</v>
      </c>
      <c r="O879" s="2">
        <v>10800</v>
      </c>
      <c r="P879" s="2">
        <v>118800</v>
      </c>
      <c r="Q879" s="2">
        <f>P879*8.5%</f>
        <v>10098</v>
      </c>
    </row>
    <row r="880" spans="1:17" x14ac:dyDescent="0.4">
      <c r="A880" s="4" t="s">
        <v>13</v>
      </c>
      <c r="B880" s="4" t="s">
        <v>14</v>
      </c>
      <c r="C880" s="30" t="s">
        <v>434</v>
      </c>
      <c r="D880" s="4" t="s">
        <v>15</v>
      </c>
      <c r="E880" s="4" t="s">
        <v>16</v>
      </c>
      <c r="F880" s="4" t="s">
        <v>17</v>
      </c>
      <c r="G880" s="4" t="s">
        <v>18</v>
      </c>
      <c r="H880" s="4" t="s">
        <v>167</v>
      </c>
      <c r="I880" s="5" t="str">
        <f t="shared" si="13"/>
        <v>2025-04</v>
      </c>
      <c r="J880" s="4" t="s">
        <v>20</v>
      </c>
      <c r="K880" s="5" t="s">
        <v>342</v>
      </c>
      <c r="L880" s="2">
        <v>42000</v>
      </c>
      <c r="M880" s="3">
        <v>2</v>
      </c>
      <c r="N880" s="2">
        <v>84000</v>
      </c>
      <c r="O880" s="2">
        <v>8400</v>
      </c>
      <c r="P880" s="2">
        <v>92400</v>
      </c>
      <c r="Q880" s="2">
        <f>P880*8.5%</f>
        <v>7854.0000000000009</v>
      </c>
    </row>
    <row r="881" spans="1:17" x14ac:dyDescent="0.4">
      <c r="A881" s="4" t="s">
        <v>21</v>
      </c>
      <c r="B881" s="4" t="s">
        <v>14</v>
      </c>
      <c r="C881" s="31" t="s">
        <v>435</v>
      </c>
      <c r="D881" s="4" t="s">
        <v>22</v>
      </c>
      <c r="E881" s="4" t="s">
        <v>16</v>
      </c>
      <c r="F881" s="4" t="s">
        <v>17</v>
      </c>
      <c r="G881" s="4" t="s">
        <v>18</v>
      </c>
      <c r="H881" s="4" t="s">
        <v>167</v>
      </c>
      <c r="I881" s="5" t="str">
        <f t="shared" si="13"/>
        <v>2025-04</v>
      </c>
      <c r="J881" s="4" t="s">
        <v>20</v>
      </c>
      <c r="K881" s="5" t="s">
        <v>342</v>
      </c>
      <c r="L881" s="2">
        <v>54000</v>
      </c>
      <c r="M881" s="3">
        <v>2</v>
      </c>
      <c r="N881" s="2">
        <v>108000</v>
      </c>
      <c r="O881" s="2">
        <v>10800</v>
      </c>
      <c r="P881" s="2">
        <v>118800</v>
      </c>
      <c r="Q881" s="2">
        <f>P881*8.5%</f>
        <v>10098</v>
      </c>
    </row>
    <row r="882" spans="1:17" x14ac:dyDescent="0.4">
      <c r="A882" s="4" t="s">
        <v>23</v>
      </c>
      <c r="B882" s="4" t="s">
        <v>14</v>
      </c>
      <c r="C882" s="31" t="s">
        <v>435</v>
      </c>
      <c r="D882" s="4" t="s">
        <v>24</v>
      </c>
      <c r="E882" s="4" t="s">
        <v>16</v>
      </c>
      <c r="F882" s="4" t="s">
        <v>17</v>
      </c>
      <c r="G882" s="4" t="s">
        <v>18</v>
      </c>
      <c r="H882" s="4" t="s">
        <v>167</v>
      </c>
      <c r="I882" s="5" t="str">
        <f t="shared" si="13"/>
        <v>2025-04</v>
      </c>
      <c r="J882" s="4" t="s">
        <v>20</v>
      </c>
      <c r="K882" s="5" t="s">
        <v>342</v>
      </c>
      <c r="L882" s="2">
        <v>54000</v>
      </c>
      <c r="M882" s="3">
        <v>2</v>
      </c>
      <c r="N882" s="2">
        <v>108000</v>
      </c>
      <c r="O882" s="2">
        <v>10800</v>
      </c>
      <c r="P882" s="2">
        <v>118800</v>
      </c>
      <c r="Q882" s="2">
        <f>P882*8.5%</f>
        <v>10098</v>
      </c>
    </row>
    <row r="883" spans="1:17" x14ac:dyDescent="0.4">
      <c r="A883" s="4" t="s">
        <v>100</v>
      </c>
      <c r="B883" s="4" t="s">
        <v>26</v>
      </c>
      <c r="C883" s="32" t="s">
        <v>436</v>
      </c>
      <c r="D883" s="4" t="s">
        <v>101</v>
      </c>
      <c r="E883" s="4" t="s">
        <v>28</v>
      </c>
      <c r="F883" s="4" t="s">
        <v>17</v>
      </c>
      <c r="G883" s="4" t="s">
        <v>18</v>
      </c>
      <c r="H883" s="4" t="s">
        <v>167</v>
      </c>
      <c r="I883" s="5" t="str">
        <f t="shared" si="13"/>
        <v>2025-04</v>
      </c>
      <c r="J883" s="4" t="s">
        <v>20</v>
      </c>
      <c r="K883" s="5" t="s">
        <v>342</v>
      </c>
      <c r="L883" s="2">
        <v>5620</v>
      </c>
      <c r="M883" s="3">
        <v>4</v>
      </c>
      <c r="N883" s="2">
        <v>22480</v>
      </c>
      <c r="O883" s="2">
        <v>2248</v>
      </c>
      <c r="P883" s="2">
        <v>24728</v>
      </c>
      <c r="Q883" s="2">
        <f>P883*8.5%</f>
        <v>2101.88</v>
      </c>
    </row>
    <row r="884" spans="1:17" x14ac:dyDescent="0.4">
      <c r="A884" s="4" t="s">
        <v>56</v>
      </c>
      <c r="B884" s="4" t="s">
        <v>26</v>
      </c>
      <c r="C884" s="32" t="s">
        <v>436</v>
      </c>
      <c r="D884" s="4" t="s">
        <v>57</v>
      </c>
      <c r="E884" s="4" t="s">
        <v>44</v>
      </c>
      <c r="F884" s="4" t="s">
        <v>31</v>
      </c>
      <c r="G884" s="4" t="s">
        <v>18</v>
      </c>
      <c r="H884" s="4" t="s">
        <v>167</v>
      </c>
      <c r="I884" s="5" t="str">
        <f t="shared" si="13"/>
        <v>2025-04</v>
      </c>
      <c r="J884" s="4" t="s">
        <v>20</v>
      </c>
      <c r="K884" s="5" t="s">
        <v>342</v>
      </c>
      <c r="L884" s="2">
        <v>3240</v>
      </c>
      <c r="M884" s="3">
        <v>15</v>
      </c>
      <c r="N884" s="2">
        <v>48600</v>
      </c>
      <c r="O884" s="2">
        <v>0</v>
      </c>
      <c r="P884" s="2">
        <v>48600</v>
      </c>
      <c r="Q884" s="2">
        <f>P884*8.5%</f>
        <v>4131</v>
      </c>
    </row>
    <row r="885" spans="1:17" hidden="1" x14ac:dyDescent="0.4">
      <c r="A885" s="4" t="s">
        <v>13</v>
      </c>
      <c r="B885" s="4" t="s">
        <v>14</v>
      </c>
      <c r="C885" s="30" t="s">
        <v>434</v>
      </c>
      <c r="D885" s="4" t="s">
        <v>15</v>
      </c>
      <c r="E885" s="4" t="s">
        <v>16</v>
      </c>
      <c r="F885" s="4" t="s">
        <v>17</v>
      </c>
      <c r="G885" s="4" t="s">
        <v>18</v>
      </c>
      <c r="H885" s="4" t="s">
        <v>167</v>
      </c>
      <c r="I885" s="5" t="str">
        <f t="shared" si="13"/>
        <v>2025-04</v>
      </c>
      <c r="J885" s="4" t="s">
        <v>118</v>
      </c>
      <c r="K885" s="5" t="s">
        <v>342</v>
      </c>
      <c r="L885" s="2">
        <v>42000</v>
      </c>
      <c r="M885" s="3">
        <v>2</v>
      </c>
      <c r="N885" s="2">
        <v>84000</v>
      </c>
      <c r="O885" s="2">
        <v>8400</v>
      </c>
      <c r="P885" s="2">
        <v>92400</v>
      </c>
      <c r="Q885" s="2">
        <f>P885*8.5%</f>
        <v>7854.0000000000009</v>
      </c>
    </row>
    <row r="886" spans="1:17" hidden="1" x14ac:dyDescent="0.4">
      <c r="A886" s="4" t="s">
        <v>23</v>
      </c>
      <c r="B886" s="4" t="s">
        <v>14</v>
      </c>
      <c r="C886" s="31" t="s">
        <v>435</v>
      </c>
      <c r="D886" s="4" t="s">
        <v>24</v>
      </c>
      <c r="E886" s="4" t="s">
        <v>16</v>
      </c>
      <c r="F886" s="4" t="s">
        <v>17</v>
      </c>
      <c r="G886" s="4" t="s">
        <v>18</v>
      </c>
      <c r="H886" s="4" t="s">
        <v>167</v>
      </c>
      <c r="I886" s="5" t="str">
        <f t="shared" si="13"/>
        <v>2025-04</v>
      </c>
      <c r="J886" s="4" t="s">
        <v>118</v>
      </c>
      <c r="K886" s="5" t="s">
        <v>342</v>
      </c>
      <c r="L886" s="2">
        <v>54000</v>
      </c>
      <c r="M886" s="3">
        <v>2</v>
      </c>
      <c r="N886" s="2">
        <v>108000</v>
      </c>
      <c r="O886" s="2">
        <v>10800</v>
      </c>
      <c r="P886" s="2">
        <v>118800</v>
      </c>
      <c r="Q886" s="2">
        <f>P886*8.5%</f>
        <v>10098</v>
      </c>
    </row>
    <row r="887" spans="1:17" hidden="1" x14ac:dyDescent="0.4">
      <c r="A887" s="4" t="s">
        <v>82</v>
      </c>
      <c r="B887" s="4" t="s">
        <v>26</v>
      </c>
      <c r="C887" s="32" t="s">
        <v>436</v>
      </c>
      <c r="D887" s="4" t="s">
        <v>81</v>
      </c>
      <c r="E887" s="4" t="s">
        <v>16</v>
      </c>
      <c r="F887" s="4" t="s">
        <v>17</v>
      </c>
      <c r="G887" s="4" t="s">
        <v>18</v>
      </c>
      <c r="H887" s="4" t="s">
        <v>167</v>
      </c>
      <c r="I887" s="5" t="str">
        <f t="shared" si="13"/>
        <v>2025-04</v>
      </c>
      <c r="J887" s="4" t="s">
        <v>34</v>
      </c>
      <c r="K887" s="5" t="s">
        <v>342</v>
      </c>
      <c r="L887" s="2">
        <v>20925</v>
      </c>
      <c r="M887" s="3">
        <v>1</v>
      </c>
      <c r="N887" s="2">
        <v>20925</v>
      </c>
      <c r="O887" s="2">
        <v>2093</v>
      </c>
      <c r="P887" s="2">
        <v>23018</v>
      </c>
      <c r="Q887" s="2">
        <f>P887*8.5%</f>
        <v>1956.5300000000002</v>
      </c>
    </row>
    <row r="888" spans="1:17" hidden="1" x14ac:dyDescent="0.4">
      <c r="A888" s="4" t="s">
        <v>64</v>
      </c>
      <c r="B888" s="4" t="s">
        <v>65</v>
      </c>
      <c r="C888" s="32" t="s">
        <v>436</v>
      </c>
      <c r="D888" s="4" t="s">
        <v>66</v>
      </c>
      <c r="E888" s="4" t="s">
        <v>16</v>
      </c>
      <c r="F888" s="4" t="s">
        <v>17</v>
      </c>
      <c r="G888" s="4" t="s">
        <v>18</v>
      </c>
      <c r="H888" s="4" t="s">
        <v>167</v>
      </c>
      <c r="I888" s="5" t="str">
        <f t="shared" si="13"/>
        <v>2025-04</v>
      </c>
      <c r="J888" s="4" t="s">
        <v>34</v>
      </c>
      <c r="K888" s="5" t="s">
        <v>342</v>
      </c>
      <c r="L888" s="2">
        <v>10283</v>
      </c>
      <c r="M888" s="3">
        <v>1</v>
      </c>
      <c r="N888" s="2">
        <v>10283</v>
      </c>
      <c r="O888" s="2">
        <v>1028</v>
      </c>
      <c r="P888" s="2">
        <v>11311</v>
      </c>
      <c r="Q888" s="2">
        <f>P888*8.5%</f>
        <v>961.43500000000006</v>
      </c>
    </row>
    <row r="889" spans="1:17" hidden="1" x14ac:dyDescent="0.4">
      <c r="A889" s="4" t="s">
        <v>13</v>
      </c>
      <c r="B889" s="4" t="s">
        <v>14</v>
      </c>
      <c r="C889" s="30" t="s">
        <v>434</v>
      </c>
      <c r="D889" s="4" t="s">
        <v>15</v>
      </c>
      <c r="E889" s="4" t="s">
        <v>16</v>
      </c>
      <c r="F889" s="4" t="s">
        <v>17</v>
      </c>
      <c r="G889" s="4" t="s">
        <v>18</v>
      </c>
      <c r="H889" s="4" t="s">
        <v>167</v>
      </c>
      <c r="I889" s="5" t="str">
        <f t="shared" si="13"/>
        <v>2025-04</v>
      </c>
      <c r="J889" s="4" t="s">
        <v>34</v>
      </c>
      <c r="K889" s="5" t="s">
        <v>342</v>
      </c>
      <c r="L889" s="2">
        <v>42000</v>
      </c>
      <c r="M889" s="3">
        <v>8</v>
      </c>
      <c r="N889" s="2">
        <v>336000</v>
      </c>
      <c r="O889" s="2">
        <v>33600</v>
      </c>
      <c r="P889" s="2">
        <v>369600</v>
      </c>
      <c r="Q889" s="2">
        <f>P889*8.5%</f>
        <v>31416.000000000004</v>
      </c>
    </row>
    <row r="890" spans="1:17" hidden="1" x14ac:dyDescent="0.4">
      <c r="A890" s="4" t="s">
        <v>21</v>
      </c>
      <c r="B890" s="4" t="s">
        <v>14</v>
      </c>
      <c r="C890" s="31" t="s">
        <v>435</v>
      </c>
      <c r="D890" s="4" t="s">
        <v>22</v>
      </c>
      <c r="E890" s="4" t="s">
        <v>16</v>
      </c>
      <c r="F890" s="4" t="s">
        <v>17</v>
      </c>
      <c r="G890" s="4" t="s">
        <v>18</v>
      </c>
      <c r="H890" s="4" t="s">
        <v>167</v>
      </c>
      <c r="I890" s="5" t="str">
        <f t="shared" si="13"/>
        <v>2025-04</v>
      </c>
      <c r="J890" s="4" t="s">
        <v>34</v>
      </c>
      <c r="K890" s="5" t="s">
        <v>342</v>
      </c>
      <c r="L890" s="2">
        <v>54000</v>
      </c>
      <c r="M890" s="3">
        <v>1</v>
      </c>
      <c r="N890" s="2">
        <v>54000</v>
      </c>
      <c r="O890" s="2">
        <v>5400</v>
      </c>
      <c r="P890" s="2">
        <v>59400</v>
      </c>
      <c r="Q890" s="2">
        <f>P890*8.5%</f>
        <v>5049</v>
      </c>
    </row>
    <row r="891" spans="1:17" hidden="1" x14ac:dyDescent="0.4">
      <c r="A891" s="4" t="s">
        <v>35</v>
      </c>
      <c r="B891" s="4" t="s">
        <v>14</v>
      </c>
      <c r="C891" s="30" t="s">
        <v>434</v>
      </c>
      <c r="D891" s="4" t="s">
        <v>36</v>
      </c>
      <c r="E891" s="4" t="s">
        <v>16</v>
      </c>
      <c r="F891" s="4" t="s">
        <v>17</v>
      </c>
      <c r="G891" s="4" t="s">
        <v>18</v>
      </c>
      <c r="H891" s="4" t="s">
        <v>167</v>
      </c>
      <c r="I891" s="5" t="str">
        <f t="shared" si="13"/>
        <v>2025-04</v>
      </c>
      <c r="J891" s="4" t="s">
        <v>34</v>
      </c>
      <c r="K891" s="5" t="s">
        <v>342</v>
      </c>
      <c r="L891" s="2">
        <v>116220</v>
      </c>
      <c r="M891" s="3">
        <v>1</v>
      </c>
      <c r="N891" s="2">
        <v>116220</v>
      </c>
      <c r="O891" s="2">
        <v>11622</v>
      </c>
      <c r="P891" s="2">
        <v>127842</v>
      </c>
      <c r="Q891" s="2">
        <f>P891*8.5%</f>
        <v>10866.570000000002</v>
      </c>
    </row>
    <row r="892" spans="1:17" hidden="1" x14ac:dyDescent="0.4">
      <c r="A892" s="4" t="s">
        <v>23</v>
      </c>
      <c r="B892" s="4" t="s">
        <v>14</v>
      </c>
      <c r="C892" s="31" t="s">
        <v>435</v>
      </c>
      <c r="D892" s="4" t="s">
        <v>24</v>
      </c>
      <c r="E892" s="4" t="s">
        <v>16</v>
      </c>
      <c r="F892" s="4" t="s">
        <v>17</v>
      </c>
      <c r="G892" s="4" t="s">
        <v>18</v>
      </c>
      <c r="H892" s="4" t="s">
        <v>167</v>
      </c>
      <c r="I892" s="5" t="str">
        <f t="shared" si="13"/>
        <v>2025-04</v>
      </c>
      <c r="J892" s="4" t="s">
        <v>34</v>
      </c>
      <c r="K892" s="5" t="s">
        <v>342</v>
      </c>
      <c r="L892" s="2">
        <v>54000</v>
      </c>
      <c r="M892" s="3">
        <v>4</v>
      </c>
      <c r="N892" s="2">
        <v>216000</v>
      </c>
      <c r="O892" s="2">
        <v>21600</v>
      </c>
      <c r="P892" s="2">
        <v>237600</v>
      </c>
      <c r="Q892" s="2">
        <f>P892*8.5%</f>
        <v>20196</v>
      </c>
    </row>
    <row r="893" spans="1:17" hidden="1" x14ac:dyDescent="0.4">
      <c r="A893" s="4" t="s">
        <v>51</v>
      </c>
      <c r="B893" s="4" t="s">
        <v>14</v>
      </c>
      <c r="C893" s="30" t="s">
        <v>434</v>
      </c>
      <c r="D893" s="4" t="s">
        <v>52</v>
      </c>
      <c r="E893" s="4" t="s">
        <v>16</v>
      </c>
      <c r="F893" s="4" t="s">
        <v>17</v>
      </c>
      <c r="G893" s="4" t="s">
        <v>18</v>
      </c>
      <c r="H893" s="4" t="s">
        <v>167</v>
      </c>
      <c r="I893" s="5" t="str">
        <f t="shared" si="13"/>
        <v>2025-04</v>
      </c>
      <c r="J893" s="4" t="s">
        <v>34</v>
      </c>
      <c r="K893" s="5" t="s">
        <v>342</v>
      </c>
      <c r="L893" s="2">
        <v>71250</v>
      </c>
      <c r="M893" s="3">
        <v>1</v>
      </c>
      <c r="N893" s="2">
        <v>71250</v>
      </c>
      <c r="O893" s="2">
        <v>7125</v>
      </c>
      <c r="P893" s="2">
        <v>78375</v>
      </c>
      <c r="Q893" s="2">
        <f>P893*8.5%</f>
        <v>6661.8750000000009</v>
      </c>
    </row>
    <row r="894" spans="1:17" hidden="1" x14ac:dyDescent="0.4">
      <c r="A894" s="4" t="s">
        <v>87</v>
      </c>
      <c r="B894" s="4" t="s">
        <v>26</v>
      </c>
      <c r="C894" s="32" t="s">
        <v>436</v>
      </c>
      <c r="D894" s="4" t="s">
        <v>88</v>
      </c>
      <c r="E894" s="4" t="s">
        <v>28</v>
      </c>
      <c r="F894" s="4" t="s">
        <v>17</v>
      </c>
      <c r="G894" s="4" t="s">
        <v>18</v>
      </c>
      <c r="H894" s="4" t="s">
        <v>167</v>
      </c>
      <c r="I894" s="5" t="str">
        <f t="shared" si="13"/>
        <v>2025-04</v>
      </c>
      <c r="J894" s="4" t="s">
        <v>34</v>
      </c>
      <c r="K894" s="5" t="s">
        <v>342</v>
      </c>
      <c r="L894" s="2">
        <v>14229</v>
      </c>
      <c r="M894" s="3">
        <v>1</v>
      </c>
      <c r="N894" s="2">
        <v>14229</v>
      </c>
      <c r="O894" s="2">
        <v>1423</v>
      </c>
      <c r="P894" s="2">
        <v>15652</v>
      </c>
      <c r="Q894" s="2">
        <f>P894*8.5%</f>
        <v>1330.42</v>
      </c>
    </row>
    <row r="895" spans="1:17" hidden="1" x14ac:dyDescent="0.4">
      <c r="A895" s="4" t="s">
        <v>42</v>
      </c>
      <c r="B895" s="4" t="s">
        <v>14</v>
      </c>
      <c r="C895" s="30" t="s">
        <v>434</v>
      </c>
      <c r="D895" s="4" t="s">
        <v>43</v>
      </c>
      <c r="E895" s="4" t="s">
        <v>44</v>
      </c>
      <c r="F895" s="4" t="s">
        <v>31</v>
      </c>
      <c r="G895" s="4" t="s">
        <v>18</v>
      </c>
      <c r="H895" s="4" t="s">
        <v>167</v>
      </c>
      <c r="I895" s="5" t="str">
        <f t="shared" si="13"/>
        <v>2025-04</v>
      </c>
      <c r="J895" s="4" t="s">
        <v>34</v>
      </c>
      <c r="K895" s="5" t="s">
        <v>342</v>
      </c>
      <c r="L895" s="2">
        <v>6800</v>
      </c>
      <c r="M895" s="3">
        <v>78.3</v>
      </c>
      <c r="N895" s="2">
        <v>532440</v>
      </c>
      <c r="O895" s="2">
        <v>0</v>
      </c>
      <c r="P895" s="2">
        <v>532440</v>
      </c>
      <c r="Q895" s="2">
        <f>P895*8.5%</f>
        <v>45257.4</v>
      </c>
    </row>
    <row r="896" spans="1:17" hidden="1" x14ac:dyDescent="0.4">
      <c r="A896" s="4" t="s">
        <v>13</v>
      </c>
      <c r="B896" s="4" t="s">
        <v>14</v>
      </c>
      <c r="C896" s="30" t="s">
        <v>434</v>
      </c>
      <c r="D896" s="4" t="s">
        <v>15</v>
      </c>
      <c r="E896" s="4" t="s">
        <v>16</v>
      </c>
      <c r="F896" s="4" t="s">
        <v>17</v>
      </c>
      <c r="G896" s="4" t="s">
        <v>18</v>
      </c>
      <c r="H896" s="4" t="s">
        <v>167</v>
      </c>
      <c r="I896" s="5" t="str">
        <f t="shared" si="13"/>
        <v>2025-04</v>
      </c>
      <c r="J896" s="4" t="s">
        <v>59</v>
      </c>
      <c r="K896" s="5" t="s">
        <v>343</v>
      </c>
      <c r="L896" s="2">
        <v>42000</v>
      </c>
      <c r="M896" s="3">
        <v>2</v>
      </c>
      <c r="N896" s="2">
        <v>84000</v>
      </c>
      <c r="O896" s="2">
        <v>8400</v>
      </c>
      <c r="P896" s="2">
        <v>92400</v>
      </c>
      <c r="Q896" s="2">
        <f>P896*12%</f>
        <v>11088</v>
      </c>
    </row>
    <row r="897" spans="1:17" hidden="1" x14ac:dyDescent="0.4">
      <c r="A897" s="4" t="s">
        <v>35</v>
      </c>
      <c r="B897" s="4" t="s">
        <v>14</v>
      </c>
      <c r="C897" s="30" t="s">
        <v>434</v>
      </c>
      <c r="D897" s="4" t="s">
        <v>36</v>
      </c>
      <c r="E897" s="4" t="s">
        <v>16</v>
      </c>
      <c r="F897" s="4" t="s">
        <v>17</v>
      </c>
      <c r="G897" s="4" t="s">
        <v>18</v>
      </c>
      <c r="H897" s="4" t="s">
        <v>167</v>
      </c>
      <c r="I897" s="5" t="str">
        <f t="shared" si="13"/>
        <v>2025-04</v>
      </c>
      <c r="J897" s="4" t="s">
        <v>59</v>
      </c>
      <c r="K897" s="5" t="s">
        <v>343</v>
      </c>
      <c r="L897" s="2">
        <v>116220</v>
      </c>
      <c r="M897" s="3">
        <v>1</v>
      </c>
      <c r="N897" s="2">
        <v>116220</v>
      </c>
      <c r="O897" s="2">
        <v>11622</v>
      </c>
      <c r="P897" s="2">
        <v>127842</v>
      </c>
      <c r="Q897" s="2">
        <f>P897*12%</f>
        <v>15341.039999999999</v>
      </c>
    </row>
    <row r="898" spans="1:17" hidden="1" x14ac:dyDescent="0.4">
      <c r="A898" s="4" t="s">
        <v>23</v>
      </c>
      <c r="B898" s="4" t="s">
        <v>14</v>
      </c>
      <c r="C898" s="31" t="s">
        <v>435</v>
      </c>
      <c r="D898" s="4" t="s">
        <v>24</v>
      </c>
      <c r="E898" s="4" t="s">
        <v>16</v>
      </c>
      <c r="F898" s="4" t="s">
        <v>17</v>
      </c>
      <c r="G898" s="4" t="s">
        <v>18</v>
      </c>
      <c r="H898" s="4" t="s">
        <v>167</v>
      </c>
      <c r="I898" s="5" t="str">
        <f t="shared" ref="I898:I961" si="14">TEXT(H898,"yyyy-mm")</f>
        <v>2025-04</v>
      </c>
      <c r="J898" s="4" t="s">
        <v>59</v>
      </c>
      <c r="K898" s="5" t="s">
        <v>343</v>
      </c>
      <c r="L898" s="2">
        <v>54000</v>
      </c>
      <c r="M898" s="3">
        <v>1</v>
      </c>
      <c r="N898" s="2">
        <v>54000</v>
      </c>
      <c r="O898" s="2">
        <v>5400</v>
      </c>
      <c r="P898" s="2">
        <v>59400</v>
      </c>
      <c r="Q898" s="2">
        <f>P898*12%</f>
        <v>7128</v>
      </c>
    </row>
    <row r="899" spans="1:17" hidden="1" x14ac:dyDescent="0.4">
      <c r="A899" s="4" t="s">
        <v>51</v>
      </c>
      <c r="B899" s="4" t="s">
        <v>14</v>
      </c>
      <c r="C899" s="30" t="s">
        <v>434</v>
      </c>
      <c r="D899" s="4" t="s">
        <v>52</v>
      </c>
      <c r="E899" s="4" t="s">
        <v>16</v>
      </c>
      <c r="F899" s="4" t="s">
        <v>17</v>
      </c>
      <c r="G899" s="4" t="s">
        <v>18</v>
      </c>
      <c r="H899" s="4" t="s">
        <v>167</v>
      </c>
      <c r="I899" s="5" t="str">
        <f t="shared" si="14"/>
        <v>2025-04</v>
      </c>
      <c r="J899" s="4" t="s">
        <v>59</v>
      </c>
      <c r="K899" s="5" t="s">
        <v>343</v>
      </c>
      <c r="L899" s="2">
        <v>71250</v>
      </c>
      <c r="M899" s="3">
        <v>1</v>
      </c>
      <c r="N899" s="2">
        <v>71250</v>
      </c>
      <c r="O899" s="2">
        <v>7125</v>
      </c>
      <c r="P899" s="2">
        <v>78375</v>
      </c>
      <c r="Q899" s="2">
        <f>P899*12%</f>
        <v>9405</v>
      </c>
    </row>
    <row r="900" spans="1:17" hidden="1" x14ac:dyDescent="0.4">
      <c r="A900" s="4" t="s">
        <v>32</v>
      </c>
      <c r="B900" s="4" t="s">
        <v>14</v>
      </c>
      <c r="C900" s="31" t="s">
        <v>435</v>
      </c>
      <c r="D900" s="4" t="s">
        <v>33</v>
      </c>
      <c r="E900" s="4" t="s">
        <v>16</v>
      </c>
      <c r="F900" s="4" t="s">
        <v>17</v>
      </c>
      <c r="G900" s="4" t="s">
        <v>18</v>
      </c>
      <c r="H900" s="4" t="s">
        <v>167</v>
      </c>
      <c r="I900" s="5" t="str">
        <f t="shared" si="14"/>
        <v>2025-04</v>
      </c>
      <c r="J900" s="4" t="s">
        <v>49</v>
      </c>
      <c r="K900" s="5" t="s">
        <v>343</v>
      </c>
      <c r="L900" s="2">
        <v>44000</v>
      </c>
      <c r="M900" s="3">
        <v>3</v>
      </c>
      <c r="N900" s="2">
        <v>132000</v>
      </c>
      <c r="O900" s="2">
        <v>13200</v>
      </c>
      <c r="P900" s="2">
        <v>145200</v>
      </c>
      <c r="Q900" s="2">
        <f>P900*12%</f>
        <v>17424</v>
      </c>
    </row>
    <row r="901" spans="1:17" hidden="1" x14ac:dyDescent="0.4">
      <c r="A901" s="4" t="s">
        <v>13</v>
      </c>
      <c r="B901" s="4" t="s">
        <v>14</v>
      </c>
      <c r="C901" s="30" t="s">
        <v>434</v>
      </c>
      <c r="D901" s="4" t="s">
        <v>15</v>
      </c>
      <c r="E901" s="4" t="s">
        <v>16</v>
      </c>
      <c r="F901" s="4" t="s">
        <v>17</v>
      </c>
      <c r="G901" s="4" t="s">
        <v>18</v>
      </c>
      <c r="H901" s="4" t="s">
        <v>167</v>
      </c>
      <c r="I901" s="5" t="str">
        <f t="shared" si="14"/>
        <v>2025-04</v>
      </c>
      <c r="J901" s="4" t="s">
        <v>49</v>
      </c>
      <c r="K901" s="5" t="s">
        <v>343</v>
      </c>
      <c r="L901" s="2">
        <v>42000</v>
      </c>
      <c r="M901" s="3">
        <v>6</v>
      </c>
      <c r="N901" s="2">
        <v>252000</v>
      </c>
      <c r="O901" s="2">
        <v>25200</v>
      </c>
      <c r="P901" s="2">
        <v>277200</v>
      </c>
      <c r="Q901" s="2">
        <f>P901*12%</f>
        <v>33264</v>
      </c>
    </row>
    <row r="902" spans="1:17" hidden="1" x14ac:dyDescent="0.4">
      <c r="A902" s="4" t="s">
        <v>35</v>
      </c>
      <c r="B902" s="4" t="s">
        <v>14</v>
      </c>
      <c r="C902" s="30" t="s">
        <v>434</v>
      </c>
      <c r="D902" s="4" t="s">
        <v>36</v>
      </c>
      <c r="E902" s="4" t="s">
        <v>16</v>
      </c>
      <c r="F902" s="4" t="s">
        <v>17</v>
      </c>
      <c r="G902" s="4" t="s">
        <v>18</v>
      </c>
      <c r="H902" s="4" t="s">
        <v>167</v>
      </c>
      <c r="I902" s="5" t="str">
        <f t="shared" si="14"/>
        <v>2025-04</v>
      </c>
      <c r="J902" s="4" t="s">
        <v>49</v>
      </c>
      <c r="K902" s="5" t="s">
        <v>343</v>
      </c>
      <c r="L902" s="2">
        <v>116220</v>
      </c>
      <c r="M902" s="3">
        <v>1</v>
      </c>
      <c r="N902" s="2">
        <v>116220</v>
      </c>
      <c r="O902" s="2">
        <v>11622</v>
      </c>
      <c r="P902" s="2">
        <v>127842</v>
      </c>
      <c r="Q902" s="2">
        <f>P902*12%</f>
        <v>15341.039999999999</v>
      </c>
    </row>
    <row r="903" spans="1:17" hidden="1" x14ac:dyDescent="0.4">
      <c r="A903" s="4" t="s">
        <v>23</v>
      </c>
      <c r="B903" s="4" t="s">
        <v>14</v>
      </c>
      <c r="C903" s="31" t="s">
        <v>435</v>
      </c>
      <c r="D903" s="4" t="s">
        <v>24</v>
      </c>
      <c r="E903" s="4" t="s">
        <v>16</v>
      </c>
      <c r="F903" s="4" t="s">
        <v>17</v>
      </c>
      <c r="G903" s="4" t="s">
        <v>18</v>
      </c>
      <c r="H903" s="4" t="s">
        <v>167</v>
      </c>
      <c r="I903" s="5" t="str">
        <f t="shared" si="14"/>
        <v>2025-04</v>
      </c>
      <c r="J903" s="4" t="s">
        <v>49</v>
      </c>
      <c r="K903" s="5" t="s">
        <v>343</v>
      </c>
      <c r="L903" s="2">
        <v>54000</v>
      </c>
      <c r="M903" s="3">
        <v>5</v>
      </c>
      <c r="N903" s="2">
        <v>270000</v>
      </c>
      <c r="O903" s="2">
        <v>27000</v>
      </c>
      <c r="P903" s="2">
        <v>297000</v>
      </c>
      <c r="Q903" s="2">
        <f>P903*12%</f>
        <v>35640</v>
      </c>
    </row>
    <row r="904" spans="1:17" hidden="1" x14ac:dyDescent="0.4">
      <c r="A904" s="4" t="s">
        <v>51</v>
      </c>
      <c r="B904" s="4" t="s">
        <v>14</v>
      </c>
      <c r="C904" s="30" t="s">
        <v>434</v>
      </c>
      <c r="D904" s="4" t="s">
        <v>52</v>
      </c>
      <c r="E904" s="4" t="s">
        <v>16</v>
      </c>
      <c r="F904" s="4" t="s">
        <v>17</v>
      </c>
      <c r="G904" s="4" t="s">
        <v>18</v>
      </c>
      <c r="H904" s="4" t="s">
        <v>167</v>
      </c>
      <c r="I904" s="5" t="str">
        <f t="shared" si="14"/>
        <v>2025-04</v>
      </c>
      <c r="J904" s="4" t="s">
        <v>49</v>
      </c>
      <c r="K904" s="5" t="s">
        <v>343</v>
      </c>
      <c r="L904" s="2">
        <v>71250</v>
      </c>
      <c r="M904" s="3">
        <v>2</v>
      </c>
      <c r="N904" s="2">
        <v>142500</v>
      </c>
      <c r="O904" s="2">
        <v>14250</v>
      </c>
      <c r="P904" s="2">
        <v>156750</v>
      </c>
      <c r="Q904" s="2">
        <f>P904*12%</f>
        <v>18810</v>
      </c>
    </row>
    <row r="905" spans="1:17" hidden="1" x14ac:dyDescent="0.4">
      <c r="A905" s="4" t="s">
        <v>32</v>
      </c>
      <c r="B905" s="4" t="s">
        <v>14</v>
      </c>
      <c r="C905" s="31" t="s">
        <v>435</v>
      </c>
      <c r="D905" s="4" t="s">
        <v>33</v>
      </c>
      <c r="E905" s="4" t="s">
        <v>16</v>
      </c>
      <c r="F905" s="4" t="s">
        <v>17</v>
      </c>
      <c r="G905" s="4" t="s">
        <v>18</v>
      </c>
      <c r="H905" s="4" t="s">
        <v>167</v>
      </c>
      <c r="I905" s="5" t="str">
        <f t="shared" si="14"/>
        <v>2025-04</v>
      </c>
      <c r="J905" s="4" t="s">
        <v>50</v>
      </c>
      <c r="K905" s="5" t="s">
        <v>343</v>
      </c>
      <c r="L905" s="2">
        <v>44000</v>
      </c>
      <c r="M905" s="3">
        <v>1</v>
      </c>
      <c r="N905" s="2">
        <v>44000</v>
      </c>
      <c r="O905" s="2">
        <v>4400</v>
      </c>
      <c r="P905" s="2">
        <v>48400</v>
      </c>
      <c r="Q905" s="2">
        <f>P905*12%</f>
        <v>5808</v>
      </c>
    </row>
    <row r="906" spans="1:17" hidden="1" x14ac:dyDescent="0.4">
      <c r="A906" s="4" t="s">
        <v>13</v>
      </c>
      <c r="B906" s="4" t="s">
        <v>14</v>
      </c>
      <c r="C906" s="30" t="s">
        <v>434</v>
      </c>
      <c r="D906" s="4" t="s">
        <v>15</v>
      </c>
      <c r="E906" s="4" t="s">
        <v>16</v>
      </c>
      <c r="F906" s="4" t="s">
        <v>17</v>
      </c>
      <c r="G906" s="4" t="s">
        <v>18</v>
      </c>
      <c r="H906" s="4" t="s">
        <v>167</v>
      </c>
      <c r="I906" s="5" t="str">
        <f t="shared" si="14"/>
        <v>2025-04</v>
      </c>
      <c r="J906" s="4" t="s">
        <v>50</v>
      </c>
      <c r="K906" s="5" t="s">
        <v>343</v>
      </c>
      <c r="L906" s="2">
        <v>42000</v>
      </c>
      <c r="M906" s="3">
        <v>15</v>
      </c>
      <c r="N906" s="2">
        <v>630000</v>
      </c>
      <c r="O906" s="2">
        <v>63000</v>
      </c>
      <c r="P906" s="2">
        <v>693000</v>
      </c>
      <c r="Q906" s="2">
        <f>P906*12%</f>
        <v>83160</v>
      </c>
    </row>
    <row r="907" spans="1:17" hidden="1" x14ac:dyDescent="0.4">
      <c r="A907" s="4" t="s">
        <v>35</v>
      </c>
      <c r="B907" s="4" t="s">
        <v>14</v>
      </c>
      <c r="C907" s="30" t="s">
        <v>434</v>
      </c>
      <c r="D907" s="4" t="s">
        <v>36</v>
      </c>
      <c r="E907" s="4" t="s">
        <v>16</v>
      </c>
      <c r="F907" s="4" t="s">
        <v>17</v>
      </c>
      <c r="G907" s="4" t="s">
        <v>18</v>
      </c>
      <c r="H907" s="4" t="s">
        <v>167</v>
      </c>
      <c r="I907" s="5" t="str">
        <f t="shared" si="14"/>
        <v>2025-04</v>
      </c>
      <c r="J907" s="4" t="s">
        <v>50</v>
      </c>
      <c r="K907" s="5" t="s">
        <v>343</v>
      </c>
      <c r="L907" s="2">
        <v>116220</v>
      </c>
      <c r="M907" s="3">
        <v>1</v>
      </c>
      <c r="N907" s="2">
        <v>116220</v>
      </c>
      <c r="O907" s="2">
        <v>11622</v>
      </c>
      <c r="P907" s="2">
        <v>127842</v>
      </c>
      <c r="Q907" s="2">
        <f>P907*12%</f>
        <v>15341.039999999999</v>
      </c>
    </row>
    <row r="908" spans="1:17" hidden="1" x14ac:dyDescent="0.4">
      <c r="A908" s="4" t="s">
        <v>23</v>
      </c>
      <c r="B908" s="4" t="s">
        <v>14</v>
      </c>
      <c r="C908" s="31" t="s">
        <v>435</v>
      </c>
      <c r="D908" s="4" t="s">
        <v>24</v>
      </c>
      <c r="E908" s="4" t="s">
        <v>16</v>
      </c>
      <c r="F908" s="4" t="s">
        <v>17</v>
      </c>
      <c r="G908" s="4" t="s">
        <v>18</v>
      </c>
      <c r="H908" s="4" t="s">
        <v>167</v>
      </c>
      <c r="I908" s="5" t="str">
        <f t="shared" si="14"/>
        <v>2025-04</v>
      </c>
      <c r="J908" s="4" t="s">
        <v>50</v>
      </c>
      <c r="K908" s="5" t="s">
        <v>343</v>
      </c>
      <c r="L908" s="2">
        <v>54000</v>
      </c>
      <c r="M908" s="3">
        <v>5</v>
      </c>
      <c r="N908" s="2">
        <v>270000</v>
      </c>
      <c r="O908" s="2">
        <v>27000</v>
      </c>
      <c r="P908" s="2">
        <v>297000</v>
      </c>
      <c r="Q908" s="2">
        <f>P908*12%</f>
        <v>35640</v>
      </c>
    </row>
    <row r="909" spans="1:17" hidden="1" x14ac:dyDescent="0.4">
      <c r="A909" s="4" t="s">
        <v>51</v>
      </c>
      <c r="B909" s="4" t="s">
        <v>14</v>
      </c>
      <c r="C909" s="30" t="s">
        <v>434</v>
      </c>
      <c r="D909" s="4" t="s">
        <v>52</v>
      </c>
      <c r="E909" s="4" t="s">
        <v>16</v>
      </c>
      <c r="F909" s="4" t="s">
        <v>17</v>
      </c>
      <c r="G909" s="4" t="s">
        <v>18</v>
      </c>
      <c r="H909" s="4" t="s">
        <v>167</v>
      </c>
      <c r="I909" s="5" t="str">
        <f t="shared" si="14"/>
        <v>2025-04</v>
      </c>
      <c r="J909" s="4" t="s">
        <v>50</v>
      </c>
      <c r="K909" s="5" t="s">
        <v>343</v>
      </c>
      <c r="L909" s="2">
        <v>71250</v>
      </c>
      <c r="M909" s="3">
        <v>2</v>
      </c>
      <c r="N909" s="2">
        <v>142500</v>
      </c>
      <c r="O909" s="2">
        <v>14250</v>
      </c>
      <c r="P909" s="2">
        <v>156750</v>
      </c>
      <c r="Q909" s="2">
        <f>P909*12%</f>
        <v>18810</v>
      </c>
    </row>
    <row r="910" spans="1:17" x14ac:dyDescent="0.4">
      <c r="A910" s="4" t="s">
        <v>58</v>
      </c>
      <c r="B910" s="4" t="s">
        <v>14</v>
      </c>
      <c r="C910" s="30" t="s">
        <v>434</v>
      </c>
      <c r="D910" s="4" t="s">
        <v>36</v>
      </c>
      <c r="E910" s="4" t="s">
        <v>16</v>
      </c>
      <c r="F910" s="4" t="s">
        <v>17</v>
      </c>
      <c r="G910" s="4" t="s">
        <v>18</v>
      </c>
      <c r="H910" s="4" t="s">
        <v>168</v>
      </c>
      <c r="I910" s="5" t="str">
        <f t="shared" si="14"/>
        <v>2025-04</v>
      </c>
      <c r="J910" s="4" t="s">
        <v>20</v>
      </c>
      <c r="K910" s="5" t="s">
        <v>342</v>
      </c>
      <c r="L910" s="2">
        <v>120880</v>
      </c>
      <c r="M910" s="3">
        <v>1</v>
      </c>
      <c r="N910" s="2">
        <v>120880</v>
      </c>
      <c r="O910" s="2">
        <v>12088</v>
      </c>
      <c r="P910" s="2">
        <v>132968</v>
      </c>
      <c r="Q910" s="2">
        <f>P910*8.5%</f>
        <v>11302.28</v>
      </c>
    </row>
    <row r="911" spans="1:17" x14ac:dyDescent="0.4">
      <c r="A911" s="4" t="s">
        <v>13</v>
      </c>
      <c r="B911" s="4" t="s">
        <v>14</v>
      </c>
      <c r="C911" s="30" t="s">
        <v>434</v>
      </c>
      <c r="D911" s="4" t="s">
        <v>15</v>
      </c>
      <c r="E911" s="4" t="s">
        <v>16</v>
      </c>
      <c r="F911" s="4" t="s">
        <v>17</v>
      </c>
      <c r="G911" s="4" t="s">
        <v>18</v>
      </c>
      <c r="H911" s="4" t="s">
        <v>168</v>
      </c>
      <c r="I911" s="5" t="str">
        <f t="shared" si="14"/>
        <v>2025-04</v>
      </c>
      <c r="J911" s="4" t="s">
        <v>20</v>
      </c>
      <c r="K911" s="5" t="s">
        <v>342</v>
      </c>
      <c r="L911" s="2">
        <v>42000</v>
      </c>
      <c r="M911" s="3">
        <v>2</v>
      </c>
      <c r="N911" s="2">
        <v>84000</v>
      </c>
      <c r="O911" s="2">
        <v>8400</v>
      </c>
      <c r="P911" s="2">
        <v>92400</v>
      </c>
      <c r="Q911" s="2">
        <f>P911*8.5%</f>
        <v>7854.0000000000009</v>
      </c>
    </row>
    <row r="912" spans="1:17" x14ac:dyDescent="0.4">
      <c r="A912" s="4" t="s">
        <v>21</v>
      </c>
      <c r="B912" s="4" t="s">
        <v>14</v>
      </c>
      <c r="C912" s="31" t="s">
        <v>435</v>
      </c>
      <c r="D912" s="4" t="s">
        <v>22</v>
      </c>
      <c r="E912" s="4" t="s">
        <v>16</v>
      </c>
      <c r="F912" s="4" t="s">
        <v>17</v>
      </c>
      <c r="G912" s="4" t="s">
        <v>18</v>
      </c>
      <c r="H912" s="4" t="s">
        <v>168</v>
      </c>
      <c r="I912" s="5" t="str">
        <f t="shared" si="14"/>
        <v>2025-04</v>
      </c>
      <c r="J912" s="4" t="s">
        <v>20</v>
      </c>
      <c r="K912" s="5" t="s">
        <v>342</v>
      </c>
      <c r="L912" s="2">
        <v>54000</v>
      </c>
      <c r="M912" s="3">
        <v>1</v>
      </c>
      <c r="N912" s="2">
        <v>54000</v>
      </c>
      <c r="O912" s="2">
        <v>5400</v>
      </c>
      <c r="P912" s="2">
        <v>59400</v>
      </c>
      <c r="Q912" s="2">
        <f>P912*8.5%</f>
        <v>5049</v>
      </c>
    </row>
    <row r="913" spans="1:17" x14ac:dyDescent="0.4">
      <c r="A913" s="4" t="s">
        <v>23</v>
      </c>
      <c r="B913" s="4" t="s">
        <v>14</v>
      </c>
      <c r="C913" s="31" t="s">
        <v>435</v>
      </c>
      <c r="D913" s="4" t="s">
        <v>24</v>
      </c>
      <c r="E913" s="4" t="s">
        <v>16</v>
      </c>
      <c r="F913" s="4" t="s">
        <v>17</v>
      </c>
      <c r="G913" s="4" t="s">
        <v>18</v>
      </c>
      <c r="H913" s="4" t="s">
        <v>168</v>
      </c>
      <c r="I913" s="5" t="str">
        <f t="shared" si="14"/>
        <v>2025-04</v>
      </c>
      <c r="J913" s="4" t="s">
        <v>20</v>
      </c>
      <c r="K913" s="5" t="s">
        <v>342</v>
      </c>
      <c r="L913" s="2">
        <v>54000</v>
      </c>
      <c r="M913" s="3">
        <v>3</v>
      </c>
      <c r="N913" s="2">
        <v>162000</v>
      </c>
      <c r="O913" s="2">
        <v>16200</v>
      </c>
      <c r="P913" s="2">
        <v>178200</v>
      </c>
      <c r="Q913" s="2">
        <f>P913*8.5%</f>
        <v>15147.000000000002</v>
      </c>
    </row>
    <row r="914" spans="1:17" x14ac:dyDescent="0.4">
      <c r="A914" s="4" t="s">
        <v>51</v>
      </c>
      <c r="B914" s="4" t="s">
        <v>14</v>
      </c>
      <c r="C914" s="30" t="s">
        <v>434</v>
      </c>
      <c r="D914" s="4" t="s">
        <v>52</v>
      </c>
      <c r="E914" s="4" t="s">
        <v>16</v>
      </c>
      <c r="F914" s="4" t="s">
        <v>17</v>
      </c>
      <c r="G914" s="4" t="s">
        <v>18</v>
      </c>
      <c r="H914" s="4" t="s">
        <v>168</v>
      </c>
      <c r="I914" s="5" t="str">
        <f t="shared" si="14"/>
        <v>2025-04</v>
      </c>
      <c r="J914" s="4" t="s">
        <v>20</v>
      </c>
      <c r="K914" s="5" t="s">
        <v>342</v>
      </c>
      <c r="L914" s="2">
        <v>71250</v>
      </c>
      <c r="M914" s="3">
        <v>1</v>
      </c>
      <c r="N914" s="2">
        <v>71250</v>
      </c>
      <c r="O914" s="2">
        <v>7125</v>
      </c>
      <c r="P914" s="2">
        <v>78375</v>
      </c>
      <c r="Q914" s="2">
        <f>P914*8.5%</f>
        <v>6661.8750000000009</v>
      </c>
    </row>
    <row r="915" spans="1:17" x14ac:dyDescent="0.4">
      <c r="A915" s="4" t="s">
        <v>56</v>
      </c>
      <c r="B915" s="4" t="s">
        <v>26</v>
      </c>
      <c r="C915" s="32" t="s">
        <v>436</v>
      </c>
      <c r="D915" s="4" t="s">
        <v>57</v>
      </c>
      <c r="E915" s="4" t="s">
        <v>44</v>
      </c>
      <c r="F915" s="4" t="s">
        <v>31</v>
      </c>
      <c r="G915" s="4" t="s">
        <v>18</v>
      </c>
      <c r="H915" s="4" t="s">
        <v>168</v>
      </c>
      <c r="I915" s="5" t="str">
        <f t="shared" si="14"/>
        <v>2025-04</v>
      </c>
      <c r="J915" s="4" t="s">
        <v>20</v>
      </c>
      <c r="K915" s="5" t="s">
        <v>342</v>
      </c>
      <c r="L915" s="2">
        <v>3240</v>
      </c>
      <c r="M915" s="3">
        <v>15</v>
      </c>
      <c r="N915" s="2">
        <v>48600</v>
      </c>
      <c r="O915" s="2">
        <v>0</v>
      </c>
      <c r="P915" s="2">
        <v>48600</v>
      </c>
      <c r="Q915" s="2">
        <f>P915*8.5%</f>
        <v>4131</v>
      </c>
    </row>
    <row r="916" spans="1:17" hidden="1" x14ac:dyDescent="0.4">
      <c r="A916" s="4" t="s">
        <v>32</v>
      </c>
      <c r="B916" s="4" t="s">
        <v>14</v>
      </c>
      <c r="C916" s="31" t="s">
        <v>435</v>
      </c>
      <c r="D916" s="4" t="s">
        <v>33</v>
      </c>
      <c r="E916" s="4" t="s">
        <v>16</v>
      </c>
      <c r="F916" s="4" t="s">
        <v>17</v>
      </c>
      <c r="G916" s="4" t="s">
        <v>18</v>
      </c>
      <c r="H916" s="4" t="s">
        <v>168</v>
      </c>
      <c r="I916" s="5" t="str">
        <f t="shared" si="14"/>
        <v>2025-04</v>
      </c>
      <c r="J916" s="4" t="s">
        <v>118</v>
      </c>
      <c r="K916" s="5" t="s">
        <v>342</v>
      </c>
      <c r="L916" s="2">
        <v>44000</v>
      </c>
      <c r="M916" s="3">
        <v>1</v>
      </c>
      <c r="N916" s="2">
        <v>44000</v>
      </c>
      <c r="O916" s="2">
        <v>4400</v>
      </c>
      <c r="P916" s="2">
        <v>48400</v>
      </c>
      <c r="Q916" s="2">
        <f>P916*8.5%</f>
        <v>4114</v>
      </c>
    </row>
    <row r="917" spans="1:17" hidden="1" x14ac:dyDescent="0.4">
      <c r="A917" s="4" t="s">
        <v>13</v>
      </c>
      <c r="B917" s="4" t="s">
        <v>14</v>
      </c>
      <c r="C917" s="30" t="s">
        <v>434</v>
      </c>
      <c r="D917" s="4" t="s">
        <v>15</v>
      </c>
      <c r="E917" s="4" t="s">
        <v>16</v>
      </c>
      <c r="F917" s="4" t="s">
        <v>17</v>
      </c>
      <c r="G917" s="4" t="s">
        <v>18</v>
      </c>
      <c r="H917" s="4" t="s">
        <v>168</v>
      </c>
      <c r="I917" s="5" t="str">
        <f t="shared" si="14"/>
        <v>2025-04</v>
      </c>
      <c r="J917" s="4" t="s">
        <v>118</v>
      </c>
      <c r="K917" s="5" t="s">
        <v>342</v>
      </c>
      <c r="L917" s="2">
        <v>42000</v>
      </c>
      <c r="M917" s="3">
        <v>3</v>
      </c>
      <c r="N917" s="2">
        <v>126000</v>
      </c>
      <c r="O917" s="2">
        <v>12600</v>
      </c>
      <c r="P917" s="2">
        <v>138600</v>
      </c>
      <c r="Q917" s="2">
        <f>P917*8.5%</f>
        <v>11781</v>
      </c>
    </row>
    <row r="918" spans="1:17" hidden="1" x14ac:dyDescent="0.4">
      <c r="A918" s="4" t="s">
        <v>103</v>
      </c>
      <c r="B918" s="4" t="s">
        <v>26</v>
      </c>
      <c r="C918" s="32" t="s">
        <v>436</v>
      </c>
      <c r="D918" s="4" t="s">
        <v>104</v>
      </c>
      <c r="E918" s="4" t="s">
        <v>16</v>
      </c>
      <c r="F918" s="4" t="s">
        <v>17</v>
      </c>
      <c r="G918" s="4" t="s">
        <v>18</v>
      </c>
      <c r="H918" s="4" t="s">
        <v>168</v>
      </c>
      <c r="I918" s="5" t="str">
        <f t="shared" si="14"/>
        <v>2025-04</v>
      </c>
      <c r="J918" s="4" t="s">
        <v>34</v>
      </c>
      <c r="K918" s="5" t="s">
        <v>342</v>
      </c>
      <c r="L918" s="2">
        <v>12555</v>
      </c>
      <c r="M918" s="3">
        <v>1</v>
      </c>
      <c r="N918" s="2">
        <v>12555</v>
      </c>
      <c r="O918" s="2">
        <v>1256</v>
      </c>
      <c r="P918" s="2">
        <v>13811</v>
      </c>
      <c r="Q918" s="2">
        <f>P918*8.5%</f>
        <v>1173.9350000000002</v>
      </c>
    </row>
    <row r="919" spans="1:17" hidden="1" x14ac:dyDescent="0.4">
      <c r="A919" s="4" t="s">
        <v>32</v>
      </c>
      <c r="B919" s="4" t="s">
        <v>14</v>
      </c>
      <c r="C919" s="31" t="s">
        <v>435</v>
      </c>
      <c r="D919" s="4" t="s">
        <v>33</v>
      </c>
      <c r="E919" s="4" t="s">
        <v>16</v>
      </c>
      <c r="F919" s="4" t="s">
        <v>17</v>
      </c>
      <c r="G919" s="4" t="s">
        <v>18</v>
      </c>
      <c r="H919" s="4" t="s">
        <v>168</v>
      </c>
      <c r="I919" s="5" t="str">
        <f t="shared" si="14"/>
        <v>2025-04</v>
      </c>
      <c r="J919" s="4" t="s">
        <v>34</v>
      </c>
      <c r="K919" s="5" t="s">
        <v>342</v>
      </c>
      <c r="L919" s="2">
        <v>44000</v>
      </c>
      <c r="M919" s="3">
        <v>2</v>
      </c>
      <c r="N919" s="2">
        <v>88000</v>
      </c>
      <c r="O919" s="2">
        <v>8800</v>
      </c>
      <c r="P919" s="2">
        <v>96800</v>
      </c>
      <c r="Q919" s="2">
        <f>P919*8.5%</f>
        <v>8228</v>
      </c>
    </row>
    <row r="920" spans="1:17" hidden="1" x14ac:dyDescent="0.4">
      <c r="A920" s="4" t="s">
        <v>58</v>
      </c>
      <c r="B920" s="4" t="s">
        <v>14</v>
      </c>
      <c r="C920" s="30" t="s">
        <v>434</v>
      </c>
      <c r="D920" s="4" t="s">
        <v>36</v>
      </c>
      <c r="E920" s="4" t="s">
        <v>16</v>
      </c>
      <c r="F920" s="4" t="s">
        <v>17</v>
      </c>
      <c r="G920" s="4" t="s">
        <v>18</v>
      </c>
      <c r="H920" s="4" t="s">
        <v>168</v>
      </c>
      <c r="I920" s="5" t="str">
        <f t="shared" si="14"/>
        <v>2025-04</v>
      </c>
      <c r="J920" s="4" t="s">
        <v>34</v>
      </c>
      <c r="K920" s="5" t="s">
        <v>342</v>
      </c>
      <c r="L920" s="2">
        <v>120880</v>
      </c>
      <c r="M920" s="3">
        <v>1</v>
      </c>
      <c r="N920" s="2">
        <v>120880</v>
      </c>
      <c r="O920" s="2">
        <v>12088</v>
      </c>
      <c r="P920" s="2">
        <v>132968</v>
      </c>
      <c r="Q920" s="2">
        <f>P920*8.5%</f>
        <v>11302.28</v>
      </c>
    </row>
    <row r="921" spans="1:17" hidden="1" x14ac:dyDescent="0.4">
      <c r="A921" s="4" t="s">
        <v>13</v>
      </c>
      <c r="B921" s="4" t="s">
        <v>14</v>
      </c>
      <c r="C921" s="30" t="s">
        <v>434</v>
      </c>
      <c r="D921" s="4" t="s">
        <v>15</v>
      </c>
      <c r="E921" s="4" t="s">
        <v>16</v>
      </c>
      <c r="F921" s="4" t="s">
        <v>17</v>
      </c>
      <c r="G921" s="4" t="s">
        <v>18</v>
      </c>
      <c r="H921" s="4" t="s">
        <v>168</v>
      </c>
      <c r="I921" s="5" t="str">
        <f t="shared" si="14"/>
        <v>2025-04</v>
      </c>
      <c r="J921" s="4" t="s">
        <v>34</v>
      </c>
      <c r="K921" s="5" t="s">
        <v>342</v>
      </c>
      <c r="L921" s="2">
        <v>42000</v>
      </c>
      <c r="M921" s="3">
        <v>3</v>
      </c>
      <c r="N921" s="2">
        <v>126000</v>
      </c>
      <c r="O921" s="2">
        <v>12600</v>
      </c>
      <c r="P921" s="2">
        <v>138600</v>
      </c>
      <c r="Q921" s="2">
        <f>P921*8.5%</f>
        <v>11781</v>
      </c>
    </row>
    <row r="922" spans="1:17" hidden="1" x14ac:dyDescent="0.4">
      <c r="A922" s="4" t="s">
        <v>23</v>
      </c>
      <c r="B922" s="4" t="s">
        <v>14</v>
      </c>
      <c r="C922" s="31" t="s">
        <v>435</v>
      </c>
      <c r="D922" s="4" t="s">
        <v>24</v>
      </c>
      <c r="E922" s="4" t="s">
        <v>16</v>
      </c>
      <c r="F922" s="4" t="s">
        <v>17</v>
      </c>
      <c r="G922" s="4" t="s">
        <v>18</v>
      </c>
      <c r="H922" s="4" t="s">
        <v>168</v>
      </c>
      <c r="I922" s="5" t="str">
        <f t="shared" si="14"/>
        <v>2025-04</v>
      </c>
      <c r="J922" s="4" t="s">
        <v>34</v>
      </c>
      <c r="K922" s="5" t="s">
        <v>342</v>
      </c>
      <c r="L922" s="2">
        <v>54000</v>
      </c>
      <c r="M922" s="3">
        <v>3</v>
      </c>
      <c r="N922" s="2">
        <v>162000</v>
      </c>
      <c r="O922" s="2">
        <v>16200</v>
      </c>
      <c r="P922" s="2">
        <v>178200</v>
      </c>
      <c r="Q922" s="2">
        <f>P922*8.5%</f>
        <v>15147.000000000002</v>
      </c>
    </row>
    <row r="923" spans="1:17" hidden="1" x14ac:dyDescent="0.4">
      <c r="A923" s="4" t="s">
        <v>51</v>
      </c>
      <c r="B923" s="4" t="s">
        <v>14</v>
      </c>
      <c r="C923" s="30" t="s">
        <v>434</v>
      </c>
      <c r="D923" s="4" t="s">
        <v>52</v>
      </c>
      <c r="E923" s="4" t="s">
        <v>16</v>
      </c>
      <c r="F923" s="4" t="s">
        <v>17</v>
      </c>
      <c r="G923" s="4" t="s">
        <v>18</v>
      </c>
      <c r="H923" s="4" t="s">
        <v>168</v>
      </c>
      <c r="I923" s="5" t="str">
        <f t="shared" si="14"/>
        <v>2025-04</v>
      </c>
      <c r="J923" s="4" t="s">
        <v>34</v>
      </c>
      <c r="K923" s="5" t="s">
        <v>342</v>
      </c>
      <c r="L923" s="2">
        <v>71250</v>
      </c>
      <c r="M923" s="3">
        <v>1</v>
      </c>
      <c r="N923" s="2">
        <v>71250</v>
      </c>
      <c r="O923" s="2">
        <v>7125</v>
      </c>
      <c r="P923" s="2">
        <v>78375</v>
      </c>
      <c r="Q923" s="2">
        <f>P923*8.5%</f>
        <v>6661.8750000000009</v>
      </c>
    </row>
    <row r="924" spans="1:17" hidden="1" x14ac:dyDescent="0.4">
      <c r="A924" s="4" t="s">
        <v>67</v>
      </c>
      <c r="B924" s="4" t="s">
        <v>26</v>
      </c>
      <c r="C924" s="32" t="s">
        <v>436</v>
      </c>
      <c r="D924" s="4" t="s">
        <v>63</v>
      </c>
      <c r="E924" s="4" t="s">
        <v>28</v>
      </c>
      <c r="F924" s="4" t="s">
        <v>17</v>
      </c>
      <c r="G924" s="4" t="s">
        <v>18</v>
      </c>
      <c r="H924" s="4" t="s">
        <v>168</v>
      </c>
      <c r="I924" s="5" t="str">
        <f t="shared" si="14"/>
        <v>2025-04</v>
      </c>
      <c r="J924" s="4" t="s">
        <v>34</v>
      </c>
      <c r="K924" s="5" t="s">
        <v>342</v>
      </c>
      <c r="L924" s="2">
        <v>7558</v>
      </c>
      <c r="M924" s="3">
        <v>1</v>
      </c>
      <c r="N924" s="2">
        <v>7558</v>
      </c>
      <c r="O924" s="2">
        <v>756</v>
      </c>
      <c r="P924" s="2">
        <v>8314</v>
      </c>
      <c r="Q924" s="2">
        <f>P924*8.5%</f>
        <v>706.69</v>
      </c>
    </row>
    <row r="925" spans="1:17" hidden="1" x14ac:dyDescent="0.4">
      <c r="A925" s="4" t="s">
        <v>77</v>
      </c>
      <c r="B925" s="4" t="s">
        <v>26</v>
      </c>
      <c r="C925" s="32" t="s">
        <v>436</v>
      </c>
      <c r="D925" s="4" t="s">
        <v>78</v>
      </c>
      <c r="E925" s="4" t="s">
        <v>28</v>
      </c>
      <c r="F925" s="4" t="s">
        <v>17</v>
      </c>
      <c r="G925" s="4" t="s">
        <v>18</v>
      </c>
      <c r="H925" s="4" t="s">
        <v>168</v>
      </c>
      <c r="I925" s="5" t="str">
        <f t="shared" si="14"/>
        <v>2025-04</v>
      </c>
      <c r="J925" s="4" t="s">
        <v>34</v>
      </c>
      <c r="K925" s="5" t="s">
        <v>342</v>
      </c>
      <c r="L925" s="2">
        <v>15544</v>
      </c>
      <c r="M925" s="3">
        <v>1</v>
      </c>
      <c r="N925" s="2">
        <v>15544</v>
      </c>
      <c r="O925" s="2">
        <v>1554</v>
      </c>
      <c r="P925" s="2">
        <v>17098</v>
      </c>
      <c r="Q925" s="2">
        <f>P925*8.5%</f>
        <v>1453.3300000000002</v>
      </c>
    </row>
    <row r="926" spans="1:17" hidden="1" x14ac:dyDescent="0.4">
      <c r="A926" s="4" t="s">
        <v>42</v>
      </c>
      <c r="B926" s="4" t="s">
        <v>14</v>
      </c>
      <c r="C926" s="30" t="s">
        <v>434</v>
      </c>
      <c r="D926" s="4" t="s">
        <v>43</v>
      </c>
      <c r="E926" s="4" t="s">
        <v>44</v>
      </c>
      <c r="F926" s="4" t="s">
        <v>31</v>
      </c>
      <c r="G926" s="4" t="s">
        <v>18</v>
      </c>
      <c r="H926" s="4" t="s">
        <v>168</v>
      </c>
      <c r="I926" s="5" t="str">
        <f t="shared" si="14"/>
        <v>2025-04</v>
      </c>
      <c r="J926" s="4" t="s">
        <v>34</v>
      </c>
      <c r="K926" s="5" t="s">
        <v>342</v>
      </c>
      <c r="L926" s="2">
        <v>6800</v>
      </c>
      <c r="M926" s="3">
        <v>44.4</v>
      </c>
      <c r="N926" s="2">
        <v>301920</v>
      </c>
      <c r="O926" s="2">
        <v>0</v>
      </c>
      <c r="P926" s="2">
        <v>301920</v>
      </c>
      <c r="Q926" s="2">
        <f>P926*8.5%</f>
        <v>25663.200000000001</v>
      </c>
    </row>
    <row r="927" spans="1:17" hidden="1" x14ac:dyDescent="0.4">
      <c r="A927" s="4" t="s">
        <v>45</v>
      </c>
      <c r="B927" s="4" t="s">
        <v>26</v>
      </c>
      <c r="C927" s="32" t="s">
        <v>436</v>
      </c>
      <c r="D927" s="4" t="s">
        <v>46</v>
      </c>
      <c r="E927" s="4" t="s">
        <v>47</v>
      </c>
      <c r="F927" s="4" t="s">
        <v>17</v>
      </c>
      <c r="G927" s="4" t="s">
        <v>18</v>
      </c>
      <c r="H927" s="4" t="s">
        <v>168</v>
      </c>
      <c r="I927" s="5" t="str">
        <f t="shared" si="14"/>
        <v>2025-04</v>
      </c>
      <c r="J927" s="4" t="s">
        <v>34</v>
      </c>
      <c r="K927" s="5" t="s">
        <v>342</v>
      </c>
      <c r="L927" s="2">
        <v>6576</v>
      </c>
      <c r="M927" s="3">
        <v>2</v>
      </c>
      <c r="N927" s="2">
        <v>13152</v>
      </c>
      <c r="O927" s="2">
        <v>1315</v>
      </c>
      <c r="P927" s="2">
        <v>14467</v>
      </c>
      <c r="Q927" s="2">
        <f>P927*8.5%</f>
        <v>1229.6950000000002</v>
      </c>
    </row>
    <row r="928" spans="1:17" hidden="1" x14ac:dyDescent="0.4">
      <c r="A928" s="4" t="s">
        <v>32</v>
      </c>
      <c r="B928" s="4" t="s">
        <v>14</v>
      </c>
      <c r="C928" s="31" t="s">
        <v>435</v>
      </c>
      <c r="D928" s="4" t="s">
        <v>33</v>
      </c>
      <c r="E928" s="4" t="s">
        <v>16</v>
      </c>
      <c r="F928" s="4" t="s">
        <v>17</v>
      </c>
      <c r="G928" s="4" t="s">
        <v>18</v>
      </c>
      <c r="H928" s="4" t="s">
        <v>168</v>
      </c>
      <c r="I928" s="5" t="str">
        <f t="shared" si="14"/>
        <v>2025-04</v>
      </c>
      <c r="J928" s="4" t="s">
        <v>153</v>
      </c>
      <c r="K928" s="5" t="s">
        <v>343</v>
      </c>
      <c r="L928" s="2">
        <v>44000</v>
      </c>
      <c r="M928" s="3">
        <v>2</v>
      </c>
      <c r="N928" s="2">
        <v>88000</v>
      </c>
      <c r="O928" s="2">
        <v>8800</v>
      </c>
      <c r="P928" s="2">
        <v>96800</v>
      </c>
      <c r="Q928" s="2">
        <f>P928*12%</f>
        <v>11616</v>
      </c>
    </row>
    <row r="929" spans="1:17" hidden="1" x14ac:dyDescent="0.4">
      <c r="A929" s="4" t="s">
        <v>58</v>
      </c>
      <c r="B929" s="4" t="s">
        <v>14</v>
      </c>
      <c r="C929" s="30" t="s">
        <v>434</v>
      </c>
      <c r="D929" s="4" t="s">
        <v>36</v>
      </c>
      <c r="E929" s="4" t="s">
        <v>16</v>
      </c>
      <c r="F929" s="4" t="s">
        <v>17</v>
      </c>
      <c r="G929" s="4" t="s">
        <v>18</v>
      </c>
      <c r="H929" s="4" t="s">
        <v>168</v>
      </c>
      <c r="I929" s="5" t="str">
        <f t="shared" si="14"/>
        <v>2025-04</v>
      </c>
      <c r="J929" s="4" t="s">
        <v>153</v>
      </c>
      <c r="K929" s="5" t="s">
        <v>343</v>
      </c>
      <c r="L929" s="2">
        <v>120880</v>
      </c>
      <c r="M929" s="3">
        <v>1</v>
      </c>
      <c r="N929" s="2">
        <v>120880</v>
      </c>
      <c r="O929" s="2">
        <v>12088</v>
      </c>
      <c r="P929" s="2">
        <v>132968</v>
      </c>
      <c r="Q929" s="2">
        <f>P929*12%</f>
        <v>15956.16</v>
      </c>
    </row>
    <row r="930" spans="1:17" hidden="1" x14ac:dyDescent="0.4">
      <c r="A930" s="4" t="s">
        <v>13</v>
      </c>
      <c r="B930" s="4" t="s">
        <v>14</v>
      </c>
      <c r="C930" s="30" t="s">
        <v>434</v>
      </c>
      <c r="D930" s="4" t="s">
        <v>15</v>
      </c>
      <c r="E930" s="4" t="s">
        <v>16</v>
      </c>
      <c r="F930" s="4" t="s">
        <v>17</v>
      </c>
      <c r="G930" s="4" t="s">
        <v>18</v>
      </c>
      <c r="H930" s="4" t="s">
        <v>168</v>
      </c>
      <c r="I930" s="5" t="str">
        <f t="shared" si="14"/>
        <v>2025-04</v>
      </c>
      <c r="J930" s="4" t="s">
        <v>153</v>
      </c>
      <c r="K930" s="5" t="s">
        <v>343</v>
      </c>
      <c r="L930" s="2">
        <v>42000</v>
      </c>
      <c r="M930" s="3">
        <v>7</v>
      </c>
      <c r="N930" s="2">
        <v>294000</v>
      </c>
      <c r="O930" s="2">
        <v>29400</v>
      </c>
      <c r="P930" s="2">
        <v>323400</v>
      </c>
      <c r="Q930" s="2">
        <f>P930*12%</f>
        <v>38808</v>
      </c>
    </row>
    <row r="931" spans="1:17" hidden="1" x14ac:dyDescent="0.4">
      <c r="A931" s="4" t="s">
        <v>23</v>
      </c>
      <c r="B931" s="4" t="s">
        <v>14</v>
      </c>
      <c r="C931" s="31" t="s">
        <v>435</v>
      </c>
      <c r="D931" s="4" t="s">
        <v>24</v>
      </c>
      <c r="E931" s="4" t="s">
        <v>16</v>
      </c>
      <c r="F931" s="4" t="s">
        <v>17</v>
      </c>
      <c r="G931" s="4" t="s">
        <v>18</v>
      </c>
      <c r="H931" s="4" t="s">
        <v>168</v>
      </c>
      <c r="I931" s="5" t="str">
        <f t="shared" si="14"/>
        <v>2025-04</v>
      </c>
      <c r="J931" s="4" t="s">
        <v>153</v>
      </c>
      <c r="K931" s="5" t="s">
        <v>343</v>
      </c>
      <c r="L931" s="2">
        <v>54000</v>
      </c>
      <c r="M931" s="3">
        <v>7</v>
      </c>
      <c r="N931" s="2">
        <v>378000</v>
      </c>
      <c r="O931" s="2">
        <v>37800</v>
      </c>
      <c r="P931" s="2">
        <v>415800</v>
      </c>
      <c r="Q931" s="2">
        <f>P931*12%</f>
        <v>49896</v>
      </c>
    </row>
    <row r="932" spans="1:17" hidden="1" x14ac:dyDescent="0.4">
      <c r="A932" s="4" t="s">
        <v>51</v>
      </c>
      <c r="B932" s="4" t="s">
        <v>14</v>
      </c>
      <c r="C932" s="30" t="s">
        <v>434</v>
      </c>
      <c r="D932" s="4" t="s">
        <v>52</v>
      </c>
      <c r="E932" s="4" t="s">
        <v>16</v>
      </c>
      <c r="F932" s="4" t="s">
        <v>17</v>
      </c>
      <c r="G932" s="4" t="s">
        <v>18</v>
      </c>
      <c r="H932" s="4" t="s">
        <v>168</v>
      </c>
      <c r="I932" s="5" t="str">
        <f t="shared" si="14"/>
        <v>2025-04</v>
      </c>
      <c r="J932" s="4" t="s">
        <v>153</v>
      </c>
      <c r="K932" s="5" t="s">
        <v>343</v>
      </c>
      <c r="L932" s="2">
        <v>71250</v>
      </c>
      <c r="M932" s="3">
        <v>1</v>
      </c>
      <c r="N932" s="2">
        <v>71250</v>
      </c>
      <c r="O932" s="2">
        <v>7125</v>
      </c>
      <c r="P932" s="2">
        <v>78375</v>
      </c>
      <c r="Q932" s="2">
        <f>P932*12%</f>
        <v>9405</v>
      </c>
    </row>
    <row r="933" spans="1:17" x14ac:dyDescent="0.4">
      <c r="A933" s="4" t="s">
        <v>13</v>
      </c>
      <c r="B933" s="4" t="s">
        <v>14</v>
      </c>
      <c r="C933" s="30" t="s">
        <v>434</v>
      </c>
      <c r="D933" s="4" t="s">
        <v>15</v>
      </c>
      <c r="E933" s="4" t="s">
        <v>16</v>
      </c>
      <c r="F933" s="4" t="s">
        <v>17</v>
      </c>
      <c r="G933" s="4" t="s">
        <v>18</v>
      </c>
      <c r="H933" s="4" t="s">
        <v>169</v>
      </c>
      <c r="I933" s="5" t="str">
        <f t="shared" si="14"/>
        <v>2025-05</v>
      </c>
      <c r="J933" s="4" t="s">
        <v>20</v>
      </c>
      <c r="K933" s="5" t="s">
        <v>342</v>
      </c>
      <c r="L933" s="2">
        <v>42000</v>
      </c>
      <c r="M933" s="3">
        <v>2</v>
      </c>
      <c r="N933" s="2">
        <v>84000</v>
      </c>
      <c r="O933" s="2">
        <v>8400</v>
      </c>
      <c r="P933" s="2">
        <v>92400</v>
      </c>
      <c r="Q933" s="2">
        <f>P933*8.5%</f>
        <v>7854.0000000000009</v>
      </c>
    </row>
    <row r="934" spans="1:17" x14ac:dyDescent="0.4">
      <c r="A934" s="4" t="s">
        <v>21</v>
      </c>
      <c r="B934" s="4" t="s">
        <v>14</v>
      </c>
      <c r="C934" s="31" t="s">
        <v>435</v>
      </c>
      <c r="D934" s="4" t="s">
        <v>22</v>
      </c>
      <c r="E934" s="4" t="s">
        <v>16</v>
      </c>
      <c r="F934" s="4" t="s">
        <v>17</v>
      </c>
      <c r="G934" s="4" t="s">
        <v>18</v>
      </c>
      <c r="H934" s="4" t="s">
        <v>169</v>
      </c>
      <c r="I934" s="5" t="str">
        <f t="shared" si="14"/>
        <v>2025-05</v>
      </c>
      <c r="J934" s="4" t="s">
        <v>20</v>
      </c>
      <c r="K934" s="5" t="s">
        <v>342</v>
      </c>
      <c r="L934" s="2">
        <v>54000</v>
      </c>
      <c r="M934" s="3">
        <v>2</v>
      </c>
      <c r="N934" s="2">
        <v>108000</v>
      </c>
      <c r="O934" s="2">
        <v>10800</v>
      </c>
      <c r="P934" s="2">
        <v>118800</v>
      </c>
      <c r="Q934" s="2">
        <f>P934*8.5%</f>
        <v>10098</v>
      </c>
    </row>
    <row r="935" spans="1:17" x14ac:dyDescent="0.4">
      <c r="A935" s="4" t="s">
        <v>23</v>
      </c>
      <c r="B935" s="4" t="s">
        <v>14</v>
      </c>
      <c r="C935" s="31" t="s">
        <v>435</v>
      </c>
      <c r="D935" s="4" t="s">
        <v>24</v>
      </c>
      <c r="E935" s="4" t="s">
        <v>16</v>
      </c>
      <c r="F935" s="4" t="s">
        <v>17</v>
      </c>
      <c r="G935" s="4" t="s">
        <v>18</v>
      </c>
      <c r="H935" s="4" t="s">
        <v>169</v>
      </c>
      <c r="I935" s="5" t="str">
        <f t="shared" si="14"/>
        <v>2025-05</v>
      </c>
      <c r="J935" s="4" t="s">
        <v>20</v>
      </c>
      <c r="K935" s="5" t="s">
        <v>342</v>
      </c>
      <c r="L935" s="2">
        <v>54000</v>
      </c>
      <c r="M935" s="3">
        <v>2</v>
      </c>
      <c r="N935" s="2">
        <v>108000</v>
      </c>
      <c r="O935" s="2">
        <v>10800</v>
      </c>
      <c r="P935" s="2">
        <v>118800</v>
      </c>
      <c r="Q935" s="2">
        <f>P935*8.5%</f>
        <v>10098</v>
      </c>
    </row>
    <row r="936" spans="1:17" x14ac:dyDescent="0.4">
      <c r="A936" s="4" t="s">
        <v>54</v>
      </c>
      <c r="B936" s="4" t="s">
        <v>26</v>
      </c>
      <c r="C936" s="32" t="s">
        <v>436</v>
      </c>
      <c r="D936" s="4" t="s">
        <v>55</v>
      </c>
      <c r="E936" s="4" t="s">
        <v>28</v>
      </c>
      <c r="F936" s="4" t="s">
        <v>31</v>
      </c>
      <c r="G936" s="4" t="s">
        <v>18</v>
      </c>
      <c r="H936" s="4" t="s">
        <v>169</v>
      </c>
      <c r="I936" s="5" t="str">
        <f t="shared" si="14"/>
        <v>2025-05</v>
      </c>
      <c r="J936" s="4" t="s">
        <v>20</v>
      </c>
      <c r="K936" s="5" t="s">
        <v>342</v>
      </c>
      <c r="L936" s="2">
        <v>5261</v>
      </c>
      <c r="M936" s="3">
        <v>1</v>
      </c>
      <c r="N936" s="2">
        <v>5261</v>
      </c>
      <c r="O936" s="2">
        <v>0</v>
      </c>
      <c r="P936" s="2">
        <v>5261</v>
      </c>
      <c r="Q936" s="2">
        <f>P936*8.5%</f>
        <v>447.18500000000006</v>
      </c>
    </row>
    <row r="937" spans="1:17" x14ac:dyDescent="0.4">
      <c r="A937" s="4" t="s">
        <v>56</v>
      </c>
      <c r="B937" s="4" t="s">
        <v>26</v>
      </c>
      <c r="C937" s="32" t="s">
        <v>436</v>
      </c>
      <c r="D937" s="4" t="s">
        <v>57</v>
      </c>
      <c r="E937" s="4" t="s">
        <v>44</v>
      </c>
      <c r="F937" s="4" t="s">
        <v>31</v>
      </c>
      <c r="G937" s="4" t="s">
        <v>18</v>
      </c>
      <c r="H937" s="4" t="s">
        <v>169</v>
      </c>
      <c r="I937" s="5" t="str">
        <f t="shared" si="14"/>
        <v>2025-05</v>
      </c>
      <c r="J937" s="4" t="s">
        <v>20</v>
      </c>
      <c r="K937" s="5" t="s">
        <v>342</v>
      </c>
      <c r="L937" s="2">
        <v>2427</v>
      </c>
      <c r="M937" s="3">
        <v>15</v>
      </c>
      <c r="N937" s="2">
        <v>36405</v>
      </c>
      <c r="O937" s="2">
        <v>0</v>
      </c>
      <c r="P937" s="2">
        <v>36405</v>
      </c>
      <c r="Q937" s="2">
        <f>P937*8.5%</f>
        <v>3094.4250000000002</v>
      </c>
    </row>
    <row r="938" spans="1:17" hidden="1" x14ac:dyDescent="0.4">
      <c r="A938" s="4" t="s">
        <v>13</v>
      </c>
      <c r="B938" s="4" t="s">
        <v>14</v>
      </c>
      <c r="C938" s="30" t="s">
        <v>434</v>
      </c>
      <c r="D938" s="4" t="s">
        <v>15</v>
      </c>
      <c r="E938" s="4" t="s">
        <v>16</v>
      </c>
      <c r="F938" s="4" t="s">
        <v>17</v>
      </c>
      <c r="G938" s="4" t="s">
        <v>18</v>
      </c>
      <c r="H938" s="4" t="s">
        <v>169</v>
      </c>
      <c r="I938" s="5" t="str">
        <f t="shared" si="14"/>
        <v>2025-05</v>
      </c>
      <c r="J938" s="4" t="s">
        <v>118</v>
      </c>
      <c r="K938" s="5" t="s">
        <v>342</v>
      </c>
      <c r="L938" s="2">
        <v>42000</v>
      </c>
      <c r="M938" s="3">
        <v>2</v>
      </c>
      <c r="N938" s="2">
        <v>84000</v>
      </c>
      <c r="O938" s="2">
        <v>8400</v>
      </c>
      <c r="P938" s="2">
        <v>92400</v>
      </c>
      <c r="Q938" s="2">
        <f>P938*8.5%</f>
        <v>7854.0000000000009</v>
      </c>
    </row>
    <row r="939" spans="1:17" hidden="1" x14ac:dyDescent="0.4">
      <c r="A939" s="4" t="s">
        <v>23</v>
      </c>
      <c r="B939" s="4" t="s">
        <v>14</v>
      </c>
      <c r="C939" s="31" t="s">
        <v>435</v>
      </c>
      <c r="D939" s="4" t="s">
        <v>24</v>
      </c>
      <c r="E939" s="4" t="s">
        <v>16</v>
      </c>
      <c r="F939" s="4" t="s">
        <v>17</v>
      </c>
      <c r="G939" s="4" t="s">
        <v>18</v>
      </c>
      <c r="H939" s="4" t="s">
        <v>169</v>
      </c>
      <c r="I939" s="5" t="str">
        <f t="shared" si="14"/>
        <v>2025-05</v>
      </c>
      <c r="J939" s="4" t="s">
        <v>118</v>
      </c>
      <c r="K939" s="5" t="s">
        <v>342</v>
      </c>
      <c r="L939" s="2">
        <v>54000</v>
      </c>
      <c r="M939" s="3">
        <v>1</v>
      </c>
      <c r="N939" s="2">
        <v>54000</v>
      </c>
      <c r="O939" s="2">
        <v>5400</v>
      </c>
      <c r="P939" s="2">
        <v>59400</v>
      </c>
      <c r="Q939" s="2">
        <f>P939*8.5%</f>
        <v>5049</v>
      </c>
    </row>
    <row r="940" spans="1:17" hidden="1" x14ac:dyDescent="0.4">
      <c r="A940" s="4" t="s">
        <v>51</v>
      </c>
      <c r="B940" s="4" t="s">
        <v>14</v>
      </c>
      <c r="C940" s="30" t="s">
        <v>434</v>
      </c>
      <c r="D940" s="4" t="s">
        <v>52</v>
      </c>
      <c r="E940" s="4" t="s">
        <v>16</v>
      </c>
      <c r="F940" s="4" t="s">
        <v>17</v>
      </c>
      <c r="G940" s="4" t="s">
        <v>18</v>
      </c>
      <c r="H940" s="4" t="s">
        <v>169</v>
      </c>
      <c r="I940" s="5" t="str">
        <f t="shared" si="14"/>
        <v>2025-05</v>
      </c>
      <c r="J940" s="4" t="s">
        <v>118</v>
      </c>
      <c r="K940" s="5" t="s">
        <v>342</v>
      </c>
      <c r="L940" s="2">
        <v>71250</v>
      </c>
      <c r="M940" s="3">
        <v>1</v>
      </c>
      <c r="N940" s="2">
        <v>71250</v>
      </c>
      <c r="O940" s="2">
        <v>7125</v>
      </c>
      <c r="P940" s="2">
        <v>78375</v>
      </c>
      <c r="Q940" s="2">
        <f>P940*8.5%</f>
        <v>6661.8750000000009</v>
      </c>
    </row>
    <row r="941" spans="1:17" hidden="1" x14ac:dyDescent="0.4">
      <c r="A941" s="4" t="s">
        <v>13</v>
      </c>
      <c r="B941" s="4" t="s">
        <v>14</v>
      </c>
      <c r="C941" s="30" t="s">
        <v>434</v>
      </c>
      <c r="D941" s="4" t="s">
        <v>15</v>
      </c>
      <c r="E941" s="4" t="s">
        <v>16</v>
      </c>
      <c r="F941" s="4" t="s">
        <v>17</v>
      </c>
      <c r="G941" s="4" t="s">
        <v>18</v>
      </c>
      <c r="H941" s="4" t="s">
        <v>169</v>
      </c>
      <c r="I941" s="5" t="str">
        <f t="shared" si="14"/>
        <v>2025-05</v>
      </c>
      <c r="J941" s="4" t="s">
        <v>34</v>
      </c>
      <c r="K941" s="5" t="s">
        <v>342</v>
      </c>
      <c r="L941" s="2">
        <v>42000</v>
      </c>
      <c r="M941" s="3">
        <v>3</v>
      </c>
      <c r="N941" s="2">
        <v>126000</v>
      </c>
      <c r="O941" s="2">
        <v>12600</v>
      </c>
      <c r="P941" s="2">
        <v>138600</v>
      </c>
      <c r="Q941" s="2">
        <f>P941*8.5%</f>
        <v>11781</v>
      </c>
    </row>
    <row r="942" spans="1:17" hidden="1" x14ac:dyDescent="0.4">
      <c r="A942" s="4" t="s">
        <v>21</v>
      </c>
      <c r="B942" s="4" t="s">
        <v>14</v>
      </c>
      <c r="C942" s="31" t="s">
        <v>435</v>
      </c>
      <c r="D942" s="4" t="s">
        <v>22</v>
      </c>
      <c r="E942" s="4" t="s">
        <v>16</v>
      </c>
      <c r="F942" s="4" t="s">
        <v>17</v>
      </c>
      <c r="G942" s="4" t="s">
        <v>18</v>
      </c>
      <c r="H942" s="4" t="s">
        <v>169</v>
      </c>
      <c r="I942" s="5" t="str">
        <f t="shared" si="14"/>
        <v>2025-05</v>
      </c>
      <c r="J942" s="4" t="s">
        <v>34</v>
      </c>
      <c r="K942" s="5" t="s">
        <v>342</v>
      </c>
      <c r="L942" s="2">
        <v>54000</v>
      </c>
      <c r="M942" s="3">
        <v>1</v>
      </c>
      <c r="N942" s="2">
        <v>54000</v>
      </c>
      <c r="O942" s="2">
        <v>5400</v>
      </c>
      <c r="P942" s="2">
        <v>59400</v>
      </c>
      <c r="Q942" s="2">
        <f>P942*8.5%</f>
        <v>5049</v>
      </c>
    </row>
    <row r="943" spans="1:17" hidden="1" x14ac:dyDescent="0.4">
      <c r="A943" s="4" t="s">
        <v>35</v>
      </c>
      <c r="B943" s="4" t="s">
        <v>14</v>
      </c>
      <c r="C943" s="30" t="s">
        <v>434</v>
      </c>
      <c r="D943" s="4" t="s">
        <v>36</v>
      </c>
      <c r="E943" s="4" t="s">
        <v>16</v>
      </c>
      <c r="F943" s="4" t="s">
        <v>17</v>
      </c>
      <c r="G943" s="4" t="s">
        <v>18</v>
      </c>
      <c r="H943" s="4" t="s">
        <v>169</v>
      </c>
      <c r="I943" s="5" t="str">
        <f t="shared" si="14"/>
        <v>2025-05</v>
      </c>
      <c r="J943" s="4" t="s">
        <v>34</v>
      </c>
      <c r="K943" s="5" t="s">
        <v>342</v>
      </c>
      <c r="L943" s="2">
        <v>116220</v>
      </c>
      <c r="M943" s="3">
        <v>1</v>
      </c>
      <c r="N943" s="2">
        <v>116220</v>
      </c>
      <c r="O943" s="2">
        <v>11622</v>
      </c>
      <c r="P943" s="2">
        <v>127842</v>
      </c>
      <c r="Q943" s="2">
        <f>P943*8.5%</f>
        <v>10866.570000000002</v>
      </c>
    </row>
    <row r="944" spans="1:17" hidden="1" x14ac:dyDescent="0.4">
      <c r="A944" s="4" t="s">
        <v>23</v>
      </c>
      <c r="B944" s="4" t="s">
        <v>14</v>
      </c>
      <c r="C944" s="31" t="s">
        <v>435</v>
      </c>
      <c r="D944" s="4" t="s">
        <v>24</v>
      </c>
      <c r="E944" s="4" t="s">
        <v>16</v>
      </c>
      <c r="F944" s="4" t="s">
        <v>17</v>
      </c>
      <c r="G944" s="4" t="s">
        <v>18</v>
      </c>
      <c r="H944" s="4" t="s">
        <v>169</v>
      </c>
      <c r="I944" s="5" t="str">
        <f t="shared" si="14"/>
        <v>2025-05</v>
      </c>
      <c r="J944" s="4" t="s">
        <v>34</v>
      </c>
      <c r="K944" s="5" t="s">
        <v>342</v>
      </c>
      <c r="L944" s="2">
        <v>54000</v>
      </c>
      <c r="M944" s="3">
        <v>2</v>
      </c>
      <c r="N944" s="2">
        <v>108000</v>
      </c>
      <c r="O944" s="2">
        <v>10800</v>
      </c>
      <c r="P944" s="2">
        <v>118800</v>
      </c>
      <c r="Q944" s="2">
        <f>P944*8.5%</f>
        <v>10098</v>
      </c>
    </row>
    <row r="945" spans="1:17" hidden="1" x14ac:dyDescent="0.4">
      <c r="A945" s="4" t="s">
        <v>84</v>
      </c>
      <c r="B945" s="4" t="s">
        <v>26</v>
      </c>
      <c r="C945" s="32" t="s">
        <v>436</v>
      </c>
      <c r="D945" s="4" t="s">
        <v>85</v>
      </c>
      <c r="E945" s="4" t="s">
        <v>28</v>
      </c>
      <c r="F945" s="4" t="s">
        <v>17</v>
      </c>
      <c r="G945" s="4" t="s">
        <v>18</v>
      </c>
      <c r="H945" s="4" t="s">
        <v>169</v>
      </c>
      <c r="I945" s="5" t="str">
        <f t="shared" si="14"/>
        <v>2025-05</v>
      </c>
      <c r="J945" s="4" t="s">
        <v>34</v>
      </c>
      <c r="K945" s="5" t="s">
        <v>342</v>
      </c>
      <c r="L945" s="2">
        <v>5032</v>
      </c>
      <c r="M945" s="3">
        <v>1</v>
      </c>
      <c r="N945" s="2">
        <v>5032</v>
      </c>
      <c r="O945" s="2">
        <v>503</v>
      </c>
      <c r="P945" s="2">
        <v>5535</v>
      </c>
      <c r="Q945" s="2">
        <f>P945*8.5%</f>
        <v>470.47500000000002</v>
      </c>
    </row>
    <row r="946" spans="1:17" hidden="1" x14ac:dyDescent="0.4">
      <c r="A946" s="4" t="s">
        <v>120</v>
      </c>
      <c r="B946" s="4" t="s">
        <v>26</v>
      </c>
      <c r="C946" s="32" t="s">
        <v>436</v>
      </c>
      <c r="D946" s="4" t="s">
        <v>121</v>
      </c>
      <c r="E946" s="4" t="s">
        <v>28</v>
      </c>
      <c r="F946" s="4" t="s">
        <v>17</v>
      </c>
      <c r="G946" s="4" t="s">
        <v>18</v>
      </c>
      <c r="H946" s="4" t="s">
        <v>169</v>
      </c>
      <c r="I946" s="5" t="str">
        <f t="shared" si="14"/>
        <v>2025-05</v>
      </c>
      <c r="J946" s="4" t="s">
        <v>34</v>
      </c>
      <c r="K946" s="5" t="s">
        <v>342</v>
      </c>
      <c r="L946" s="2">
        <v>7653</v>
      </c>
      <c r="M946" s="3">
        <v>2</v>
      </c>
      <c r="N946" s="2">
        <v>15306</v>
      </c>
      <c r="O946" s="2">
        <v>1531</v>
      </c>
      <c r="P946" s="2">
        <v>16837</v>
      </c>
      <c r="Q946" s="2">
        <f>P946*8.5%</f>
        <v>1431.1450000000002</v>
      </c>
    </row>
    <row r="947" spans="1:17" hidden="1" x14ac:dyDescent="0.4">
      <c r="A947" s="4" t="s">
        <v>42</v>
      </c>
      <c r="B947" s="4" t="s">
        <v>14</v>
      </c>
      <c r="C947" s="30" t="s">
        <v>434</v>
      </c>
      <c r="D947" s="4" t="s">
        <v>43</v>
      </c>
      <c r="E947" s="4" t="s">
        <v>44</v>
      </c>
      <c r="F947" s="4" t="s">
        <v>31</v>
      </c>
      <c r="G947" s="4" t="s">
        <v>18</v>
      </c>
      <c r="H947" s="4" t="s">
        <v>169</v>
      </c>
      <c r="I947" s="5" t="str">
        <f t="shared" si="14"/>
        <v>2025-05</v>
      </c>
      <c r="J947" s="4" t="s">
        <v>34</v>
      </c>
      <c r="K947" s="5" t="s">
        <v>342</v>
      </c>
      <c r="L947" s="2">
        <v>6800</v>
      </c>
      <c r="M947" s="3">
        <v>29.1</v>
      </c>
      <c r="N947" s="2">
        <v>197880</v>
      </c>
      <c r="O947" s="2">
        <v>0</v>
      </c>
      <c r="P947" s="2">
        <v>197880</v>
      </c>
      <c r="Q947" s="2">
        <f>P947*8.5%</f>
        <v>16819.800000000003</v>
      </c>
    </row>
    <row r="948" spans="1:17" hidden="1" x14ac:dyDescent="0.4">
      <c r="A948" s="4" t="s">
        <v>13</v>
      </c>
      <c r="B948" s="4" t="s">
        <v>14</v>
      </c>
      <c r="C948" s="30" t="s">
        <v>434</v>
      </c>
      <c r="D948" s="4" t="s">
        <v>15</v>
      </c>
      <c r="E948" s="4" t="s">
        <v>16</v>
      </c>
      <c r="F948" s="4" t="s">
        <v>17</v>
      </c>
      <c r="G948" s="4" t="s">
        <v>18</v>
      </c>
      <c r="H948" s="4" t="s">
        <v>169</v>
      </c>
      <c r="I948" s="5" t="str">
        <f t="shared" si="14"/>
        <v>2025-05</v>
      </c>
      <c r="J948" s="4" t="s">
        <v>59</v>
      </c>
      <c r="K948" s="5" t="s">
        <v>343</v>
      </c>
      <c r="L948" s="2">
        <v>42000</v>
      </c>
      <c r="M948" s="3">
        <v>6</v>
      </c>
      <c r="N948" s="2">
        <v>252000</v>
      </c>
      <c r="O948" s="2">
        <v>25200</v>
      </c>
      <c r="P948" s="2">
        <v>277200</v>
      </c>
      <c r="Q948" s="2">
        <f>P948*12%</f>
        <v>33264</v>
      </c>
    </row>
    <row r="949" spans="1:17" hidden="1" x14ac:dyDescent="0.4">
      <c r="A949" s="4" t="s">
        <v>23</v>
      </c>
      <c r="B949" s="4" t="s">
        <v>14</v>
      </c>
      <c r="C949" s="31" t="s">
        <v>435</v>
      </c>
      <c r="D949" s="4" t="s">
        <v>24</v>
      </c>
      <c r="E949" s="4" t="s">
        <v>16</v>
      </c>
      <c r="F949" s="4" t="s">
        <v>17</v>
      </c>
      <c r="G949" s="4" t="s">
        <v>18</v>
      </c>
      <c r="H949" s="4" t="s">
        <v>169</v>
      </c>
      <c r="I949" s="5" t="str">
        <f t="shared" si="14"/>
        <v>2025-05</v>
      </c>
      <c r="J949" s="4" t="s">
        <v>59</v>
      </c>
      <c r="K949" s="5" t="s">
        <v>343</v>
      </c>
      <c r="L949" s="2">
        <v>54000</v>
      </c>
      <c r="M949" s="3">
        <v>2</v>
      </c>
      <c r="N949" s="2">
        <v>108000</v>
      </c>
      <c r="O949" s="2">
        <v>10800</v>
      </c>
      <c r="P949" s="2">
        <v>118800</v>
      </c>
      <c r="Q949" s="2">
        <f>P949*12%</f>
        <v>14256</v>
      </c>
    </row>
    <row r="950" spans="1:17" hidden="1" x14ac:dyDescent="0.4">
      <c r="A950" s="4" t="s">
        <v>51</v>
      </c>
      <c r="B950" s="4" t="s">
        <v>14</v>
      </c>
      <c r="C950" s="30" t="s">
        <v>434</v>
      </c>
      <c r="D950" s="4" t="s">
        <v>52</v>
      </c>
      <c r="E950" s="4" t="s">
        <v>16</v>
      </c>
      <c r="F950" s="4" t="s">
        <v>17</v>
      </c>
      <c r="G950" s="4" t="s">
        <v>18</v>
      </c>
      <c r="H950" s="4" t="s">
        <v>169</v>
      </c>
      <c r="I950" s="5" t="str">
        <f t="shared" si="14"/>
        <v>2025-05</v>
      </c>
      <c r="J950" s="4" t="s">
        <v>59</v>
      </c>
      <c r="K950" s="5" t="s">
        <v>343</v>
      </c>
      <c r="L950" s="2">
        <v>71250</v>
      </c>
      <c r="M950" s="3">
        <v>1</v>
      </c>
      <c r="N950" s="2">
        <v>71250</v>
      </c>
      <c r="O950" s="2">
        <v>7125</v>
      </c>
      <c r="P950" s="2">
        <v>78375</v>
      </c>
      <c r="Q950" s="2">
        <f>P950*12%</f>
        <v>9405</v>
      </c>
    </row>
    <row r="951" spans="1:17" hidden="1" x14ac:dyDescent="0.4">
      <c r="A951" s="4" t="s">
        <v>100</v>
      </c>
      <c r="B951" s="4" t="s">
        <v>26</v>
      </c>
      <c r="C951" s="32" t="s">
        <v>436</v>
      </c>
      <c r="D951" s="4" t="s">
        <v>101</v>
      </c>
      <c r="E951" s="4" t="s">
        <v>28</v>
      </c>
      <c r="F951" s="4" t="s">
        <v>17</v>
      </c>
      <c r="G951" s="4" t="s">
        <v>18</v>
      </c>
      <c r="H951" s="4" t="s">
        <v>169</v>
      </c>
      <c r="I951" s="5" t="str">
        <f t="shared" si="14"/>
        <v>2025-05</v>
      </c>
      <c r="J951" s="4" t="s">
        <v>59</v>
      </c>
      <c r="K951" s="5" t="s">
        <v>343</v>
      </c>
      <c r="L951" s="2">
        <v>5620</v>
      </c>
      <c r="M951" s="3">
        <v>4</v>
      </c>
      <c r="N951" s="2">
        <v>22480</v>
      </c>
      <c r="O951" s="2">
        <v>2248</v>
      </c>
      <c r="P951" s="2">
        <v>24728</v>
      </c>
      <c r="Q951" s="2">
        <f>P951*12%</f>
        <v>2967.3599999999997</v>
      </c>
    </row>
    <row r="952" spans="1:17" hidden="1" x14ac:dyDescent="0.4">
      <c r="A952" s="4" t="s">
        <v>32</v>
      </c>
      <c r="B952" s="4" t="s">
        <v>14</v>
      </c>
      <c r="C952" s="31" t="s">
        <v>435</v>
      </c>
      <c r="D952" s="4" t="s">
        <v>33</v>
      </c>
      <c r="E952" s="4" t="s">
        <v>16</v>
      </c>
      <c r="F952" s="4" t="s">
        <v>17</v>
      </c>
      <c r="G952" s="4" t="s">
        <v>18</v>
      </c>
      <c r="H952" s="4" t="s">
        <v>169</v>
      </c>
      <c r="I952" s="5" t="str">
        <f t="shared" si="14"/>
        <v>2025-05</v>
      </c>
      <c r="J952" s="4" t="s">
        <v>49</v>
      </c>
      <c r="K952" s="5" t="s">
        <v>343</v>
      </c>
      <c r="L952" s="2">
        <v>44000</v>
      </c>
      <c r="M952" s="3">
        <v>4</v>
      </c>
      <c r="N952" s="2">
        <v>176000</v>
      </c>
      <c r="O952" s="2">
        <v>17600</v>
      </c>
      <c r="P952" s="2">
        <v>193600</v>
      </c>
      <c r="Q952" s="2">
        <f>P952*12%</f>
        <v>23232</v>
      </c>
    </row>
    <row r="953" spans="1:17" hidden="1" x14ac:dyDescent="0.4">
      <c r="A953" s="4" t="s">
        <v>13</v>
      </c>
      <c r="B953" s="4" t="s">
        <v>14</v>
      </c>
      <c r="C953" s="30" t="s">
        <v>434</v>
      </c>
      <c r="D953" s="4" t="s">
        <v>15</v>
      </c>
      <c r="E953" s="4" t="s">
        <v>16</v>
      </c>
      <c r="F953" s="4" t="s">
        <v>17</v>
      </c>
      <c r="G953" s="4" t="s">
        <v>18</v>
      </c>
      <c r="H953" s="4" t="s">
        <v>169</v>
      </c>
      <c r="I953" s="5" t="str">
        <f t="shared" si="14"/>
        <v>2025-05</v>
      </c>
      <c r="J953" s="4" t="s">
        <v>49</v>
      </c>
      <c r="K953" s="5" t="s">
        <v>343</v>
      </c>
      <c r="L953" s="2">
        <v>42000</v>
      </c>
      <c r="M953" s="3">
        <v>6</v>
      </c>
      <c r="N953" s="2">
        <v>252000</v>
      </c>
      <c r="O953" s="2">
        <v>25200</v>
      </c>
      <c r="P953" s="2">
        <v>277200</v>
      </c>
      <c r="Q953" s="2">
        <f>P953*12%</f>
        <v>33264</v>
      </c>
    </row>
    <row r="954" spans="1:17" hidden="1" x14ac:dyDescent="0.4">
      <c r="A954" s="4" t="s">
        <v>35</v>
      </c>
      <c r="B954" s="4" t="s">
        <v>14</v>
      </c>
      <c r="C954" s="30" t="s">
        <v>434</v>
      </c>
      <c r="D954" s="4" t="s">
        <v>36</v>
      </c>
      <c r="E954" s="4" t="s">
        <v>16</v>
      </c>
      <c r="F954" s="4" t="s">
        <v>17</v>
      </c>
      <c r="G954" s="4" t="s">
        <v>18</v>
      </c>
      <c r="H954" s="4" t="s">
        <v>169</v>
      </c>
      <c r="I954" s="5" t="str">
        <f t="shared" si="14"/>
        <v>2025-05</v>
      </c>
      <c r="J954" s="4" t="s">
        <v>49</v>
      </c>
      <c r="K954" s="5" t="s">
        <v>343</v>
      </c>
      <c r="L954" s="2">
        <v>116220</v>
      </c>
      <c r="M954" s="3">
        <v>2</v>
      </c>
      <c r="N954" s="2">
        <v>232440</v>
      </c>
      <c r="O954" s="2">
        <v>23244</v>
      </c>
      <c r="P954" s="2">
        <v>255684</v>
      </c>
      <c r="Q954" s="2">
        <f>P954*12%</f>
        <v>30682.079999999998</v>
      </c>
    </row>
    <row r="955" spans="1:17" hidden="1" x14ac:dyDescent="0.4">
      <c r="A955" s="4" t="s">
        <v>23</v>
      </c>
      <c r="B955" s="4" t="s">
        <v>14</v>
      </c>
      <c r="C955" s="31" t="s">
        <v>435</v>
      </c>
      <c r="D955" s="4" t="s">
        <v>24</v>
      </c>
      <c r="E955" s="4" t="s">
        <v>16</v>
      </c>
      <c r="F955" s="4" t="s">
        <v>17</v>
      </c>
      <c r="G955" s="4" t="s">
        <v>18</v>
      </c>
      <c r="H955" s="4" t="s">
        <v>169</v>
      </c>
      <c r="I955" s="5" t="str">
        <f t="shared" si="14"/>
        <v>2025-05</v>
      </c>
      <c r="J955" s="4" t="s">
        <v>49</v>
      </c>
      <c r="K955" s="5" t="s">
        <v>343</v>
      </c>
      <c r="L955" s="2">
        <v>54000</v>
      </c>
      <c r="M955" s="3">
        <v>3</v>
      </c>
      <c r="N955" s="2">
        <v>162000</v>
      </c>
      <c r="O955" s="2">
        <v>16200</v>
      </c>
      <c r="P955" s="2">
        <v>178200</v>
      </c>
      <c r="Q955" s="2">
        <f>P955*12%</f>
        <v>21384</v>
      </c>
    </row>
    <row r="956" spans="1:17" hidden="1" x14ac:dyDescent="0.4">
      <c r="A956" s="4" t="s">
        <v>51</v>
      </c>
      <c r="B956" s="4" t="s">
        <v>14</v>
      </c>
      <c r="C956" s="30" t="s">
        <v>434</v>
      </c>
      <c r="D956" s="4" t="s">
        <v>52</v>
      </c>
      <c r="E956" s="4" t="s">
        <v>16</v>
      </c>
      <c r="F956" s="4" t="s">
        <v>17</v>
      </c>
      <c r="G956" s="4" t="s">
        <v>18</v>
      </c>
      <c r="H956" s="4" t="s">
        <v>169</v>
      </c>
      <c r="I956" s="5" t="str">
        <f t="shared" si="14"/>
        <v>2025-05</v>
      </c>
      <c r="J956" s="4" t="s">
        <v>49</v>
      </c>
      <c r="K956" s="5" t="s">
        <v>343</v>
      </c>
      <c r="L956" s="2">
        <v>71250</v>
      </c>
      <c r="M956" s="3">
        <v>1</v>
      </c>
      <c r="N956" s="2">
        <v>71250</v>
      </c>
      <c r="O956" s="2">
        <v>7125</v>
      </c>
      <c r="P956" s="2">
        <v>78375</v>
      </c>
      <c r="Q956" s="2">
        <f>P956*12%</f>
        <v>9405</v>
      </c>
    </row>
    <row r="957" spans="1:17" hidden="1" x14ac:dyDescent="0.4">
      <c r="A957" s="4" t="s">
        <v>32</v>
      </c>
      <c r="B957" s="4" t="s">
        <v>14</v>
      </c>
      <c r="C957" s="31" t="s">
        <v>435</v>
      </c>
      <c r="D957" s="4" t="s">
        <v>33</v>
      </c>
      <c r="E957" s="4" t="s">
        <v>16</v>
      </c>
      <c r="F957" s="4" t="s">
        <v>17</v>
      </c>
      <c r="G957" s="4" t="s">
        <v>18</v>
      </c>
      <c r="H957" s="4" t="s">
        <v>169</v>
      </c>
      <c r="I957" s="5" t="str">
        <f t="shared" si="14"/>
        <v>2025-05</v>
      </c>
      <c r="J957" s="4" t="s">
        <v>50</v>
      </c>
      <c r="K957" s="5" t="s">
        <v>343</v>
      </c>
      <c r="L957" s="2">
        <v>44000</v>
      </c>
      <c r="M957" s="3">
        <v>1</v>
      </c>
      <c r="N957" s="2">
        <v>44000</v>
      </c>
      <c r="O957" s="2">
        <v>4400</v>
      </c>
      <c r="P957" s="2">
        <v>48400</v>
      </c>
      <c r="Q957" s="2">
        <f>P957*12%</f>
        <v>5808</v>
      </c>
    </row>
    <row r="958" spans="1:17" hidden="1" x14ac:dyDescent="0.4">
      <c r="A958" s="4" t="s">
        <v>13</v>
      </c>
      <c r="B958" s="4" t="s">
        <v>14</v>
      </c>
      <c r="C958" s="30" t="s">
        <v>434</v>
      </c>
      <c r="D958" s="4" t="s">
        <v>15</v>
      </c>
      <c r="E958" s="4" t="s">
        <v>16</v>
      </c>
      <c r="F958" s="4" t="s">
        <v>17</v>
      </c>
      <c r="G958" s="4" t="s">
        <v>18</v>
      </c>
      <c r="H958" s="4" t="s">
        <v>169</v>
      </c>
      <c r="I958" s="5" t="str">
        <f t="shared" si="14"/>
        <v>2025-05</v>
      </c>
      <c r="J958" s="4" t="s">
        <v>50</v>
      </c>
      <c r="K958" s="5" t="s">
        <v>343</v>
      </c>
      <c r="L958" s="2">
        <v>42000</v>
      </c>
      <c r="M958" s="3">
        <v>10</v>
      </c>
      <c r="N958" s="2">
        <v>420000</v>
      </c>
      <c r="O958" s="2">
        <v>42000</v>
      </c>
      <c r="P958" s="2">
        <v>462000</v>
      </c>
      <c r="Q958" s="2">
        <f>P958*12%</f>
        <v>55440</v>
      </c>
    </row>
    <row r="959" spans="1:17" hidden="1" x14ac:dyDescent="0.4">
      <c r="A959" s="4" t="s">
        <v>23</v>
      </c>
      <c r="B959" s="4" t="s">
        <v>14</v>
      </c>
      <c r="C959" s="31" t="s">
        <v>435</v>
      </c>
      <c r="D959" s="4" t="s">
        <v>24</v>
      </c>
      <c r="E959" s="4" t="s">
        <v>16</v>
      </c>
      <c r="F959" s="4" t="s">
        <v>17</v>
      </c>
      <c r="G959" s="4" t="s">
        <v>18</v>
      </c>
      <c r="H959" s="4" t="s">
        <v>169</v>
      </c>
      <c r="I959" s="5" t="str">
        <f t="shared" si="14"/>
        <v>2025-05</v>
      </c>
      <c r="J959" s="4" t="s">
        <v>50</v>
      </c>
      <c r="K959" s="5" t="s">
        <v>343</v>
      </c>
      <c r="L959" s="2">
        <v>54000</v>
      </c>
      <c r="M959" s="3">
        <v>5</v>
      </c>
      <c r="N959" s="2">
        <v>270000</v>
      </c>
      <c r="O959" s="2">
        <v>27000</v>
      </c>
      <c r="P959" s="2">
        <v>297000</v>
      </c>
      <c r="Q959" s="2">
        <f>P959*12%</f>
        <v>35640</v>
      </c>
    </row>
    <row r="960" spans="1:17" hidden="1" x14ac:dyDescent="0.4">
      <c r="A960" s="4" t="s">
        <v>51</v>
      </c>
      <c r="B960" s="4" t="s">
        <v>14</v>
      </c>
      <c r="C960" s="30" t="s">
        <v>434</v>
      </c>
      <c r="D960" s="4" t="s">
        <v>52</v>
      </c>
      <c r="E960" s="4" t="s">
        <v>16</v>
      </c>
      <c r="F960" s="4" t="s">
        <v>17</v>
      </c>
      <c r="G960" s="4" t="s">
        <v>18</v>
      </c>
      <c r="H960" s="4" t="s">
        <v>169</v>
      </c>
      <c r="I960" s="5" t="str">
        <f t="shared" si="14"/>
        <v>2025-05</v>
      </c>
      <c r="J960" s="4" t="s">
        <v>50</v>
      </c>
      <c r="K960" s="5" t="s">
        <v>343</v>
      </c>
      <c r="L960" s="2">
        <v>71250</v>
      </c>
      <c r="M960" s="3">
        <v>2</v>
      </c>
      <c r="N960" s="2">
        <v>142500</v>
      </c>
      <c r="O960" s="2">
        <v>14250</v>
      </c>
      <c r="P960" s="2">
        <v>156750</v>
      </c>
      <c r="Q960" s="2">
        <f>P960*12%</f>
        <v>18810</v>
      </c>
    </row>
    <row r="961" spans="1:17" x14ac:dyDescent="0.4">
      <c r="A961" s="4" t="s">
        <v>21</v>
      </c>
      <c r="B961" s="4" t="s">
        <v>14</v>
      </c>
      <c r="C961" s="31" t="s">
        <v>435</v>
      </c>
      <c r="D961" s="4" t="s">
        <v>22</v>
      </c>
      <c r="E961" s="4" t="s">
        <v>16</v>
      </c>
      <c r="F961" s="4" t="s">
        <v>17</v>
      </c>
      <c r="G961" s="4" t="s">
        <v>18</v>
      </c>
      <c r="H961" s="4" t="s">
        <v>170</v>
      </c>
      <c r="I961" s="5" t="str">
        <f t="shared" si="14"/>
        <v>2025-05</v>
      </c>
      <c r="J961" s="4" t="s">
        <v>20</v>
      </c>
      <c r="K961" s="5" t="s">
        <v>342</v>
      </c>
      <c r="L961" s="2">
        <v>54000</v>
      </c>
      <c r="M961" s="3">
        <v>1</v>
      </c>
      <c r="N961" s="2">
        <v>54000</v>
      </c>
      <c r="O961" s="2">
        <v>5400</v>
      </c>
      <c r="P961" s="2">
        <v>59400</v>
      </c>
      <c r="Q961" s="2">
        <f>P961*8.5%</f>
        <v>5049</v>
      </c>
    </row>
    <row r="962" spans="1:17" x14ac:dyDescent="0.4">
      <c r="A962" s="4" t="s">
        <v>23</v>
      </c>
      <c r="B962" s="4" t="s">
        <v>14</v>
      </c>
      <c r="C962" s="31" t="s">
        <v>435</v>
      </c>
      <c r="D962" s="4" t="s">
        <v>24</v>
      </c>
      <c r="E962" s="4" t="s">
        <v>16</v>
      </c>
      <c r="F962" s="4" t="s">
        <v>17</v>
      </c>
      <c r="G962" s="4" t="s">
        <v>18</v>
      </c>
      <c r="H962" s="4" t="s">
        <v>170</v>
      </c>
      <c r="I962" s="5" t="str">
        <f t="shared" ref="I962:I1025" si="15">TEXT(H962,"yyyy-mm")</f>
        <v>2025-05</v>
      </c>
      <c r="J962" s="4" t="s">
        <v>20</v>
      </c>
      <c r="K962" s="5" t="s">
        <v>342</v>
      </c>
      <c r="L962" s="2">
        <v>54000</v>
      </c>
      <c r="M962" s="3">
        <v>3</v>
      </c>
      <c r="N962" s="2">
        <v>162000</v>
      </c>
      <c r="O962" s="2">
        <v>16200</v>
      </c>
      <c r="P962" s="2">
        <v>178200</v>
      </c>
      <c r="Q962" s="2">
        <f>P962*8.5%</f>
        <v>15147.000000000002</v>
      </c>
    </row>
    <row r="963" spans="1:17" hidden="1" x14ac:dyDescent="0.4">
      <c r="A963" s="4" t="s">
        <v>32</v>
      </c>
      <c r="B963" s="4" t="s">
        <v>14</v>
      </c>
      <c r="C963" s="31" t="s">
        <v>435</v>
      </c>
      <c r="D963" s="4" t="s">
        <v>33</v>
      </c>
      <c r="E963" s="4" t="s">
        <v>16</v>
      </c>
      <c r="F963" s="4" t="s">
        <v>17</v>
      </c>
      <c r="G963" s="4" t="s">
        <v>18</v>
      </c>
      <c r="H963" s="4" t="s">
        <v>170</v>
      </c>
      <c r="I963" s="5" t="str">
        <f t="shared" si="15"/>
        <v>2025-05</v>
      </c>
      <c r="J963" s="4" t="s">
        <v>118</v>
      </c>
      <c r="K963" s="5" t="s">
        <v>342</v>
      </c>
      <c r="L963" s="2">
        <v>44000</v>
      </c>
      <c r="M963" s="3">
        <v>1</v>
      </c>
      <c r="N963" s="2">
        <v>44000</v>
      </c>
      <c r="O963" s="2">
        <v>4400</v>
      </c>
      <c r="P963" s="2">
        <v>48400</v>
      </c>
      <c r="Q963" s="2">
        <f>P963*8.5%</f>
        <v>4114</v>
      </c>
    </row>
    <row r="964" spans="1:17" hidden="1" x14ac:dyDescent="0.4">
      <c r="A964" s="4" t="s">
        <v>13</v>
      </c>
      <c r="B964" s="4" t="s">
        <v>14</v>
      </c>
      <c r="C964" s="30" t="s">
        <v>434</v>
      </c>
      <c r="D964" s="4" t="s">
        <v>15</v>
      </c>
      <c r="E964" s="4" t="s">
        <v>16</v>
      </c>
      <c r="F964" s="4" t="s">
        <v>17</v>
      </c>
      <c r="G964" s="4" t="s">
        <v>18</v>
      </c>
      <c r="H964" s="4" t="s">
        <v>170</v>
      </c>
      <c r="I964" s="5" t="str">
        <f t="shared" si="15"/>
        <v>2025-05</v>
      </c>
      <c r="J964" s="4" t="s">
        <v>118</v>
      </c>
      <c r="K964" s="5" t="s">
        <v>342</v>
      </c>
      <c r="L964" s="2">
        <v>42000</v>
      </c>
      <c r="M964" s="3">
        <v>3</v>
      </c>
      <c r="N964" s="2">
        <v>126000</v>
      </c>
      <c r="O964" s="2">
        <v>12600</v>
      </c>
      <c r="P964" s="2">
        <v>138600</v>
      </c>
      <c r="Q964" s="2">
        <f>P964*8.5%</f>
        <v>11781</v>
      </c>
    </row>
    <row r="965" spans="1:17" hidden="1" x14ac:dyDescent="0.4">
      <c r="A965" s="4" t="s">
        <v>13</v>
      </c>
      <c r="B965" s="4" t="s">
        <v>14</v>
      </c>
      <c r="C965" s="30" t="s">
        <v>434</v>
      </c>
      <c r="D965" s="4" t="s">
        <v>15</v>
      </c>
      <c r="E965" s="4" t="s">
        <v>16</v>
      </c>
      <c r="F965" s="4" t="s">
        <v>17</v>
      </c>
      <c r="G965" s="4" t="s">
        <v>18</v>
      </c>
      <c r="H965" s="4" t="s">
        <v>170</v>
      </c>
      <c r="I965" s="5" t="str">
        <f t="shared" si="15"/>
        <v>2025-05</v>
      </c>
      <c r="J965" s="4" t="s">
        <v>59</v>
      </c>
      <c r="K965" s="5" t="s">
        <v>343</v>
      </c>
      <c r="L965" s="2">
        <v>42000</v>
      </c>
      <c r="M965" s="3">
        <v>6</v>
      </c>
      <c r="N965" s="2">
        <v>252000</v>
      </c>
      <c r="O965" s="2">
        <v>25200</v>
      </c>
      <c r="P965" s="2">
        <v>277200</v>
      </c>
      <c r="Q965" s="2">
        <f>P965*12%</f>
        <v>33264</v>
      </c>
    </row>
    <row r="966" spans="1:17" hidden="1" x14ac:dyDescent="0.4">
      <c r="A966" s="4" t="s">
        <v>35</v>
      </c>
      <c r="B966" s="4" t="s">
        <v>14</v>
      </c>
      <c r="C966" s="30" t="s">
        <v>434</v>
      </c>
      <c r="D966" s="4" t="s">
        <v>36</v>
      </c>
      <c r="E966" s="4" t="s">
        <v>16</v>
      </c>
      <c r="F966" s="4" t="s">
        <v>17</v>
      </c>
      <c r="G966" s="4" t="s">
        <v>18</v>
      </c>
      <c r="H966" s="4" t="s">
        <v>170</v>
      </c>
      <c r="I966" s="5" t="str">
        <f t="shared" si="15"/>
        <v>2025-05</v>
      </c>
      <c r="J966" s="4" t="s">
        <v>59</v>
      </c>
      <c r="K966" s="5" t="s">
        <v>343</v>
      </c>
      <c r="L966" s="2">
        <v>116220</v>
      </c>
      <c r="M966" s="3">
        <v>1</v>
      </c>
      <c r="N966" s="2">
        <v>116220</v>
      </c>
      <c r="O966" s="2">
        <v>11622</v>
      </c>
      <c r="P966" s="2">
        <v>127842</v>
      </c>
      <c r="Q966" s="2">
        <f>P966*12%</f>
        <v>15341.039999999999</v>
      </c>
    </row>
    <row r="967" spans="1:17" hidden="1" x14ac:dyDescent="0.4">
      <c r="A967" s="4" t="s">
        <v>23</v>
      </c>
      <c r="B967" s="4" t="s">
        <v>14</v>
      </c>
      <c r="C967" s="31" t="s">
        <v>435</v>
      </c>
      <c r="D967" s="4" t="s">
        <v>24</v>
      </c>
      <c r="E967" s="4" t="s">
        <v>16</v>
      </c>
      <c r="F967" s="4" t="s">
        <v>17</v>
      </c>
      <c r="G967" s="4" t="s">
        <v>18</v>
      </c>
      <c r="H967" s="4" t="s">
        <v>170</v>
      </c>
      <c r="I967" s="5" t="str">
        <f t="shared" si="15"/>
        <v>2025-05</v>
      </c>
      <c r="J967" s="4" t="s">
        <v>59</v>
      </c>
      <c r="K967" s="5" t="s">
        <v>343</v>
      </c>
      <c r="L967" s="2">
        <v>54000</v>
      </c>
      <c r="M967" s="3">
        <v>2</v>
      </c>
      <c r="N967" s="2">
        <v>108000</v>
      </c>
      <c r="O967" s="2">
        <v>10800</v>
      </c>
      <c r="P967" s="2">
        <v>118800</v>
      </c>
      <c r="Q967" s="2">
        <f>P967*12%</f>
        <v>14256</v>
      </c>
    </row>
    <row r="968" spans="1:17" hidden="1" x14ac:dyDescent="0.4">
      <c r="A968" s="4" t="s">
        <v>51</v>
      </c>
      <c r="B968" s="4" t="s">
        <v>14</v>
      </c>
      <c r="C968" s="30" t="s">
        <v>434</v>
      </c>
      <c r="D968" s="4" t="s">
        <v>52</v>
      </c>
      <c r="E968" s="4" t="s">
        <v>16</v>
      </c>
      <c r="F968" s="4" t="s">
        <v>17</v>
      </c>
      <c r="G968" s="4" t="s">
        <v>18</v>
      </c>
      <c r="H968" s="4" t="s">
        <v>170</v>
      </c>
      <c r="I968" s="5" t="str">
        <f t="shared" si="15"/>
        <v>2025-05</v>
      </c>
      <c r="J968" s="4" t="s">
        <v>59</v>
      </c>
      <c r="K968" s="5" t="s">
        <v>343</v>
      </c>
      <c r="L968" s="2">
        <v>71250</v>
      </c>
      <c r="M968" s="3">
        <v>1</v>
      </c>
      <c r="N968" s="2">
        <v>71250</v>
      </c>
      <c r="O968" s="2">
        <v>7125</v>
      </c>
      <c r="P968" s="2">
        <v>78375</v>
      </c>
      <c r="Q968" s="2">
        <f>P968*12%</f>
        <v>9405</v>
      </c>
    </row>
    <row r="969" spans="1:17" hidden="1" x14ac:dyDescent="0.4">
      <c r="A969" s="4" t="s">
        <v>32</v>
      </c>
      <c r="B969" s="4" t="s">
        <v>14</v>
      </c>
      <c r="C969" s="31" t="s">
        <v>435</v>
      </c>
      <c r="D969" s="4" t="s">
        <v>33</v>
      </c>
      <c r="E969" s="4" t="s">
        <v>16</v>
      </c>
      <c r="F969" s="4" t="s">
        <v>17</v>
      </c>
      <c r="G969" s="4" t="s">
        <v>18</v>
      </c>
      <c r="H969" s="4" t="s">
        <v>170</v>
      </c>
      <c r="I969" s="5" t="str">
        <f t="shared" si="15"/>
        <v>2025-05</v>
      </c>
      <c r="J969" s="4" t="s">
        <v>153</v>
      </c>
      <c r="K969" s="5" t="s">
        <v>343</v>
      </c>
      <c r="L969" s="2">
        <v>44000</v>
      </c>
      <c r="M969" s="3">
        <v>1</v>
      </c>
      <c r="N969" s="2">
        <v>44000</v>
      </c>
      <c r="O969" s="2">
        <v>4400</v>
      </c>
      <c r="P969" s="2">
        <v>48400</v>
      </c>
      <c r="Q969" s="2">
        <f>P969*12%</f>
        <v>5808</v>
      </c>
    </row>
    <row r="970" spans="1:17" hidden="1" x14ac:dyDescent="0.4">
      <c r="A970" s="4" t="s">
        <v>58</v>
      </c>
      <c r="B970" s="4" t="s">
        <v>14</v>
      </c>
      <c r="C970" s="30" t="s">
        <v>434</v>
      </c>
      <c r="D970" s="4" t="s">
        <v>36</v>
      </c>
      <c r="E970" s="4" t="s">
        <v>16</v>
      </c>
      <c r="F970" s="4" t="s">
        <v>17</v>
      </c>
      <c r="G970" s="4" t="s">
        <v>18</v>
      </c>
      <c r="H970" s="4" t="s">
        <v>170</v>
      </c>
      <c r="I970" s="5" t="str">
        <f t="shared" si="15"/>
        <v>2025-05</v>
      </c>
      <c r="J970" s="4" t="s">
        <v>153</v>
      </c>
      <c r="K970" s="5" t="s">
        <v>343</v>
      </c>
      <c r="L970" s="2">
        <v>120880</v>
      </c>
      <c r="M970" s="3">
        <v>1</v>
      </c>
      <c r="N970" s="2">
        <v>120880</v>
      </c>
      <c r="O970" s="2">
        <v>12088</v>
      </c>
      <c r="P970" s="2">
        <v>132968</v>
      </c>
      <c r="Q970" s="2">
        <f>P970*12%</f>
        <v>15956.16</v>
      </c>
    </row>
    <row r="971" spans="1:17" hidden="1" x14ac:dyDescent="0.4">
      <c r="A971" s="4" t="s">
        <v>13</v>
      </c>
      <c r="B971" s="4" t="s">
        <v>14</v>
      </c>
      <c r="C971" s="30" t="s">
        <v>434</v>
      </c>
      <c r="D971" s="4" t="s">
        <v>15</v>
      </c>
      <c r="E971" s="4" t="s">
        <v>16</v>
      </c>
      <c r="F971" s="4" t="s">
        <v>17</v>
      </c>
      <c r="G971" s="4" t="s">
        <v>18</v>
      </c>
      <c r="H971" s="4" t="s">
        <v>170</v>
      </c>
      <c r="I971" s="5" t="str">
        <f t="shared" si="15"/>
        <v>2025-05</v>
      </c>
      <c r="J971" s="4" t="s">
        <v>153</v>
      </c>
      <c r="K971" s="5" t="s">
        <v>343</v>
      </c>
      <c r="L971" s="2">
        <v>42000</v>
      </c>
      <c r="M971" s="3">
        <v>5</v>
      </c>
      <c r="N971" s="2">
        <v>210000</v>
      </c>
      <c r="O971" s="2">
        <v>21000</v>
      </c>
      <c r="P971" s="2">
        <v>231000</v>
      </c>
      <c r="Q971" s="2">
        <f>P971*12%</f>
        <v>27720</v>
      </c>
    </row>
    <row r="972" spans="1:17" hidden="1" x14ac:dyDescent="0.4">
      <c r="A972" s="4" t="s">
        <v>23</v>
      </c>
      <c r="B972" s="4" t="s">
        <v>14</v>
      </c>
      <c r="C972" s="31" t="s">
        <v>435</v>
      </c>
      <c r="D972" s="4" t="s">
        <v>24</v>
      </c>
      <c r="E972" s="4" t="s">
        <v>16</v>
      </c>
      <c r="F972" s="4" t="s">
        <v>17</v>
      </c>
      <c r="G972" s="4" t="s">
        <v>18</v>
      </c>
      <c r="H972" s="4" t="s">
        <v>170</v>
      </c>
      <c r="I972" s="5" t="str">
        <f t="shared" si="15"/>
        <v>2025-05</v>
      </c>
      <c r="J972" s="4" t="s">
        <v>153</v>
      </c>
      <c r="K972" s="5" t="s">
        <v>343</v>
      </c>
      <c r="L972" s="2">
        <v>54000</v>
      </c>
      <c r="M972" s="3">
        <v>5</v>
      </c>
      <c r="N972" s="2">
        <v>270000</v>
      </c>
      <c r="O972" s="2">
        <v>27000</v>
      </c>
      <c r="P972" s="2">
        <v>297000</v>
      </c>
      <c r="Q972" s="2">
        <f>P972*12%</f>
        <v>35640</v>
      </c>
    </row>
    <row r="973" spans="1:17" hidden="1" x14ac:dyDescent="0.4">
      <c r="A973" s="4" t="s">
        <v>51</v>
      </c>
      <c r="B973" s="4" t="s">
        <v>14</v>
      </c>
      <c r="C973" s="30" t="s">
        <v>434</v>
      </c>
      <c r="D973" s="4" t="s">
        <v>52</v>
      </c>
      <c r="E973" s="4" t="s">
        <v>16</v>
      </c>
      <c r="F973" s="4" t="s">
        <v>17</v>
      </c>
      <c r="G973" s="4" t="s">
        <v>18</v>
      </c>
      <c r="H973" s="4" t="s">
        <v>170</v>
      </c>
      <c r="I973" s="5" t="str">
        <f t="shared" si="15"/>
        <v>2025-05</v>
      </c>
      <c r="J973" s="4" t="s">
        <v>153</v>
      </c>
      <c r="K973" s="5" t="s">
        <v>343</v>
      </c>
      <c r="L973" s="2">
        <v>71250</v>
      </c>
      <c r="M973" s="3">
        <v>1</v>
      </c>
      <c r="N973" s="2">
        <v>71250</v>
      </c>
      <c r="O973" s="2">
        <v>7125</v>
      </c>
      <c r="P973" s="2">
        <v>78375</v>
      </c>
      <c r="Q973" s="2">
        <f>P973*12%</f>
        <v>9405</v>
      </c>
    </row>
    <row r="974" spans="1:17" hidden="1" x14ac:dyDescent="0.4">
      <c r="A974" s="4" t="s">
        <v>32</v>
      </c>
      <c r="B974" s="4" t="s">
        <v>14</v>
      </c>
      <c r="C974" s="31" t="s">
        <v>435</v>
      </c>
      <c r="D974" s="4" t="s">
        <v>33</v>
      </c>
      <c r="E974" s="4" t="s">
        <v>16</v>
      </c>
      <c r="F974" s="4" t="s">
        <v>17</v>
      </c>
      <c r="G974" s="4" t="s">
        <v>18</v>
      </c>
      <c r="H974" s="4" t="s">
        <v>170</v>
      </c>
      <c r="I974" s="5" t="str">
        <f t="shared" si="15"/>
        <v>2025-05</v>
      </c>
      <c r="J974" s="4" t="s">
        <v>49</v>
      </c>
      <c r="K974" s="5" t="s">
        <v>343</v>
      </c>
      <c r="L974" s="2">
        <v>44000</v>
      </c>
      <c r="M974" s="3">
        <v>3</v>
      </c>
      <c r="N974" s="2">
        <v>132000</v>
      </c>
      <c r="O974" s="2">
        <v>13200</v>
      </c>
      <c r="P974" s="2">
        <v>145200</v>
      </c>
      <c r="Q974" s="2">
        <f>P974*12%</f>
        <v>17424</v>
      </c>
    </row>
    <row r="975" spans="1:17" hidden="1" x14ac:dyDescent="0.4">
      <c r="A975" s="4" t="s">
        <v>13</v>
      </c>
      <c r="B975" s="4" t="s">
        <v>14</v>
      </c>
      <c r="C975" s="30" t="s">
        <v>434</v>
      </c>
      <c r="D975" s="4" t="s">
        <v>15</v>
      </c>
      <c r="E975" s="4" t="s">
        <v>16</v>
      </c>
      <c r="F975" s="4" t="s">
        <v>17</v>
      </c>
      <c r="G975" s="4" t="s">
        <v>18</v>
      </c>
      <c r="H975" s="4" t="s">
        <v>170</v>
      </c>
      <c r="I975" s="5" t="str">
        <f t="shared" si="15"/>
        <v>2025-05</v>
      </c>
      <c r="J975" s="4" t="s">
        <v>49</v>
      </c>
      <c r="K975" s="5" t="s">
        <v>343</v>
      </c>
      <c r="L975" s="2">
        <v>42000</v>
      </c>
      <c r="M975" s="3">
        <v>4</v>
      </c>
      <c r="N975" s="2">
        <v>168000</v>
      </c>
      <c r="O975" s="2">
        <v>16800</v>
      </c>
      <c r="P975" s="2">
        <v>184800</v>
      </c>
      <c r="Q975" s="2">
        <f>P975*12%</f>
        <v>22176</v>
      </c>
    </row>
    <row r="976" spans="1:17" hidden="1" x14ac:dyDescent="0.4">
      <c r="A976" s="4" t="s">
        <v>35</v>
      </c>
      <c r="B976" s="4" t="s">
        <v>14</v>
      </c>
      <c r="C976" s="30" t="s">
        <v>434</v>
      </c>
      <c r="D976" s="4" t="s">
        <v>36</v>
      </c>
      <c r="E976" s="4" t="s">
        <v>16</v>
      </c>
      <c r="F976" s="4" t="s">
        <v>17</v>
      </c>
      <c r="G976" s="4" t="s">
        <v>18</v>
      </c>
      <c r="H976" s="4" t="s">
        <v>170</v>
      </c>
      <c r="I976" s="5" t="str">
        <f t="shared" si="15"/>
        <v>2025-05</v>
      </c>
      <c r="J976" s="4" t="s">
        <v>49</v>
      </c>
      <c r="K976" s="5" t="s">
        <v>343</v>
      </c>
      <c r="L976" s="2">
        <v>116220</v>
      </c>
      <c r="M976" s="3">
        <v>1</v>
      </c>
      <c r="N976" s="2">
        <v>116220</v>
      </c>
      <c r="O976" s="2">
        <v>11622</v>
      </c>
      <c r="P976" s="2">
        <v>127842</v>
      </c>
      <c r="Q976" s="2">
        <f>P976*12%</f>
        <v>15341.039999999999</v>
      </c>
    </row>
    <row r="977" spans="1:17" hidden="1" x14ac:dyDescent="0.4">
      <c r="A977" s="4" t="s">
        <v>23</v>
      </c>
      <c r="B977" s="4" t="s">
        <v>14</v>
      </c>
      <c r="C977" s="31" t="s">
        <v>435</v>
      </c>
      <c r="D977" s="4" t="s">
        <v>24</v>
      </c>
      <c r="E977" s="4" t="s">
        <v>16</v>
      </c>
      <c r="F977" s="4" t="s">
        <v>17</v>
      </c>
      <c r="G977" s="4" t="s">
        <v>18</v>
      </c>
      <c r="H977" s="4" t="s">
        <v>170</v>
      </c>
      <c r="I977" s="5" t="str">
        <f t="shared" si="15"/>
        <v>2025-05</v>
      </c>
      <c r="J977" s="4" t="s">
        <v>49</v>
      </c>
      <c r="K977" s="5" t="s">
        <v>343</v>
      </c>
      <c r="L977" s="2">
        <v>54000</v>
      </c>
      <c r="M977" s="3">
        <v>3</v>
      </c>
      <c r="N977" s="2">
        <v>162000</v>
      </c>
      <c r="O977" s="2">
        <v>16200</v>
      </c>
      <c r="P977" s="2">
        <v>178200</v>
      </c>
      <c r="Q977" s="2">
        <f>P977*12%</f>
        <v>21384</v>
      </c>
    </row>
    <row r="978" spans="1:17" hidden="1" x14ac:dyDescent="0.4">
      <c r="A978" s="4" t="s">
        <v>51</v>
      </c>
      <c r="B978" s="4" t="s">
        <v>14</v>
      </c>
      <c r="C978" s="30" t="s">
        <v>434</v>
      </c>
      <c r="D978" s="4" t="s">
        <v>52</v>
      </c>
      <c r="E978" s="4" t="s">
        <v>16</v>
      </c>
      <c r="F978" s="4" t="s">
        <v>17</v>
      </c>
      <c r="G978" s="4" t="s">
        <v>18</v>
      </c>
      <c r="H978" s="4" t="s">
        <v>170</v>
      </c>
      <c r="I978" s="5" t="str">
        <f t="shared" si="15"/>
        <v>2025-05</v>
      </c>
      <c r="J978" s="4" t="s">
        <v>49</v>
      </c>
      <c r="K978" s="5" t="s">
        <v>343</v>
      </c>
      <c r="L978" s="2">
        <v>71250</v>
      </c>
      <c r="M978" s="3">
        <v>1</v>
      </c>
      <c r="N978" s="2">
        <v>71250</v>
      </c>
      <c r="O978" s="2">
        <v>7125</v>
      </c>
      <c r="P978" s="2">
        <v>78375</v>
      </c>
      <c r="Q978" s="2">
        <f>P978*12%</f>
        <v>9405</v>
      </c>
    </row>
    <row r="979" spans="1:17" hidden="1" x14ac:dyDescent="0.4">
      <c r="A979" s="4" t="s">
        <v>32</v>
      </c>
      <c r="B979" s="4" t="s">
        <v>14</v>
      </c>
      <c r="C979" s="31" t="s">
        <v>435</v>
      </c>
      <c r="D979" s="4" t="s">
        <v>33</v>
      </c>
      <c r="E979" s="4" t="s">
        <v>16</v>
      </c>
      <c r="F979" s="4" t="s">
        <v>17</v>
      </c>
      <c r="G979" s="4" t="s">
        <v>18</v>
      </c>
      <c r="H979" s="4" t="s">
        <v>170</v>
      </c>
      <c r="I979" s="5" t="str">
        <f t="shared" si="15"/>
        <v>2025-05</v>
      </c>
      <c r="J979" s="4" t="s">
        <v>50</v>
      </c>
      <c r="K979" s="5" t="s">
        <v>343</v>
      </c>
      <c r="L979" s="2">
        <v>44000</v>
      </c>
      <c r="M979" s="3">
        <v>1</v>
      </c>
      <c r="N979" s="2">
        <v>44000</v>
      </c>
      <c r="O979" s="2">
        <v>4400</v>
      </c>
      <c r="P979" s="2">
        <v>48400</v>
      </c>
      <c r="Q979" s="2">
        <f>P979*12%</f>
        <v>5808</v>
      </c>
    </row>
    <row r="980" spans="1:17" hidden="1" x14ac:dyDescent="0.4">
      <c r="A980" s="4" t="s">
        <v>13</v>
      </c>
      <c r="B980" s="4" t="s">
        <v>14</v>
      </c>
      <c r="C980" s="30" t="s">
        <v>434</v>
      </c>
      <c r="D980" s="4" t="s">
        <v>15</v>
      </c>
      <c r="E980" s="4" t="s">
        <v>16</v>
      </c>
      <c r="F980" s="4" t="s">
        <v>17</v>
      </c>
      <c r="G980" s="4" t="s">
        <v>18</v>
      </c>
      <c r="H980" s="4" t="s">
        <v>170</v>
      </c>
      <c r="I980" s="5" t="str">
        <f t="shared" si="15"/>
        <v>2025-05</v>
      </c>
      <c r="J980" s="4" t="s">
        <v>50</v>
      </c>
      <c r="K980" s="5" t="s">
        <v>343</v>
      </c>
      <c r="L980" s="2">
        <v>42000</v>
      </c>
      <c r="M980" s="3">
        <v>15</v>
      </c>
      <c r="N980" s="2">
        <v>630000</v>
      </c>
      <c r="O980" s="2">
        <v>63000</v>
      </c>
      <c r="P980" s="2">
        <v>693000</v>
      </c>
      <c r="Q980" s="2">
        <f>P980*12%</f>
        <v>83160</v>
      </c>
    </row>
    <row r="981" spans="1:17" hidden="1" x14ac:dyDescent="0.4">
      <c r="A981" s="4" t="s">
        <v>23</v>
      </c>
      <c r="B981" s="4" t="s">
        <v>14</v>
      </c>
      <c r="C981" s="31" t="s">
        <v>435</v>
      </c>
      <c r="D981" s="4" t="s">
        <v>24</v>
      </c>
      <c r="E981" s="4" t="s">
        <v>16</v>
      </c>
      <c r="F981" s="4" t="s">
        <v>17</v>
      </c>
      <c r="G981" s="4" t="s">
        <v>18</v>
      </c>
      <c r="H981" s="4" t="s">
        <v>170</v>
      </c>
      <c r="I981" s="5" t="str">
        <f t="shared" si="15"/>
        <v>2025-05</v>
      </c>
      <c r="J981" s="4" t="s">
        <v>50</v>
      </c>
      <c r="K981" s="5" t="s">
        <v>343</v>
      </c>
      <c r="L981" s="2">
        <v>54000</v>
      </c>
      <c r="M981" s="3">
        <v>5</v>
      </c>
      <c r="N981" s="2">
        <v>270000</v>
      </c>
      <c r="O981" s="2">
        <v>27000</v>
      </c>
      <c r="P981" s="2">
        <v>297000</v>
      </c>
      <c r="Q981" s="2">
        <f>P981*12%</f>
        <v>35640</v>
      </c>
    </row>
    <row r="982" spans="1:17" hidden="1" x14ac:dyDescent="0.4">
      <c r="A982" s="4" t="s">
        <v>51</v>
      </c>
      <c r="B982" s="4" t="s">
        <v>14</v>
      </c>
      <c r="C982" s="30" t="s">
        <v>434</v>
      </c>
      <c r="D982" s="4" t="s">
        <v>52</v>
      </c>
      <c r="E982" s="4" t="s">
        <v>16</v>
      </c>
      <c r="F982" s="4" t="s">
        <v>17</v>
      </c>
      <c r="G982" s="4" t="s">
        <v>18</v>
      </c>
      <c r="H982" s="4" t="s">
        <v>170</v>
      </c>
      <c r="I982" s="5" t="str">
        <f t="shared" si="15"/>
        <v>2025-05</v>
      </c>
      <c r="J982" s="4" t="s">
        <v>50</v>
      </c>
      <c r="K982" s="5" t="s">
        <v>343</v>
      </c>
      <c r="L982" s="2">
        <v>71250</v>
      </c>
      <c r="M982" s="3">
        <v>1</v>
      </c>
      <c r="N982" s="2">
        <v>71250</v>
      </c>
      <c r="O982" s="2">
        <v>7125</v>
      </c>
      <c r="P982" s="2">
        <v>78375</v>
      </c>
      <c r="Q982" s="2">
        <f>P982*12%</f>
        <v>9405</v>
      </c>
    </row>
    <row r="983" spans="1:17" x14ac:dyDescent="0.4">
      <c r="A983" s="4" t="s">
        <v>58</v>
      </c>
      <c r="B983" s="4" t="s">
        <v>14</v>
      </c>
      <c r="C983" s="30" t="s">
        <v>434</v>
      </c>
      <c r="D983" s="4" t="s">
        <v>36</v>
      </c>
      <c r="E983" s="4" t="s">
        <v>16</v>
      </c>
      <c r="F983" s="4" t="s">
        <v>17</v>
      </c>
      <c r="G983" s="4" t="s">
        <v>18</v>
      </c>
      <c r="H983" s="4" t="s">
        <v>171</v>
      </c>
      <c r="I983" s="5" t="str">
        <f t="shared" si="15"/>
        <v>2025-05</v>
      </c>
      <c r="J983" s="4" t="s">
        <v>20</v>
      </c>
      <c r="K983" s="5" t="s">
        <v>342</v>
      </c>
      <c r="L983" s="2">
        <v>120880</v>
      </c>
      <c r="M983" s="3">
        <v>1</v>
      </c>
      <c r="N983" s="2">
        <v>120880</v>
      </c>
      <c r="O983" s="2">
        <v>12088</v>
      </c>
      <c r="P983" s="2">
        <v>132968</v>
      </c>
      <c r="Q983" s="2">
        <f>P983*8.5%</f>
        <v>11302.28</v>
      </c>
    </row>
    <row r="984" spans="1:17" x14ac:dyDescent="0.4">
      <c r="A984" s="4" t="s">
        <v>13</v>
      </c>
      <c r="B984" s="4" t="s">
        <v>14</v>
      </c>
      <c r="C984" s="30" t="s">
        <v>434</v>
      </c>
      <c r="D984" s="4" t="s">
        <v>15</v>
      </c>
      <c r="E984" s="4" t="s">
        <v>16</v>
      </c>
      <c r="F984" s="4" t="s">
        <v>17</v>
      </c>
      <c r="G984" s="4" t="s">
        <v>18</v>
      </c>
      <c r="H984" s="4" t="s">
        <v>171</v>
      </c>
      <c r="I984" s="5" t="str">
        <f t="shared" si="15"/>
        <v>2025-05</v>
      </c>
      <c r="J984" s="4" t="s">
        <v>20</v>
      </c>
      <c r="K984" s="5" t="s">
        <v>342</v>
      </c>
      <c r="L984" s="2">
        <v>42000</v>
      </c>
      <c r="M984" s="3">
        <v>2</v>
      </c>
      <c r="N984" s="2">
        <v>84000</v>
      </c>
      <c r="O984" s="2">
        <v>8400</v>
      </c>
      <c r="P984" s="2">
        <v>92400</v>
      </c>
      <c r="Q984" s="2">
        <f>P984*8.5%</f>
        <v>7854.0000000000009</v>
      </c>
    </row>
    <row r="985" spans="1:17" x14ac:dyDescent="0.4">
      <c r="A985" s="4" t="s">
        <v>21</v>
      </c>
      <c r="B985" s="4" t="s">
        <v>14</v>
      </c>
      <c r="C985" s="31" t="s">
        <v>435</v>
      </c>
      <c r="D985" s="4" t="s">
        <v>22</v>
      </c>
      <c r="E985" s="4" t="s">
        <v>16</v>
      </c>
      <c r="F985" s="4" t="s">
        <v>17</v>
      </c>
      <c r="G985" s="4" t="s">
        <v>18</v>
      </c>
      <c r="H985" s="4" t="s">
        <v>171</v>
      </c>
      <c r="I985" s="5" t="str">
        <f t="shared" si="15"/>
        <v>2025-05</v>
      </c>
      <c r="J985" s="4" t="s">
        <v>20</v>
      </c>
      <c r="K985" s="5" t="s">
        <v>342</v>
      </c>
      <c r="L985" s="2">
        <v>54000</v>
      </c>
      <c r="M985" s="3">
        <v>2</v>
      </c>
      <c r="N985" s="2">
        <v>108000</v>
      </c>
      <c r="O985" s="2">
        <v>10800</v>
      </c>
      <c r="P985" s="2">
        <v>118800</v>
      </c>
      <c r="Q985" s="2">
        <f>P985*8.5%</f>
        <v>10098</v>
      </c>
    </row>
    <row r="986" spans="1:17" x14ac:dyDescent="0.4">
      <c r="A986" s="4" t="s">
        <v>23</v>
      </c>
      <c r="B986" s="4" t="s">
        <v>14</v>
      </c>
      <c r="C986" s="31" t="s">
        <v>435</v>
      </c>
      <c r="D986" s="4" t="s">
        <v>24</v>
      </c>
      <c r="E986" s="4" t="s">
        <v>16</v>
      </c>
      <c r="F986" s="4" t="s">
        <v>17</v>
      </c>
      <c r="G986" s="4" t="s">
        <v>18</v>
      </c>
      <c r="H986" s="4" t="s">
        <v>171</v>
      </c>
      <c r="I986" s="5" t="str">
        <f t="shared" si="15"/>
        <v>2025-05</v>
      </c>
      <c r="J986" s="4" t="s">
        <v>20</v>
      </c>
      <c r="K986" s="5" t="s">
        <v>342</v>
      </c>
      <c r="L986" s="2">
        <v>54000</v>
      </c>
      <c r="M986" s="3">
        <v>2</v>
      </c>
      <c r="N986" s="2">
        <v>108000</v>
      </c>
      <c r="O986" s="2">
        <v>10800</v>
      </c>
      <c r="P986" s="2">
        <v>118800</v>
      </c>
      <c r="Q986" s="2">
        <f>P986*8.5%</f>
        <v>10098</v>
      </c>
    </row>
    <row r="987" spans="1:17" x14ac:dyDescent="0.4">
      <c r="A987" s="4" t="s">
        <v>56</v>
      </c>
      <c r="B987" s="4" t="s">
        <v>26</v>
      </c>
      <c r="C987" s="32" t="s">
        <v>436</v>
      </c>
      <c r="D987" s="4" t="s">
        <v>57</v>
      </c>
      <c r="E987" s="4" t="s">
        <v>44</v>
      </c>
      <c r="F987" s="4" t="s">
        <v>31</v>
      </c>
      <c r="G987" s="4" t="s">
        <v>18</v>
      </c>
      <c r="H987" s="4" t="s">
        <v>171</v>
      </c>
      <c r="I987" s="5" t="str">
        <f t="shared" si="15"/>
        <v>2025-05</v>
      </c>
      <c r="J987" s="4" t="s">
        <v>20</v>
      </c>
      <c r="K987" s="5" t="s">
        <v>342</v>
      </c>
      <c r="L987" s="2">
        <v>2427</v>
      </c>
      <c r="M987" s="3">
        <v>30</v>
      </c>
      <c r="N987" s="2">
        <v>72810</v>
      </c>
      <c r="O987" s="2">
        <v>0</v>
      </c>
      <c r="P987" s="2">
        <v>72810</v>
      </c>
      <c r="Q987" s="2">
        <f>P987*8.5%</f>
        <v>6188.85</v>
      </c>
    </row>
    <row r="988" spans="1:17" hidden="1" x14ac:dyDescent="0.4">
      <c r="A988" s="4" t="s">
        <v>32</v>
      </c>
      <c r="B988" s="4" t="s">
        <v>14</v>
      </c>
      <c r="C988" s="31" t="s">
        <v>435</v>
      </c>
      <c r="D988" s="4" t="s">
        <v>33</v>
      </c>
      <c r="E988" s="4" t="s">
        <v>16</v>
      </c>
      <c r="F988" s="4" t="s">
        <v>17</v>
      </c>
      <c r="G988" s="4" t="s">
        <v>18</v>
      </c>
      <c r="H988" s="4" t="s">
        <v>171</v>
      </c>
      <c r="I988" s="5" t="str">
        <f t="shared" si="15"/>
        <v>2025-05</v>
      </c>
      <c r="J988" s="4" t="s">
        <v>118</v>
      </c>
      <c r="K988" s="5" t="s">
        <v>342</v>
      </c>
      <c r="L988" s="2">
        <v>44000</v>
      </c>
      <c r="M988" s="3">
        <v>1</v>
      </c>
      <c r="N988" s="2">
        <v>44000</v>
      </c>
      <c r="O988" s="2">
        <v>4400</v>
      </c>
      <c r="P988" s="2">
        <v>48400</v>
      </c>
      <c r="Q988" s="2">
        <f>P988*8.5%</f>
        <v>4114</v>
      </c>
    </row>
    <row r="989" spans="1:17" hidden="1" x14ac:dyDescent="0.4">
      <c r="A989" s="4" t="s">
        <v>13</v>
      </c>
      <c r="B989" s="4" t="s">
        <v>14</v>
      </c>
      <c r="C989" s="30" t="s">
        <v>434</v>
      </c>
      <c r="D989" s="4" t="s">
        <v>15</v>
      </c>
      <c r="E989" s="4" t="s">
        <v>16</v>
      </c>
      <c r="F989" s="4" t="s">
        <v>17</v>
      </c>
      <c r="G989" s="4" t="s">
        <v>18</v>
      </c>
      <c r="H989" s="4" t="s">
        <v>171</v>
      </c>
      <c r="I989" s="5" t="str">
        <f t="shared" si="15"/>
        <v>2025-05</v>
      </c>
      <c r="J989" s="4" t="s">
        <v>118</v>
      </c>
      <c r="K989" s="5" t="s">
        <v>342</v>
      </c>
      <c r="L989" s="2">
        <v>42000</v>
      </c>
      <c r="M989" s="3">
        <v>1</v>
      </c>
      <c r="N989" s="2">
        <v>42000</v>
      </c>
      <c r="O989" s="2">
        <v>4200</v>
      </c>
      <c r="P989" s="2">
        <v>46200</v>
      </c>
      <c r="Q989" s="2">
        <f>P989*8.5%</f>
        <v>3927.0000000000005</v>
      </c>
    </row>
    <row r="990" spans="1:17" hidden="1" x14ac:dyDescent="0.4">
      <c r="A990" s="4" t="s">
        <v>23</v>
      </c>
      <c r="B990" s="4" t="s">
        <v>14</v>
      </c>
      <c r="C990" s="31" t="s">
        <v>435</v>
      </c>
      <c r="D990" s="4" t="s">
        <v>24</v>
      </c>
      <c r="E990" s="4" t="s">
        <v>16</v>
      </c>
      <c r="F990" s="4" t="s">
        <v>17</v>
      </c>
      <c r="G990" s="4" t="s">
        <v>18</v>
      </c>
      <c r="H990" s="4" t="s">
        <v>171</v>
      </c>
      <c r="I990" s="5" t="str">
        <f t="shared" si="15"/>
        <v>2025-05</v>
      </c>
      <c r="J990" s="4" t="s">
        <v>118</v>
      </c>
      <c r="K990" s="5" t="s">
        <v>342</v>
      </c>
      <c r="L990" s="2">
        <v>54000</v>
      </c>
      <c r="M990" s="3">
        <v>2</v>
      </c>
      <c r="N990" s="2">
        <v>108000</v>
      </c>
      <c r="O990" s="2">
        <v>10800</v>
      </c>
      <c r="P990" s="2">
        <v>118800</v>
      </c>
      <c r="Q990" s="2">
        <f>P990*8.5%</f>
        <v>10098</v>
      </c>
    </row>
    <row r="991" spans="1:17" hidden="1" x14ac:dyDescent="0.4">
      <c r="A991" s="4" t="s">
        <v>32</v>
      </c>
      <c r="B991" s="4" t="s">
        <v>14</v>
      </c>
      <c r="C991" s="31" t="s">
        <v>435</v>
      </c>
      <c r="D991" s="4" t="s">
        <v>33</v>
      </c>
      <c r="E991" s="4" t="s">
        <v>16</v>
      </c>
      <c r="F991" s="4" t="s">
        <v>17</v>
      </c>
      <c r="G991" s="4" t="s">
        <v>18</v>
      </c>
      <c r="H991" s="4" t="s">
        <v>171</v>
      </c>
      <c r="I991" s="5" t="str">
        <f t="shared" si="15"/>
        <v>2025-05</v>
      </c>
      <c r="J991" s="4" t="s">
        <v>34</v>
      </c>
      <c r="K991" s="5" t="s">
        <v>342</v>
      </c>
      <c r="L991" s="2">
        <v>44000</v>
      </c>
      <c r="M991" s="3">
        <v>3</v>
      </c>
      <c r="N991" s="2">
        <v>132000</v>
      </c>
      <c r="O991" s="2">
        <v>13200</v>
      </c>
      <c r="P991" s="2">
        <v>145200</v>
      </c>
      <c r="Q991" s="2">
        <f>P991*8.5%</f>
        <v>12342</v>
      </c>
    </row>
    <row r="992" spans="1:17" hidden="1" x14ac:dyDescent="0.4">
      <c r="A992" s="4" t="s">
        <v>58</v>
      </c>
      <c r="B992" s="4" t="s">
        <v>14</v>
      </c>
      <c r="C992" s="30" t="s">
        <v>434</v>
      </c>
      <c r="D992" s="4" t="s">
        <v>36</v>
      </c>
      <c r="E992" s="4" t="s">
        <v>16</v>
      </c>
      <c r="F992" s="4" t="s">
        <v>17</v>
      </c>
      <c r="G992" s="4" t="s">
        <v>18</v>
      </c>
      <c r="H992" s="4" t="s">
        <v>171</v>
      </c>
      <c r="I992" s="5" t="str">
        <f t="shared" si="15"/>
        <v>2025-05</v>
      </c>
      <c r="J992" s="4" t="s">
        <v>34</v>
      </c>
      <c r="K992" s="5" t="s">
        <v>342</v>
      </c>
      <c r="L992" s="2">
        <v>120880</v>
      </c>
      <c r="M992" s="3">
        <v>1</v>
      </c>
      <c r="N992" s="2">
        <v>120880</v>
      </c>
      <c r="O992" s="2">
        <v>12088</v>
      </c>
      <c r="P992" s="2">
        <v>132968</v>
      </c>
      <c r="Q992" s="2">
        <f>P992*8.5%</f>
        <v>11302.28</v>
      </c>
    </row>
    <row r="993" spans="1:17" hidden="1" x14ac:dyDescent="0.4">
      <c r="A993" s="4" t="s">
        <v>13</v>
      </c>
      <c r="B993" s="4" t="s">
        <v>14</v>
      </c>
      <c r="C993" s="30" t="s">
        <v>434</v>
      </c>
      <c r="D993" s="4" t="s">
        <v>15</v>
      </c>
      <c r="E993" s="4" t="s">
        <v>16</v>
      </c>
      <c r="F993" s="4" t="s">
        <v>17</v>
      </c>
      <c r="G993" s="4" t="s">
        <v>18</v>
      </c>
      <c r="H993" s="4" t="s">
        <v>171</v>
      </c>
      <c r="I993" s="5" t="str">
        <f t="shared" si="15"/>
        <v>2025-05</v>
      </c>
      <c r="J993" s="4" t="s">
        <v>34</v>
      </c>
      <c r="K993" s="5" t="s">
        <v>342</v>
      </c>
      <c r="L993" s="2">
        <v>42000</v>
      </c>
      <c r="M993" s="3">
        <v>6</v>
      </c>
      <c r="N993" s="2">
        <v>252000</v>
      </c>
      <c r="O993" s="2">
        <v>25200</v>
      </c>
      <c r="P993" s="2">
        <v>277200</v>
      </c>
      <c r="Q993" s="2">
        <f>P993*8.5%</f>
        <v>23562</v>
      </c>
    </row>
    <row r="994" spans="1:17" hidden="1" x14ac:dyDescent="0.4">
      <c r="A994" s="4" t="s">
        <v>21</v>
      </c>
      <c r="B994" s="4" t="s">
        <v>14</v>
      </c>
      <c r="C994" s="31" t="s">
        <v>435</v>
      </c>
      <c r="D994" s="4" t="s">
        <v>22</v>
      </c>
      <c r="E994" s="4" t="s">
        <v>16</v>
      </c>
      <c r="F994" s="4" t="s">
        <v>17</v>
      </c>
      <c r="G994" s="4" t="s">
        <v>18</v>
      </c>
      <c r="H994" s="4" t="s">
        <v>171</v>
      </c>
      <c r="I994" s="5" t="str">
        <f t="shared" si="15"/>
        <v>2025-05</v>
      </c>
      <c r="J994" s="4" t="s">
        <v>34</v>
      </c>
      <c r="K994" s="5" t="s">
        <v>342</v>
      </c>
      <c r="L994" s="2">
        <v>54000</v>
      </c>
      <c r="M994" s="3">
        <v>1</v>
      </c>
      <c r="N994" s="2">
        <v>54000</v>
      </c>
      <c r="O994" s="2">
        <v>5400</v>
      </c>
      <c r="P994" s="2">
        <v>59400</v>
      </c>
      <c r="Q994" s="2">
        <f>P994*8.5%</f>
        <v>5049</v>
      </c>
    </row>
    <row r="995" spans="1:17" hidden="1" x14ac:dyDescent="0.4">
      <c r="A995" s="4" t="s">
        <v>23</v>
      </c>
      <c r="B995" s="4" t="s">
        <v>14</v>
      </c>
      <c r="C995" s="31" t="s">
        <v>435</v>
      </c>
      <c r="D995" s="4" t="s">
        <v>24</v>
      </c>
      <c r="E995" s="4" t="s">
        <v>16</v>
      </c>
      <c r="F995" s="4" t="s">
        <v>17</v>
      </c>
      <c r="G995" s="4" t="s">
        <v>18</v>
      </c>
      <c r="H995" s="4" t="s">
        <v>171</v>
      </c>
      <c r="I995" s="5" t="str">
        <f t="shared" si="15"/>
        <v>2025-05</v>
      </c>
      <c r="J995" s="4" t="s">
        <v>34</v>
      </c>
      <c r="K995" s="5" t="s">
        <v>342</v>
      </c>
      <c r="L995" s="2">
        <v>54000</v>
      </c>
      <c r="M995" s="3">
        <v>2</v>
      </c>
      <c r="N995" s="2">
        <v>108000</v>
      </c>
      <c r="O995" s="2">
        <v>10800</v>
      </c>
      <c r="P995" s="2">
        <v>118800</v>
      </c>
      <c r="Q995" s="2">
        <f>P995*8.5%</f>
        <v>10098</v>
      </c>
    </row>
    <row r="996" spans="1:17" hidden="1" x14ac:dyDescent="0.4">
      <c r="A996" s="4" t="s">
        <v>51</v>
      </c>
      <c r="B996" s="4" t="s">
        <v>14</v>
      </c>
      <c r="C996" s="30" t="s">
        <v>434</v>
      </c>
      <c r="D996" s="4" t="s">
        <v>52</v>
      </c>
      <c r="E996" s="4" t="s">
        <v>16</v>
      </c>
      <c r="F996" s="4" t="s">
        <v>17</v>
      </c>
      <c r="G996" s="4" t="s">
        <v>18</v>
      </c>
      <c r="H996" s="4" t="s">
        <v>171</v>
      </c>
      <c r="I996" s="5" t="str">
        <f t="shared" si="15"/>
        <v>2025-05</v>
      </c>
      <c r="J996" s="4" t="s">
        <v>34</v>
      </c>
      <c r="K996" s="5" t="s">
        <v>342</v>
      </c>
      <c r="L996" s="2">
        <v>71250</v>
      </c>
      <c r="M996" s="3">
        <v>1</v>
      </c>
      <c r="N996" s="2">
        <v>71250</v>
      </c>
      <c r="O996" s="2">
        <v>7125</v>
      </c>
      <c r="P996" s="2">
        <v>78375</v>
      </c>
      <c r="Q996" s="2">
        <f>P996*8.5%</f>
        <v>6661.8750000000009</v>
      </c>
    </row>
    <row r="997" spans="1:17" hidden="1" x14ac:dyDescent="0.4">
      <c r="A997" s="4" t="s">
        <v>73</v>
      </c>
      <c r="B997" s="4" t="s">
        <v>26</v>
      </c>
      <c r="C997" s="32" t="s">
        <v>436</v>
      </c>
      <c r="D997" s="4" t="s">
        <v>57</v>
      </c>
      <c r="E997" s="4" t="s">
        <v>28</v>
      </c>
      <c r="F997" s="4" t="s">
        <v>17</v>
      </c>
      <c r="G997" s="4" t="s">
        <v>18</v>
      </c>
      <c r="H997" s="4" t="s">
        <v>171</v>
      </c>
      <c r="I997" s="5" t="str">
        <f t="shared" si="15"/>
        <v>2025-05</v>
      </c>
      <c r="J997" s="4" t="s">
        <v>34</v>
      </c>
      <c r="K997" s="5" t="s">
        <v>342</v>
      </c>
      <c r="L997" s="2">
        <v>7055</v>
      </c>
      <c r="M997" s="3">
        <v>3</v>
      </c>
      <c r="N997" s="2">
        <v>21165</v>
      </c>
      <c r="O997" s="2">
        <v>2117</v>
      </c>
      <c r="P997" s="2">
        <v>23282</v>
      </c>
      <c r="Q997" s="2">
        <f>P997*8.5%</f>
        <v>1978.9700000000003</v>
      </c>
    </row>
    <row r="998" spans="1:17" hidden="1" x14ac:dyDescent="0.4">
      <c r="A998" s="4" t="s">
        <v>40</v>
      </c>
      <c r="B998" s="4" t="s">
        <v>26</v>
      </c>
      <c r="C998" s="32" t="s">
        <v>436</v>
      </c>
      <c r="D998" s="4" t="s">
        <v>41</v>
      </c>
      <c r="E998" s="4" t="s">
        <v>28</v>
      </c>
      <c r="F998" s="4" t="s">
        <v>17</v>
      </c>
      <c r="G998" s="4" t="s">
        <v>18</v>
      </c>
      <c r="H998" s="4" t="s">
        <v>171</v>
      </c>
      <c r="I998" s="5" t="str">
        <f t="shared" si="15"/>
        <v>2025-05</v>
      </c>
      <c r="J998" s="4" t="s">
        <v>34</v>
      </c>
      <c r="K998" s="5" t="s">
        <v>342</v>
      </c>
      <c r="L998" s="2">
        <v>17936</v>
      </c>
      <c r="M998" s="3">
        <v>2</v>
      </c>
      <c r="N998" s="2">
        <v>35872</v>
      </c>
      <c r="O998" s="2">
        <v>3587</v>
      </c>
      <c r="P998" s="2">
        <v>39459</v>
      </c>
      <c r="Q998" s="2">
        <f>P998*8.5%</f>
        <v>3354.0150000000003</v>
      </c>
    </row>
    <row r="999" spans="1:17" hidden="1" x14ac:dyDescent="0.4">
      <c r="A999" s="4" t="s">
        <v>42</v>
      </c>
      <c r="B999" s="4" t="s">
        <v>14</v>
      </c>
      <c r="C999" s="30" t="s">
        <v>434</v>
      </c>
      <c r="D999" s="4" t="s">
        <v>43</v>
      </c>
      <c r="E999" s="4" t="s">
        <v>44</v>
      </c>
      <c r="F999" s="4" t="s">
        <v>31</v>
      </c>
      <c r="G999" s="4" t="s">
        <v>18</v>
      </c>
      <c r="H999" s="4" t="s">
        <v>171</v>
      </c>
      <c r="I999" s="5" t="str">
        <f t="shared" si="15"/>
        <v>2025-05</v>
      </c>
      <c r="J999" s="4" t="s">
        <v>34</v>
      </c>
      <c r="K999" s="5" t="s">
        <v>342</v>
      </c>
      <c r="L999" s="2">
        <v>6800</v>
      </c>
      <c r="M999" s="3">
        <v>60.2</v>
      </c>
      <c r="N999" s="2">
        <v>409360</v>
      </c>
      <c r="O999" s="2">
        <v>0</v>
      </c>
      <c r="P999" s="2">
        <v>409360</v>
      </c>
      <c r="Q999" s="2">
        <f>P999*8.5%</f>
        <v>34795.600000000006</v>
      </c>
    </row>
    <row r="1000" spans="1:17" hidden="1" x14ac:dyDescent="0.4">
      <c r="A1000" s="4" t="s">
        <v>35</v>
      </c>
      <c r="B1000" s="4" t="s">
        <v>14</v>
      </c>
      <c r="C1000" s="30" t="s">
        <v>434</v>
      </c>
      <c r="D1000" s="4" t="s">
        <v>36</v>
      </c>
      <c r="E1000" s="4" t="s">
        <v>16</v>
      </c>
      <c r="F1000" s="4" t="s">
        <v>17</v>
      </c>
      <c r="G1000" s="4" t="s">
        <v>18</v>
      </c>
      <c r="H1000" s="4" t="s">
        <v>171</v>
      </c>
      <c r="I1000" s="5" t="str">
        <f t="shared" si="15"/>
        <v>2025-05</v>
      </c>
      <c r="J1000" s="4" t="s">
        <v>60</v>
      </c>
      <c r="K1000" s="5" t="s">
        <v>343</v>
      </c>
      <c r="L1000" s="2">
        <v>116220</v>
      </c>
      <c r="M1000" s="3">
        <v>4</v>
      </c>
      <c r="N1000" s="2">
        <v>464880</v>
      </c>
      <c r="O1000" s="2">
        <v>46488</v>
      </c>
      <c r="P1000" s="2">
        <v>511368</v>
      </c>
      <c r="Q1000" s="2">
        <f>P1000*12%</f>
        <v>61364.159999999996</v>
      </c>
    </row>
    <row r="1001" spans="1:17" hidden="1" x14ac:dyDescent="0.4">
      <c r="A1001" s="4" t="s">
        <v>23</v>
      </c>
      <c r="B1001" s="4" t="s">
        <v>14</v>
      </c>
      <c r="C1001" s="31" t="s">
        <v>435</v>
      </c>
      <c r="D1001" s="4" t="s">
        <v>24</v>
      </c>
      <c r="E1001" s="4" t="s">
        <v>16</v>
      </c>
      <c r="F1001" s="4" t="s">
        <v>17</v>
      </c>
      <c r="G1001" s="4" t="s">
        <v>18</v>
      </c>
      <c r="H1001" s="4" t="s">
        <v>171</v>
      </c>
      <c r="I1001" s="5" t="str">
        <f t="shared" si="15"/>
        <v>2025-05</v>
      </c>
      <c r="J1001" s="4" t="s">
        <v>60</v>
      </c>
      <c r="K1001" s="5" t="s">
        <v>343</v>
      </c>
      <c r="L1001" s="2">
        <v>54000</v>
      </c>
      <c r="M1001" s="3">
        <v>8</v>
      </c>
      <c r="N1001" s="2">
        <v>432000</v>
      </c>
      <c r="O1001" s="2">
        <v>43200</v>
      </c>
      <c r="P1001" s="2">
        <v>475200</v>
      </c>
      <c r="Q1001" s="2">
        <f>P1001*12%</f>
        <v>57024</v>
      </c>
    </row>
    <row r="1002" spans="1:17" hidden="1" x14ac:dyDescent="0.4">
      <c r="A1002" s="4" t="s">
        <v>13</v>
      </c>
      <c r="B1002" s="4" t="s">
        <v>14</v>
      </c>
      <c r="C1002" s="30" t="s">
        <v>434</v>
      </c>
      <c r="D1002" s="4" t="s">
        <v>15</v>
      </c>
      <c r="E1002" s="4" t="s">
        <v>16</v>
      </c>
      <c r="F1002" s="4" t="s">
        <v>17</v>
      </c>
      <c r="G1002" s="4" t="s">
        <v>18</v>
      </c>
      <c r="H1002" s="4" t="s">
        <v>171</v>
      </c>
      <c r="I1002" s="5" t="str">
        <f t="shared" si="15"/>
        <v>2025-05</v>
      </c>
      <c r="J1002" s="4" t="s">
        <v>49</v>
      </c>
      <c r="K1002" s="5" t="s">
        <v>343</v>
      </c>
      <c r="L1002" s="2">
        <v>42000</v>
      </c>
      <c r="M1002" s="3">
        <v>3</v>
      </c>
      <c r="N1002" s="2">
        <v>126000</v>
      </c>
      <c r="O1002" s="2">
        <v>12600</v>
      </c>
      <c r="P1002" s="2">
        <v>138600</v>
      </c>
      <c r="Q1002" s="2">
        <f>P1002*12%</f>
        <v>16632</v>
      </c>
    </row>
    <row r="1003" spans="1:17" hidden="1" x14ac:dyDescent="0.4">
      <c r="A1003" s="4" t="s">
        <v>35</v>
      </c>
      <c r="B1003" s="4" t="s">
        <v>14</v>
      </c>
      <c r="C1003" s="30" t="s">
        <v>434</v>
      </c>
      <c r="D1003" s="4" t="s">
        <v>36</v>
      </c>
      <c r="E1003" s="4" t="s">
        <v>16</v>
      </c>
      <c r="F1003" s="4" t="s">
        <v>17</v>
      </c>
      <c r="G1003" s="4" t="s">
        <v>18</v>
      </c>
      <c r="H1003" s="4" t="s">
        <v>171</v>
      </c>
      <c r="I1003" s="5" t="str">
        <f t="shared" si="15"/>
        <v>2025-05</v>
      </c>
      <c r="J1003" s="4" t="s">
        <v>49</v>
      </c>
      <c r="K1003" s="5" t="s">
        <v>343</v>
      </c>
      <c r="L1003" s="2">
        <v>116220</v>
      </c>
      <c r="M1003" s="3">
        <v>1</v>
      </c>
      <c r="N1003" s="2">
        <v>116220</v>
      </c>
      <c r="O1003" s="2">
        <v>11622</v>
      </c>
      <c r="P1003" s="2">
        <v>127842</v>
      </c>
      <c r="Q1003" s="2">
        <f>P1003*12%</f>
        <v>15341.039999999999</v>
      </c>
    </row>
    <row r="1004" spans="1:17" hidden="1" x14ac:dyDescent="0.4">
      <c r="A1004" s="4" t="s">
        <v>23</v>
      </c>
      <c r="B1004" s="4" t="s">
        <v>14</v>
      </c>
      <c r="C1004" s="31" t="s">
        <v>435</v>
      </c>
      <c r="D1004" s="4" t="s">
        <v>24</v>
      </c>
      <c r="E1004" s="4" t="s">
        <v>16</v>
      </c>
      <c r="F1004" s="4" t="s">
        <v>17</v>
      </c>
      <c r="G1004" s="4" t="s">
        <v>18</v>
      </c>
      <c r="H1004" s="4" t="s">
        <v>171</v>
      </c>
      <c r="I1004" s="5" t="str">
        <f t="shared" si="15"/>
        <v>2025-05</v>
      </c>
      <c r="J1004" s="4" t="s">
        <v>49</v>
      </c>
      <c r="K1004" s="5" t="s">
        <v>343</v>
      </c>
      <c r="L1004" s="2">
        <v>54000</v>
      </c>
      <c r="M1004" s="3">
        <v>2</v>
      </c>
      <c r="N1004" s="2">
        <v>108000</v>
      </c>
      <c r="O1004" s="2">
        <v>10800</v>
      </c>
      <c r="P1004" s="2">
        <v>118800</v>
      </c>
      <c r="Q1004" s="2">
        <f>P1004*12%</f>
        <v>14256</v>
      </c>
    </row>
    <row r="1005" spans="1:17" x14ac:dyDescent="0.4">
      <c r="A1005" s="4" t="s">
        <v>13</v>
      </c>
      <c r="B1005" s="4" t="s">
        <v>14</v>
      </c>
      <c r="C1005" s="30" t="s">
        <v>434</v>
      </c>
      <c r="D1005" s="4" t="s">
        <v>15</v>
      </c>
      <c r="E1005" s="4" t="s">
        <v>16</v>
      </c>
      <c r="F1005" s="4" t="s">
        <v>17</v>
      </c>
      <c r="G1005" s="4" t="s">
        <v>18</v>
      </c>
      <c r="H1005" s="4" t="s">
        <v>172</v>
      </c>
      <c r="I1005" s="5" t="str">
        <f t="shared" si="15"/>
        <v>2025-05</v>
      </c>
      <c r="J1005" s="4" t="s">
        <v>20</v>
      </c>
      <c r="K1005" s="5" t="s">
        <v>342</v>
      </c>
      <c r="L1005" s="2">
        <v>42000</v>
      </c>
      <c r="M1005" s="3">
        <v>2</v>
      </c>
      <c r="N1005" s="2">
        <v>84000</v>
      </c>
      <c r="O1005" s="2">
        <v>8400</v>
      </c>
      <c r="P1005" s="2">
        <v>92400</v>
      </c>
      <c r="Q1005" s="2">
        <f>P1005*8.5%</f>
        <v>7854.0000000000009</v>
      </c>
    </row>
    <row r="1006" spans="1:17" x14ac:dyDescent="0.4">
      <c r="A1006" s="4" t="s">
        <v>21</v>
      </c>
      <c r="B1006" s="4" t="s">
        <v>14</v>
      </c>
      <c r="C1006" s="31" t="s">
        <v>435</v>
      </c>
      <c r="D1006" s="4" t="s">
        <v>22</v>
      </c>
      <c r="E1006" s="4" t="s">
        <v>16</v>
      </c>
      <c r="F1006" s="4" t="s">
        <v>17</v>
      </c>
      <c r="G1006" s="4" t="s">
        <v>18</v>
      </c>
      <c r="H1006" s="4" t="s">
        <v>172</v>
      </c>
      <c r="I1006" s="5" t="str">
        <f t="shared" si="15"/>
        <v>2025-05</v>
      </c>
      <c r="J1006" s="4" t="s">
        <v>20</v>
      </c>
      <c r="K1006" s="5" t="s">
        <v>342</v>
      </c>
      <c r="L1006" s="2">
        <v>54000</v>
      </c>
      <c r="M1006" s="3">
        <v>1</v>
      </c>
      <c r="N1006" s="2">
        <v>54000</v>
      </c>
      <c r="O1006" s="2">
        <v>5400</v>
      </c>
      <c r="P1006" s="2">
        <v>59400</v>
      </c>
      <c r="Q1006" s="2">
        <f>P1006*8.5%</f>
        <v>5049</v>
      </c>
    </row>
    <row r="1007" spans="1:17" x14ac:dyDescent="0.4">
      <c r="A1007" s="4" t="s">
        <v>23</v>
      </c>
      <c r="B1007" s="4" t="s">
        <v>14</v>
      </c>
      <c r="C1007" s="31" t="s">
        <v>435</v>
      </c>
      <c r="D1007" s="4" t="s">
        <v>24</v>
      </c>
      <c r="E1007" s="4" t="s">
        <v>16</v>
      </c>
      <c r="F1007" s="4" t="s">
        <v>17</v>
      </c>
      <c r="G1007" s="4" t="s">
        <v>18</v>
      </c>
      <c r="H1007" s="4" t="s">
        <v>172</v>
      </c>
      <c r="I1007" s="5" t="str">
        <f t="shared" si="15"/>
        <v>2025-05</v>
      </c>
      <c r="J1007" s="4" t="s">
        <v>20</v>
      </c>
      <c r="K1007" s="5" t="s">
        <v>342</v>
      </c>
      <c r="L1007" s="2">
        <v>54000</v>
      </c>
      <c r="M1007" s="3">
        <v>3</v>
      </c>
      <c r="N1007" s="2">
        <v>162000</v>
      </c>
      <c r="O1007" s="2">
        <v>16200</v>
      </c>
      <c r="P1007" s="2">
        <v>178200</v>
      </c>
      <c r="Q1007" s="2">
        <f>P1007*8.5%</f>
        <v>15147.000000000002</v>
      </c>
    </row>
    <row r="1008" spans="1:17" hidden="1" x14ac:dyDescent="0.4">
      <c r="A1008" s="4" t="s">
        <v>32</v>
      </c>
      <c r="B1008" s="4" t="s">
        <v>14</v>
      </c>
      <c r="C1008" s="31" t="s">
        <v>435</v>
      </c>
      <c r="D1008" s="4" t="s">
        <v>33</v>
      </c>
      <c r="E1008" s="4" t="s">
        <v>16</v>
      </c>
      <c r="F1008" s="4" t="s">
        <v>17</v>
      </c>
      <c r="G1008" s="4" t="s">
        <v>18</v>
      </c>
      <c r="H1008" s="4" t="s">
        <v>172</v>
      </c>
      <c r="I1008" s="5" t="str">
        <f t="shared" si="15"/>
        <v>2025-05</v>
      </c>
      <c r="J1008" s="4" t="s">
        <v>118</v>
      </c>
      <c r="K1008" s="5" t="s">
        <v>342</v>
      </c>
      <c r="L1008" s="2">
        <v>44000</v>
      </c>
      <c r="M1008" s="3">
        <v>1</v>
      </c>
      <c r="N1008" s="2">
        <v>44000</v>
      </c>
      <c r="O1008" s="2">
        <v>4400</v>
      </c>
      <c r="P1008" s="2">
        <v>48400</v>
      </c>
      <c r="Q1008" s="2">
        <f>P1008*8.5%</f>
        <v>4114</v>
      </c>
    </row>
    <row r="1009" spans="1:17" hidden="1" x14ac:dyDescent="0.4">
      <c r="A1009" s="4" t="s">
        <v>13</v>
      </c>
      <c r="B1009" s="4" t="s">
        <v>14</v>
      </c>
      <c r="C1009" s="30" t="s">
        <v>434</v>
      </c>
      <c r="D1009" s="4" t="s">
        <v>15</v>
      </c>
      <c r="E1009" s="4" t="s">
        <v>16</v>
      </c>
      <c r="F1009" s="4" t="s">
        <v>17</v>
      </c>
      <c r="G1009" s="4" t="s">
        <v>18</v>
      </c>
      <c r="H1009" s="4" t="s">
        <v>172</v>
      </c>
      <c r="I1009" s="5" t="str">
        <f t="shared" si="15"/>
        <v>2025-05</v>
      </c>
      <c r="J1009" s="4" t="s">
        <v>118</v>
      </c>
      <c r="K1009" s="5" t="s">
        <v>342</v>
      </c>
      <c r="L1009" s="2">
        <v>42000</v>
      </c>
      <c r="M1009" s="3">
        <v>3</v>
      </c>
      <c r="N1009" s="2">
        <v>126000</v>
      </c>
      <c r="O1009" s="2">
        <v>12600</v>
      </c>
      <c r="P1009" s="2">
        <v>138600</v>
      </c>
      <c r="Q1009" s="2">
        <f>P1009*8.5%</f>
        <v>11781</v>
      </c>
    </row>
    <row r="1010" spans="1:17" hidden="1" x14ac:dyDescent="0.4">
      <c r="A1010" s="4" t="s">
        <v>23</v>
      </c>
      <c r="B1010" s="4" t="s">
        <v>14</v>
      </c>
      <c r="C1010" s="31" t="s">
        <v>435</v>
      </c>
      <c r="D1010" s="4" t="s">
        <v>24</v>
      </c>
      <c r="E1010" s="4" t="s">
        <v>16</v>
      </c>
      <c r="F1010" s="4" t="s">
        <v>17</v>
      </c>
      <c r="G1010" s="4" t="s">
        <v>18</v>
      </c>
      <c r="H1010" s="4" t="s">
        <v>172</v>
      </c>
      <c r="I1010" s="5" t="str">
        <f t="shared" si="15"/>
        <v>2025-05</v>
      </c>
      <c r="J1010" s="4" t="s">
        <v>118</v>
      </c>
      <c r="K1010" s="5" t="s">
        <v>342</v>
      </c>
      <c r="L1010" s="2">
        <v>54000</v>
      </c>
      <c r="M1010" s="3">
        <v>1</v>
      </c>
      <c r="N1010" s="2">
        <v>54000</v>
      </c>
      <c r="O1010" s="2">
        <v>5400</v>
      </c>
      <c r="P1010" s="2">
        <v>59400</v>
      </c>
      <c r="Q1010" s="2">
        <f>P1010*8.5%</f>
        <v>5049</v>
      </c>
    </row>
    <row r="1011" spans="1:17" hidden="1" x14ac:dyDescent="0.4">
      <c r="A1011" s="4" t="s">
        <v>51</v>
      </c>
      <c r="B1011" s="4" t="s">
        <v>14</v>
      </c>
      <c r="C1011" s="30" t="s">
        <v>434</v>
      </c>
      <c r="D1011" s="4" t="s">
        <v>52</v>
      </c>
      <c r="E1011" s="4" t="s">
        <v>16</v>
      </c>
      <c r="F1011" s="4" t="s">
        <v>17</v>
      </c>
      <c r="G1011" s="4" t="s">
        <v>18</v>
      </c>
      <c r="H1011" s="4" t="s">
        <v>172</v>
      </c>
      <c r="I1011" s="5" t="str">
        <f t="shared" si="15"/>
        <v>2025-05</v>
      </c>
      <c r="J1011" s="4" t="s">
        <v>118</v>
      </c>
      <c r="K1011" s="5" t="s">
        <v>342</v>
      </c>
      <c r="L1011" s="2">
        <v>71250</v>
      </c>
      <c r="M1011" s="3">
        <v>1</v>
      </c>
      <c r="N1011" s="2">
        <v>71250</v>
      </c>
      <c r="O1011" s="2">
        <v>7125</v>
      </c>
      <c r="P1011" s="2">
        <v>78375</v>
      </c>
      <c r="Q1011" s="2">
        <f>P1011*8.5%</f>
        <v>6661.8750000000009</v>
      </c>
    </row>
    <row r="1012" spans="1:17" hidden="1" x14ac:dyDescent="0.4">
      <c r="A1012" s="4" t="s">
        <v>64</v>
      </c>
      <c r="B1012" s="4" t="s">
        <v>65</v>
      </c>
      <c r="C1012" s="32" t="s">
        <v>436</v>
      </c>
      <c r="D1012" s="4" t="s">
        <v>66</v>
      </c>
      <c r="E1012" s="4" t="s">
        <v>16</v>
      </c>
      <c r="F1012" s="4" t="s">
        <v>17</v>
      </c>
      <c r="G1012" s="4" t="s">
        <v>18</v>
      </c>
      <c r="H1012" s="4" t="s">
        <v>172</v>
      </c>
      <c r="I1012" s="5" t="str">
        <f t="shared" si="15"/>
        <v>2025-05</v>
      </c>
      <c r="J1012" s="4" t="s">
        <v>34</v>
      </c>
      <c r="K1012" s="5" t="s">
        <v>342</v>
      </c>
      <c r="L1012" s="2">
        <v>10283</v>
      </c>
      <c r="M1012" s="3">
        <v>1</v>
      </c>
      <c r="N1012" s="2">
        <v>10283</v>
      </c>
      <c r="O1012" s="2">
        <v>1028</v>
      </c>
      <c r="P1012" s="2">
        <v>11311</v>
      </c>
      <c r="Q1012" s="2">
        <f>P1012*8.5%</f>
        <v>961.43500000000006</v>
      </c>
    </row>
    <row r="1013" spans="1:17" hidden="1" x14ac:dyDescent="0.4">
      <c r="A1013" s="4" t="s">
        <v>32</v>
      </c>
      <c r="B1013" s="4" t="s">
        <v>14</v>
      </c>
      <c r="C1013" s="31" t="s">
        <v>435</v>
      </c>
      <c r="D1013" s="4" t="s">
        <v>33</v>
      </c>
      <c r="E1013" s="4" t="s">
        <v>16</v>
      </c>
      <c r="F1013" s="4" t="s">
        <v>17</v>
      </c>
      <c r="G1013" s="4" t="s">
        <v>18</v>
      </c>
      <c r="H1013" s="4" t="s">
        <v>172</v>
      </c>
      <c r="I1013" s="5" t="str">
        <f t="shared" si="15"/>
        <v>2025-05</v>
      </c>
      <c r="J1013" s="4" t="s">
        <v>34</v>
      </c>
      <c r="K1013" s="5" t="s">
        <v>342</v>
      </c>
      <c r="L1013" s="2">
        <v>44000</v>
      </c>
      <c r="M1013" s="3">
        <v>2</v>
      </c>
      <c r="N1013" s="2">
        <v>88000</v>
      </c>
      <c r="O1013" s="2">
        <v>8800</v>
      </c>
      <c r="P1013" s="2">
        <v>96800</v>
      </c>
      <c r="Q1013" s="2">
        <f>P1013*8.5%</f>
        <v>8228</v>
      </c>
    </row>
    <row r="1014" spans="1:17" hidden="1" x14ac:dyDescent="0.4">
      <c r="A1014" s="4" t="s">
        <v>58</v>
      </c>
      <c r="B1014" s="4" t="s">
        <v>14</v>
      </c>
      <c r="C1014" s="30" t="s">
        <v>434</v>
      </c>
      <c r="D1014" s="4" t="s">
        <v>36</v>
      </c>
      <c r="E1014" s="4" t="s">
        <v>16</v>
      </c>
      <c r="F1014" s="4" t="s">
        <v>17</v>
      </c>
      <c r="G1014" s="4" t="s">
        <v>18</v>
      </c>
      <c r="H1014" s="4" t="s">
        <v>172</v>
      </c>
      <c r="I1014" s="5" t="str">
        <f t="shared" si="15"/>
        <v>2025-05</v>
      </c>
      <c r="J1014" s="4" t="s">
        <v>34</v>
      </c>
      <c r="K1014" s="5" t="s">
        <v>342</v>
      </c>
      <c r="L1014" s="2">
        <v>120880</v>
      </c>
      <c r="M1014" s="3">
        <v>1</v>
      </c>
      <c r="N1014" s="2">
        <v>120880</v>
      </c>
      <c r="O1014" s="2">
        <v>12088</v>
      </c>
      <c r="P1014" s="2">
        <v>132968</v>
      </c>
      <c r="Q1014" s="2">
        <f>P1014*8.5%</f>
        <v>11302.28</v>
      </c>
    </row>
    <row r="1015" spans="1:17" hidden="1" x14ac:dyDescent="0.4">
      <c r="A1015" s="4" t="s">
        <v>13</v>
      </c>
      <c r="B1015" s="4" t="s">
        <v>14</v>
      </c>
      <c r="C1015" s="30" t="s">
        <v>434</v>
      </c>
      <c r="D1015" s="4" t="s">
        <v>15</v>
      </c>
      <c r="E1015" s="4" t="s">
        <v>16</v>
      </c>
      <c r="F1015" s="4" t="s">
        <v>17</v>
      </c>
      <c r="G1015" s="4" t="s">
        <v>18</v>
      </c>
      <c r="H1015" s="4" t="s">
        <v>172</v>
      </c>
      <c r="I1015" s="5" t="str">
        <f t="shared" si="15"/>
        <v>2025-05</v>
      </c>
      <c r="J1015" s="4" t="s">
        <v>34</v>
      </c>
      <c r="K1015" s="5" t="s">
        <v>342</v>
      </c>
      <c r="L1015" s="2">
        <v>42000</v>
      </c>
      <c r="M1015" s="3">
        <v>3</v>
      </c>
      <c r="N1015" s="2">
        <v>126000</v>
      </c>
      <c r="O1015" s="2">
        <v>12600</v>
      </c>
      <c r="P1015" s="2">
        <v>138600</v>
      </c>
      <c r="Q1015" s="2">
        <f>P1015*8.5%</f>
        <v>11781</v>
      </c>
    </row>
    <row r="1016" spans="1:17" hidden="1" x14ac:dyDescent="0.4">
      <c r="A1016" s="4" t="s">
        <v>21</v>
      </c>
      <c r="B1016" s="4" t="s">
        <v>14</v>
      </c>
      <c r="C1016" s="31" t="s">
        <v>435</v>
      </c>
      <c r="D1016" s="4" t="s">
        <v>22</v>
      </c>
      <c r="E1016" s="4" t="s">
        <v>16</v>
      </c>
      <c r="F1016" s="4" t="s">
        <v>17</v>
      </c>
      <c r="G1016" s="4" t="s">
        <v>18</v>
      </c>
      <c r="H1016" s="4" t="s">
        <v>172</v>
      </c>
      <c r="I1016" s="5" t="str">
        <f t="shared" si="15"/>
        <v>2025-05</v>
      </c>
      <c r="J1016" s="4" t="s">
        <v>34</v>
      </c>
      <c r="K1016" s="5" t="s">
        <v>342</v>
      </c>
      <c r="L1016" s="2">
        <v>54000</v>
      </c>
      <c r="M1016" s="3">
        <v>2</v>
      </c>
      <c r="N1016" s="2">
        <v>108000</v>
      </c>
      <c r="O1016" s="2">
        <v>10800</v>
      </c>
      <c r="P1016" s="2">
        <v>118800</v>
      </c>
      <c r="Q1016" s="2">
        <f>P1016*8.5%</f>
        <v>10098</v>
      </c>
    </row>
    <row r="1017" spans="1:17" hidden="1" x14ac:dyDescent="0.4">
      <c r="A1017" s="4" t="s">
        <v>23</v>
      </c>
      <c r="B1017" s="4" t="s">
        <v>14</v>
      </c>
      <c r="C1017" s="31" t="s">
        <v>435</v>
      </c>
      <c r="D1017" s="4" t="s">
        <v>24</v>
      </c>
      <c r="E1017" s="4" t="s">
        <v>16</v>
      </c>
      <c r="F1017" s="4" t="s">
        <v>17</v>
      </c>
      <c r="G1017" s="4" t="s">
        <v>18</v>
      </c>
      <c r="H1017" s="4" t="s">
        <v>172</v>
      </c>
      <c r="I1017" s="5" t="str">
        <f t="shared" si="15"/>
        <v>2025-05</v>
      </c>
      <c r="J1017" s="4" t="s">
        <v>34</v>
      </c>
      <c r="K1017" s="5" t="s">
        <v>342</v>
      </c>
      <c r="L1017" s="2">
        <v>54000</v>
      </c>
      <c r="M1017" s="3">
        <v>4</v>
      </c>
      <c r="N1017" s="2">
        <v>216000</v>
      </c>
      <c r="O1017" s="2">
        <v>21600</v>
      </c>
      <c r="P1017" s="2">
        <v>237600</v>
      </c>
      <c r="Q1017" s="2">
        <f>P1017*8.5%</f>
        <v>20196</v>
      </c>
    </row>
    <row r="1018" spans="1:17" hidden="1" x14ac:dyDescent="0.4">
      <c r="A1018" s="4" t="s">
        <v>51</v>
      </c>
      <c r="B1018" s="4" t="s">
        <v>14</v>
      </c>
      <c r="C1018" s="30" t="s">
        <v>434</v>
      </c>
      <c r="D1018" s="4" t="s">
        <v>52</v>
      </c>
      <c r="E1018" s="4" t="s">
        <v>16</v>
      </c>
      <c r="F1018" s="4" t="s">
        <v>17</v>
      </c>
      <c r="G1018" s="4" t="s">
        <v>18</v>
      </c>
      <c r="H1018" s="4" t="s">
        <v>172</v>
      </c>
      <c r="I1018" s="5" t="str">
        <f t="shared" si="15"/>
        <v>2025-05</v>
      </c>
      <c r="J1018" s="4" t="s">
        <v>34</v>
      </c>
      <c r="K1018" s="5" t="s">
        <v>342</v>
      </c>
      <c r="L1018" s="2">
        <v>71250</v>
      </c>
      <c r="M1018" s="3">
        <v>1</v>
      </c>
      <c r="N1018" s="2">
        <v>71250</v>
      </c>
      <c r="O1018" s="2">
        <v>7125</v>
      </c>
      <c r="P1018" s="2">
        <v>78375</v>
      </c>
      <c r="Q1018" s="2">
        <f>P1018*8.5%</f>
        <v>6661.8750000000009</v>
      </c>
    </row>
    <row r="1019" spans="1:17" hidden="1" x14ac:dyDescent="0.4">
      <c r="A1019" s="4" t="s">
        <v>70</v>
      </c>
      <c r="B1019" s="4" t="s">
        <v>26</v>
      </c>
      <c r="C1019" s="32" t="s">
        <v>436</v>
      </c>
      <c r="D1019" s="4" t="s">
        <v>71</v>
      </c>
      <c r="E1019" s="4" t="s">
        <v>28</v>
      </c>
      <c r="F1019" s="4" t="s">
        <v>31</v>
      </c>
      <c r="G1019" s="4" t="s">
        <v>18</v>
      </c>
      <c r="H1019" s="4" t="s">
        <v>172</v>
      </c>
      <c r="I1019" s="5" t="str">
        <f t="shared" si="15"/>
        <v>2025-05</v>
      </c>
      <c r="J1019" s="4" t="s">
        <v>34</v>
      </c>
      <c r="K1019" s="5" t="s">
        <v>342</v>
      </c>
      <c r="L1019" s="2">
        <v>6624</v>
      </c>
      <c r="M1019" s="3">
        <v>3</v>
      </c>
      <c r="N1019" s="2">
        <v>19872</v>
      </c>
      <c r="O1019" s="2">
        <v>0</v>
      </c>
      <c r="P1019" s="2">
        <v>19872</v>
      </c>
      <c r="Q1019" s="2">
        <f>P1019*8.5%</f>
        <v>1689.1200000000001</v>
      </c>
    </row>
    <row r="1020" spans="1:17" hidden="1" x14ac:dyDescent="0.4">
      <c r="A1020" s="4" t="s">
        <v>42</v>
      </c>
      <c r="B1020" s="4" t="s">
        <v>14</v>
      </c>
      <c r="C1020" s="30" t="s">
        <v>434</v>
      </c>
      <c r="D1020" s="4" t="s">
        <v>43</v>
      </c>
      <c r="E1020" s="4" t="s">
        <v>44</v>
      </c>
      <c r="F1020" s="4" t="s">
        <v>31</v>
      </c>
      <c r="G1020" s="4" t="s">
        <v>18</v>
      </c>
      <c r="H1020" s="4" t="s">
        <v>172</v>
      </c>
      <c r="I1020" s="5" t="str">
        <f t="shared" si="15"/>
        <v>2025-05</v>
      </c>
      <c r="J1020" s="4" t="s">
        <v>34</v>
      </c>
      <c r="K1020" s="5" t="s">
        <v>342</v>
      </c>
      <c r="L1020" s="2">
        <v>6800</v>
      </c>
      <c r="M1020" s="3">
        <v>45</v>
      </c>
      <c r="N1020" s="2">
        <v>306000</v>
      </c>
      <c r="O1020" s="2">
        <v>0</v>
      </c>
      <c r="P1020" s="2">
        <v>306000</v>
      </c>
      <c r="Q1020" s="2">
        <f>P1020*8.5%</f>
        <v>26010.000000000004</v>
      </c>
    </row>
    <row r="1021" spans="1:17" hidden="1" x14ac:dyDescent="0.4">
      <c r="A1021" s="4" t="s">
        <v>32</v>
      </c>
      <c r="B1021" s="4" t="s">
        <v>14</v>
      </c>
      <c r="C1021" s="31" t="s">
        <v>435</v>
      </c>
      <c r="D1021" s="4" t="s">
        <v>33</v>
      </c>
      <c r="E1021" s="4" t="s">
        <v>16</v>
      </c>
      <c r="F1021" s="4" t="s">
        <v>17</v>
      </c>
      <c r="G1021" s="4" t="s">
        <v>18</v>
      </c>
      <c r="H1021" s="4" t="s">
        <v>172</v>
      </c>
      <c r="I1021" s="5" t="str">
        <f t="shared" si="15"/>
        <v>2025-05</v>
      </c>
      <c r="J1021" s="4" t="s">
        <v>49</v>
      </c>
      <c r="K1021" s="5" t="s">
        <v>343</v>
      </c>
      <c r="L1021" s="2">
        <v>44000</v>
      </c>
      <c r="M1021" s="3">
        <v>3</v>
      </c>
      <c r="N1021" s="2">
        <v>132000</v>
      </c>
      <c r="O1021" s="2">
        <v>13200</v>
      </c>
      <c r="P1021" s="2">
        <v>145200</v>
      </c>
      <c r="Q1021" s="2">
        <f>P1021*12%</f>
        <v>17424</v>
      </c>
    </row>
    <row r="1022" spans="1:17" hidden="1" x14ac:dyDescent="0.4">
      <c r="A1022" s="4" t="s">
        <v>13</v>
      </c>
      <c r="B1022" s="4" t="s">
        <v>14</v>
      </c>
      <c r="C1022" s="30" t="s">
        <v>434</v>
      </c>
      <c r="D1022" s="4" t="s">
        <v>15</v>
      </c>
      <c r="E1022" s="4" t="s">
        <v>16</v>
      </c>
      <c r="F1022" s="4" t="s">
        <v>17</v>
      </c>
      <c r="G1022" s="4" t="s">
        <v>18</v>
      </c>
      <c r="H1022" s="4" t="s">
        <v>172</v>
      </c>
      <c r="I1022" s="5" t="str">
        <f t="shared" si="15"/>
        <v>2025-05</v>
      </c>
      <c r="J1022" s="4" t="s">
        <v>49</v>
      </c>
      <c r="K1022" s="5" t="s">
        <v>343</v>
      </c>
      <c r="L1022" s="2">
        <v>42000</v>
      </c>
      <c r="M1022" s="3">
        <v>6</v>
      </c>
      <c r="N1022" s="2">
        <v>252000</v>
      </c>
      <c r="O1022" s="2">
        <v>25200</v>
      </c>
      <c r="P1022" s="2">
        <v>277200</v>
      </c>
      <c r="Q1022" s="2">
        <f>P1022*12%</f>
        <v>33264</v>
      </c>
    </row>
    <row r="1023" spans="1:17" hidden="1" x14ac:dyDescent="0.4">
      <c r="A1023" s="4" t="s">
        <v>23</v>
      </c>
      <c r="B1023" s="4" t="s">
        <v>14</v>
      </c>
      <c r="C1023" s="31" t="s">
        <v>435</v>
      </c>
      <c r="D1023" s="4" t="s">
        <v>24</v>
      </c>
      <c r="E1023" s="4" t="s">
        <v>16</v>
      </c>
      <c r="F1023" s="4" t="s">
        <v>17</v>
      </c>
      <c r="G1023" s="4" t="s">
        <v>18</v>
      </c>
      <c r="H1023" s="4" t="s">
        <v>172</v>
      </c>
      <c r="I1023" s="5" t="str">
        <f t="shared" si="15"/>
        <v>2025-05</v>
      </c>
      <c r="J1023" s="4" t="s">
        <v>49</v>
      </c>
      <c r="K1023" s="5" t="s">
        <v>343</v>
      </c>
      <c r="L1023" s="2">
        <v>54000</v>
      </c>
      <c r="M1023" s="3">
        <v>3</v>
      </c>
      <c r="N1023" s="2">
        <v>162000</v>
      </c>
      <c r="O1023" s="2">
        <v>16200</v>
      </c>
      <c r="P1023" s="2">
        <v>178200</v>
      </c>
      <c r="Q1023" s="2">
        <f>P1023*12%</f>
        <v>21384</v>
      </c>
    </row>
    <row r="1024" spans="1:17" x14ac:dyDescent="0.4">
      <c r="A1024" s="4" t="s">
        <v>13</v>
      </c>
      <c r="B1024" s="4" t="s">
        <v>14</v>
      </c>
      <c r="C1024" s="30" t="s">
        <v>434</v>
      </c>
      <c r="D1024" s="4" t="s">
        <v>15</v>
      </c>
      <c r="E1024" s="4" t="s">
        <v>16</v>
      </c>
      <c r="F1024" s="4" t="s">
        <v>17</v>
      </c>
      <c r="G1024" s="4" t="s">
        <v>18</v>
      </c>
      <c r="H1024" s="4" t="s">
        <v>173</v>
      </c>
      <c r="I1024" s="5" t="str">
        <f t="shared" si="15"/>
        <v>2025-05</v>
      </c>
      <c r="J1024" s="4" t="s">
        <v>20</v>
      </c>
      <c r="K1024" s="5" t="s">
        <v>342</v>
      </c>
      <c r="L1024" s="2">
        <v>42000</v>
      </c>
      <c r="M1024" s="3">
        <v>2</v>
      </c>
      <c r="N1024" s="2">
        <v>84000</v>
      </c>
      <c r="O1024" s="2">
        <v>8400</v>
      </c>
      <c r="P1024" s="2">
        <v>92400</v>
      </c>
      <c r="Q1024" s="2">
        <f>P1024*8.5%</f>
        <v>7854.0000000000009</v>
      </c>
    </row>
    <row r="1025" spans="1:17" x14ac:dyDescent="0.4">
      <c r="A1025" s="4" t="s">
        <v>21</v>
      </c>
      <c r="B1025" s="4" t="s">
        <v>14</v>
      </c>
      <c r="C1025" s="31" t="s">
        <v>435</v>
      </c>
      <c r="D1025" s="4" t="s">
        <v>22</v>
      </c>
      <c r="E1025" s="4" t="s">
        <v>16</v>
      </c>
      <c r="F1025" s="4" t="s">
        <v>17</v>
      </c>
      <c r="G1025" s="4" t="s">
        <v>18</v>
      </c>
      <c r="H1025" s="4" t="s">
        <v>173</v>
      </c>
      <c r="I1025" s="5" t="str">
        <f t="shared" si="15"/>
        <v>2025-05</v>
      </c>
      <c r="J1025" s="4" t="s">
        <v>20</v>
      </c>
      <c r="K1025" s="5" t="s">
        <v>342</v>
      </c>
      <c r="L1025" s="2">
        <v>54000</v>
      </c>
      <c r="M1025" s="3">
        <v>2</v>
      </c>
      <c r="N1025" s="2">
        <v>108000</v>
      </c>
      <c r="O1025" s="2">
        <v>10800</v>
      </c>
      <c r="P1025" s="2">
        <v>118800</v>
      </c>
      <c r="Q1025" s="2">
        <f>P1025*8.5%</f>
        <v>10098</v>
      </c>
    </row>
    <row r="1026" spans="1:17" x14ac:dyDescent="0.4">
      <c r="A1026" s="4" t="s">
        <v>23</v>
      </c>
      <c r="B1026" s="4" t="s">
        <v>14</v>
      </c>
      <c r="C1026" s="31" t="s">
        <v>435</v>
      </c>
      <c r="D1026" s="4" t="s">
        <v>24</v>
      </c>
      <c r="E1026" s="4" t="s">
        <v>16</v>
      </c>
      <c r="F1026" s="4" t="s">
        <v>17</v>
      </c>
      <c r="G1026" s="4" t="s">
        <v>18</v>
      </c>
      <c r="H1026" s="4" t="s">
        <v>173</v>
      </c>
      <c r="I1026" s="5" t="str">
        <f t="shared" ref="I1026:I1089" si="16">TEXT(H1026,"yyyy-mm")</f>
        <v>2025-05</v>
      </c>
      <c r="J1026" s="4" t="s">
        <v>20</v>
      </c>
      <c r="K1026" s="5" t="s">
        <v>342</v>
      </c>
      <c r="L1026" s="2">
        <v>54000</v>
      </c>
      <c r="M1026" s="3">
        <v>1</v>
      </c>
      <c r="N1026" s="2">
        <v>54000</v>
      </c>
      <c r="O1026" s="2">
        <v>5400</v>
      </c>
      <c r="P1026" s="2">
        <v>59400</v>
      </c>
      <c r="Q1026" s="2">
        <f>P1026*8.5%</f>
        <v>5049</v>
      </c>
    </row>
    <row r="1027" spans="1:17" x14ac:dyDescent="0.4">
      <c r="A1027" s="4" t="s">
        <v>76</v>
      </c>
      <c r="B1027" s="4" t="s">
        <v>65</v>
      </c>
      <c r="C1027" s="32" t="s">
        <v>436</v>
      </c>
      <c r="D1027" s="4" t="s">
        <v>27</v>
      </c>
      <c r="E1027" s="4" t="s">
        <v>28</v>
      </c>
      <c r="F1027" s="4" t="s">
        <v>17</v>
      </c>
      <c r="G1027" s="4" t="s">
        <v>18</v>
      </c>
      <c r="H1027" s="4" t="s">
        <v>173</v>
      </c>
      <c r="I1027" s="5" t="str">
        <f t="shared" si="16"/>
        <v>2025-05</v>
      </c>
      <c r="J1027" s="4" t="s">
        <v>20</v>
      </c>
      <c r="K1027" s="5" t="s">
        <v>342</v>
      </c>
      <c r="L1027" s="2">
        <v>16142</v>
      </c>
      <c r="M1027" s="3">
        <v>1</v>
      </c>
      <c r="N1027" s="2">
        <v>16142</v>
      </c>
      <c r="O1027" s="2">
        <v>1614</v>
      </c>
      <c r="P1027" s="2">
        <v>17756</v>
      </c>
      <c r="Q1027" s="2">
        <f>P1027*8.5%</f>
        <v>1509.2600000000002</v>
      </c>
    </row>
    <row r="1028" spans="1:17" x14ac:dyDescent="0.4">
      <c r="A1028" s="4" t="s">
        <v>25</v>
      </c>
      <c r="B1028" s="4" t="s">
        <v>26</v>
      </c>
      <c r="C1028" s="32" t="s">
        <v>436</v>
      </c>
      <c r="D1028" s="4" t="s">
        <v>27</v>
      </c>
      <c r="E1028" s="4" t="s">
        <v>28</v>
      </c>
      <c r="F1028" s="4" t="s">
        <v>17</v>
      </c>
      <c r="G1028" s="4" t="s">
        <v>18</v>
      </c>
      <c r="H1028" s="4" t="s">
        <v>173</v>
      </c>
      <c r="I1028" s="5" t="str">
        <f t="shared" si="16"/>
        <v>2025-05</v>
      </c>
      <c r="J1028" s="4" t="s">
        <v>20</v>
      </c>
      <c r="K1028" s="5" t="s">
        <v>342</v>
      </c>
      <c r="L1028" s="2">
        <v>2631</v>
      </c>
      <c r="M1028" s="3">
        <v>1</v>
      </c>
      <c r="N1028" s="2">
        <v>2631</v>
      </c>
      <c r="O1028" s="2">
        <v>263</v>
      </c>
      <c r="P1028" s="2">
        <v>2894</v>
      </c>
      <c r="Q1028" s="2">
        <f>P1028*8.5%</f>
        <v>245.99</v>
      </c>
    </row>
    <row r="1029" spans="1:17" x14ac:dyDescent="0.4">
      <c r="A1029" s="4" t="s">
        <v>29</v>
      </c>
      <c r="B1029" s="4" t="s">
        <v>26</v>
      </c>
      <c r="C1029" s="32" t="s">
        <v>436</v>
      </c>
      <c r="D1029" s="4" t="s">
        <v>30</v>
      </c>
      <c r="E1029" s="4" t="s">
        <v>28</v>
      </c>
      <c r="F1029" s="4" t="s">
        <v>31</v>
      </c>
      <c r="G1029" s="4" t="s">
        <v>18</v>
      </c>
      <c r="H1029" s="4" t="s">
        <v>173</v>
      </c>
      <c r="I1029" s="5" t="str">
        <f t="shared" si="16"/>
        <v>2025-05</v>
      </c>
      <c r="J1029" s="4" t="s">
        <v>20</v>
      </c>
      <c r="K1029" s="5" t="s">
        <v>342</v>
      </c>
      <c r="L1029" s="2">
        <v>3719</v>
      </c>
      <c r="M1029" s="3">
        <v>1</v>
      </c>
      <c r="N1029" s="2">
        <v>3719</v>
      </c>
      <c r="O1029" s="2">
        <v>0</v>
      </c>
      <c r="P1029" s="2">
        <v>3719</v>
      </c>
      <c r="Q1029" s="2">
        <f>P1029*8.5%</f>
        <v>316.11500000000001</v>
      </c>
    </row>
    <row r="1030" spans="1:17" x14ac:dyDescent="0.4">
      <c r="A1030" s="4" t="s">
        <v>56</v>
      </c>
      <c r="B1030" s="4" t="s">
        <v>26</v>
      </c>
      <c r="C1030" s="32" t="s">
        <v>436</v>
      </c>
      <c r="D1030" s="4" t="s">
        <v>57</v>
      </c>
      <c r="E1030" s="4" t="s">
        <v>44</v>
      </c>
      <c r="F1030" s="4" t="s">
        <v>31</v>
      </c>
      <c r="G1030" s="4" t="s">
        <v>18</v>
      </c>
      <c r="H1030" s="4" t="s">
        <v>173</v>
      </c>
      <c r="I1030" s="5" t="str">
        <f t="shared" si="16"/>
        <v>2025-05</v>
      </c>
      <c r="J1030" s="4" t="s">
        <v>20</v>
      </c>
      <c r="K1030" s="5" t="s">
        <v>342</v>
      </c>
      <c r="L1030" s="2">
        <v>2427</v>
      </c>
      <c r="M1030" s="3">
        <v>23</v>
      </c>
      <c r="N1030" s="2">
        <v>55821</v>
      </c>
      <c r="O1030" s="2">
        <v>0</v>
      </c>
      <c r="P1030" s="2">
        <v>55821</v>
      </c>
      <c r="Q1030" s="2">
        <f>P1030*8.5%</f>
        <v>4744.7850000000008</v>
      </c>
    </row>
    <row r="1031" spans="1:17" hidden="1" x14ac:dyDescent="0.4">
      <c r="A1031" s="4" t="s">
        <v>32</v>
      </c>
      <c r="B1031" s="4" t="s">
        <v>14</v>
      </c>
      <c r="C1031" s="31" t="s">
        <v>435</v>
      </c>
      <c r="D1031" s="4" t="s">
        <v>33</v>
      </c>
      <c r="E1031" s="4" t="s">
        <v>16</v>
      </c>
      <c r="F1031" s="4" t="s">
        <v>17</v>
      </c>
      <c r="G1031" s="4" t="s">
        <v>18</v>
      </c>
      <c r="H1031" s="4" t="s">
        <v>173</v>
      </c>
      <c r="I1031" s="5" t="str">
        <f t="shared" si="16"/>
        <v>2025-05</v>
      </c>
      <c r="J1031" s="4" t="s">
        <v>118</v>
      </c>
      <c r="K1031" s="5" t="s">
        <v>342</v>
      </c>
      <c r="L1031" s="2">
        <v>44000</v>
      </c>
      <c r="M1031" s="3">
        <v>1</v>
      </c>
      <c r="N1031" s="2">
        <v>44000</v>
      </c>
      <c r="O1031" s="2">
        <v>4400</v>
      </c>
      <c r="P1031" s="2">
        <v>48400</v>
      </c>
      <c r="Q1031" s="2">
        <f>P1031*8.5%</f>
        <v>4114</v>
      </c>
    </row>
    <row r="1032" spans="1:17" hidden="1" x14ac:dyDescent="0.4">
      <c r="A1032" s="4" t="s">
        <v>13</v>
      </c>
      <c r="B1032" s="4" t="s">
        <v>14</v>
      </c>
      <c r="C1032" s="30" t="s">
        <v>434</v>
      </c>
      <c r="D1032" s="4" t="s">
        <v>15</v>
      </c>
      <c r="E1032" s="4" t="s">
        <v>16</v>
      </c>
      <c r="F1032" s="4" t="s">
        <v>17</v>
      </c>
      <c r="G1032" s="4" t="s">
        <v>18</v>
      </c>
      <c r="H1032" s="4" t="s">
        <v>173</v>
      </c>
      <c r="I1032" s="5" t="str">
        <f t="shared" si="16"/>
        <v>2025-05</v>
      </c>
      <c r="J1032" s="4" t="s">
        <v>118</v>
      </c>
      <c r="K1032" s="5" t="s">
        <v>342</v>
      </c>
      <c r="L1032" s="2">
        <v>42000</v>
      </c>
      <c r="M1032" s="3">
        <v>3</v>
      </c>
      <c r="N1032" s="2">
        <v>126000</v>
      </c>
      <c r="O1032" s="2">
        <v>12600</v>
      </c>
      <c r="P1032" s="2">
        <v>138600</v>
      </c>
      <c r="Q1032" s="2">
        <f>P1032*8.5%</f>
        <v>11781</v>
      </c>
    </row>
    <row r="1033" spans="1:17" hidden="1" x14ac:dyDescent="0.4">
      <c r="A1033" s="4" t="s">
        <v>13</v>
      </c>
      <c r="B1033" s="4" t="s">
        <v>14</v>
      </c>
      <c r="C1033" s="30" t="s">
        <v>434</v>
      </c>
      <c r="D1033" s="4" t="s">
        <v>15</v>
      </c>
      <c r="E1033" s="4" t="s">
        <v>16</v>
      </c>
      <c r="F1033" s="4" t="s">
        <v>17</v>
      </c>
      <c r="G1033" s="4" t="s">
        <v>18</v>
      </c>
      <c r="H1033" s="4" t="s">
        <v>173</v>
      </c>
      <c r="I1033" s="5" t="str">
        <f t="shared" si="16"/>
        <v>2025-05</v>
      </c>
      <c r="J1033" s="4" t="s">
        <v>34</v>
      </c>
      <c r="K1033" s="5" t="s">
        <v>342</v>
      </c>
      <c r="L1033" s="2">
        <v>42000</v>
      </c>
      <c r="M1033" s="3">
        <v>7</v>
      </c>
      <c r="N1033" s="2">
        <v>294000</v>
      </c>
      <c r="O1033" s="2">
        <v>29400</v>
      </c>
      <c r="P1033" s="2">
        <v>323400</v>
      </c>
      <c r="Q1033" s="2">
        <f>P1033*8.5%</f>
        <v>27489.000000000004</v>
      </c>
    </row>
    <row r="1034" spans="1:17" hidden="1" x14ac:dyDescent="0.4">
      <c r="A1034" s="4" t="s">
        <v>21</v>
      </c>
      <c r="B1034" s="4" t="s">
        <v>14</v>
      </c>
      <c r="C1034" s="31" t="s">
        <v>435</v>
      </c>
      <c r="D1034" s="4" t="s">
        <v>22</v>
      </c>
      <c r="E1034" s="4" t="s">
        <v>16</v>
      </c>
      <c r="F1034" s="4" t="s">
        <v>17</v>
      </c>
      <c r="G1034" s="4" t="s">
        <v>18</v>
      </c>
      <c r="H1034" s="4" t="s">
        <v>173</v>
      </c>
      <c r="I1034" s="5" t="str">
        <f t="shared" si="16"/>
        <v>2025-05</v>
      </c>
      <c r="J1034" s="4" t="s">
        <v>34</v>
      </c>
      <c r="K1034" s="5" t="s">
        <v>342</v>
      </c>
      <c r="L1034" s="2">
        <v>54000</v>
      </c>
      <c r="M1034" s="3">
        <v>1</v>
      </c>
      <c r="N1034" s="2">
        <v>54000</v>
      </c>
      <c r="O1034" s="2">
        <v>5400</v>
      </c>
      <c r="P1034" s="2">
        <v>59400</v>
      </c>
      <c r="Q1034" s="2">
        <f>P1034*8.5%</f>
        <v>5049</v>
      </c>
    </row>
    <row r="1035" spans="1:17" hidden="1" x14ac:dyDescent="0.4">
      <c r="A1035" s="4" t="s">
        <v>23</v>
      </c>
      <c r="B1035" s="4" t="s">
        <v>14</v>
      </c>
      <c r="C1035" s="31" t="s">
        <v>435</v>
      </c>
      <c r="D1035" s="4" t="s">
        <v>24</v>
      </c>
      <c r="E1035" s="4" t="s">
        <v>16</v>
      </c>
      <c r="F1035" s="4" t="s">
        <v>17</v>
      </c>
      <c r="G1035" s="4" t="s">
        <v>18</v>
      </c>
      <c r="H1035" s="4" t="s">
        <v>173</v>
      </c>
      <c r="I1035" s="5" t="str">
        <f t="shared" si="16"/>
        <v>2025-05</v>
      </c>
      <c r="J1035" s="4" t="s">
        <v>34</v>
      </c>
      <c r="K1035" s="5" t="s">
        <v>342</v>
      </c>
      <c r="L1035" s="2">
        <v>54000</v>
      </c>
      <c r="M1035" s="3">
        <v>4</v>
      </c>
      <c r="N1035" s="2">
        <v>216000</v>
      </c>
      <c r="O1035" s="2">
        <v>21600</v>
      </c>
      <c r="P1035" s="2">
        <v>237600</v>
      </c>
      <c r="Q1035" s="2">
        <f>P1035*8.5%</f>
        <v>20196</v>
      </c>
    </row>
    <row r="1036" spans="1:17" hidden="1" x14ac:dyDescent="0.4">
      <c r="A1036" s="4" t="s">
        <v>51</v>
      </c>
      <c r="B1036" s="4" t="s">
        <v>14</v>
      </c>
      <c r="C1036" s="30" t="s">
        <v>434</v>
      </c>
      <c r="D1036" s="4" t="s">
        <v>52</v>
      </c>
      <c r="E1036" s="4" t="s">
        <v>16</v>
      </c>
      <c r="F1036" s="4" t="s">
        <v>17</v>
      </c>
      <c r="G1036" s="4" t="s">
        <v>18</v>
      </c>
      <c r="H1036" s="4" t="s">
        <v>173</v>
      </c>
      <c r="I1036" s="5" t="str">
        <f t="shared" si="16"/>
        <v>2025-05</v>
      </c>
      <c r="J1036" s="4" t="s">
        <v>34</v>
      </c>
      <c r="K1036" s="5" t="s">
        <v>342</v>
      </c>
      <c r="L1036" s="2">
        <v>71250</v>
      </c>
      <c r="M1036" s="3">
        <v>1</v>
      </c>
      <c r="N1036" s="2">
        <v>71250</v>
      </c>
      <c r="O1036" s="2">
        <v>7125</v>
      </c>
      <c r="P1036" s="2">
        <v>78375</v>
      </c>
      <c r="Q1036" s="2">
        <f>P1036*8.5%</f>
        <v>6661.8750000000009</v>
      </c>
    </row>
    <row r="1037" spans="1:17" hidden="1" x14ac:dyDescent="0.4">
      <c r="A1037" s="4" t="s">
        <v>86</v>
      </c>
      <c r="B1037" s="4" t="s">
        <v>26</v>
      </c>
      <c r="C1037" s="32" t="s">
        <v>436</v>
      </c>
      <c r="D1037" s="4" t="s">
        <v>78</v>
      </c>
      <c r="E1037" s="4" t="s">
        <v>28</v>
      </c>
      <c r="F1037" s="4" t="s">
        <v>17</v>
      </c>
      <c r="G1037" s="4" t="s">
        <v>18</v>
      </c>
      <c r="H1037" s="4" t="s">
        <v>173</v>
      </c>
      <c r="I1037" s="5" t="str">
        <f t="shared" si="16"/>
        <v>2025-05</v>
      </c>
      <c r="J1037" s="4" t="s">
        <v>34</v>
      </c>
      <c r="K1037" s="5" t="s">
        <v>342</v>
      </c>
      <c r="L1037" s="2">
        <v>15544</v>
      </c>
      <c r="M1037" s="3">
        <v>1</v>
      </c>
      <c r="N1037" s="2">
        <v>15544</v>
      </c>
      <c r="O1037" s="2">
        <v>1554</v>
      </c>
      <c r="P1037" s="2">
        <v>17098</v>
      </c>
      <c r="Q1037" s="2">
        <f>P1037*8.5%</f>
        <v>1453.3300000000002</v>
      </c>
    </row>
    <row r="1038" spans="1:17" hidden="1" x14ac:dyDescent="0.4">
      <c r="A1038" s="4" t="s">
        <v>42</v>
      </c>
      <c r="B1038" s="4" t="s">
        <v>14</v>
      </c>
      <c r="C1038" s="30" t="s">
        <v>434</v>
      </c>
      <c r="D1038" s="4" t="s">
        <v>43</v>
      </c>
      <c r="E1038" s="4" t="s">
        <v>44</v>
      </c>
      <c r="F1038" s="4" t="s">
        <v>31</v>
      </c>
      <c r="G1038" s="4" t="s">
        <v>18</v>
      </c>
      <c r="H1038" s="4" t="s">
        <v>173</v>
      </c>
      <c r="I1038" s="5" t="str">
        <f t="shared" si="16"/>
        <v>2025-05</v>
      </c>
      <c r="J1038" s="4" t="s">
        <v>34</v>
      </c>
      <c r="K1038" s="5" t="s">
        <v>342</v>
      </c>
      <c r="L1038" s="2">
        <v>6800</v>
      </c>
      <c r="M1038" s="3">
        <v>72.3</v>
      </c>
      <c r="N1038" s="2">
        <v>491640</v>
      </c>
      <c r="O1038" s="2">
        <v>0</v>
      </c>
      <c r="P1038" s="2">
        <v>491640</v>
      </c>
      <c r="Q1038" s="2">
        <f>P1038*8.5%</f>
        <v>41789.4</v>
      </c>
    </row>
    <row r="1039" spans="1:17" x14ac:dyDescent="0.4">
      <c r="A1039" s="4" t="s">
        <v>58</v>
      </c>
      <c r="B1039" s="4" t="s">
        <v>14</v>
      </c>
      <c r="C1039" s="30" t="s">
        <v>434</v>
      </c>
      <c r="D1039" s="4" t="s">
        <v>36</v>
      </c>
      <c r="E1039" s="4" t="s">
        <v>16</v>
      </c>
      <c r="F1039" s="4" t="s">
        <v>17</v>
      </c>
      <c r="G1039" s="4" t="s">
        <v>18</v>
      </c>
      <c r="H1039" s="4" t="s">
        <v>174</v>
      </c>
      <c r="I1039" s="5" t="str">
        <f t="shared" si="16"/>
        <v>2025-05</v>
      </c>
      <c r="J1039" s="4" t="s">
        <v>20</v>
      </c>
      <c r="K1039" s="5" t="s">
        <v>342</v>
      </c>
      <c r="L1039" s="2">
        <v>120880</v>
      </c>
      <c r="M1039" s="3">
        <v>1</v>
      </c>
      <c r="N1039" s="2">
        <v>120880</v>
      </c>
      <c r="O1039" s="2">
        <v>12088</v>
      </c>
      <c r="P1039" s="2">
        <v>132968</v>
      </c>
      <c r="Q1039" s="2">
        <f>P1039*8.5%</f>
        <v>11302.28</v>
      </c>
    </row>
    <row r="1040" spans="1:17" x14ac:dyDescent="0.4">
      <c r="A1040" s="4" t="s">
        <v>13</v>
      </c>
      <c r="B1040" s="4" t="s">
        <v>14</v>
      </c>
      <c r="C1040" s="30" t="s">
        <v>434</v>
      </c>
      <c r="D1040" s="4" t="s">
        <v>15</v>
      </c>
      <c r="E1040" s="4" t="s">
        <v>16</v>
      </c>
      <c r="F1040" s="4" t="s">
        <v>17</v>
      </c>
      <c r="G1040" s="4" t="s">
        <v>18</v>
      </c>
      <c r="H1040" s="4" t="s">
        <v>174</v>
      </c>
      <c r="I1040" s="5" t="str">
        <f t="shared" si="16"/>
        <v>2025-05</v>
      </c>
      <c r="J1040" s="4" t="s">
        <v>20</v>
      </c>
      <c r="K1040" s="5" t="s">
        <v>342</v>
      </c>
      <c r="L1040" s="2">
        <v>42000</v>
      </c>
      <c r="M1040" s="3">
        <v>2</v>
      </c>
      <c r="N1040" s="2">
        <v>84000</v>
      </c>
      <c r="O1040" s="2">
        <v>8400</v>
      </c>
      <c r="P1040" s="2">
        <v>92400</v>
      </c>
      <c r="Q1040" s="2">
        <f>P1040*8.5%</f>
        <v>7854.0000000000009</v>
      </c>
    </row>
    <row r="1041" spans="1:17" x14ac:dyDescent="0.4">
      <c r="A1041" s="4" t="s">
        <v>21</v>
      </c>
      <c r="B1041" s="4" t="s">
        <v>14</v>
      </c>
      <c r="C1041" s="31" t="s">
        <v>435</v>
      </c>
      <c r="D1041" s="4" t="s">
        <v>22</v>
      </c>
      <c r="E1041" s="4" t="s">
        <v>16</v>
      </c>
      <c r="F1041" s="4" t="s">
        <v>17</v>
      </c>
      <c r="G1041" s="4" t="s">
        <v>18</v>
      </c>
      <c r="H1041" s="4" t="s">
        <v>174</v>
      </c>
      <c r="I1041" s="5" t="str">
        <f t="shared" si="16"/>
        <v>2025-05</v>
      </c>
      <c r="J1041" s="4" t="s">
        <v>20</v>
      </c>
      <c r="K1041" s="5" t="s">
        <v>342</v>
      </c>
      <c r="L1041" s="2">
        <v>54000</v>
      </c>
      <c r="M1041" s="3">
        <v>1</v>
      </c>
      <c r="N1041" s="2">
        <v>54000</v>
      </c>
      <c r="O1041" s="2">
        <v>5400</v>
      </c>
      <c r="P1041" s="2">
        <v>59400</v>
      </c>
      <c r="Q1041" s="2">
        <f>P1041*8.5%</f>
        <v>5049</v>
      </c>
    </row>
    <row r="1042" spans="1:17" x14ac:dyDescent="0.4">
      <c r="A1042" s="4" t="s">
        <v>23</v>
      </c>
      <c r="B1042" s="4" t="s">
        <v>14</v>
      </c>
      <c r="C1042" s="31" t="s">
        <v>435</v>
      </c>
      <c r="D1042" s="4" t="s">
        <v>24</v>
      </c>
      <c r="E1042" s="4" t="s">
        <v>16</v>
      </c>
      <c r="F1042" s="4" t="s">
        <v>17</v>
      </c>
      <c r="G1042" s="4" t="s">
        <v>18</v>
      </c>
      <c r="H1042" s="4" t="s">
        <v>174</v>
      </c>
      <c r="I1042" s="5" t="str">
        <f t="shared" si="16"/>
        <v>2025-05</v>
      </c>
      <c r="J1042" s="4" t="s">
        <v>20</v>
      </c>
      <c r="K1042" s="5" t="s">
        <v>342</v>
      </c>
      <c r="L1042" s="2">
        <v>54000</v>
      </c>
      <c r="M1042" s="3">
        <v>3</v>
      </c>
      <c r="N1042" s="2">
        <v>162000</v>
      </c>
      <c r="O1042" s="2">
        <v>16200</v>
      </c>
      <c r="P1042" s="2">
        <v>178200</v>
      </c>
      <c r="Q1042" s="2">
        <f>P1042*8.5%</f>
        <v>15147.000000000002</v>
      </c>
    </row>
    <row r="1043" spans="1:17" x14ac:dyDescent="0.4">
      <c r="A1043" s="4" t="s">
        <v>51</v>
      </c>
      <c r="B1043" s="4" t="s">
        <v>14</v>
      </c>
      <c r="C1043" s="30" t="s">
        <v>434</v>
      </c>
      <c r="D1043" s="4" t="s">
        <v>52</v>
      </c>
      <c r="E1043" s="4" t="s">
        <v>16</v>
      </c>
      <c r="F1043" s="4" t="s">
        <v>17</v>
      </c>
      <c r="G1043" s="4" t="s">
        <v>18</v>
      </c>
      <c r="H1043" s="4" t="s">
        <v>174</v>
      </c>
      <c r="I1043" s="5" t="str">
        <f t="shared" si="16"/>
        <v>2025-05</v>
      </c>
      <c r="J1043" s="4" t="s">
        <v>20</v>
      </c>
      <c r="K1043" s="5" t="s">
        <v>342</v>
      </c>
      <c r="L1043" s="2">
        <v>71250</v>
      </c>
      <c r="M1043" s="3">
        <v>1</v>
      </c>
      <c r="N1043" s="2">
        <v>71250</v>
      </c>
      <c r="O1043" s="2">
        <v>7125</v>
      </c>
      <c r="P1043" s="2">
        <v>78375</v>
      </c>
      <c r="Q1043" s="2">
        <f>P1043*8.5%</f>
        <v>6661.8750000000009</v>
      </c>
    </row>
    <row r="1044" spans="1:17" x14ac:dyDescent="0.4">
      <c r="A1044" s="4" t="s">
        <v>54</v>
      </c>
      <c r="B1044" s="4" t="s">
        <v>26</v>
      </c>
      <c r="C1044" s="32" t="s">
        <v>436</v>
      </c>
      <c r="D1044" s="4" t="s">
        <v>55</v>
      </c>
      <c r="E1044" s="4" t="s">
        <v>28</v>
      </c>
      <c r="F1044" s="4" t="s">
        <v>31</v>
      </c>
      <c r="G1044" s="4" t="s">
        <v>18</v>
      </c>
      <c r="H1044" s="4" t="s">
        <v>174</v>
      </c>
      <c r="I1044" s="5" t="str">
        <f t="shared" si="16"/>
        <v>2025-05</v>
      </c>
      <c r="J1044" s="4" t="s">
        <v>20</v>
      </c>
      <c r="K1044" s="5" t="s">
        <v>342</v>
      </c>
      <c r="L1044" s="2">
        <v>5261</v>
      </c>
      <c r="M1044" s="3">
        <v>1</v>
      </c>
      <c r="N1044" s="2">
        <v>5261</v>
      </c>
      <c r="O1044" s="2">
        <v>0</v>
      </c>
      <c r="P1044" s="2">
        <v>5261</v>
      </c>
      <c r="Q1044" s="2">
        <f>P1044*8.5%</f>
        <v>447.18500000000006</v>
      </c>
    </row>
    <row r="1045" spans="1:17" x14ac:dyDescent="0.4">
      <c r="A1045" s="4" t="s">
        <v>56</v>
      </c>
      <c r="B1045" s="4" t="s">
        <v>26</v>
      </c>
      <c r="C1045" s="32" t="s">
        <v>436</v>
      </c>
      <c r="D1045" s="4" t="s">
        <v>57</v>
      </c>
      <c r="E1045" s="4" t="s">
        <v>44</v>
      </c>
      <c r="F1045" s="4" t="s">
        <v>31</v>
      </c>
      <c r="G1045" s="4" t="s">
        <v>18</v>
      </c>
      <c r="H1045" s="4" t="s">
        <v>174</v>
      </c>
      <c r="I1045" s="5" t="str">
        <f t="shared" si="16"/>
        <v>2025-05</v>
      </c>
      <c r="J1045" s="4" t="s">
        <v>20</v>
      </c>
      <c r="K1045" s="5" t="s">
        <v>342</v>
      </c>
      <c r="L1045" s="2">
        <v>2427</v>
      </c>
      <c r="M1045" s="3">
        <v>30</v>
      </c>
      <c r="N1045" s="2">
        <v>72810</v>
      </c>
      <c r="O1045" s="2">
        <v>0</v>
      </c>
      <c r="P1045" s="2">
        <v>72810</v>
      </c>
      <c r="Q1045" s="2">
        <f>P1045*8.5%</f>
        <v>6188.85</v>
      </c>
    </row>
    <row r="1046" spans="1:17" hidden="1" x14ac:dyDescent="0.4">
      <c r="A1046" s="4" t="s">
        <v>13</v>
      </c>
      <c r="B1046" s="4" t="s">
        <v>14</v>
      </c>
      <c r="C1046" s="30" t="s">
        <v>434</v>
      </c>
      <c r="D1046" s="4" t="s">
        <v>15</v>
      </c>
      <c r="E1046" s="4" t="s">
        <v>16</v>
      </c>
      <c r="F1046" s="4" t="s">
        <v>17</v>
      </c>
      <c r="G1046" s="4" t="s">
        <v>18</v>
      </c>
      <c r="H1046" s="4" t="s">
        <v>174</v>
      </c>
      <c r="I1046" s="5" t="str">
        <f t="shared" si="16"/>
        <v>2025-05</v>
      </c>
      <c r="J1046" s="4" t="s">
        <v>118</v>
      </c>
      <c r="K1046" s="5" t="s">
        <v>342</v>
      </c>
      <c r="L1046" s="2">
        <v>42000</v>
      </c>
      <c r="M1046" s="3">
        <v>2</v>
      </c>
      <c r="N1046" s="2">
        <v>84000</v>
      </c>
      <c r="O1046" s="2">
        <v>8400</v>
      </c>
      <c r="P1046" s="2">
        <v>92400</v>
      </c>
      <c r="Q1046" s="2">
        <f>P1046*8.5%</f>
        <v>7854.0000000000009</v>
      </c>
    </row>
    <row r="1047" spans="1:17" hidden="1" x14ac:dyDescent="0.4">
      <c r="A1047" s="4" t="s">
        <v>23</v>
      </c>
      <c r="B1047" s="4" t="s">
        <v>14</v>
      </c>
      <c r="C1047" s="31" t="s">
        <v>435</v>
      </c>
      <c r="D1047" s="4" t="s">
        <v>24</v>
      </c>
      <c r="E1047" s="4" t="s">
        <v>16</v>
      </c>
      <c r="F1047" s="4" t="s">
        <v>17</v>
      </c>
      <c r="G1047" s="4" t="s">
        <v>18</v>
      </c>
      <c r="H1047" s="4" t="s">
        <v>174</v>
      </c>
      <c r="I1047" s="5" t="str">
        <f t="shared" si="16"/>
        <v>2025-05</v>
      </c>
      <c r="J1047" s="4" t="s">
        <v>118</v>
      </c>
      <c r="K1047" s="5" t="s">
        <v>342</v>
      </c>
      <c r="L1047" s="2">
        <v>54000</v>
      </c>
      <c r="M1047" s="3">
        <v>2</v>
      </c>
      <c r="N1047" s="2">
        <v>108000</v>
      </c>
      <c r="O1047" s="2">
        <v>10800</v>
      </c>
      <c r="P1047" s="2">
        <v>118800</v>
      </c>
      <c r="Q1047" s="2">
        <f>P1047*8.5%</f>
        <v>10098</v>
      </c>
    </row>
    <row r="1048" spans="1:17" hidden="1" x14ac:dyDescent="0.4">
      <c r="A1048" s="4" t="s">
        <v>32</v>
      </c>
      <c r="B1048" s="4" t="s">
        <v>14</v>
      </c>
      <c r="C1048" s="31" t="s">
        <v>435</v>
      </c>
      <c r="D1048" s="4" t="s">
        <v>33</v>
      </c>
      <c r="E1048" s="4" t="s">
        <v>16</v>
      </c>
      <c r="F1048" s="4" t="s">
        <v>17</v>
      </c>
      <c r="G1048" s="4" t="s">
        <v>18</v>
      </c>
      <c r="H1048" s="4" t="s">
        <v>174</v>
      </c>
      <c r="I1048" s="5" t="str">
        <f t="shared" si="16"/>
        <v>2025-05</v>
      </c>
      <c r="J1048" s="4" t="s">
        <v>34</v>
      </c>
      <c r="K1048" s="5" t="s">
        <v>342</v>
      </c>
      <c r="L1048" s="2">
        <v>44000</v>
      </c>
      <c r="M1048" s="3">
        <v>3</v>
      </c>
      <c r="N1048" s="2">
        <v>132000</v>
      </c>
      <c r="O1048" s="2">
        <v>13200</v>
      </c>
      <c r="P1048" s="2">
        <v>145200</v>
      </c>
      <c r="Q1048" s="2">
        <f>P1048*8.5%</f>
        <v>12342</v>
      </c>
    </row>
    <row r="1049" spans="1:17" hidden="1" x14ac:dyDescent="0.4">
      <c r="A1049" s="4" t="s">
        <v>58</v>
      </c>
      <c r="B1049" s="4" t="s">
        <v>14</v>
      </c>
      <c r="C1049" s="30" t="s">
        <v>434</v>
      </c>
      <c r="D1049" s="4" t="s">
        <v>36</v>
      </c>
      <c r="E1049" s="4" t="s">
        <v>16</v>
      </c>
      <c r="F1049" s="4" t="s">
        <v>17</v>
      </c>
      <c r="G1049" s="4" t="s">
        <v>18</v>
      </c>
      <c r="H1049" s="4" t="s">
        <v>174</v>
      </c>
      <c r="I1049" s="5" t="str">
        <f t="shared" si="16"/>
        <v>2025-05</v>
      </c>
      <c r="J1049" s="4" t="s">
        <v>34</v>
      </c>
      <c r="K1049" s="5" t="s">
        <v>342</v>
      </c>
      <c r="L1049" s="2">
        <v>120880</v>
      </c>
      <c r="M1049" s="3">
        <v>1</v>
      </c>
      <c r="N1049" s="2">
        <v>120880</v>
      </c>
      <c r="O1049" s="2">
        <v>12088</v>
      </c>
      <c r="P1049" s="2">
        <v>132968</v>
      </c>
      <c r="Q1049" s="2">
        <f>P1049*8.5%</f>
        <v>11302.28</v>
      </c>
    </row>
    <row r="1050" spans="1:17" hidden="1" x14ac:dyDescent="0.4">
      <c r="A1050" s="4" t="s">
        <v>13</v>
      </c>
      <c r="B1050" s="4" t="s">
        <v>14</v>
      </c>
      <c r="C1050" s="30" t="s">
        <v>434</v>
      </c>
      <c r="D1050" s="4" t="s">
        <v>15</v>
      </c>
      <c r="E1050" s="4" t="s">
        <v>16</v>
      </c>
      <c r="F1050" s="4" t="s">
        <v>17</v>
      </c>
      <c r="G1050" s="4" t="s">
        <v>18</v>
      </c>
      <c r="H1050" s="4" t="s">
        <v>174</v>
      </c>
      <c r="I1050" s="5" t="str">
        <f t="shared" si="16"/>
        <v>2025-05</v>
      </c>
      <c r="J1050" s="4" t="s">
        <v>34</v>
      </c>
      <c r="K1050" s="5" t="s">
        <v>342</v>
      </c>
      <c r="L1050" s="2">
        <v>42000</v>
      </c>
      <c r="M1050" s="3">
        <v>7</v>
      </c>
      <c r="N1050" s="2">
        <v>294000</v>
      </c>
      <c r="O1050" s="2">
        <v>29400</v>
      </c>
      <c r="P1050" s="2">
        <v>323400</v>
      </c>
      <c r="Q1050" s="2">
        <f>P1050*8.5%</f>
        <v>27489.000000000004</v>
      </c>
    </row>
    <row r="1051" spans="1:17" hidden="1" x14ac:dyDescent="0.4">
      <c r="A1051" s="4" t="s">
        <v>21</v>
      </c>
      <c r="B1051" s="4" t="s">
        <v>14</v>
      </c>
      <c r="C1051" s="31" t="s">
        <v>435</v>
      </c>
      <c r="D1051" s="4" t="s">
        <v>22</v>
      </c>
      <c r="E1051" s="4" t="s">
        <v>16</v>
      </c>
      <c r="F1051" s="4" t="s">
        <v>17</v>
      </c>
      <c r="G1051" s="4" t="s">
        <v>18</v>
      </c>
      <c r="H1051" s="4" t="s">
        <v>174</v>
      </c>
      <c r="I1051" s="5" t="str">
        <f t="shared" si="16"/>
        <v>2025-05</v>
      </c>
      <c r="J1051" s="4" t="s">
        <v>34</v>
      </c>
      <c r="K1051" s="5" t="s">
        <v>342</v>
      </c>
      <c r="L1051" s="2">
        <v>54000</v>
      </c>
      <c r="M1051" s="3">
        <v>1</v>
      </c>
      <c r="N1051" s="2">
        <v>54000</v>
      </c>
      <c r="O1051" s="2">
        <v>5400</v>
      </c>
      <c r="P1051" s="2">
        <v>59400</v>
      </c>
      <c r="Q1051" s="2">
        <f>P1051*8.5%</f>
        <v>5049</v>
      </c>
    </row>
    <row r="1052" spans="1:17" hidden="1" x14ac:dyDescent="0.4">
      <c r="A1052" s="4" t="s">
        <v>35</v>
      </c>
      <c r="B1052" s="4" t="s">
        <v>14</v>
      </c>
      <c r="C1052" s="30" t="s">
        <v>434</v>
      </c>
      <c r="D1052" s="4" t="s">
        <v>36</v>
      </c>
      <c r="E1052" s="4" t="s">
        <v>16</v>
      </c>
      <c r="F1052" s="4" t="s">
        <v>17</v>
      </c>
      <c r="G1052" s="4" t="s">
        <v>18</v>
      </c>
      <c r="H1052" s="4" t="s">
        <v>174</v>
      </c>
      <c r="I1052" s="5" t="str">
        <f t="shared" si="16"/>
        <v>2025-05</v>
      </c>
      <c r="J1052" s="4" t="s">
        <v>34</v>
      </c>
      <c r="K1052" s="5" t="s">
        <v>342</v>
      </c>
      <c r="L1052" s="2">
        <v>116220</v>
      </c>
      <c r="M1052" s="3">
        <v>1</v>
      </c>
      <c r="N1052" s="2">
        <v>116220</v>
      </c>
      <c r="O1052" s="2">
        <v>11622</v>
      </c>
      <c r="P1052" s="2">
        <v>127842</v>
      </c>
      <c r="Q1052" s="2">
        <f>P1052*8.5%</f>
        <v>10866.570000000002</v>
      </c>
    </row>
    <row r="1053" spans="1:17" hidden="1" x14ac:dyDescent="0.4">
      <c r="A1053" s="4" t="s">
        <v>23</v>
      </c>
      <c r="B1053" s="4" t="s">
        <v>14</v>
      </c>
      <c r="C1053" s="31" t="s">
        <v>435</v>
      </c>
      <c r="D1053" s="4" t="s">
        <v>24</v>
      </c>
      <c r="E1053" s="4" t="s">
        <v>16</v>
      </c>
      <c r="F1053" s="4" t="s">
        <v>17</v>
      </c>
      <c r="G1053" s="4" t="s">
        <v>18</v>
      </c>
      <c r="H1053" s="4" t="s">
        <v>174</v>
      </c>
      <c r="I1053" s="5" t="str">
        <f t="shared" si="16"/>
        <v>2025-05</v>
      </c>
      <c r="J1053" s="4" t="s">
        <v>34</v>
      </c>
      <c r="K1053" s="5" t="s">
        <v>342</v>
      </c>
      <c r="L1053" s="2">
        <v>54000</v>
      </c>
      <c r="M1053" s="3">
        <v>3</v>
      </c>
      <c r="N1053" s="2">
        <v>162000</v>
      </c>
      <c r="O1053" s="2">
        <v>16200</v>
      </c>
      <c r="P1053" s="2">
        <v>178200</v>
      </c>
      <c r="Q1053" s="2">
        <f>P1053*8.5%</f>
        <v>15147.000000000002</v>
      </c>
    </row>
    <row r="1054" spans="1:17" hidden="1" x14ac:dyDescent="0.4">
      <c r="A1054" s="4" t="s">
        <v>40</v>
      </c>
      <c r="B1054" s="4" t="s">
        <v>26</v>
      </c>
      <c r="C1054" s="32" t="s">
        <v>436</v>
      </c>
      <c r="D1054" s="4" t="s">
        <v>41</v>
      </c>
      <c r="E1054" s="4" t="s">
        <v>28</v>
      </c>
      <c r="F1054" s="4" t="s">
        <v>17</v>
      </c>
      <c r="G1054" s="4" t="s">
        <v>18</v>
      </c>
      <c r="H1054" s="4" t="s">
        <v>174</v>
      </c>
      <c r="I1054" s="5" t="str">
        <f t="shared" si="16"/>
        <v>2025-05</v>
      </c>
      <c r="J1054" s="4" t="s">
        <v>34</v>
      </c>
      <c r="K1054" s="5" t="s">
        <v>342</v>
      </c>
      <c r="L1054" s="2">
        <v>17936</v>
      </c>
      <c r="M1054" s="3">
        <v>2</v>
      </c>
      <c r="N1054" s="2">
        <v>35872</v>
      </c>
      <c r="O1054" s="2">
        <v>3587</v>
      </c>
      <c r="P1054" s="2">
        <v>39459</v>
      </c>
      <c r="Q1054" s="2">
        <f>P1054*8.5%</f>
        <v>3354.0150000000003</v>
      </c>
    </row>
    <row r="1055" spans="1:17" hidden="1" x14ac:dyDescent="0.4">
      <c r="A1055" s="4" t="s">
        <v>42</v>
      </c>
      <c r="B1055" s="4" t="s">
        <v>14</v>
      </c>
      <c r="C1055" s="30" t="s">
        <v>434</v>
      </c>
      <c r="D1055" s="4" t="s">
        <v>43</v>
      </c>
      <c r="E1055" s="4" t="s">
        <v>44</v>
      </c>
      <c r="F1055" s="4" t="s">
        <v>31</v>
      </c>
      <c r="G1055" s="4" t="s">
        <v>18</v>
      </c>
      <c r="H1055" s="4" t="s">
        <v>174</v>
      </c>
      <c r="I1055" s="5" t="str">
        <f t="shared" si="16"/>
        <v>2025-05</v>
      </c>
      <c r="J1055" s="4" t="s">
        <v>34</v>
      </c>
      <c r="K1055" s="5" t="s">
        <v>342</v>
      </c>
      <c r="L1055" s="2">
        <v>6800</v>
      </c>
      <c r="M1055" s="3">
        <v>57.6</v>
      </c>
      <c r="N1055" s="2">
        <v>391680</v>
      </c>
      <c r="O1055" s="2">
        <v>0</v>
      </c>
      <c r="P1055" s="2">
        <v>391680</v>
      </c>
      <c r="Q1055" s="2">
        <f>P1055*8.5%</f>
        <v>33292.800000000003</v>
      </c>
    </row>
    <row r="1056" spans="1:17" hidden="1" x14ac:dyDescent="0.4">
      <c r="A1056" s="4" t="s">
        <v>13</v>
      </c>
      <c r="B1056" s="4" t="s">
        <v>14</v>
      </c>
      <c r="C1056" s="30" t="s">
        <v>434</v>
      </c>
      <c r="D1056" s="4" t="s">
        <v>15</v>
      </c>
      <c r="E1056" s="4" t="s">
        <v>16</v>
      </c>
      <c r="F1056" s="4" t="s">
        <v>17</v>
      </c>
      <c r="G1056" s="4" t="s">
        <v>18</v>
      </c>
      <c r="H1056" s="4" t="s">
        <v>174</v>
      </c>
      <c r="I1056" s="5" t="str">
        <f t="shared" si="16"/>
        <v>2025-05</v>
      </c>
      <c r="J1056" s="4" t="s">
        <v>59</v>
      </c>
      <c r="K1056" s="5" t="s">
        <v>343</v>
      </c>
      <c r="L1056" s="2">
        <v>42000</v>
      </c>
      <c r="M1056" s="3">
        <v>3</v>
      </c>
      <c r="N1056" s="2">
        <v>126000</v>
      </c>
      <c r="O1056" s="2">
        <v>12600</v>
      </c>
      <c r="P1056" s="2">
        <v>138600</v>
      </c>
      <c r="Q1056" s="2">
        <f>P1056*12%</f>
        <v>16632</v>
      </c>
    </row>
    <row r="1057" spans="1:17" hidden="1" x14ac:dyDescent="0.4">
      <c r="A1057" s="4" t="s">
        <v>35</v>
      </c>
      <c r="B1057" s="4" t="s">
        <v>14</v>
      </c>
      <c r="C1057" s="30" t="s">
        <v>434</v>
      </c>
      <c r="D1057" s="4" t="s">
        <v>36</v>
      </c>
      <c r="E1057" s="4" t="s">
        <v>16</v>
      </c>
      <c r="F1057" s="4" t="s">
        <v>17</v>
      </c>
      <c r="G1057" s="4" t="s">
        <v>18</v>
      </c>
      <c r="H1057" s="4" t="s">
        <v>174</v>
      </c>
      <c r="I1057" s="5" t="str">
        <f t="shared" si="16"/>
        <v>2025-05</v>
      </c>
      <c r="J1057" s="4" t="s">
        <v>59</v>
      </c>
      <c r="K1057" s="5" t="s">
        <v>343</v>
      </c>
      <c r="L1057" s="2">
        <v>116220</v>
      </c>
      <c r="M1057" s="3">
        <v>1</v>
      </c>
      <c r="N1057" s="2">
        <v>116220</v>
      </c>
      <c r="O1057" s="2">
        <v>11622</v>
      </c>
      <c r="P1057" s="2">
        <v>127842</v>
      </c>
      <c r="Q1057" s="2">
        <f>P1057*12%</f>
        <v>15341.039999999999</v>
      </c>
    </row>
    <row r="1058" spans="1:17" hidden="1" x14ac:dyDescent="0.4">
      <c r="A1058" s="4" t="s">
        <v>23</v>
      </c>
      <c r="B1058" s="4" t="s">
        <v>14</v>
      </c>
      <c r="C1058" s="31" t="s">
        <v>435</v>
      </c>
      <c r="D1058" s="4" t="s">
        <v>24</v>
      </c>
      <c r="E1058" s="4" t="s">
        <v>16</v>
      </c>
      <c r="F1058" s="4" t="s">
        <v>17</v>
      </c>
      <c r="G1058" s="4" t="s">
        <v>18</v>
      </c>
      <c r="H1058" s="4" t="s">
        <v>174</v>
      </c>
      <c r="I1058" s="5" t="str">
        <f t="shared" si="16"/>
        <v>2025-05</v>
      </c>
      <c r="J1058" s="4" t="s">
        <v>59</v>
      </c>
      <c r="K1058" s="5" t="s">
        <v>343</v>
      </c>
      <c r="L1058" s="2">
        <v>54000</v>
      </c>
      <c r="M1058" s="3">
        <v>2</v>
      </c>
      <c r="N1058" s="2">
        <v>108000</v>
      </c>
      <c r="O1058" s="2">
        <v>10800</v>
      </c>
      <c r="P1058" s="2">
        <v>118800</v>
      </c>
      <c r="Q1058" s="2">
        <f>P1058*12%</f>
        <v>14256</v>
      </c>
    </row>
    <row r="1059" spans="1:17" hidden="1" x14ac:dyDescent="0.4">
      <c r="A1059" s="4" t="s">
        <v>39</v>
      </c>
      <c r="B1059" s="4" t="s">
        <v>26</v>
      </c>
      <c r="C1059" s="32" t="s">
        <v>436</v>
      </c>
      <c r="D1059" s="4" t="s">
        <v>27</v>
      </c>
      <c r="E1059" s="4" t="s">
        <v>28</v>
      </c>
      <c r="F1059" s="4" t="s">
        <v>17</v>
      </c>
      <c r="G1059" s="4" t="s">
        <v>18</v>
      </c>
      <c r="H1059" s="4" t="s">
        <v>174</v>
      </c>
      <c r="I1059" s="5" t="str">
        <f t="shared" si="16"/>
        <v>2025-05</v>
      </c>
      <c r="J1059" s="4" t="s">
        <v>59</v>
      </c>
      <c r="K1059" s="5" t="s">
        <v>343</v>
      </c>
      <c r="L1059" s="2">
        <v>4018</v>
      </c>
      <c r="M1059" s="3">
        <v>4</v>
      </c>
      <c r="N1059" s="2">
        <v>16072</v>
      </c>
      <c r="O1059" s="2">
        <v>1607</v>
      </c>
      <c r="P1059" s="2">
        <v>17679</v>
      </c>
      <c r="Q1059" s="2">
        <f>P1059*12%</f>
        <v>2121.48</v>
      </c>
    </row>
    <row r="1060" spans="1:17" hidden="1" x14ac:dyDescent="0.4">
      <c r="A1060" s="4" t="s">
        <v>32</v>
      </c>
      <c r="B1060" s="4" t="s">
        <v>14</v>
      </c>
      <c r="C1060" s="31" t="s">
        <v>435</v>
      </c>
      <c r="D1060" s="4" t="s">
        <v>33</v>
      </c>
      <c r="E1060" s="4" t="s">
        <v>16</v>
      </c>
      <c r="F1060" s="4" t="s">
        <v>17</v>
      </c>
      <c r="G1060" s="4" t="s">
        <v>18</v>
      </c>
      <c r="H1060" s="4" t="s">
        <v>174</v>
      </c>
      <c r="I1060" s="5" t="str">
        <f t="shared" si="16"/>
        <v>2025-05</v>
      </c>
      <c r="J1060" s="4" t="s">
        <v>49</v>
      </c>
      <c r="K1060" s="5" t="s">
        <v>343</v>
      </c>
      <c r="L1060" s="2">
        <v>44000</v>
      </c>
      <c r="M1060" s="3">
        <v>6</v>
      </c>
      <c r="N1060" s="2">
        <v>264000</v>
      </c>
      <c r="O1060" s="2">
        <v>26400</v>
      </c>
      <c r="P1060" s="2">
        <v>290400</v>
      </c>
      <c r="Q1060" s="2">
        <f>P1060*12%</f>
        <v>34848</v>
      </c>
    </row>
    <row r="1061" spans="1:17" hidden="1" x14ac:dyDescent="0.4">
      <c r="A1061" s="4" t="s">
        <v>13</v>
      </c>
      <c r="B1061" s="4" t="s">
        <v>14</v>
      </c>
      <c r="C1061" s="30" t="s">
        <v>434</v>
      </c>
      <c r="D1061" s="4" t="s">
        <v>15</v>
      </c>
      <c r="E1061" s="4" t="s">
        <v>16</v>
      </c>
      <c r="F1061" s="4" t="s">
        <v>17</v>
      </c>
      <c r="G1061" s="4" t="s">
        <v>18</v>
      </c>
      <c r="H1061" s="4" t="s">
        <v>174</v>
      </c>
      <c r="I1061" s="5" t="str">
        <f t="shared" si="16"/>
        <v>2025-05</v>
      </c>
      <c r="J1061" s="4" t="s">
        <v>49</v>
      </c>
      <c r="K1061" s="5" t="s">
        <v>343</v>
      </c>
      <c r="L1061" s="2">
        <v>42000</v>
      </c>
      <c r="M1061" s="3">
        <v>8</v>
      </c>
      <c r="N1061" s="2">
        <v>336000</v>
      </c>
      <c r="O1061" s="2">
        <v>33600</v>
      </c>
      <c r="P1061" s="2">
        <v>369600</v>
      </c>
      <c r="Q1061" s="2">
        <f>P1061*12%</f>
        <v>44352</v>
      </c>
    </row>
    <row r="1062" spans="1:17" hidden="1" x14ac:dyDescent="0.4">
      <c r="A1062" s="4" t="s">
        <v>35</v>
      </c>
      <c r="B1062" s="4" t="s">
        <v>14</v>
      </c>
      <c r="C1062" s="30" t="s">
        <v>434</v>
      </c>
      <c r="D1062" s="4" t="s">
        <v>36</v>
      </c>
      <c r="E1062" s="4" t="s">
        <v>16</v>
      </c>
      <c r="F1062" s="4" t="s">
        <v>17</v>
      </c>
      <c r="G1062" s="4" t="s">
        <v>18</v>
      </c>
      <c r="H1062" s="4" t="s">
        <v>174</v>
      </c>
      <c r="I1062" s="5" t="str">
        <f t="shared" si="16"/>
        <v>2025-05</v>
      </c>
      <c r="J1062" s="4" t="s">
        <v>49</v>
      </c>
      <c r="K1062" s="5" t="s">
        <v>343</v>
      </c>
      <c r="L1062" s="2">
        <v>116220</v>
      </c>
      <c r="M1062" s="3">
        <v>1</v>
      </c>
      <c r="N1062" s="2">
        <v>116220</v>
      </c>
      <c r="O1062" s="2">
        <v>11622</v>
      </c>
      <c r="P1062" s="2">
        <v>127842</v>
      </c>
      <c r="Q1062" s="2">
        <f>P1062*12%</f>
        <v>15341.039999999999</v>
      </c>
    </row>
    <row r="1063" spans="1:17" hidden="1" x14ac:dyDescent="0.4">
      <c r="A1063" s="4" t="s">
        <v>23</v>
      </c>
      <c r="B1063" s="4" t="s">
        <v>14</v>
      </c>
      <c r="C1063" s="31" t="s">
        <v>435</v>
      </c>
      <c r="D1063" s="4" t="s">
        <v>24</v>
      </c>
      <c r="E1063" s="4" t="s">
        <v>16</v>
      </c>
      <c r="F1063" s="4" t="s">
        <v>17</v>
      </c>
      <c r="G1063" s="4" t="s">
        <v>18</v>
      </c>
      <c r="H1063" s="4" t="s">
        <v>174</v>
      </c>
      <c r="I1063" s="5" t="str">
        <f t="shared" si="16"/>
        <v>2025-05</v>
      </c>
      <c r="J1063" s="4" t="s">
        <v>49</v>
      </c>
      <c r="K1063" s="5" t="s">
        <v>343</v>
      </c>
      <c r="L1063" s="2">
        <v>54000</v>
      </c>
      <c r="M1063" s="3">
        <v>3</v>
      </c>
      <c r="N1063" s="2">
        <v>162000</v>
      </c>
      <c r="O1063" s="2">
        <v>16200</v>
      </c>
      <c r="P1063" s="2">
        <v>178200</v>
      </c>
      <c r="Q1063" s="2">
        <f>P1063*12%</f>
        <v>21384</v>
      </c>
    </row>
    <row r="1064" spans="1:17" hidden="1" x14ac:dyDescent="0.4">
      <c r="A1064" s="4" t="s">
        <v>32</v>
      </c>
      <c r="B1064" s="4" t="s">
        <v>14</v>
      </c>
      <c r="C1064" s="31" t="s">
        <v>435</v>
      </c>
      <c r="D1064" s="4" t="s">
        <v>33</v>
      </c>
      <c r="E1064" s="4" t="s">
        <v>16</v>
      </c>
      <c r="F1064" s="4" t="s">
        <v>17</v>
      </c>
      <c r="G1064" s="4" t="s">
        <v>18</v>
      </c>
      <c r="H1064" s="4" t="s">
        <v>174</v>
      </c>
      <c r="I1064" s="5" t="str">
        <f t="shared" si="16"/>
        <v>2025-05</v>
      </c>
      <c r="J1064" s="4" t="s">
        <v>50</v>
      </c>
      <c r="K1064" s="5" t="s">
        <v>343</v>
      </c>
      <c r="L1064" s="2">
        <v>44000</v>
      </c>
      <c r="M1064" s="3">
        <v>1</v>
      </c>
      <c r="N1064" s="2">
        <v>44000</v>
      </c>
      <c r="O1064" s="2">
        <v>4400</v>
      </c>
      <c r="P1064" s="2">
        <v>48400</v>
      </c>
      <c r="Q1064" s="2">
        <f>P1064*12%</f>
        <v>5808</v>
      </c>
    </row>
    <row r="1065" spans="1:17" hidden="1" x14ac:dyDescent="0.4">
      <c r="A1065" s="4" t="s">
        <v>13</v>
      </c>
      <c r="B1065" s="4" t="s">
        <v>14</v>
      </c>
      <c r="C1065" s="30" t="s">
        <v>434</v>
      </c>
      <c r="D1065" s="4" t="s">
        <v>15</v>
      </c>
      <c r="E1065" s="4" t="s">
        <v>16</v>
      </c>
      <c r="F1065" s="4" t="s">
        <v>17</v>
      </c>
      <c r="G1065" s="4" t="s">
        <v>18</v>
      </c>
      <c r="H1065" s="4" t="s">
        <v>174</v>
      </c>
      <c r="I1065" s="5" t="str">
        <f t="shared" si="16"/>
        <v>2025-05</v>
      </c>
      <c r="J1065" s="4" t="s">
        <v>50</v>
      </c>
      <c r="K1065" s="5" t="s">
        <v>343</v>
      </c>
      <c r="L1065" s="2">
        <v>42000</v>
      </c>
      <c r="M1065" s="3">
        <v>10</v>
      </c>
      <c r="N1065" s="2">
        <v>420000</v>
      </c>
      <c r="O1065" s="2">
        <v>42000</v>
      </c>
      <c r="P1065" s="2">
        <v>462000</v>
      </c>
      <c r="Q1065" s="2">
        <f>P1065*12%</f>
        <v>55440</v>
      </c>
    </row>
    <row r="1066" spans="1:17" hidden="1" x14ac:dyDescent="0.4">
      <c r="A1066" s="4" t="s">
        <v>23</v>
      </c>
      <c r="B1066" s="4" t="s">
        <v>14</v>
      </c>
      <c r="C1066" s="31" t="s">
        <v>435</v>
      </c>
      <c r="D1066" s="4" t="s">
        <v>24</v>
      </c>
      <c r="E1066" s="4" t="s">
        <v>16</v>
      </c>
      <c r="F1066" s="4" t="s">
        <v>17</v>
      </c>
      <c r="G1066" s="4" t="s">
        <v>18</v>
      </c>
      <c r="H1066" s="4" t="s">
        <v>174</v>
      </c>
      <c r="I1066" s="5" t="str">
        <f t="shared" si="16"/>
        <v>2025-05</v>
      </c>
      <c r="J1066" s="4" t="s">
        <v>50</v>
      </c>
      <c r="K1066" s="5" t="s">
        <v>343</v>
      </c>
      <c r="L1066" s="2">
        <v>54000</v>
      </c>
      <c r="M1066" s="3">
        <v>5</v>
      </c>
      <c r="N1066" s="2">
        <v>270000</v>
      </c>
      <c r="O1066" s="2">
        <v>27000</v>
      </c>
      <c r="P1066" s="2">
        <v>297000</v>
      </c>
      <c r="Q1066" s="2">
        <f>P1066*12%</f>
        <v>35640</v>
      </c>
    </row>
    <row r="1067" spans="1:17" hidden="1" x14ac:dyDescent="0.4">
      <c r="A1067" s="4" t="s">
        <v>51</v>
      </c>
      <c r="B1067" s="4" t="s">
        <v>14</v>
      </c>
      <c r="C1067" s="30" t="s">
        <v>434</v>
      </c>
      <c r="D1067" s="4" t="s">
        <v>52</v>
      </c>
      <c r="E1067" s="4" t="s">
        <v>16</v>
      </c>
      <c r="F1067" s="4" t="s">
        <v>17</v>
      </c>
      <c r="G1067" s="4" t="s">
        <v>18</v>
      </c>
      <c r="H1067" s="4" t="s">
        <v>174</v>
      </c>
      <c r="I1067" s="5" t="str">
        <f t="shared" si="16"/>
        <v>2025-05</v>
      </c>
      <c r="J1067" s="4" t="s">
        <v>50</v>
      </c>
      <c r="K1067" s="5" t="s">
        <v>343</v>
      </c>
      <c r="L1067" s="2">
        <v>71250</v>
      </c>
      <c r="M1067" s="3">
        <v>1</v>
      </c>
      <c r="N1067" s="2">
        <v>71250</v>
      </c>
      <c r="O1067" s="2">
        <v>7125</v>
      </c>
      <c r="P1067" s="2">
        <v>78375</v>
      </c>
      <c r="Q1067" s="2">
        <f>P1067*12%</f>
        <v>9405</v>
      </c>
    </row>
    <row r="1068" spans="1:17" x14ac:dyDescent="0.4">
      <c r="A1068" s="4" t="s">
        <v>13</v>
      </c>
      <c r="B1068" s="4" t="s">
        <v>14</v>
      </c>
      <c r="C1068" s="30" t="s">
        <v>434</v>
      </c>
      <c r="D1068" s="4" t="s">
        <v>15</v>
      </c>
      <c r="E1068" s="4" t="s">
        <v>16</v>
      </c>
      <c r="F1068" s="4" t="s">
        <v>17</v>
      </c>
      <c r="G1068" s="4" t="s">
        <v>18</v>
      </c>
      <c r="H1068" s="4" t="s">
        <v>175</v>
      </c>
      <c r="I1068" s="5" t="str">
        <f t="shared" si="16"/>
        <v>2025-05</v>
      </c>
      <c r="J1068" s="4" t="s">
        <v>20</v>
      </c>
      <c r="K1068" s="5" t="s">
        <v>342</v>
      </c>
      <c r="L1068" s="2">
        <v>42000</v>
      </c>
      <c r="M1068" s="3">
        <v>2</v>
      </c>
      <c r="N1068" s="2">
        <v>84000</v>
      </c>
      <c r="O1068" s="2">
        <v>8400</v>
      </c>
      <c r="P1068" s="2">
        <v>92400</v>
      </c>
      <c r="Q1068" s="2">
        <f>P1068*8.5%</f>
        <v>7854.0000000000009</v>
      </c>
    </row>
    <row r="1069" spans="1:17" x14ac:dyDescent="0.4">
      <c r="A1069" s="4" t="s">
        <v>21</v>
      </c>
      <c r="B1069" s="4" t="s">
        <v>14</v>
      </c>
      <c r="C1069" s="31" t="s">
        <v>435</v>
      </c>
      <c r="D1069" s="4" t="s">
        <v>22</v>
      </c>
      <c r="E1069" s="4" t="s">
        <v>16</v>
      </c>
      <c r="F1069" s="4" t="s">
        <v>17</v>
      </c>
      <c r="G1069" s="4" t="s">
        <v>18</v>
      </c>
      <c r="H1069" s="4" t="s">
        <v>175</v>
      </c>
      <c r="I1069" s="5" t="str">
        <f t="shared" si="16"/>
        <v>2025-05</v>
      </c>
      <c r="J1069" s="4" t="s">
        <v>20</v>
      </c>
      <c r="K1069" s="5" t="s">
        <v>342</v>
      </c>
      <c r="L1069" s="2">
        <v>54000</v>
      </c>
      <c r="M1069" s="3">
        <v>2</v>
      </c>
      <c r="N1069" s="2">
        <v>108000</v>
      </c>
      <c r="O1069" s="2">
        <v>10800</v>
      </c>
      <c r="P1069" s="2">
        <v>118800</v>
      </c>
      <c r="Q1069" s="2">
        <f>P1069*8.5%</f>
        <v>10098</v>
      </c>
    </row>
    <row r="1070" spans="1:17" x14ac:dyDescent="0.4">
      <c r="A1070" s="4" t="s">
        <v>23</v>
      </c>
      <c r="B1070" s="4" t="s">
        <v>14</v>
      </c>
      <c r="C1070" s="31" t="s">
        <v>435</v>
      </c>
      <c r="D1070" s="4" t="s">
        <v>24</v>
      </c>
      <c r="E1070" s="4" t="s">
        <v>16</v>
      </c>
      <c r="F1070" s="4" t="s">
        <v>17</v>
      </c>
      <c r="G1070" s="4" t="s">
        <v>18</v>
      </c>
      <c r="H1070" s="4" t="s">
        <v>175</v>
      </c>
      <c r="I1070" s="5" t="str">
        <f t="shared" si="16"/>
        <v>2025-05</v>
      </c>
      <c r="J1070" s="4" t="s">
        <v>20</v>
      </c>
      <c r="K1070" s="5" t="s">
        <v>342</v>
      </c>
      <c r="L1070" s="2">
        <v>54000</v>
      </c>
      <c r="M1070" s="3">
        <v>3</v>
      </c>
      <c r="N1070" s="2">
        <v>162000</v>
      </c>
      <c r="O1070" s="2">
        <v>16200</v>
      </c>
      <c r="P1070" s="2">
        <v>178200</v>
      </c>
      <c r="Q1070" s="2">
        <f>P1070*8.5%</f>
        <v>15147.000000000002</v>
      </c>
    </row>
    <row r="1071" spans="1:17" hidden="1" x14ac:dyDescent="0.4">
      <c r="A1071" s="4" t="s">
        <v>32</v>
      </c>
      <c r="B1071" s="4" t="s">
        <v>14</v>
      </c>
      <c r="C1071" s="31" t="s">
        <v>435</v>
      </c>
      <c r="D1071" s="4" t="s">
        <v>33</v>
      </c>
      <c r="E1071" s="4" t="s">
        <v>16</v>
      </c>
      <c r="F1071" s="4" t="s">
        <v>17</v>
      </c>
      <c r="G1071" s="4" t="s">
        <v>18</v>
      </c>
      <c r="H1071" s="4" t="s">
        <v>175</v>
      </c>
      <c r="I1071" s="5" t="str">
        <f t="shared" si="16"/>
        <v>2025-05</v>
      </c>
      <c r="J1071" s="4" t="s">
        <v>118</v>
      </c>
      <c r="K1071" s="5" t="s">
        <v>342</v>
      </c>
      <c r="L1071" s="2">
        <v>44000</v>
      </c>
      <c r="M1071" s="3">
        <v>2</v>
      </c>
      <c r="N1071" s="2">
        <v>88000</v>
      </c>
      <c r="O1071" s="2">
        <v>8800</v>
      </c>
      <c r="P1071" s="2">
        <v>96800</v>
      </c>
      <c r="Q1071" s="2">
        <f>P1071*8.5%</f>
        <v>8228</v>
      </c>
    </row>
    <row r="1072" spans="1:17" hidden="1" x14ac:dyDescent="0.4">
      <c r="A1072" s="4" t="s">
        <v>13</v>
      </c>
      <c r="B1072" s="4" t="s">
        <v>14</v>
      </c>
      <c r="C1072" s="30" t="s">
        <v>434</v>
      </c>
      <c r="D1072" s="4" t="s">
        <v>15</v>
      </c>
      <c r="E1072" s="4" t="s">
        <v>16</v>
      </c>
      <c r="F1072" s="4" t="s">
        <v>17</v>
      </c>
      <c r="G1072" s="4" t="s">
        <v>18</v>
      </c>
      <c r="H1072" s="4" t="s">
        <v>175</v>
      </c>
      <c r="I1072" s="5" t="str">
        <f t="shared" si="16"/>
        <v>2025-05</v>
      </c>
      <c r="J1072" s="4" t="s">
        <v>118</v>
      </c>
      <c r="K1072" s="5" t="s">
        <v>342</v>
      </c>
      <c r="L1072" s="2">
        <v>42000</v>
      </c>
      <c r="M1072" s="3">
        <v>2</v>
      </c>
      <c r="N1072" s="2">
        <v>84000</v>
      </c>
      <c r="O1072" s="2">
        <v>8400</v>
      </c>
      <c r="P1072" s="2">
        <v>92400</v>
      </c>
      <c r="Q1072" s="2">
        <f>P1072*8.5%</f>
        <v>7854.0000000000009</v>
      </c>
    </row>
    <row r="1073" spans="1:17" hidden="1" x14ac:dyDescent="0.4">
      <c r="A1073" s="4" t="s">
        <v>51</v>
      </c>
      <c r="B1073" s="4" t="s">
        <v>14</v>
      </c>
      <c r="C1073" s="30" t="s">
        <v>434</v>
      </c>
      <c r="D1073" s="4" t="s">
        <v>52</v>
      </c>
      <c r="E1073" s="4" t="s">
        <v>16</v>
      </c>
      <c r="F1073" s="4" t="s">
        <v>17</v>
      </c>
      <c r="G1073" s="4" t="s">
        <v>18</v>
      </c>
      <c r="H1073" s="4" t="s">
        <v>175</v>
      </c>
      <c r="I1073" s="5" t="str">
        <f t="shared" si="16"/>
        <v>2025-05</v>
      </c>
      <c r="J1073" s="4" t="s">
        <v>118</v>
      </c>
      <c r="K1073" s="5" t="s">
        <v>342</v>
      </c>
      <c r="L1073" s="2">
        <v>71250</v>
      </c>
      <c r="M1073" s="3">
        <v>1</v>
      </c>
      <c r="N1073" s="2">
        <v>71250</v>
      </c>
      <c r="O1073" s="2">
        <v>7125</v>
      </c>
      <c r="P1073" s="2">
        <v>78375</v>
      </c>
      <c r="Q1073" s="2">
        <f>P1073*8.5%</f>
        <v>6661.8750000000009</v>
      </c>
    </row>
    <row r="1074" spans="1:17" hidden="1" x14ac:dyDescent="0.4">
      <c r="A1074" s="4" t="s">
        <v>64</v>
      </c>
      <c r="B1074" s="4" t="s">
        <v>65</v>
      </c>
      <c r="C1074" s="32" t="s">
        <v>436</v>
      </c>
      <c r="D1074" s="4" t="s">
        <v>66</v>
      </c>
      <c r="E1074" s="4" t="s">
        <v>16</v>
      </c>
      <c r="F1074" s="4" t="s">
        <v>17</v>
      </c>
      <c r="G1074" s="4" t="s">
        <v>18</v>
      </c>
      <c r="H1074" s="4" t="s">
        <v>175</v>
      </c>
      <c r="I1074" s="5" t="str">
        <f t="shared" si="16"/>
        <v>2025-05</v>
      </c>
      <c r="J1074" s="4" t="s">
        <v>34</v>
      </c>
      <c r="K1074" s="5" t="s">
        <v>342</v>
      </c>
      <c r="L1074" s="2">
        <v>10283</v>
      </c>
      <c r="M1074" s="3">
        <v>1</v>
      </c>
      <c r="N1074" s="2">
        <v>10283</v>
      </c>
      <c r="O1074" s="2">
        <v>1028</v>
      </c>
      <c r="P1074" s="2">
        <v>11311</v>
      </c>
      <c r="Q1074" s="2">
        <f>P1074*8.5%</f>
        <v>961.43500000000006</v>
      </c>
    </row>
    <row r="1075" spans="1:17" hidden="1" x14ac:dyDescent="0.4">
      <c r="A1075" s="4" t="s">
        <v>32</v>
      </c>
      <c r="B1075" s="4" t="s">
        <v>14</v>
      </c>
      <c r="C1075" s="31" t="s">
        <v>435</v>
      </c>
      <c r="D1075" s="4" t="s">
        <v>33</v>
      </c>
      <c r="E1075" s="4" t="s">
        <v>16</v>
      </c>
      <c r="F1075" s="4" t="s">
        <v>17</v>
      </c>
      <c r="G1075" s="4" t="s">
        <v>18</v>
      </c>
      <c r="H1075" s="4" t="s">
        <v>175</v>
      </c>
      <c r="I1075" s="5" t="str">
        <f t="shared" si="16"/>
        <v>2025-05</v>
      </c>
      <c r="J1075" s="4" t="s">
        <v>34</v>
      </c>
      <c r="K1075" s="5" t="s">
        <v>342</v>
      </c>
      <c r="L1075" s="2">
        <v>44000</v>
      </c>
      <c r="M1075" s="3">
        <v>2</v>
      </c>
      <c r="N1075" s="2">
        <v>88000</v>
      </c>
      <c r="O1075" s="2">
        <v>8800</v>
      </c>
      <c r="P1075" s="2">
        <v>96800</v>
      </c>
      <c r="Q1075" s="2">
        <f>P1075*8.5%</f>
        <v>8228</v>
      </c>
    </row>
    <row r="1076" spans="1:17" hidden="1" x14ac:dyDescent="0.4">
      <c r="A1076" s="4" t="s">
        <v>58</v>
      </c>
      <c r="B1076" s="4" t="s">
        <v>14</v>
      </c>
      <c r="C1076" s="30" t="s">
        <v>434</v>
      </c>
      <c r="D1076" s="4" t="s">
        <v>36</v>
      </c>
      <c r="E1076" s="4" t="s">
        <v>16</v>
      </c>
      <c r="F1076" s="4" t="s">
        <v>17</v>
      </c>
      <c r="G1076" s="4" t="s">
        <v>18</v>
      </c>
      <c r="H1076" s="4" t="s">
        <v>175</v>
      </c>
      <c r="I1076" s="5" t="str">
        <f t="shared" si="16"/>
        <v>2025-05</v>
      </c>
      <c r="J1076" s="4" t="s">
        <v>34</v>
      </c>
      <c r="K1076" s="5" t="s">
        <v>342</v>
      </c>
      <c r="L1076" s="2">
        <v>120880</v>
      </c>
      <c r="M1076" s="3">
        <v>1</v>
      </c>
      <c r="N1076" s="2">
        <v>120880</v>
      </c>
      <c r="O1076" s="2">
        <v>12088</v>
      </c>
      <c r="P1076" s="2">
        <v>132968</v>
      </c>
      <c r="Q1076" s="2">
        <f>P1076*8.5%</f>
        <v>11302.28</v>
      </c>
    </row>
    <row r="1077" spans="1:17" hidden="1" x14ac:dyDescent="0.4">
      <c r="A1077" s="4" t="s">
        <v>13</v>
      </c>
      <c r="B1077" s="4" t="s">
        <v>14</v>
      </c>
      <c r="C1077" s="30" t="s">
        <v>434</v>
      </c>
      <c r="D1077" s="4" t="s">
        <v>15</v>
      </c>
      <c r="E1077" s="4" t="s">
        <v>16</v>
      </c>
      <c r="F1077" s="4" t="s">
        <v>17</v>
      </c>
      <c r="G1077" s="4" t="s">
        <v>18</v>
      </c>
      <c r="H1077" s="4" t="s">
        <v>175</v>
      </c>
      <c r="I1077" s="5" t="str">
        <f t="shared" si="16"/>
        <v>2025-05</v>
      </c>
      <c r="J1077" s="4" t="s">
        <v>34</v>
      </c>
      <c r="K1077" s="5" t="s">
        <v>342</v>
      </c>
      <c r="L1077" s="2">
        <v>42000</v>
      </c>
      <c r="M1077" s="3">
        <v>4</v>
      </c>
      <c r="N1077" s="2">
        <v>168000</v>
      </c>
      <c r="O1077" s="2">
        <v>16800</v>
      </c>
      <c r="P1077" s="2">
        <v>184800</v>
      </c>
      <c r="Q1077" s="2">
        <f>P1077*8.5%</f>
        <v>15708.000000000002</v>
      </c>
    </row>
    <row r="1078" spans="1:17" hidden="1" x14ac:dyDescent="0.4">
      <c r="A1078" s="4" t="s">
        <v>21</v>
      </c>
      <c r="B1078" s="4" t="s">
        <v>14</v>
      </c>
      <c r="C1078" s="31" t="s">
        <v>435</v>
      </c>
      <c r="D1078" s="4" t="s">
        <v>22</v>
      </c>
      <c r="E1078" s="4" t="s">
        <v>16</v>
      </c>
      <c r="F1078" s="4" t="s">
        <v>17</v>
      </c>
      <c r="G1078" s="4" t="s">
        <v>18</v>
      </c>
      <c r="H1078" s="4" t="s">
        <v>175</v>
      </c>
      <c r="I1078" s="5" t="str">
        <f t="shared" si="16"/>
        <v>2025-05</v>
      </c>
      <c r="J1078" s="4" t="s">
        <v>34</v>
      </c>
      <c r="K1078" s="5" t="s">
        <v>342</v>
      </c>
      <c r="L1078" s="2">
        <v>54000</v>
      </c>
      <c r="M1078" s="3">
        <v>1</v>
      </c>
      <c r="N1078" s="2">
        <v>54000</v>
      </c>
      <c r="O1078" s="2">
        <v>5400</v>
      </c>
      <c r="P1078" s="2">
        <v>59400</v>
      </c>
      <c r="Q1078" s="2">
        <f>P1078*8.5%</f>
        <v>5049</v>
      </c>
    </row>
    <row r="1079" spans="1:17" hidden="1" x14ac:dyDescent="0.4">
      <c r="A1079" s="4" t="s">
        <v>23</v>
      </c>
      <c r="B1079" s="4" t="s">
        <v>14</v>
      </c>
      <c r="C1079" s="31" t="s">
        <v>435</v>
      </c>
      <c r="D1079" s="4" t="s">
        <v>24</v>
      </c>
      <c r="E1079" s="4" t="s">
        <v>16</v>
      </c>
      <c r="F1079" s="4" t="s">
        <v>17</v>
      </c>
      <c r="G1079" s="4" t="s">
        <v>18</v>
      </c>
      <c r="H1079" s="4" t="s">
        <v>175</v>
      </c>
      <c r="I1079" s="5" t="str">
        <f t="shared" si="16"/>
        <v>2025-05</v>
      </c>
      <c r="J1079" s="4" t="s">
        <v>34</v>
      </c>
      <c r="K1079" s="5" t="s">
        <v>342</v>
      </c>
      <c r="L1079" s="2">
        <v>54000</v>
      </c>
      <c r="M1079" s="3">
        <v>4</v>
      </c>
      <c r="N1079" s="2">
        <v>216000</v>
      </c>
      <c r="O1079" s="2">
        <v>21600</v>
      </c>
      <c r="P1079" s="2">
        <v>237600</v>
      </c>
      <c r="Q1079" s="2">
        <f>P1079*8.5%</f>
        <v>20196</v>
      </c>
    </row>
    <row r="1080" spans="1:17" hidden="1" x14ac:dyDescent="0.4">
      <c r="A1080" s="4" t="s">
        <v>51</v>
      </c>
      <c r="B1080" s="4" t="s">
        <v>14</v>
      </c>
      <c r="C1080" s="30" t="s">
        <v>434</v>
      </c>
      <c r="D1080" s="4" t="s">
        <v>52</v>
      </c>
      <c r="E1080" s="4" t="s">
        <v>16</v>
      </c>
      <c r="F1080" s="4" t="s">
        <v>17</v>
      </c>
      <c r="G1080" s="4" t="s">
        <v>18</v>
      </c>
      <c r="H1080" s="4" t="s">
        <v>175</v>
      </c>
      <c r="I1080" s="5" t="str">
        <f t="shared" si="16"/>
        <v>2025-05</v>
      </c>
      <c r="J1080" s="4" t="s">
        <v>34</v>
      </c>
      <c r="K1080" s="5" t="s">
        <v>342</v>
      </c>
      <c r="L1080" s="2">
        <v>71250</v>
      </c>
      <c r="M1080" s="3">
        <v>1</v>
      </c>
      <c r="N1080" s="2">
        <v>71250</v>
      </c>
      <c r="O1080" s="2">
        <v>7125</v>
      </c>
      <c r="P1080" s="2">
        <v>78375</v>
      </c>
      <c r="Q1080" s="2">
        <f>P1080*8.5%</f>
        <v>6661.8750000000009</v>
      </c>
    </row>
    <row r="1081" spans="1:17" hidden="1" x14ac:dyDescent="0.4">
      <c r="A1081" s="4" t="s">
        <v>107</v>
      </c>
      <c r="B1081" s="4" t="s">
        <v>26</v>
      </c>
      <c r="C1081" s="32" t="s">
        <v>436</v>
      </c>
      <c r="D1081" s="4" t="s">
        <v>108</v>
      </c>
      <c r="E1081" s="4" t="s">
        <v>28</v>
      </c>
      <c r="F1081" s="4" t="s">
        <v>31</v>
      </c>
      <c r="G1081" s="4" t="s">
        <v>18</v>
      </c>
      <c r="H1081" s="4" t="s">
        <v>175</v>
      </c>
      <c r="I1081" s="5" t="str">
        <f t="shared" si="16"/>
        <v>2025-05</v>
      </c>
      <c r="J1081" s="4" t="s">
        <v>34</v>
      </c>
      <c r="K1081" s="5" t="s">
        <v>342</v>
      </c>
      <c r="L1081" s="2">
        <v>34377</v>
      </c>
      <c r="M1081" s="3">
        <v>1</v>
      </c>
      <c r="N1081" s="2">
        <v>34377</v>
      </c>
      <c r="O1081" s="2">
        <v>0</v>
      </c>
      <c r="P1081" s="2">
        <v>34377</v>
      </c>
      <c r="Q1081" s="2">
        <f>P1081*8.5%</f>
        <v>2922.0450000000001</v>
      </c>
    </row>
    <row r="1082" spans="1:17" hidden="1" x14ac:dyDescent="0.4">
      <c r="A1082" s="4" t="s">
        <v>176</v>
      </c>
      <c r="B1082" s="4" t="s">
        <v>26</v>
      </c>
      <c r="C1082" s="32" t="s">
        <v>436</v>
      </c>
      <c r="D1082" s="4" t="s">
        <v>177</v>
      </c>
      <c r="E1082" s="4" t="s">
        <v>28</v>
      </c>
      <c r="F1082" s="4" t="s">
        <v>17</v>
      </c>
      <c r="G1082" s="4" t="s">
        <v>18</v>
      </c>
      <c r="H1082" s="4" t="s">
        <v>175</v>
      </c>
      <c r="I1082" s="5" t="str">
        <f t="shared" si="16"/>
        <v>2025-05</v>
      </c>
      <c r="J1082" s="4" t="s">
        <v>34</v>
      </c>
      <c r="K1082" s="5" t="s">
        <v>342</v>
      </c>
      <c r="L1082" s="2">
        <v>658</v>
      </c>
      <c r="M1082" s="3">
        <v>5</v>
      </c>
      <c r="N1082" s="2">
        <v>3290</v>
      </c>
      <c r="O1082" s="2">
        <v>329</v>
      </c>
      <c r="P1082" s="2">
        <v>3619</v>
      </c>
      <c r="Q1082" s="2">
        <f>P1082*8.5%</f>
        <v>307.61500000000001</v>
      </c>
    </row>
    <row r="1083" spans="1:17" hidden="1" x14ac:dyDescent="0.4">
      <c r="A1083" s="4" t="s">
        <v>42</v>
      </c>
      <c r="B1083" s="4" t="s">
        <v>14</v>
      </c>
      <c r="C1083" s="30" t="s">
        <v>434</v>
      </c>
      <c r="D1083" s="4" t="s">
        <v>43</v>
      </c>
      <c r="E1083" s="4" t="s">
        <v>44</v>
      </c>
      <c r="F1083" s="4" t="s">
        <v>31</v>
      </c>
      <c r="G1083" s="4" t="s">
        <v>18</v>
      </c>
      <c r="H1083" s="4" t="s">
        <v>175</v>
      </c>
      <c r="I1083" s="5" t="str">
        <f t="shared" si="16"/>
        <v>2025-05</v>
      </c>
      <c r="J1083" s="4" t="s">
        <v>34</v>
      </c>
      <c r="K1083" s="5" t="s">
        <v>342</v>
      </c>
      <c r="L1083" s="2">
        <v>6800</v>
      </c>
      <c r="M1083" s="3">
        <v>44.6</v>
      </c>
      <c r="N1083" s="2">
        <v>303280</v>
      </c>
      <c r="O1083" s="2">
        <v>0</v>
      </c>
      <c r="P1083" s="2">
        <v>303280</v>
      </c>
      <c r="Q1083" s="2">
        <f>P1083*8.5%</f>
        <v>25778.800000000003</v>
      </c>
    </row>
    <row r="1084" spans="1:17" hidden="1" x14ac:dyDescent="0.4">
      <c r="A1084" s="4" t="s">
        <v>13</v>
      </c>
      <c r="B1084" s="4" t="s">
        <v>14</v>
      </c>
      <c r="C1084" s="30" t="s">
        <v>434</v>
      </c>
      <c r="D1084" s="4" t="s">
        <v>15</v>
      </c>
      <c r="E1084" s="4" t="s">
        <v>16</v>
      </c>
      <c r="F1084" s="4" t="s">
        <v>17</v>
      </c>
      <c r="G1084" s="4" t="s">
        <v>18</v>
      </c>
      <c r="H1084" s="4" t="s">
        <v>175</v>
      </c>
      <c r="I1084" s="5" t="str">
        <f t="shared" si="16"/>
        <v>2025-05</v>
      </c>
      <c r="J1084" s="4" t="s">
        <v>59</v>
      </c>
      <c r="K1084" s="5" t="s">
        <v>343</v>
      </c>
      <c r="L1084" s="2">
        <v>42000</v>
      </c>
      <c r="M1084" s="3">
        <v>6</v>
      </c>
      <c r="N1084" s="2">
        <v>252000</v>
      </c>
      <c r="O1084" s="2">
        <v>25200</v>
      </c>
      <c r="P1084" s="2">
        <v>277200</v>
      </c>
      <c r="Q1084" s="2">
        <f>P1084*12%</f>
        <v>33264</v>
      </c>
    </row>
    <row r="1085" spans="1:17" hidden="1" x14ac:dyDescent="0.4">
      <c r="A1085" s="4" t="s">
        <v>23</v>
      </c>
      <c r="B1085" s="4" t="s">
        <v>14</v>
      </c>
      <c r="C1085" s="31" t="s">
        <v>435</v>
      </c>
      <c r="D1085" s="4" t="s">
        <v>24</v>
      </c>
      <c r="E1085" s="4" t="s">
        <v>16</v>
      </c>
      <c r="F1085" s="4" t="s">
        <v>17</v>
      </c>
      <c r="G1085" s="4" t="s">
        <v>18</v>
      </c>
      <c r="H1085" s="4" t="s">
        <v>175</v>
      </c>
      <c r="I1085" s="5" t="str">
        <f t="shared" si="16"/>
        <v>2025-05</v>
      </c>
      <c r="J1085" s="4" t="s">
        <v>59</v>
      </c>
      <c r="K1085" s="5" t="s">
        <v>343</v>
      </c>
      <c r="L1085" s="2">
        <v>54000</v>
      </c>
      <c r="M1085" s="3">
        <v>2</v>
      </c>
      <c r="N1085" s="2">
        <v>108000</v>
      </c>
      <c r="O1085" s="2">
        <v>10800</v>
      </c>
      <c r="P1085" s="2">
        <v>118800</v>
      </c>
      <c r="Q1085" s="2">
        <f>P1085*12%</f>
        <v>14256</v>
      </c>
    </row>
    <row r="1086" spans="1:17" hidden="1" x14ac:dyDescent="0.4">
      <c r="A1086" s="4" t="s">
        <v>51</v>
      </c>
      <c r="B1086" s="4" t="s">
        <v>14</v>
      </c>
      <c r="C1086" s="30" t="s">
        <v>434</v>
      </c>
      <c r="D1086" s="4" t="s">
        <v>52</v>
      </c>
      <c r="E1086" s="4" t="s">
        <v>16</v>
      </c>
      <c r="F1086" s="4" t="s">
        <v>17</v>
      </c>
      <c r="G1086" s="4" t="s">
        <v>18</v>
      </c>
      <c r="H1086" s="4" t="s">
        <v>175</v>
      </c>
      <c r="I1086" s="5" t="str">
        <f t="shared" si="16"/>
        <v>2025-05</v>
      </c>
      <c r="J1086" s="4" t="s">
        <v>59</v>
      </c>
      <c r="K1086" s="5" t="s">
        <v>343</v>
      </c>
      <c r="L1086" s="2">
        <v>71250</v>
      </c>
      <c r="M1086" s="3">
        <v>1</v>
      </c>
      <c r="N1086" s="2">
        <v>71250</v>
      </c>
      <c r="O1086" s="2">
        <v>7125</v>
      </c>
      <c r="P1086" s="2">
        <v>78375</v>
      </c>
      <c r="Q1086" s="2">
        <f>P1086*12%</f>
        <v>9405</v>
      </c>
    </row>
    <row r="1087" spans="1:17" hidden="1" x14ac:dyDescent="0.4">
      <c r="A1087" s="4" t="s">
        <v>100</v>
      </c>
      <c r="B1087" s="4" t="s">
        <v>26</v>
      </c>
      <c r="C1087" s="32" t="s">
        <v>436</v>
      </c>
      <c r="D1087" s="4" t="s">
        <v>101</v>
      </c>
      <c r="E1087" s="4" t="s">
        <v>28</v>
      </c>
      <c r="F1087" s="4" t="s">
        <v>17</v>
      </c>
      <c r="G1087" s="4" t="s">
        <v>18</v>
      </c>
      <c r="H1087" s="4" t="s">
        <v>175</v>
      </c>
      <c r="I1087" s="5" t="str">
        <f t="shared" si="16"/>
        <v>2025-05</v>
      </c>
      <c r="J1087" s="4" t="s">
        <v>59</v>
      </c>
      <c r="K1087" s="5" t="s">
        <v>343</v>
      </c>
      <c r="L1087" s="2">
        <v>5620</v>
      </c>
      <c r="M1087" s="3">
        <v>4</v>
      </c>
      <c r="N1087" s="2">
        <v>22480</v>
      </c>
      <c r="O1087" s="2">
        <v>2248</v>
      </c>
      <c r="P1087" s="2">
        <v>24728</v>
      </c>
      <c r="Q1087" s="2">
        <f>P1087*12%</f>
        <v>2967.3599999999997</v>
      </c>
    </row>
    <row r="1088" spans="1:17" hidden="1" x14ac:dyDescent="0.4">
      <c r="A1088" s="4" t="s">
        <v>32</v>
      </c>
      <c r="B1088" s="4" t="s">
        <v>14</v>
      </c>
      <c r="C1088" s="31" t="s">
        <v>435</v>
      </c>
      <c r="D1088" s="4" t="s">
        <v>33</v>
      </c>
      <c r="E1088" s="4" t="s">
        <v>16</v>
      </c>
      <c r="F1088" s="4" t="s">
        <v>17</v>
      </c>
      <c r="G1088" s="4" t="s">
        <v>18</v>
      </c>
      <c r="H1088" s="4" t="s">
        <v>175</v>
      </c>
      <c r="I1088" s="5" t="str">
        <f t="shared" si="16"/>
        <v>2025-05</v>
      </c>
      <c r="J1088" s="4" t="s">
        <v>49</v>
      </c>
      <c r="K1088" s="5" t="s">
        <v>343</v>
      </c>
      <c r="L1088" s="2">
        <v>44000</v>
      </c>
      <c r="M1088" s="3">
        <v>3</v>
      </c>
      <c r="N1088" s="2">
        <v>132000</v>
      </c>
      <c r="O1088" s="2">
        <v>13200</v>
      </c>
      <c r="P1088" s="2">
        <v>145200</v>
      </c>
      <c r="Q1088" s="2">
        <f>P1088*12%</f>
        <v>17424</v>
      </c>
    </row>
    <row r="1089" spans="1:17" hidden="1" x14ac:dyDescent="0.4">
      <c r="A1089" s="4" t="s">
        <v>13</v>
      </c>
      <c r="B1089" s="4" t="s">
        <v>14</v>
      </c>
      <c r="C1089" s="30" t="s">
        <v>434</v>
      </c>
      <c r="D1089" s="4" t="s">
        <v>15</v>
      </c>
      <c r="E1089" s="4" t="s">
        <v>16</v>
      </c>
      <c r="F1089" s="4" t="s">
        <v>17</v>
      </c>
      <c r="G1089" s="4" t="s">
        <v>18</v>
      </c>
      <c r="H1089" s="4" t="s">
        <v>175</v>
      </c>
      <c r="I1089" s="5" t="str">
        <f t="shared" si="16"/>
        <v>2025-05</v>
      </c>
      <c r="J1089" s="4" t="s">
        <v>49</v>
      </c>
      <c r="K1089" s="5" t="s">
        <v>343</v>
      </c>
      <c r="L1089" s="2">
        <v>42000</v>
      </c>
      <c r="M1089" s="3">
        <v>4</v>
      </c>
      <c r="N1089" s="2">
        <v>168000</v>
      </c>
      <c r="O1089" s="2">
        <v>16800</v>
      </c>
      <c r="P1089" s="2">
        <v>184800</v>
      </c>
      <c r="Q1089" s="2">
        <f>P1089*12%</f>
        <v>22176</v>
      </c>
    </row>
    <row r="1090" spans="1:17" hidden="1" x14ac:dyDescent="0.4">
      <c r="A1090" s="4" t="s">
        <v>35</v>
      </c>
      <c r="B1090" s="4" t="s">
        <v>14</v>
      </c>
      <c r="C1090" s="30" t="s">
        <v>434</v>
      </c>
      <c r="D1090" s="4" t="s">
        <v>36</v>
      </c>
      <c r="E1090" s="4" t="s">
        <v>16</v>
      </c>
      <c r="F1090" s="4" t="s">
        <v>17</v>
      </c>
      <c r="G1090" s="4" t="s">
        <v>18</v>
      </c>
      <c r="H1090" s="4" t="s">
        <v>175</v>
      </c>
      <c r="I1090" s="5" t="str">
        <f t="shared" ref="I1090:I1153" si="17">TEXT(H1090,"yyyy-mm")</f>
        <v>2025-05</v>
      </c>
      <c r="J1090" s="4" t="s">
        <v>49</v>
      </c>
      <c r="K1090" s="5" t="s">
        <v>343</v>
      </c>
      <c r="L1090" s="2">
        <v>116220</v>
      </c>
      <c r="M1090" s="3">
        <v>1</v>
      </c>
      <c r="N1090" s="2">
        <v>116220</v>
      </c>
      <c r="O1090" s="2">
        <v>11622</v>
      </c>
      <c r="P1090" s="2">
        <v>127842</v>
      </c>
      <c r="Q1090" s="2">
        <f>P1090*12%</f>
        <v>15341.039999999999</v>
      </c>
    </row>
    <row r="1091" spans="1:17" hidden="1" x14ac:dyDescent="0.4">
      <c r="A1091" s="4" t="s">
        <v>23</v>
      </c>
      <c r="B1091" s="4" t="s">
        <v>14</v>
      </c>
      <c r="C1091" s="31" t="s">
        <v>435</v>
      </c>
      <c r="D1091" s="4" t="s">
        <v>24</v>
      </c>
      <c r="E1091" s="4" t="s">
        <v>16</v>
      </c>
      <c r="F1091" s="4" t="s">
        <v>17</v>
      </c>
      <c r="G1091" s="4" t="s">
        <v>18</v>
      </c>
      <c r="H1091" s="4" t="s">
        <v>175</v>
      </c>
      <c r="I1091" s="5" t="str">
        <f t="shared" si="17"/>
        <v>2025-05</v>
      </c>
      <c r="J1091" s="4" t="s">
        <v>49</v>
      </c>
      <c r="K1091" s="5" t="s">
        <v>343</v>
      </c>
      <c r="L1091" s="2">
        <v>54000</v>
      </c>
      <c r="M1091" s="3">
        <v>3</v>
      </c>
      <c r="N1091" s="2">
        <v>162000</v>
      </c>
      <c r="O1091" s="2">
        <v>16200</v>
      </c>
      <c r="P1091" s="2">
        <v>178200</v>
      </c>
      <c r="Q1091" s="2">
        <f>P1091*12%</f>
        <v>21384</v>
      </c>
    </row>
    <row r="1092" spans="1:17" hidden="1" x14ac:dyDescent="0.4">
      <c r="A1092" s="4" t="s">
        <v>51</v>
      </c>
      <c r="B1092" s="4" t="s">
        <v>14</v>
      </c>
      <c r="C1092" s="30" t="s">
        <v>434</v>
      </c>
      <c r="D1092" s="4" t="s">
        <v>52</v>
      </c>
      <c r="E1092" s="4" t="s">
        <v>16</v>
      </c>
      <c r="F1092" s="4" t="s">
        <v>17</v>
      </c>
      <c r="G1092" s="4" t="s">
        <v>18</v>
      </c>
      <c r="H1092" s="4" t="s">
        <v>175</v>
      </c>
      <c r="I1092" s="5" t="str">
        <f t="shared" si="17"/>
        <v>2025-05</v>
      </c>
      <c r="J1092" s="4" t="s">
        <v>49</v>
      </c>
      <c r="K1092" s="5" t="s">
        <v>343</v>
      </c>
      <c r="L1092" s="2">
        <v>71250</v>
      </c>
      <c r="M1092" s="3">
        <v>1</v>
      </c>
      <c r="N1092" s="2">
        <v>71250</v>
      </c>
      <c r="O1092" s="2">
        <v>7125</v>
      </c>
      <c r="P1092" s="2">
        <v>78375</v>
      </c>
      <c r="Q1092" s="2">
        <f>P1092*12%</f>
        <v>9405</v>
      </c>
    </row>
    <row r="1093" spans="1:17" x14ac:dyDescent="0.4">
      <c r="A1093" s="4" t="s">
        <v>58</v>
      </c>
      <c r="B1093" s="4" t="s">
        <v>14</v>
      </c>
      <c r="C1093" s="30" t="s">
        <v>434</v>
      </c>
      <c r="D1093" s="4" t="s">
        <v>36</v>
      </c>
      <c r="E1093" s="4" t="s">
        <v>16</v>
      </c>
      <c r="F1093" s="4" t="s">
        <v>17</v>
      </c>
      <c r="G1093" s="4" t="s">
        <v>18</v>
      </c>
      <c r="H1093" s="4" t="s">
        <v>178</v>
      </c>
      <c r="I1093" s="5" t="str">
        <f t="shared" si="17"/>
        <v>2025-05</v>
      </c>
      <c r="J1093" s="4" t="s">
        <v>20</v>
      </c>
      <c r="K1093" s="5" t="s">
        <v>342</v>
      </c>
      <c r="L1093" s="2">
        <v>120880</v>
      </c>
      <c r="M1093" s="3">
        <v>1</v>
      </c>
      <c r="N1093" s="2">
        <v>120880</v>
      </c>
      <c r="O1093" s="2">
        <v>12088</v>
      </c>
      <c r="P1093" s="2">
        <v>132968</v>
      </c>
      <c r="Q1093" s="2">
        <f>P1093*8.5%</f>
        <v>11302.28</v>
      </c>
    </row>
    <row r="1094" spans="1:17" x14ac:dyDescent="0.4">
      <c r="A1094" s="4" t="s">
        <v>13</v>
      </c>
      <c r="B1094" s="4" t="s">
        <v>14</v>
      </c>
      <c r="C1094" s="30" t="s">
        <v>434</v>
      </c>
      <c r="D1094" s="4" t="s">
        <v>15</v>
      </c>
      <c r="E1094" s="4" t="s">
        <v>16</v>
      </c>
      <c r="F1094" s="4" t="s">
        <v>17</v>
      </c>
      <c r="G1094" s="4" t="s">
        <v>18</v>
      </c>
      <c r="H1094" s="4" t="s">
        <v>178</v>
      </c>
      <c r="I1094" s="5" t="str">
        <f t="shared" si="17"/>
        <v>2025-05</v>
      </c>
      <c r="J1094" s="4" t="s">
        <v>20</v>
      </c>
      <c r="K1094" s="5" t="s">
        <v>342</v>
      </c>
      <c r="L1094" s="2">
        <v>42000</v>
      </c>
      <c r="M1094" s="3">
        <v>2</v>
      </c>
      <c r="N1094" s="2">
        <v>84000</v>
      </c>
      <c r="O1094" s="2">
        <v>8400</v>
      </c>
      <c r="P1094" s="2">
        <v>92400</v>
      </c>
      <c r="Q1094" s="2">
        <f>P1094*8.5%</f>
        <v>7854.0000000000009</v>
      </c>
    </row>
    <row r="1095" spans="1:17" x14ac:dyDescent="0.4">
      <c r="A1095" s="4" t="s">
        <v>21</v>
      </c>
      <c r="B1095" s="4" t="s">
        <v>14</v>
      </c>
      <c r="C1095" s="31" t="s">
        <v>435</v>
      </c>
      <c r="D1095" s="4" t="s">
        <v>22</v>
      </c>
      <c r="E1095" s="4" t="s">
        <v>16</v>
      </c>
      <c r="F1095" s="4" t="s">
        <v>17</v>
      </c>
      <c r="G1095" s="4" t="s">
        <v>18</v>
      </c>
      <c r="H1095" s="4" t="s">
        <v>178</v>
      </c>
      <c r="I1095" s="5" t="str">
        <f t="shared" si="17"/>
        <v>2025-05</v>
      </c>
      <c r="J1095" s="4" t="s">
        <v>20</v>
      </c>
      <c r="K1095" s="5" t="s">
        <v>342</v>
      </c>
      <c r="L1095" s="2">
        <v>54000</v>
      </c>
      <c r="M1095" s="3">
        <v>2</v>
      </c>
      <c r="N1095" s="2">
        <v>108000</v>
      </c>
      <c r="O1095" s="2">
        <v>10800</v>
      </c>
      <c r="P1095" s="2">
        <v>118800</v>
      </c>
      <c r="Q1095" s="2">
        <f>P1095*8.5%</f>
        <v>10098</v>
      </c>
    </row>
    <row r="1096" spans="1:17" x14ac:dyDescent="0.4">
      <c r="A1096" s="4" t="s">
        <v>23</v>
      </c>
      <c r="B1096" s="4" t="s">
        <v>14</v>
      </c>
      <c r="C1096" s="31" t="s">
        <v>435</v>
      </c>
      <c r="D1096" s="4" t="s">
        <v>24</v>
      </c>
      <c r="E1096" s="4" t="s">
        <v>16</v>
      </c>
      <c r="F1096" s="4" t="s">
        <v>17</v>
      </c>
      <c r="G1096" s="4" t="s">
        <v>18</v>
      </c>
      <c r="H1096" s="4" t="s">
        <v>178</v>
      </c>
      <c r="I1096" s="5" t="str">
        <f t="shared" si="17"/>
        <v>2025-05</v>
      </c>
      <c r="J1096" s="4" t="s">
        <v>20</v>
      </c>
      <c r="K1096" s="5" t="s">
        <v>342</v>
      </c>
      <c r="L1096" s="2">
        <v>54000</v>
      </c>
      <c r="M1096" s="3">
        <v>3</v>
      </c>
      <c r="N1096" s="2">
        <v>162000</v>
      </c>
      <c r="O1096" s="2">
        <v>16200</v>
      </c>
      <c r="P1096" s="2">
        <v>178200</v>
      </c>
      <c r="Q1096" s="2">
        <f>P1096*8.5%</f>
        <v>15147.000000000002</v>
      </c>
    </row>
    <row r="1097" spans="1:17" x14ac:dyDescent="0.4">
      <c r="A1097" s="4" t="s">
        <v>127</v>
      </c>
      <c r="B1097" s="4" t="s">
        <v>26</v>
      </c>
      <c r="C1097" s="32" t="s">
        <v>436</v>
      </c>
      <c r="D1097" s="4" t="s">
        <v>128</v>
      </c>
      <c r="E1097" s="4" t="s">
        <v>28</v>
      </c>
      <c r="F1097" s="4" t="s">
        <v>17</v>
      </c>
      <c r="G1097" s="4" t="s">
        <v>18</v>
      </c>
      <c r="H1097" s="4" t="s">
        <v>178</v>
      </c>
      <c r="I1097" s="5" t="str">
        <f t="shared" si="17"/>
        <v>2025-05</v>
      </c>
      <c r="J1097" s="4" t="s">
        <v>20</v>
      </c>
      <c r="K1097" s="5" t="s">
        <v>342</v>
      </c>
      <c r="L1097" s="2">
        <v>2870</v>
      </c>
      <c r="M1097" s="3">
        <v>4</v>
      </c>
      <c r="N1097" s="2">
        <v>11480</v>
      </c>
      <c r="O1097" s="2">
        <v>1148</v>
      </c>
      <c r="P1097" s="2">
        <v>12628</v>
      </c>
      <c r="Q1097" s="2">
        <f>P1097*8.5%</f>
        <v>1073.3800000000001</v>
      </c>
    </row>
    <row r="1098" spans="1:17" x14ac:dyDescent="0.4">
      <c r="A1098" s="4" t="s">
        <v>56</v>
      </c>
      <c r="B1098" s="4" t="s">
        <v>26</v>
      </c>
      <c r="C1098" s="32" t="s">
        <v>436</v>
      </c>
      <c r="D1098" s="4" t="s">
        <v>57</v>
      </c>
      <c r="E1098" s="4" t="s">
        <v>44</v>
      </c>
      <c r="F1098" s="4" t="s">
        <v>31</v>
      </c>
      <c r="G1098" s="4" t="s">
        <v>18</v>
      </c>
      <c r="H1098" s="4" t="s">
        <v>178</v>
      </c>
      <c r="I1098" s="5" t="str">
        <f t="shared" si="17"/>
        <v>2025-05</v>
      </c>
      <c r="J1098" s="4" t="s">
        <v>20</v>
      </c>
      <c r="K1098" s="5" t="s">
        <v>342</v>
      </c>
      <c r="L1098" s="2">
        <v>2427</v>
      </c>
      <c r="M1098" s="3">
        <v>27</v>
      </c>
      <c r="N1098" s="2">
        <v>65529</v>
      </c>
      <c r="O1098" s="2">
        <v>0</v>
      </c>
      <c r="P1098" s="2">
        <v>65529</v>
      </c>
      <c r="Q1098" s="2">
        <f>P1098*8.5%</f>
        <v>5569.9650000000001</v>
      </c>
    </row>
    <row r="1099" spans="1:17" hidden="1" x14ac:dyDescent="0.4">
      <c r="A1099" s="4" t="s">
        <v>13</v>
      </c>
      <c r="B1099" s="4" t="s">
        <v>14</v>
      </c>
      <c r="C1099" s="30" t="s">
        <v>434</v>
      </c>
      <c r="D1099" s="4" t="s">
        <v>15</v>
      </c>
      <c r="E1099" s="4" t="s">
        <v>16</v>
      </c>
      <c r="F1099" s="4" t="s">
        <v>17</v>
      </c>
      <c r="G1099" s="4" t="s">
        <v>18</v>
      </c>
      <c r="H1099" s="4" t="s">
        <v>178</v>
      </c>
      <c r="I1099" s="5" t="str">
        <f t="shared" si="17"/>
        <v>2025-05</v>
      </c>
      <c r="J1099" s="4" t="s">
        <v>118</v>
      </c>
      <c r="K1099" s="5" t="s">
        <v>342</v>
      </c>
      <c r="L1099" s="2">
        <v>42000</v>
      </c>
      <c r="M1099" s="3">
        <v>1</v>
      </c>
      <c r="N1099" s="2">
        <v>42000</v>
      </c>
      <c r="O1099" s="2">
        <v>4200</v>
      </c>
      <c r="P1099" s="2">
        <v>46200</v>
      </c>
      <c r="Q1099" s="2">
        <f>P1099*8.5%</f>
        <v>3927.0000000000005</v>
      </c>
    </row>
    <row r="1100" spans="1:17" hidden="1" x14ac:dyDescent="0.4">
      <c r="A1100" s="4" t="s">
        <v>23</v>
      </c>
      <c r="B1100" s="4" t="s">
        <v>14</v>
      </c>
      <c r="C1100" s="31" t="s">
        <v>435</v>
      </c>
      <c r="D1100" s="4" t="s">
        <v>24</v>
      </c>
      <c r="E1100" s="4" t="s">
        <v>16</v>
      </c>
      <c r="F1100" s="4" t="s">
        <v>17</v>
      </c>
      <c r="G1100" s="4" t="s">
        <v>18</v>
      </c>
      <c r="H1100" s="4" t="s">
        <v>178</v>
      </c>
      <c r="I1100" s="5" t="str">
        <f t="shared" si="17"/>
        <v>2025-05</v>
      </c>
      <c r="J1100" s="4" t="s">
        <v>118</v>
      </c>
      <c r="K1100" s="5" t="s">
        <v>342</v>
      </c>
      <c r="L1100" s="2">
        <v>54000</v>
      </c>
      <c r="M1100" s="3">
        <v>2</v>
      </c>
      <c r="N1100" s="2">
        <v>108000</v>
      </c>
      <c r="O1100" s="2">
        <v>10800</v>
      </c>
      <c r="P1100" s="2">
        <v>118800</v>
      </c>
      <c r="Q1100" s="2">
        <f>P1100*8.5%</f>
        <v>10098</v>
      </c>
    </row>
    <row r="1101" spans="1:17" hidden="1" x14ac:dyDescent="0.4">
      <c r="A1101" s="4" t="s">
        <v>13</v>
      </c>
      <c r="B1101" s="4" t="s">
        <v>14</v>
      </c>
      <c r="C1101" s="30" t="s">
        <v>434</v>
      </c>
      <c r="D1101" s="4" t="s">
        <v>15</v>
      </c>
      <c r="E1101" s="4" t="s">
        <v>16</v>
      </c>
      <c r="F1101" s="4" t="s">
        <v>17</v>
      </c>
      <c r="G1101" s="4" t="s">
        <v>18</v>
      </c>
      <c r="H1101" s="4" t="s">
        <v>178</v>
      </c>
      <c r="I1101" s="5" t="str">
        <f t="shared" si="17"/>
        <v>2025-05</v>
      </c>
      <c r="J1101" s="4" t="s">
        <v>34</v>
      </c>
      <c r="K1101" s="5" t="s">
        <v>342</v>
      </c>
      <c r="L1101" s="2">
        <v>42000</v>
      </c>
      <c r="M1101" s="3">
        <v>6</v>
      </c>
      <c r="N1101" s="2">
        <v>252000</v>
      </c>
      <c r="O1101" s="2">
        <v>25200</v>
      </c>
      <c r="P1101" s="2">
        <v>277200</v>
      </c>
      <c r="Q1101" s="2">
        <f>P1101*8.5%</f>
        <v>23562</v>
      </c>
    </row>
    <row r="1102" spans="1:17" hidden="1" x14ac:dyDescent="0.4">
      <c r="A1102" s="4" t="s">
        <v>35</v>
      </c>
      <c r="B1102" s="4" t="s">
        <v>14</v>
      </c>
      <c r="C1102" s="30" t="s">
        <v>434</v>
      </c>
      <c r="D1102" s="4" t="s">
        <v>36</v>
      </c>
      <c r="E1102" s="4" t="s">
        <v>16</v>
      </c>
      <c r="F1102" s="4" t="s">
        <v>17</v>
      </c>
      <c r="G1102" s="4" t="s">
        <v>18</v>
      </c>
      <c r="H1102" s="4" t="s">
        <v>178</v>
      </c>
      <c r="I1102" s="5" t="str">
        <f t="shared" si="17"/>
        <v>2025-05</v>
      </c>
      <c r="J1102" s="4" t="s">
        <v>34</v>
      </c>
      <c r="K1102" s="5" t="s">
        <v>342</v>
      </c>
      <c r="L1102" s="2">
        <v>116220</v>
      </c>
      <c r="M1102" s="3">
        <v>1</v>
      </c>
      <c r="N1102" s="2">
        <v>116220</v>
      </c>
      <c r="O1102" s="2">
        <v>11622</v>
      </c>
      <c r="P1102" s="2">
        <v>127842</v>
      </c>
      <c r="Q1102" s="2">
        <f>P1102*8.5%</f>
        <v>10866.570000000002</v>
      </c>
    </row>
    <row r="1103" spans="1:17" hidden="1" x14ac:dyDescent="0.4">
      <c r="A1103" s="4" t="s">
        <v>23</v>
      </c>
      <c r="B1103" s="4" t="s">
        <v>14</v>
      </c>
      <c r="C1103" s="31" t="s">
        <v>435</v>
      </c>
      <c r="D1103" s="4" t="s">
        <v>24</v>
      </c>
      <c r="E1103" s="4" t="s">
        <v>16</v>
      </c>
      <c r="F1103" s="4" t="s">
        <v>17</v>
      </c>
      <c r="G1103" s="4" t="s">
        <v>18</v>
      </c>
      <c r="H1103" s="4" t="s">
        <v>178</v>
      </c>
      <c r="I1103" s="5" t="str">
        <f t="shared" si="17"/>
        <v>2025-05</v>
      </c>
      <c r="J1103" s="4" t="s">
        <v>34</v>
      </c>
      <c r="K1103" s="5" t="s">
        <v>342</v>
      </c>
      <c r="L1103" s="2">
        <v>54000</v>
      </c>
      <c r="M1103" s="3">
        <v>3</v>
      </c>
      <c r="N1103" s="2">
        <v>162000</v>
      </c>
      <c r="O1103" s="2">
        <v>16200</v>
      </c>
      <c r="P1103" s="2">
        <v>178200</v>
      </c>
      <c r="Q1103" s="2">
        <f>P1103*8.5%</f>
        <v>15147.000000000002</v>
      </c>
    </row>
    <row r="1104" spans="1:17" hidden="1" x14ac:dyDescent="0.4">
      <c r="A1104" s="4" t="s">
        <v>51</v>
      </c>
      <c r="B1104" s="4" t="s">
        <v>14</v>
      </c>
      <c r="C1104" s="30" t="s">
        <v>434</v>
      </c>
      <c r="D1104" s="4" t="s">
        <v>52</v>
      </c>
      <c r="E1104" s="4" t="s">
        <v>16</v>
      </c>
      <c r="F1104" s="4" t="s">
        <v>17</v>
      </c>
      <c r="G1104" s="4" t="s">
        <v>18</v>
      </c>
      <c r="H1104" s="4" t="s">
        <v>178</v>
      </c>
      <c r="I1104" s="5" t="str">
        <f t="shared" si="17"/>
        <v>2025-05</v>
      </c>
      <c r="J1104" s="4" t="s">
        <v>34</v>
      </c>
      <c r="K1104" s="5" t="s">
        <v>342</v>
      </c>
      <c r="L1104" s="2">
        <v>71250</v>
      </c>
      <c r="M1104" s="3">
        <v>1</v>
      </c>
      <c r="N1104" s="2">
        <v>71250</v>
      </c>
      <c r="O1104" s="2">
        <v>7125</v>
      </c>
      <c r="P1104" s="2">
        <v>78375</v>
      </c>
      <c r="Q1104" s="2">
        <f>P1104*8.5%</f>
        <v>6661.8750000000009</v>
      </c>
    </row>
    <row r="1105" spans="1:17" hidden="1" x14ac:dyDescent="0.4">
      <c r="A1105" s="4" t="s">
        <v>37</v>
      </c>
      <c r="B1105" s="4" t="s">
        <v>26</v>
      </c>
      <c r="C1105" s="32" t="s">
        <v>436</v>
      </c>
      <c r="D1105" s="4" t="s">
        <v>38</v>
      </c>
      <c r="E1105" s="4" t="s">
        <v>28</v>
      </c>
      <c r="F1105" s="4" t="s">
        <v>17</v>
      </c>
      <c r="G1105" s="4" t="s">
        <v>18</v>
      </c>
      <c r="H1105" s="4" t="s">
        <v>178</v>
      </c>
      <c r="I1105" s="5" t="str">
        <f t="shared" si="17"/>
        <v>2025-05</v>
      </c>
      <c r="J1105" s="4" t="s">
        <v>34</v>
      </c>
      <c r="K1105" s="5" t="s">
        <v>342</v>
      </c>
      <c r="L1105" s="2">
        <v>395</v>
      </c>
      <c r="M1105" s="3">
        <v>20</v>
      </c>
      <c r="N1105" s="2">
        <v>7900</v>
      </c>
      <c r="O1105" s="2">
        <v>790</v>
      </c>
      <c r="P1105" s="2">
        <v>8690</v>
      </c>
      <c r="Q1105" s="2">
        <f>P1105*8.5%</f>
        <v>738.65000000000009</v>
      </c>
    </row>
    <row r="1106" spans="1:17" hidden="1" x14ac:dyDescent="0.4">
      <c r="A1106" s="4" t="s">
        <v>73</v>
      </c>
      <c r="B1106" s="4" t="s">
        <v>26</v>
      </c>
      <c r="C1106" s="32" t="s">
        <v>436</v>
      </c>
      <c r="D1106" s="4" t="s">
        <v>57</v>
      </c>
      <c r="E1106" s="4" t="s">
        <v>28</v>
      </c>
      <c r="F1106" s="4" t="s">
        <v>17</v>
      </c>
      <c r="G1106" s="4" t="s">
        <v>18</v>
      </c>
      <c r="H1106" s="4" t="s">
        <v>178</v>
      </c>
      <c r="I1106" s="5" t="str">
        <f t="shared" si="17"/>
        <v>2025-05</v>
      </c>
      <c r="J1106" s="4" t="s">
        <v>34</v>
      </c>
      <c r="K1106" s="5" t="s">
        <v>342</v>
      </c>
      <c r="L1106" s="2">
        <v>7055</v>
      </c>
      <c r="M1106" s="3">
        <v>2</v>
      </c>
      <c r="N1106" s="2">
        <v>14110</v>
      </c>
      <c r="O1106" s="2">
        <v>1411</v>
      </c>
      <c r="P1106" s="2">
        <v>15521</v>
      </c>
      <c r="Q1106" s="2">
        <f>P1106*8.5%</f>
        <v>1319.2850000000001</v>
      </c>
    </row>
    <row r="1107" spans="1:17" hidden="1" x14ac:dyDescent="0.4">
      <c r="A1107" s="4" t="s">
        <v>42</v>
      </c>
      <c r="B1107" s="4" t="s">
        <v>14</v>
      </c>
      <c r="C1107" s="30" t="s">
        <v>434</v>
      </c>
      <c r="D1107" s="4" t="s">
        <v>43</v>
      </c>
      <c r="E1107" s="4" t="s">
        <v>44</v>
      </c>
      <c r="F1107" s="4" t="s">
        <v>31</v>
      </c>
      <c r="G1107" s="4" t="s">
        <v>18</v>
      </c>
      <c r="H1107" s="4" t="s">
        <v>178</v>
      </c>
      <c r="I1107" s="5" t="str">
        <f t="shared" si="17"/>
        <v>2025-05</v>
      </c>
      <c r="J1107" s="4" t="s">
        <v>34</v>
      </c>
      <c r="K1107" s="5" t="s">
        <v>342</v>
      </c>
      <c r="L1107" s="2">
        <v>6800</v>
      </c>
      <c r="M1107" s="3">
        <v>71.400000000000006</v>
      </c>
      <c r="N1107" s="2">
        <v>485520</v>
      </c>
      <c r="O1107" s="2">
        <v>0</v>
      </c>
      <c r="P1107" s="2">
        <v>485520</v>
      </c>
      <c r="Q1107" s="2">
        <f>P1107*8.5%</f>
        <v>41269.200000000004</v>
      </c>
    </row>
    <row r="1108" spans="1:17" hidden="1" x14ac:dyDescent="0.4">
      <c r="A1108" s="4" t="s">
        <v>13</v>
      </c>
      <c r="B1108" s="4" t="s">
        <v>14</v>
      </c>
      <c r="C1108" s="30" t="s">
        <v>434</v>
      </c>
      <c r="D1108" s="4" t="s">
        <v>15</v>
      </c>
      <c r="E1108" s="4" t="s">
        <v>16</v>
      </c>
      <c r="F1108" s="4" t="s">
        <v>17</v>
      </c>
      <c r="G1108" s="4" t="s">
        <v>18</v>
      </c>
      <c r="H1108" s="4" t="s">
        <v>178</v>
      </c>
      <c r="I1108" s="5" t="str">
        <f t="shared" si="17"/>
        <v>2025-05</v>
      </c>
      <c r="J1108" s="4" t="s">
        <v>59</v>
      </c>
      <c r="K1108" s="5" t="s">
        <v>343</v>
      </c>
      <c r="L1108" s="2">
        <v>42000</v>
      </c>
      <c r="M1108" s="3">
        <v>2</v>
      </c>
      <c r="N1108" s="2">
        <v>84000</v>
      </c>
      <c r="O1108" s="2">
        <v>8400</v>
      </c>
      <c r="P1108" s="2">
        <v>92400</v>
      </c>
      <c r="Q1108" s="2">
        <f>P1108*12%</f>
        <v>11088</v>
      </c>
    </row>
    <row r="1109" spans="1:17" hidden="1" x14ac:dyDescent="0.4">
      <c r="A1109" s="4" t="s">
        <v>35</v>
      </c>
      <c r="B1109" s="4" t="s">
        <v>14</v>
      </c>
      <c r="C1109" s="30" t="s">
        <v>434</v>
      </c>
      <c r="D1109" s="4" t="s">
        <v>36</v>
      </c>
      <c r="E1109" s="4" t="s">
        <v>16</v>
      </c>
      <c r="F1109" s="4" t="s">
        <v>17</v>
      </c>
      <c r="G1109" s="4" t="s">
        <v>18</v>
      </c>
      <c r="H1109" s="4" t="s">
        <v>178</v>
      </c>
      <c r="I1109" s="5" t="str">
        <f t="shared" si="17"/>
        <v>2025-05</v>
      </c>
      <c r="J1109" s="4" t="s">
        <v>59</v>
      </c>
      <c r="K1109" s="5" t="s">
        <v>343</v>
      </c>
      <c r="L1109" s="2">
        <v>116220</v>
      </c>
      <c r="M1109" s="3">
        <v>1</v>
      </c>
      <c r="N1109" s="2">
        <v>116220</v>
      </c>
      <c r="O1109" s="2">
        <v>11622</v>
      </c>
      <c r="P1109" s="2">
        <v>127842</v>
      </c>
      <c r="Q1109" s="2">
        <f>P1109*12%</f>
        <v>15341.039999999999</v>
      </c>
    </row>
    <row r="1110" spans="1:17" hidden="1" x14ac:dyDescent="0.4">
      <c r="A1110" s="4" t="s">
        <v>23</v>
      </c>
      <c r="B1110" s="4" t="s">
        <v>14</v>
      </c>
      <c r="C1110" s="31" t="s">
        <v>435</v>
      </c>
      <c r="D1110" s="4" t="s">
        <v>24</v>
      </c>
      <c r="E1110" s="4" t="s">
        <v>16</v>
      </c>
      <c r="F1110" s="4" t="s">
        <v>17</v>
      </c>
      <c r="G1110" s="4" t="s">
        <v>18</v>
      </c>
      <c r="H1110" s="4" t="s">
        <v>178</v>
      </c>
      <c r="I1110" s="5" t="str">
        <f t="shared" si="17"/>
        <v>2025-05</v>
      </c>
      <c r="J1110" s="4" t="s">
        <v>59</v>
      </c>
      <c r="K1110" s="5" t="s">
        <v>343</v>
      </c>
      <c r="L1110" s="2">
        <v>54000</v>
      </c>
      <c r="M1110" s="3">
        <v>1</v>
      </c>
      <c r="N1110" s="2">
        <v>54000</v>
      </c>
      <c r="O1110" s="2">
        <v>5400</v>
      </c>
      <c r="P1110" s="2">
        <v>59400</v>
      </c>
      <c r="Q1110" s="2">
        <f>P1110*12%</f>
        <v>7128</v>
      </c>
    </row>
    <row r="1111" spans="1:17" hidden="1" x14ac:dyDescent="0.4">
      <c r="A1111" s="4" t="s">
        <v>112</v>
      </c>
      <c r="B1111" s="4" t="s">
        <v>26</v>
      </c>
      <c r="C1111" s="32" t="s">
        <v>436</v>
      </c>
      <c r="D1111" s="4" t="s">
        <v>113</v>
      </c>
      <c r="E1111" s="4" t="s">
        <v>28</v>
      </c>
      <c r="F1111" s="4" t="s">
        <v>17</v>
      </c>
      <c r="G1111" s="4" t="s">
        <v>18</v>
      </c>
      <c r="H1111" s="4" t="s">
        <v>178</v>
      </c>
      <c r="I1111" s="5" t="str">
        <f t="shared" si="17"/>
        <v>2025-05</v>
      </c>
      <c r="J1111" s="4" t="s">
        <v>59</v>
      </c>
      <c r="K1111" s="5" t="s">
        <v>343</v>
      </c>
      <c r="L1111" s="2">
        <v>375</v>
      </c>
      <c r="M1111" s="3">
        <v>20</v>
      </c>
      <c r="N1111" s="2">
        <v>7500</v>
      </c>
      <c r="O1111" s="2">
        <v>750</v>
      </c>
      <c r="P1111" s="2">
        <v>8250</v>
      </c>
      <c r="Q1111" s="2">
        <f>P1111*12%</f>
        <v>990</v>
      </c>
    </row>
    <row r="1112" spans="1:17" hidden="1" x14ac:dyDescent="0.4">
      <c r="A1112" s="4" t="s">
        <v>35</v>
      </c>
      <c r="B1112" s="4" t="s">
        <v>14</v>
      </c>
      <c r="C1112" s="30" t="s">
        <v>434</v>
      </c>
      <c r="D1112" s="4" t="s">
        <v>36</v>
      </c>
      <c r="E1112" s="4" t="s">
        <v>16</v>
      </c>
      <c r="F1112" s="4" t="s">
        <v>17</v>
      </c>
      <c r="G1112" s="4" t="s">
        <v>18</v>
      </c>
      <c r="H1112" s="4" t="s">
        <v>178</v>
      </c>
      <c r="I1112" s="5" t="str">
        <f t="shared" si="17"/>
        <v>2025-05</v>
      </c>
      <c r="J1112" s="4" t="s">
        <v>60</v>
      </c>
      <c r="K1112" s="5" t="s">
        <v>343</v>
      </c>
      <c r="L1112" s="2">
        <v>116220</v>
      </c>
      <c r="M1112" s="3">
        <v>4</v>
      </c>
      <c r="N1112" s="2">
        <v>464880</v>
      </c>
      <c r="O1112" s="2">
        <v>46488</v>
      </c>
      <c r="P1112" s="2">
        <v>511368</v>
      </c>
      <c r="Q1112" s="2">
        <f>P1112*12%</f>
        <v>61364.159999999996</v>
      </c>
    </row>
    <row r="1113" spans="1:17" hidden="1" x14ac:dyDescent="0.4">
      <c r="A1113" s="4" t="s">
        <v>23</v>
      </c>
      <c r="B1113" s="4" t="s">
        <v>14</v>
      </c>
      <c r="C1113" s="31" t="s">
        <v>435</v>
      </c>
      <c r="D1113" s="4" t="s">
        <v>24</v>
      </c>
      <c r="E1113" s="4" t="s">
        <v>16</v>
      </c>
      <c r="F1113" s="4" t="s">
        <v>17</v>
      </c>
      <c r="G1113" s="4" t="s">
        <v>18</v>
      </c>
      <c r="H1113" s="4" t="s">
        <v>178</v>
      </c>
      <c r="I1113" s="5" t="str">
        <f t="shared" si="17"/>
        <v>2025-05</v>
      </c>
      <c r="J1113" s="4" t="s">
        <v>60</v>
      </c>
      <c r="K1113" s="5" t="s">
        <v>343</v>
      </c>
      <c r="L1113" s="2">
        <v>54000</v>
      </c>
      <c r="M1113" s="3">
        <v>10</v>
      </c>
      <c r="N1113" s="2">
        <v>540000</v>
      </c>
      <c r="O1113" s="2">
        <v>54000</v>
      </c>
      <c r="P1113" s="2">
        <v>594000</v>
      </c>
      <c r="Q1113" s="2">
        <f>P1113*12%</f>
        <v>71280</v>
      </c>
    </row>
    <row r="1114" spans="1:17" hidden="1" x14ac:dyDescent="0.4">
      <c r="A1114" s="4" t="s">
        <v>32</v>
      </c>
      <c r="B1114" s="4" t="s">
        <v>14</v>
      </c>
      <c r="C1114" s="31" t="s">
        <v>435</v>
      </c>
      <c r="D1114" s="4" t="s">
        <v>33</v>
      </c>
      <c r="E1114" s="4" t="s">
        <v>16</v>
      </c>
      <c r="F1114" s="4" t="s">
        <v>17</v>
      </c>
      <c r="G1114" s="4" t="s">
        <v>18</v>
      </c>
      <c r="H1114" s="4" t="s">
        <v>178</v>
      </c>
      <c r="I1114" s="5" t="str">
        <f t="shared" si="17"/>
        <v>2025-05</v>
      </c>
      <c r="J1114" s="4" t="s">
        <v>50</v>
      </c>
      <c r="K1114" s="5" t="s">
        <v>343</v>
      </c>
      <c r="L1114" s="2">
        <v>44000</v>
      </c>
      <c r="M1114" s="3">
        <v>1</v>
      </c>
      <c r="N1114" s="2">
        <v>44000</v>
      </c>
      <c r="O1114" s="2">
        <v>4400</v>
      </c>
      <c r="P1114" s="2">
        <v>48400</v>
      </c>
      <c r="Q1114" s="2">
        <f>P1114*12%</f>
        <v>5808</v>
      </c>
    </row>
    <row r="1115" spans="1:17" hidden="1" x14ac:dyDescent="0.4">
      <c r="A1115" s="4" t="s">
        <v>13</v>
      </c>
      <c r="B1115" s="4" t="s">
        <v>14</v>
      </c>
      <c r="C1115" s="30" t="s">
        <v>434</v>
      </c>
      <c r="D1115" s="4" t="s">
        <v>15</v>
      </c>
      <c r="E1115" s="4" t="s">
        <v>16</v>
      </c>
      <c r="F1115" s="4" t="s">
        <v>17</v>
      </c>
      <c r="G1115" s="4" t="s">
        <v>18</v>
      </c>
      <c r="H1115" s="4" t="s">
        <v>178</v>
      </c>
      <c r="I1115" s="5" t="str">
        <f t="shared" si="17"/>
        <v>2025-05</v>
      </c>
      <c r="J1115" s="4" t="s">
        <v>50</v>
      </c>
      <c r="K1115" s="5" t="s">
        <v>343</v>
      </c>
      <c r="L1115" s="2">
        <v>42000</v>
      </c>
      <c r="M1115" s="3">
        <v>10</v>
      </c>
      <c r="N1115" s="2">
        <v>420000</v>
      </c>
      <c r="O1115" s="2">
        <v>42000</v>
      </c>
      <c r="P1115" s="2">
        <v>462000</v>
      </c>
      <c r="Q1115" s="2">
        <f>P1115*12%</f>
        <v>55440</v>
      </c>
    </row>
    <row r="1116" spans="1:17" hidden="1" x14ac:dyDescent="0.4">
      <c r="A1116" s="4" t="s">
        <v>35</v>
      </c>
      <c r="B1116" s="4" t="s">
        <v>14</v>
      </c>
      <c r="C1116" s="30" t="s">
        <v>434</v>
      </c>
      <c r="D1116" s="4" t="s">
        <v>36</v>
      </c>
      <c r="E1116" s="4" t="s">
        <v>16</v>
      </c>
      <c r="F1116" s="4" t="s">
        <v>17</v>
      </c>
      <c r="G1116" s="4" t="s">
        <v>18</v>
      </c>
      <c r="H1116" s="4" t="s">
        <v>178</v>
      </c>
      <c r="I1116" s="5" t="str">
        <f t="shared" si="17"/>
        <v>2025-05</v>
      </c>
      <c r="J1116" s="4" t="s">
        <v>50</v>
      </c>
      <c r="K1116" s="5" t="s">
        <v>343</v>
      </c>
      <c r="L1116" s="2">
        <v>116220</v>
      </c>
      <c r="M1116" s="3">
        <v>1</v>
      </c>
      <c r="N1116" s="2">
        <v>116220</v>
      </c>
      <c r="O1116" s="2">
        <v>11622</v>
      </c>
      <c r="P1116" s="2">
        <v>127842</v>
      </c>
      <c r="Q1116" s="2">
        <f>P1116*12%</f>
        <v>15341.039999999999</v>
      </c>
    </row>
    <row r="1117" spans="1:17" hidden="1" x14ac:dyDescent="0.4">
      <c r="A1117" s="4" t="s">
        <v>23</v>
      </c>
      <c r="B1117" s="4" t="s">
        <v>14</v>
      </c>
      <c r="C1117" s="31" t="s">
        <v>435</v>
      </c>
      <c r="D1117" s="4" t="s">
        <v>24</v>
      </c>
      <c r="E1117" s="4" t="s">
        <v>16</v>
      </c>
      <c r="F1117" s="4" t="s">
        <v>17</v>
      </c>
      <c r="G1117" s="4" t="s">
        <v>18</v>
      </c>
      <c r="H1117" s="4" t="s">
        <v>178</v>
      </c>
      <c r="I1117" s="5" t="str">
        <f t="shared" si="17"/>
        <v>2025-05</v>
      </c>
      <c r="J1117" s="4" t="s">
        <v>50</v>
      </c>
      <c r="K1117" s="5" t="s">
        <v>343</v>
      </c>
      <c r="L1117" s="2">
        <v>54000</v>
      </c>
      <c r="M1117" s="3">
        <v>5</v>
      </c>
      <c r="N1117" s="2">
        <v>270000</v>
      </c>
      <c r="O1117" s="2">
        <v>27000</v>
      </c>
      <c r="P1117" s="2">
        <v>297000</v>
      </c>
      <c r="Q1117" s="2">
        <f>P1117*12%</f>
        <v>35640</v>
      </c>
    </row>
    <row r="1118" spans="1:17" hidden="1" x14ac:dyDescent="0.4">
      <c r="A1118" s="4" t="s">
        <v>51</v>
      </c>
      <c r="B1118" s="4" t="s">
        <v>14</v>
      </c>
      <c r="C1118" s="30" t="s">
        <v>434</v>
      </c>
      <c r="D1118" s="4" t="s">
        <v>52</v>
      </c>
      <c r="E1118" s="4" t="s">
        <v>16</v>
      </c>
      <c r="F1118" s="4" t="s">
        <v>17</v>
      </c>
      <c r="G1118" s="4" t="s">
        <v>18</v>
      </c>
      <c r="H1118" s="4" t="s">
        <v>178</v>
      </c>
      <c r="I1118" s="5" t="str">
        <f t="shared" si="17"/>
        <v>2025-05</v>
      </c>
      <c r="J1118" s="4" t="s">
        <v>50</v>
      </c>
      <c r="K1118" s="5" t="s">
        <v>343</v>
      </c>
      <c r="L1118" s="2">
        <v>71250</v>
      </c>
      <c r="M1118" s="3">
        <v>2</v>
      </c>
      <c r="N1118" s="2">
        <v>142500</v>
      </c>
      <c r="O1118" s="2">
        <v>14250</v>
      </c>
      <c r="P1118" s="2">
        <v>156750</v>
      </c>
      <c r="Q1118" s="2">
        <f>P1118*12%</f>
        <v>18810</v>
      </c>
    </row>
    <row r="1119" spans="1:17" x14ac:dyDescent="0.4">
      <c r="A1119" s="4" t="s">
        <v>13</v>
      </c>
      <c r="B1119" s="4" t="s">
        <v>14</v>
      </c>
      <c r="C1119" s="30" t="s">
        <v>434</v>
      </c>
      <c r="D1119" s="4" t="s">
        <v>15</v>
      </c>
      <c r="E1119" s="4" t="s">
        <v>16</v>
      </c>
      <c r="F1119" s="4" t="s">
        <v>17</v>
      </c>
      <c r="G1119" s="4" t="s">
        <v>18</v>
      </c>
      <c r="H1119" s="4" t="s">
        <v>179</v>
      </c>
      <c r="I1119" s="5" t="str">
        <f t="shared" si="17"/>
        <v>2025-05</v>
      </c>
      <c r="J1119" s="4" t="s">
        <v>20</v>
      </c>
      <c r="K1119" s="5" t="s">
        <v>342</v>
      </c>
      <c r="L1119" s="2">
        <v>42000</v>
      </c>
      <c r="M1119" s="3">
        <v>2</v>
      </c>
      <c r="N1119" s="2">
        <v>84000</v>
      </c>
      <c r="O1119" s="2">
        <v>8400</v>
      </c>
      <c r="P1119" s="2">
        <v>92400</v>
      </c>
      <c r="Q1119" s="2">
        <f>P1119*8.5%</f>
        <v>7854.0000000000009</v>
      </c>
    </row>
    <row r="1120" spans="1:17" x14ac:dyDescent="0.4">
      <c r="A1120" s="4" t="s">
        <v>21</v>
      </c>
      <c r="B1120" s="4" t="s">
        <v>14</v>
      </c>
      <c r="C1120" s="31" t="s">
        <v>435</v>
      </c>
      <c r="D1120" s="4" t="s">
        <v>22</v>
      </c>
      <c r="E1120" s="4" t="s">
        <v>16</v>
      </c>
      <c r="F1120" s="4" t="s">
        <v>17</v>
      </c>
      <c r="G1120" s="4" t="s">
        <v>18</v>
      </c>
      <c r="H1120" s="4" t="s">
        <v>179</v>
      </c>
      <c r="I1120" s="5" t="str">
        <f t="shared" si="17"/>
        <v>2025-05</v>
      </c>
      <c r="J1120" s="4" t="s">
        <v>20</v>
      </c>
      <c r="K1120" s="5" t="s">
        <v>342</v>
      </c>
      <c r="L1120" s="2">
        <v>54000</v>
      </c>
      <c r="M1120" s="3">
        <v>1</v>
      </c>
      <c r="N1120" s="2">
        <v>54000</v>
      </c>
      <c r="O1120" s="2">
        <v>5400</v>
      </c>
      <c r="P1120" s="2">
        <v>59400</v>
      </c>
      <c r="Q1120" s="2">
        <f>P1120*8.5%</f>
        <v>5049</v>
      </c>
    </row>
    <row r="1121" spans="1:17" x14ac:dyDescent="0.4">
      <c r="A1121" s="4" t="s">
        <v>23</v>
      </c>
      <c r="B1121" s="4" t="s">
        <v>14</v>
      </c>
      <c r="C1121" s="31" t="s">
        <v>435</v>
      </c>
      <c r="D1121" s="4" t="s">
        <v>24</v>
      </c>
      <c r="E1121" s="4" t="s">
        <v>16</v>
      </c>
      <c r="F1121" s="4" t="s">
        <v>17</v>
      </c>
      <c r="G1121" s="4" t="s">
        <v>18</v>
      </c>
      <c r="H1121" s="4" t="s">
        <v>179</v>
      </c>
      <c r="I1121" s="5" t="str">
        <f t="shared" si="17"/>
        <v>2025-05</v>
      </c>
      <c r="J1121" s="4" t="s">
        <v>20</v>
      </c>
      <c r="K1121" s="5" t="s">
        <v>342</v>
      </c>
      <c r="L1121" s="2">
        <v>54000</v>
      </c>
      <c r="M1121" s="3">
        <v>3</v>
      </c>
      <c r="N1121" s="2">
        <v>162000</v>
      </c>
      <c r="O1121" s="2">
        <v>16200</v>
      </c>
      <c r="P1121" s="2">
        <v>178200</v>
      </c>
      <c r="Q1121" s="2">
        <f>P1121*8.5%</f>
        <v>15147.000000000002</v>
      </c>
    </row>
    <row r="1122" spans="1:17" x14ac:dyDescent="0.4">
      <c r="A1122" s="4" t="s">
        <v>56</v>
      </c>
      <c r="B1122" s="4" t="s">
        <v>26</v>
      </c>
      <c r="C1122" s="32" t="s">
        <v>436</v>
      </c>
      <c r="D1122" s="4" t="s">
        <v>57</v>
      </c>
      <c r="E1122" s="4" t="s">
        <v>44</v>
      </c>
      <c r="F1122" s="4" t="s">
        <v>31</v>
      </c>
      <c r="G1122" s="4" t="s">
        <v>18</v>
      </c>
      <c r="H1122" s="4" t="s">
        <v>179</v>
      </c>
      <c r="I1122" s="5" t="str">
        <f t="shared" si="17"/>
        <v>2025-05</v>
      </c>
      <c r="J1122" s="4" t="s">
        <v>20</v>
      </c>
      <c r="K1122" s="5" t="s">
        <v>342</v>
      </c>
      <c r="L1122" s="2">
        <v>2427</v>
      </c>
      <c r="M1122" s="3">
        <v>27</v>
      </c>
      <c r="N1122" s="2">
        <v>65529</v>
      </c>
      <c r="O1122" s="2">
        <v>0</v>
      </c>
      <c r="P1122" s="2">
        <v>65529</v>
      </c>
      <c r="Q1122" s="2">
        <f>P1122*8.5%</f>
        <v>5569.9650000000001</v>
      </c>
    </row>
    <row r="1123" spans="1:17" hidden="1" x14ac:dyDescent="0.4">
      <c r="A1123" s="4" t="s">
        <v>32</v>
      </c>
      <c r="B1123" s="4" t="s">
        <v>14</v>
      </c>
      <c r="C1123" s="31" t="s">
        <v>435</v>
      </c>
      <c r="D1123" s="4" t="s">
        <v>33</v>
      </c>
      <c r="E1123" s="4" t="s">
        <v>16</v>
      </c>
      <c r="F1123" s="4" t="s">
        <v>17</v>
      </c>
      <c r="G1123" s="4" t="s">
        <v>18</v>
      </c>
      <c r="H1123" s="4" t="s">
        <v>179</v>
      </c>
      <c r="I1123" s="5" t="str">
        <f t="shared" si="17"/>
        <v>2025-05</v>
      </c>
      <c r="J1123" s="4" t="s">
        <v>118</v>
      </c>
      <c r="K1123" s="5" t="s">
        <v>342</v>
      </c>
      <c r="L1123" s="2">
        <v>44000</v>
      </c>
      <c r="M1123" s="3">
        <v>1</v>
      </c>
      <c r="N1123" s="2">
        <v>44000</v>
      </c>
      <c r="O1123" s="2">
        <v>4400</v>
      </c>
      <c r="P1123" s="2">
        <v>48400</v>
      </c>
      <c r="Q1123" s="2">
        <f>P1123*8.5%</f>
        <v>4114</v>
      </c>
    </row>
    <row r="1124" spans="1:17" hidden="1" x14ac:dyDescent="0.4">
      <c r="A1124" s="4" t="s">
        <v>13</v>
      </c>
      <c r="B1124" s="4" t="s">
        <v>14</v>
      </c>
      <c r="C1124" s="30" t="s">
        <v>434</v>
      </c>
      <c r="D1124" s="4" t="s">
        <v>15</v>
      </c>
      <c r="E1124" s="4" t="s">
        <v>16</v>
      </c>
      <c r="F1124" s="4" t="s">
        <v>17</v>
      </c>
      <c r="G1124" s="4" t="s">
        <v>18</v>
      </c>
      <c r="H1124" s="4" t="s">
        <v>179</v>
      </c>
      <c r="I1124" s="5" t="str">
        <f t="shared" si="17"/>
        <v>2025-05</v>
      </c>
      <c r="J1124" s="4" t="s">
        <v>118</v>
      </c>
      <c r="K1124" s="5" t="s">
        <v>342</v>
      </c>
      <c r="L1124" s="2">
        <v>42000</v>
      </c>
      <c r="M1124" s="3">
        <v>3</v>
      </c>
      <c r="N1124" s="2">
        <v>126000</v>
      </c>
      <c r="O1124" s="2">
        <v>12600</v>
      </c>
      <c r="P1124" s="2">
        <v>138600</v>
      </c>
      <c r="Q1124" s="2">
        <f>P1124*8.5%</f>
        <v>11781</v>
      </c>
    </row>
    <row r="1125" spans="1:17" hidden="1" x14ac:dyDescent="0.4">
      <c r="A1125" s="4" t="s">
        <v>32</v>
      </c>
      <c r="B1125" s="4" t="s">
        <v>14</v>
      </c>
      <c r="C1125" s="31" t="s">
        <v>435</v>
      </c>
      <c r="D1125" s="4" t="s">
        <v>33</v>
      </c>
      <c r="E1125" s="4" t="s">
        <v>16</v>
      </c>
      <c r="F1125" s="4" t="s">
        <v>17</v>
      </c>
      <c r="G1125" s="4" t="s">
        <v>18</v>
      </c>
      <c r="H1125" s="4" t="s">
        <v>179</v>
      </c>
      <c r="I1125" s="5" t="str">
        <f t="shared" si="17"/>
        <v>2025-05</v>
      </c>
      <c r="J1125" s="4" t="s">
        <v>34</v>
      </c>
      <c r="K1125" s="5" t="s">
        <v>342</v>
      </c>
      <c r="L1125" s="2">
        <v>44000</v>
      </c>
      <c r="M1125" s="3">
        <v>2</v>
      </c>
      <c r="N1125" s="2">
        <v>88000</v>
      </c>
      <c r="O1125" s="2">
        <v>8800</v>
      </c>
      <c r="P1125" s="2">
        <v>96800</v>
      </c>
      <c r="Q1125" s="2">
        <f>P1125*8.5%</f>
        <v>8228</v>
      </c>
    </row>
    <row r="1126" spans="1:17" hidden="1" x14ac:dyDescent="0.4">
      <c r="A1126" s="4" t="s">
        <v>58</v>
      </c>
      <c r="B1126" s="4" t="s">
        <v>14</v>
      </c>
      <c r="C1126" s="30" t="s">
        <v>434</v>
      </c>
      <c r="D1126" s="4" t="s">
        <v>36</v>
      </c>
      <c r="E1126" s="4" t="s">
        <v>16</v>
      </c>
      <c r="F1126" s="4" t="s">
        <v>17</v>
      </c>
      <c r="G1126" s="4" t="s">
        <v>18</v>
      </c>
      <c r="H1126" s="4" t="s">
        <v>179</v>
      </c>
      <c r="I1126" s="5" t="str">
        <f t="shared" si="17"/>
        <v>2025-05</v>
      </c>
      <c r="J1126" s="4" t="s">
        <v>34</v>
      </c>
      <c r="K1126" s="5" t="s">
        <v>342</v>
      </c>
      <c r="L1126" s="2">
        <v>120880</v>
      </c>
      <c r="M1126" s="3">
        <v>1</v>
      </c>
      <c r="N1126" s="2">
        <v>120880</v>
      </c>
      <c r="O1126" s="2">
        <v>12088</v>
      </c>
      <c r="P1126" s="2">
        <v>132968</v>
      </c>
      <c r="Q1126" s="2">
        <f>P1126*8.5%</f>
        <v>11302.28</v>
      </c>
    </row>
    <row r="1127" spans="1:17" hidden="1" x14ac:dyDescent="0.4">
      <c r="A1127" s="4" t="s">
        <v>13</v>
      </c>
      <c r="B1127" s="4" t="s">
        <v>14</v>
      </c>
      <c r="C1127" s="30" t="s">
        <v>434</v>
      </c>
      <c r="D1127" s="4" t="s">
        <v>15</v>
      </c>
      <c r="E1127" s="4" t="s">
        <v>16</v>
      </c>
      <c r="F1127" s="4" t="s">
        <v>17</v>
      </c>
      <c r="G1127" s="4" t="s">
        <v>18</v>
      </c>
      <c r="H1127" s="4" t="s">
        <v>179</v>
      </c>
      <c r="I1127" s="5" t="str">
        <f t="shared" si="17"/>
        <v>2025-05</v>
      </c>
      <c r="J1127" s="4" t="s">
        <v>34</v>
      </c>
      <c r="K1127" s="5" t="s">
        <v>342</v>
      </c>
      <c r="L1127" s="2">
        <v>42000</v>
      </c>
      <c r="M1127" s="3">
        <v>5</v>
      </c>
      <c r="N1127" s="2">
        <v>210000</v>
      </c>
      <c r="O1127" s="2">
        <v>21000</v>
      </c>
      <c r="P1127" s="2">
        <v>231000</v>
      </c>
      <c r="Q1127" s="2">
        <f>P1127*8.5%</f>
        <v>19635</v>
      </c>
    </row>
    <row r="1128" spans="1:17" hidden="1" x14ac:dyDescent="0.4">
      <c r="A1128" s="4" t="s">
        <v>21</v>
      </c>
      <c r="B1128" s="4" t="s">
        <v>14</v>
      </c>
      <c r="C1128" s="31" t="s">
        <v>435</v>
      </c>
      <c r="D1128" s="4" t="s">
        <v>22</v>
      </c>
      <c r="E1128" s="4" t="s">
        <v>16</v>
      </c>
      <c r="F1128" s="4" t="s">
        <v>17</v>
      </c>
      <c r="G1128" s="4" t="s">
        <v>18</v>
      </c>
      <c r="H1128" s="4" t="s">
        <v>179</v>
      </c>
      <c r="I1128" s="5" t="str">
        <f t="shared" si="17"/>
        <v>2025-05</v>
      </c>
      <c r="J1128" s="4" t="s">
        <v>34</v>
      </c>
      <c r="K1128" s="5" t="s">
        <v>342</v>
      </c>
      <c r="L1128" s="2">
        <v>54000</v>
      </c>
      <c r="M1128" s="3">
        <v>2</v>
      </c>
      <c r="N1128" s="2">
        <v>108000</v>
      </c>
      <c r="O1128" s="2">
        <v>10800</v>
      </c>
      <c r="P1128" s="2">
        <v>118800</v>
      </c>
      <c r="Q1128" s="2">
        <f>P1128*8.5%</f>
        <v>10098</v>
      </c>
    </row>
    <row r="1129" spans="1:17" hidden="1" x14ac:dyDescent="0.4">
      <c r="A1129" s="4" t="s">
        <v>23</v>
      </c>
      <c r="B1129" s="4" t="s">
        <v>14</v>
      </c>
      <c r="C1129" s="31" t="s">
        <v>435</v>
      </c>
      <c r="D1129" s="4" t="s">
        <v>24</v>
      </c>
      <c r="E1129" s="4" t="s">
        <v>16</v>
      </c>
      <c r="F1129" s="4" t="s">
        <v>17</v>
      </c>
      <c r="G1129" s="4" t="s">
        <v>18</v>
      </c>
      <c r="H1129" s="4" t="s">
        <v>179</v>
      </c>
      <c r="I1129" s="5" t="str">
        <f t="shared" si="17"/>
        <v>2025-05</v>
      </c>
      <c r="J1129" s="4" t="s">
        <v>34</v>
      </c>
      <c r="K1129" s="5" t="s">
        <v>342</v>
      </c>
      <c r="L1129" s="2">
        <v>54000</v>
      </c>
      <c r="M1129" s="3">
        <v>2</v>
      </c>
      <c r="N1129" s="2">
        <v>108000</v>
      </c>
      <c r="O1129" s="2">
        <v>10800</v>
      </c>
      <c r="P1129" s="2">
        <v>118800</v>
      </c>
      <c r="Q1129" s="2">
        <f>P1129*8.5%</f>
        <v>10098</v>
      </c>
    </row>
    <row r="1130" spans="1:17" hidden="1" x14ac:dyDescent="0.4">
      <c r="A1130" s="4" t="s">
        <v>51</v>
      </c>
      <c r="B1130" s="4" t="s">
        <v>14</v>
      </c>
      <c r="C1130" s="30" t="s">
        <v>434</v>
      </c>
      <c r="D1130" s="4" t="s">
        <v>52</v>
      </c>
      <c r="E1130" s="4" t="s">
        <v>16</v>
      </c>
      <c r="F1130" s="4" t="s">
        <v>17</v>
      </c>
      <c r="G1130" s="4" t="s">
        <v>18</v>
      </c>
      <c r="H1130" s="4" t="s">
        <v>179</v>
      </c>
      <c r="I1130" s="5" t="str">
        <f t="shared" si="17"/>
        <v>2025-05</v>
      </c>
      <c r="J1130" s="4" t="s">
        <v>34</v>
      </c>
      <c r="K1130" s="5" t="s">
        <v>342</v>
      </c>
      <c r="L1130" s="2">
        <v>71250</v>
      </c>
      <c r="M1130" s="3">
        <v>1</v>
      </c>
      <c r="N1130" s="2">
        <v>71250</v>
      </c>
      <c r="O1130" s="2">
        <v>7125</v>
      </c>
      <c r="P1130" s="2">
        <v>78375</v>
      </c>
      <c r="Q1130" s="2">
        <f>P1130*8.5%</f>
        <v>6661.8750000000009</v>
      </c>
    </row>
    <row r="1131" spans="1:17" hidden="1" x14ac:dyDescent="0.4">
      <c r="A1131" s="4" t="s">
        <v>40</v>
      </c>
      <c r="B1131" s="4" t="s">
        <v>26</v>
      </c>
      <c r="C1131" s="32" t="s">
        <v>436</v>
      </c>
      <c r="D1131" s="4" t="s">
        <v>41</v>
      </c>
      <c r="E1131" s="4" t="s">
        <v>28</v>
      </c>
      <c r="F1131" s="4" t="s">
        <v>17</v>
      </c>
      <c r="G1131" s="4" t="s">
        <v>18</v>
      </c>
      <c r="H1131" s="4" t="s">
        <v>179</v>
      </c>
      <c r="I1131" s="5" t="str">
        <f t="shared" si="17"/>
        <v>2025-05</v>
      </c>
      <c r="J1131" s="4" t="s">
        <v>34</v>
      </c>
      <c r="K1131" s="5" t="s">
        <v>342</v>
      </c>
      <c r="L1131" s="2">
        <v>17936</v>
      </c>
      <c r="M1131" s="3">
        <v>2</v>
      </c>
      <c r="N1131" s="2">
        <v>35872</v>
      </c>
      <c r="O1131" s="2">
        <v>3587</v>
      </c>
      <c r="P1131" s="2">
        <v>39459</v>
      </c>
      <c r="Q1131" s="2">
        <f>P1131*8.5%</f>
        <v>3354.0150000000003</v>
      </c>
    </row>
    <row r="1132" spans="1:17" hidden="1" x14ac:dyDescent="0.4">
      <c r="A1132" s="4" t="s">
        <v>42</v>
      </c>
      <c r="B1132" s="4" t="s">
        <v>14</v>
      </c>
      <c r="C1132" s="30" t="s">
        <v>434</v>
      </c>
      <c r="D1132" s="4" t="s">
        <v>43</v>
      </c>
      <c r="E1132" s="4" t="s">
        <v>44</v>
      </c>
      <c r="F1132" s="4" t="s">
        <v>31</v>
      </c>
      <c r="G1132" s="4" t="s">
        <v>18</v>
      </c>
      <c r="H1132" s="4" t="s">
        <v>179</v>
      </c>
      <c r="I1132" s="5" t="str">
        <f t="shared" si="17"/>
        <v>2025-05</v>
      </c>
      <c r="J1132" s="4" t="s">
        <v>34</v>
      </c>
      <c r="K1132" s="5" t="s">
        <v>342</v>
      </c>
      <c r="L1132" s="2">
        <v>6800</v>
      </c>
      <c r="M1132" s="3">
        <v>91.4</v>
      </c>
      <c r="N1132" s="2">
        <v>621520</v>
      </c>
      <c r="O1132" s="2">
        <v>0</v>
      </c>
      <c r="P1132" s="2">
        <v>621520</v>
      </c>
      <c r="Q1132" s="2">
        <f>P1132*8.5%</f>
        <v>52829.200000000004</v>
      </c>
    </row>
    <row r="1133" spans="1:17" hidden="1" x14ac:dyDescent="0.4">
      <c r="A1133" s="4" t="s">
        <v>13</v>
      </c>
      <c r="B1133" s="4" t="s">
        <v>14</v>
      </c>
      <c r="C1133" s="30" t="s">
        <v>434</v>
      </c>
      <c r="D1133" s="4" t="s">
        <v>15</v>
      </c>
      <c r="E1133" s="4" t="s">
        <v>16</v>
      </c>
      <c r="F1133" s="4" t="s">
        <v>17</v>
      </c>
      <c r="G1133" s="4" t="s">
        <v>18</v>
      </c>
      <c r="H1133" s="4" t="s">
        <v>179</v>
      </c>
      <c r="I1133" s="5" t="str">
        <f t="shared" si="17"/>
        <v>2025-05</v>
      </c>
      <c r="J1133" s="4" t="s">
        <v>59</v>
      </c>
      <c r="K1133" s="5" t="s">
        <v>343</v>
      </c>
      <c r="L1133" s="2">
        <v>42000</v>
      </c>
      <c r="M1133" s="3">
        <v>2</v>
      </c>
      <c r="N1133" s="2">
        <v>84000</v>
      </c>
      <c r="O1133" s="2">
        <v>8400</v>
      </c>
      <c r="P1133" s="2">
        <v>92400</v>
      </c>
      <c r="Q1133" s="2">
        <f>P1133*12%</f>
        <v>11088</v>
      </c>
    </row>
    <row r="1134" spans="1:17" hidden="1" x14ac:dyDescent="0.4">
      <c r="A1134" s="4" t="s">
        <v>35</v>
      </c>
      <c r="B1134" s="4" t="s">
        <v>14</v>
      </c>
      <c r="C1134" s="30" t="s">
        <v>434</v>
      </c>
      <c r="D1134" s="4" t="s">
        <v>36</v>
      </c>
      <c r="E1134" s="4" t="s">
        <v>16</v>
      </c>
      <c r="F1134" s="4" t="s">
        <v>17</v>
      </c>
      <c r="G1134" s="4" t="s">
        <v>18</v>
      </c>
      <c r="H1134" s="4" t="s">
        <v>179</v>
      </c>
      <c r="I1134" s="5" t="str">
        <f t="shared" si="17"/>
        <v>2025-05</v>
      </c>
      <c r="J1134" s="4" t="s">
        <v>59</v>
      </c>
      <c r="K1134" s="5" t="s">
        <v>343</v>
      </c>
      <c r="L1134" s="2">
        <v>116220</v>
      </c>
      <c r="M1134" s="3">
        <v>1</v>
      </c>
      <c r="N1134" s="2">
        <v>116220</v>
      </c>
      <c r="O1134" s="2">
        <v>11622</v>
      </c>
      <c r="P1134" s="2">
        <v>127842</v>
      </c>
      <c r="Q1134" s="2">
        <f>P1134*12%</f>
        <v>15341.039999999999</v>
      </c>
    </row>
    <row r="1135" spans="1:17" hidden="1" x14ac:dyDescent="0.4">
      <c r="A1135" s="4" t="s">
        <v>23</v>
      </c>
      <c r="B1135" s="4" t="s">
        <v>14</v>
      </c>
      <c r="C1135" s="31" t="s">
        <v>435</v>
      </c>
      <c r="D1135" s="4" t="s">
        <v>24</v>
      </c>
      <c r="E1135" s="4" t="s">
        <v>16</v>
      </c>
      <c r="F1135" s="4" t="s">
        <v>17</v>
      </c>
      <c r="G1135" s="4" t="s">
        <v>18</v>
      </c>
      <c r="H1135" s="4" t="s">
        <v>179</v>
      </c>
      <c r="I1135" s="5" t="str">
        <f t="shared" si="17"/>
        <v>2025-05</v>
      </c>
      <c r="J1135" s="4" t="s">
        <v>59</v>
      </c>
      <c r="K1135" s="5" t="s">
        <v>343</v>
      </c>
      <c r="L1135" s="2">
        <v>54000</v>
      </c>
      <c r="M1135" s="3">
        <v>1</v>
      </c>
      <c r="N1135" s="2">
        <v>54000</v>
      </c>
      <c r="O1135" s="2">
        <v>5400</v>
      </c>
      <c r="P1135" s="2">
        <v>59400</v>
      </c>
      <c r="Q1135" s="2">
        <f>P1135*12%</f>
        <v>7128</v>
      </c>
    </row>
    <row r="1136" spans="1:17" hidden="1" x14ac:dyDescent="0.4">
      <c r="A1136" s="4" t="s">
        <v>51</v>
      </c>
      <c r="B1136" s="4" t="s">
        <v>14</v>
      </c>
      <c r="C1136" s="30" t="s">
        <v>434</v>
      </c>
      <c r="D1136" s="4" t="s">
        <v>52</v>
      </c>
      <c r="E1136" s="4" t="s">
        <v>16</v>
      </c>
      <c r="F1136" s="4" t="s">
        <v>17</v>
      </c>
      <c r="G1136" s="4" t="s">
        <v>18</v>
      </c>
      <c r="H1136" s="4" t="s">
        <v>179</v>
      </c>
      <c r="I1136" s="5" t="str">
        <f t="shared" si="17"/>
        <v>2025-05</v>
      </c>
      <c r="J1136" s="4" t="s">
        <v>59</v>
      </c>
      <c r="K1136" s="5" t="s">
        <v>343</v>
      </c>
      <c r="L1136" s="2">
        <v>71250</v>
      </c>
      <c r="M1136" s="3">
        <v>1</v>
      </c>
      <c r="N1136" s="2">
        <v>71250</v>
      </c>
      <c r="O1136" s="2">
        <v>7125</v>
      </c>
      <c r="P1136" s="2">
        <v>78375</v>
      </c>
      <c r="Q1136" s="2">
        <f>P1136*12%</f>
        <v>9405</v>
      </c>
    </row>
    <row r="1137" spans="1:17" hidden="1" x14ac:dyDescent="0.4">
      <c r="A1137" s="4" t="s">
        <v>32</v>
      </c>
      <c r="B1137" s="4" t="s">
        <v>14</v>
      </c>
      <c r="C1137" s="31" t="s">
        <v>435</v>
      </c>
      <c r="D1137" s="4" t="s">
        <v>33</v>
      </c>
      <c r="E1137" s="4" t="s">
        <v>16</v>
      </c>
      <c r="F1137" s="4" t="s">
        <v>17</v>
      </c>
      <c r="G1137" s="4" t="s">
        <v>18</v>
      </c>
      <c r="H1137" s="4" t="s">
        <v>179</v>
      </c>
      <c r="I1137" s="5" t="str">
        <f t="shared" si="17"/>
        <v>2025-05</v>
      </c>
      <c r="J1137" s="4" t="s">
        <v>49</v>
      </c>
      <c r="K1137" s="5" t="s">
        <v>343</v>
      </c>
      <c r="L1137" s="2">
        <v>44000</v>
      </c>
      <c r="M1137" s="3">
        <v>6</v>
      </c>
      <c r="N1137" s="2">
        <v>264000</v>
      </c>
      <c r="O1137" s="2">
        <v>26400</v>
      </c>
      <c r="P1137" s="2">
        <v>290400</v>
      </c>
      <c r="Q1137" s="2">
        <f>P1137*12%</f>
        <v>34848</v>
      </c>
    </row>
    <row r="1138" spans="1:17" hidden="1" x14ac:dyDescent="0.4">
      <c r="A1138" s="4" t="s">
        <v>13</v>
      </c>
      <c r="B1138" s="4" t="s">
        <v>14</v>
      </c>
      <c r="C1138" s="30" t="s">
        <v>434</v>
      </c>
      <c r="D1138" s="4" t="s">
        <v>15</v>
      </c>
      <c r="E1138" s="4" t="s">
        <v>16</v>
      </c>
      <c r="F1138" s="4" t="s">
        <v>17</v>
      </c>
      <c r="G1138" s="4" t="s">
        <v>18</v>
      </c>
      <c r="H1138" s="4" t="s">
        <v>179</v>
      </c>
      <c r="I1138" s="5" t="str">
        <f t="shared" si="17"/>
        <v>2025-05</v>
      </c>
      <c r="J1138" s="4" t="s">
        <v>49</v>
      </c>
      <c r="K1138" s="5" t="s">
        <v>343</v>
      </c>
      <c r="L1138" s="2">
        <v>42000</v>
      </c>
      <c r="M1138" s="3">
        <v>9</v>
      </c>
      <c r="N1138" s="2">
        <v>378000</v>
      </c>
      <c r="O1138" s="2">
        <v>37800</v>
      </c>
      <c r="P1138" s="2">
        <v>415800</v>
      </c>
      <c r="Q1138" s="2">
        <f>P1138*12%</f>
        <v>49896</v>
      </c>
    </row>
    <row r="1139" spans="1:17" hidden="1" x14ac:dyDescent="0.4">
      <c r="A1139" s="4" t="s">
        <v>35</v>
      </c>
      <c r="B1139" s="4" t="s">
        <v>14</v>
      </c>
      <c r="C1139" s="30" t="s">
        <v>434</v>
      </c>
      <c r="D1139" s="4" t="s">
        <v>36</v>
      </c>
      <c r="E1139" s="4" t="s">
        <v>16</v>
      </c>
      <c r="F1139" s="4" t="s">
        <v>17</v>
      </c>
      <c r="G1139" s="4" t="s">
        <v>18</v>
      </c>
      <c r="H1139" s="4" t="s">
        <v>179</v>
      </c>
      <c r="I1139" s="5" t="str">
        <f t="shared" si="17"/>
        <v>2025-05</v>
      </c>
      <c r="J1139" s="4" t="s">
        <v>49</v>
      </c>
      <c r="K1139" s="5" t="s">
        <v>343</v>
      </c>
      <c r="L1139" s="2">
        <v>116220</v>
      </c>
      <c r="M1139" s="3">
        <v>1</v>
      </c>
      <c r="N1139" s="2">
        <v>116220</v>
      </c>
      <c r="O1139" s="2">
        <v>11622</v>
      </c>
      <c r="P1139" s="2">
        <v>127842</v>
      </c>
      <c r="Q1139" s="2">
        <f>P1139*12%</f>
        <v>15341.039999999999</v>
      </c>
    </row>
    <row r="1140" spans="1:17" hidden="1" x14ac:dyDescent="0.4">
      <c r="A1140" s="4" t="s">
        <v>23</v>
      </c>
      <c r="B1140" s="4" t="s">
        <v>14</v>
      </c>
      <c r="C1140" s="31" t="s">
        <v>435</v>
      </c>
      <c r="D1140" s="4" t="s">
        <v>24</v>
      </c>
      <c r="E1140" s="4" t="s">
        <v>16</v>
      </c>
      <c r="F1140" s="4" t="s">
        <v>17</v>
      </c>
      <c r="G1140" s="4" t="s">
        <v>18</v>
      </c>
      <c r="H1140" s="4" t="s">
        <v>179</v>
      </c>
      <c r="I1140" s="5" t="str">
        <f t="shared" si="17"/>
        <v>2025-05</v>
      </c>
      <c r="J1140" s="4" t="s">
        <v>49</v>
      </c>
      <c r="K1140" s="5" t="s">
        <v>343</v>
      </c>
      <c r="L1140" s="2">
        <v>54000</v>
      </c>
      <c r="M1140" s="3">
        <v>2</v>
      </c>
      <c r="N1140" s="2">
        <v>108000</v>
      </c>
      <c r="O1140" s="2">
        <v>10800</v>
      </c>
      <c r="P1140" s="2">
        <v>118800</v>
      </c>
      <c r="Q1140" s="2">
        <f>P1140*12%</f>
        <v>14256</v>
      </c>
    </row>
    <row r="1141" spans="1:17" hidden="1" x14ac:dyDescent="0.4">
      <c r="A1141" s="4" t="s">
        <v>51</v>
      </c>
      <c r="B1141" s="4" t="s">
        <v>14</v>
      </c>
      <c r="C1141" s="30" t="s">
        <v>434</v>
      </c>
      <c r="D1141" s="4" t="s">
        <v>52</v>
      </c>
      <c r="E1141" s="4" t="s">
        <v>16</v>
      </c>
      <c r="F1141" s="4" t="s">
        <v>17</v>
      </c>
      <c r="G1141" s="4" t="s">
        <v>18</v>
      </c>
      <c r="H1141" s="4" t="s">
        <v>179</v>
      </c>
      <c r="I1141" s="5" t="str">
        <f t="shared" si="17"/>
        <v>2025-05</v>
      </c>
      <c r="J1141" s="4" t="s">
        <v>49</v>
      </c>
      <c r="K1141" s="5" t="s">
        <v>343</v>
      </c>
      <c r="L1141" s="2">
        <v>71250</v>
      </c>
      <c r="M1141" s="3">
        <v>1</v>
      </c>
      <c r="N1141" s="2">
        <v>71250</v>
      </c>
      <c r="O1141" s="2">
        <v>7125</v>
      </c>
      <c r="P1141" s="2">
        <v>78375</v>
      </c>
      <c r="Q1141" s="2">
        <f>P1141*12%</f>
        <v>9405</v>
      </c>
    </row>
    <row r="1142" spans="1:17" x14ac:dyDescent="0.4">
      <c r="A1142" s="4" t="s">
        <v>23</v>
      </c>
      <c r="B1142" s="4" t="s">
        <v>14</v>
      </c>
      <c r="C1142" s="31" t="s">
        <v>435</v>
      </c>
      <c r="D1142" s="4" t="s">
        <v>24</v>
      </c>
      <c r="E1142" s="4" t="s">
        <v>16</v>
      </c>
      <c r="F1142" s="4" t="s">
        <v>17</v>
      </c>
      <c r="G1142" s="4" t="s">
        <v>18</v>
      </c>
      <c r="H1142" s="4" t="s">
        <v>180</v>
      </c>
      <c r="I1142" s="5" t="str">
        <f t="shared" si="17"/>
        <v>2025-05</v>
      </c>
      <c r="J1142" s="4" t="s">
        <v>20</v>
      </c>
      <c r="K1142" s="5" t="s">
        <v>342</v>
      </c>
      <c r="L1142" s="2">
        <v>54000</v>
      </c>
      <c r="M1142" s="3">
        <v>1</v>
      </c>
      <c r="N1142" s="2">
        <v>54000</v>
      </c>
      <c r="O1142" s="2">
        <v>5400</v>
      </c>
      <c r="P1142" s="2">
        <v>59400</v>
      </c>
      <c r="Q1142" s="2">
        <f>P1142*8.5%</f>
        <v>5049</v>
      </c>
    </row>
    <row r="1143" spans="1:17" x14ac:dyDescent="0.4">
      <c r="A1143" s="4" t="s">
        <v>51</v>
      </c>
      <c r="B1143" s="4" t="s">
        <v>14</v>
      </c>
      <c r="C1143" s="30" t="s">
        <v>434</v>
      </c>
      <c r="D1143" s="4" t="s">
        <v>52</v>
      </c>
      <c r="E1143" s="4" t="s">
        <v>16</v>
      </c>
      <c r="F1143" s="4" t="s">
        <v>17</v>
      </c>
      <c r="G1143" s="4" t="s">
        <v>18</v>
      </c>
      <c r="H1143" s="4" t="s">
        <v>180</v>
      </c>
      <c r="I1143" s="5" t="str">
        <f t="shared" si="17"/>
        <v>2025-05</v>
      </c>
      <c r="J1143" s="4" t="s">
        <v>20</v>
      </c>
      <c r="K1143" s="5" t="s">
        <v>342</v>
      </c>
      <c r="L1143" s="2">
        <v>71250</v>
      </c>
      <c r="M1143" s="3">
        <v>1</v>
      </c>
      <c r="N1143" s="2">
        <v>71250</v>
      </c>
      <c r="O1143" s="2">
        <v>7125</v>
      </c>
      <c r="P1143" s="2">
        <v>78375</v>
      </c>
      <c r="Q1143" s="2">
        <f>P1143*8.5%</f>
        <v>6661.8750000000009</v>
      </c>
    </row>
    <row r="1144" spans="1:17" x14ac:dyDescent="0.4">
      <c r="A1144" s="4" t="s">
        <v>76</v>
      </c>
      <c r="B1144" s="4" t="s">
        <v>65</v>
      </c>
      <c r="C1144" s="32" t="s">
        <v>436</v>
      </c>
      <c r="D1144" s="4" t="s">
        <v>27</v>
      </c>
      <c r="E1144" s="4" t="s">
        <v>28</v>
      </c>
      <c r="F1144" s="4" t="s">
        <v>17</v>
      </c>
      <c r="G1144" s="4" t="s">
        <v>18</v>
      </c>
      <c r="H1144" s="4" t="s">
        <v>180</v>
      </c>
      <c r="I1144" s="5" t="str">
        <f t="shared" si="17"/>
        <v>2025-05</v>
      </c>
      <c r="J1144" s="4" t="s">
        <v>20</v>
      </c>
      <c r="K1144" s="5" t="s">
        <v>342</v>
      </c>
      <c r="L1144" s="2">
        <v>16142</v>
      </c>
      <c r="M1144" s="3">
        <v>1</v>
      </c>
      <c r="N1144" s="2">
        <v>16142</v>
      </c>
      <c r="O1144" s="2">
        <v>1614</v>
      </c>
      <c r="P1144" s="2">
        <v>17756</v>
      </c>
      <c r="Q1144" s="2">
        <f>P1144*8.5%</f>
        <v>1509.2600000000002</v>
      </c>
    </row>
    <row r="1145" spans="1:17" x14ac:dyDescent="0.4">
      <c r="A1145" s="4" t="s">
        <v>25</v>
      </c>
      <c r="B1145" s="4" t="s">
        <v>26</v>
      </c>
      <c r="C1145" s="32" t="s">
        <v>436</v>
      </c>
      <c r="D1145" s="4" t="s">
        <v>27</v>
      </c>
      <c r="E1145" s="4" t="s">
        <v>28</v>
      </c>
      <c r="F1145" s="4" t="s">
        <v>17</v>
      </c>
      <c r="G1145" s="4" t="s">
        <v>18</v>
      </c>
      <c r="H1145" s="4" t="s">
        <v>180</v>
      </c>
      <c r="I1145" s="5" t="str">
        <f t="shared" si="17"/>
        <v>2025-05</v>
      </c>
      <c r="J1145" s="4" t="s">
        <v>20</v>
      </c>
      <c r="K1145" s="5" t="s">
        <v>342</v>
      </c>
      <c r="L1145" s="2">
        <v>2631</v>
      </c>
      <c r="M1145" s="3">
        <v>1</v>
      </c>
      <c r="N1145" s="2">
        <v>2631</v>
      </c>
      <c r="O1145" s="2">
        <v>263</v>
      </c>
      <c r="P1145" s="2">
        <v>2894</v>
      </c>
      <c r="Q1145" s="2">
        <f>P1145*8.5%</f>
        <v>245.99</v>
      </c>
    </row>
    <row r="1146" spans="1:17" x14ac:dyDescent="0.4">
      <c r="A1146" s="4" t="s">
        <v>13</v>
      </c>
      <c r="B1146" s="4" t="s">
        <v>14</v>
      </c>
      <c r="C1146" s="30" t="s">
        <v>434</v>
      </c>
      <c r="D1146" s="4" t="s">
        <v>15</v>
      </c>
      <c r="E1146" s="4" t="s">
        <v>16</v>
      </c>
      <c r="F1146" s="4" t="s">
        <v>17</v>
      </c>
      <c r="G1146" s="4" t="s">
        <v>18</v>
      </c>
      <c r="H1146" s="4" t="s">
        <v>181</v>
      </c>
      <c r="I1146" s="5" t="str">
        <f t="shared" si="17"/>
        <v>2025-05</v>
      </c>
      <c r="J1146" s="4" t="s">
        <v>20</v>
      </c>
      <c r="K1146" s="5" t="s">
        <v>342</v>
      </c>
      <c r="L1146" s="2">
        <v>42000</v>
      </c>
      <c r="M1146" s="3">
        <v>2</v>
      </c>
      <c r="N1146" s="2">
        <v>84000</v>
      </c>
      <c r="O1146" s="2">
        <v>8400</v>
      </c>
      <c r="P1146" s="2">
        <v>92400</v>
      </c>
      <c r="Q1146" s="2">
        <f>P1146*8.5%</f>
        <v>7854.0000000000009</v>
      </c>
    </row>
    <row r="1147" spans="1:17" x14ac:dyDescent="0.4">
      <c r="A1147" s="4" t="s">
        <v>21</v>
      </c>
      <c r="B1147" s="4" t="s">
        <v>14</v>
      </c>
      <c r="C1147" s="31" t="s">
        <v>435</v>
      </c>
      <c r="D1147" s="4" t="s">
        <v>22</v>
      </c>
      <c r="E1147" s="4" t="s">
        <v>16</v>
      </c>
      <c r="F1147" s="4" t="s">
        <v>17</v>
      </c>
      <c r="G1147" s="4" t="s">
        <v>18</v>
      </c>
      <c r="H1147" s="4" t="s">
        <v>181</v>
      </c>
      <c r="I1147" s="5" t="str">
        <f t="shared" si="17"/>
        <v>2025-05</v>
      </c>
      <c r="J1147" s="4" t="s">
        <v>20</v>
      </c>
      <c r="K1147" s="5" t="s">
        <v>342</v>
      </c>
      <c r="L1147" s="2">
        <v>54000</v>
      </c>
      <c r="M1147" s="3">
        <v>2</v>
      </c>
      <c r="N1147" s="2">
        <v>108000</v>
      </c>
      <c r="O1147" s="2">
        <v>10800</v>
      </c>
      <c r="P1147" s="2">
        <v>118800</v>
      </c>
      <c r="Q1147" s="2">
        <f>P1147*8.5%</f>
        <v>10098</v>
      </c>
    </row>
    <row r="1148" spans="1:17" x14ac:dyDescent="0.4">
      <c r="A1148" s="4" t="s">
        <v>23</v>
      </c>
      <c r="B1148" s="4" t="s">
        <v>14</v>
      </c>
      <c r="C1148" s="31" t="s">
        <v>435</v>
      </c>
      <c r="D1148" s="4" t="s">
        <v>24</v>
      </c>
      <c r="E1148" s="4" t="s">
        <v>16</v>
      </c>
      <c r="F1148" s="4" t="s">
        <v>17</v>
      </c>
      <c r="G1148" s="4" t="s">
        <v>18</v>
      </c>
      <c r="H1148" s="4" t="s">
        <v>181</v>
      </c>
      <c r="I1148" s="5" t="str">
        <f t="shared" si="17"/>
        <v>2025-05</v>
      </c>
      <c r="J1148" s="4" t="s">
        <v>20</v>
      </c>
      <c r="K1148" s="5" t="s">
        <v>342</v>
      </c>
      <c r="L1148" s="2">
        <v>54000</v>
      </c>
      <c r="M1148" s="3">
        <v>2</v>
      </c>
      <c r="N1148" s="2">
        <v>108000</v>
      </c>
      <c r="O1148" s="2">
        <v>10800</v>
      </c>
      <c r="P1148" s="2">
        <v>118800</v>
      </c>
      <c r="Q1148" s="2">
        <f>P1148*8.5%</f>
        <v>10098</v>
      </c>
    </row>
    <row r="1149" spans="1:17" hidden="1" x14ac:dyDescent="0.4">
      <c r="A1149" s="4" t="s">
        <v>13</v>
      </c>
      <c r="B1149" s="4" t="s">
        <v>14</v>
      </c>
      <c r="C1149" s="30" t="s">
        <v>434</v>
      </c>
      <c r="D1149" s="4" t="s">
        <v>15</v>
      </c>
      <c r="E1149" s="4" t="s">
        <v>16</v>
      </c>
      <c r="F1149" s="4" t="s">
        <v>17</v>
      </c>
      <c r="G1149" s="4" t="s">
        <v>18</v>
      </c>
      <c r="H1149" s="4" t="s">
        <v>181</v>
      </c>
      <c r="I1149" s="5" t="str">
        <f t="shared" si="17"/>
        <v>2025-05</v>
      </c>
      <c r="J1149" s="4" t="s">
        <v>118</v>
      </c>
      <c r="K1149" s="5" t="s">
        <v>342</v>
      </c>
      <c r="L1149" s="2">
        <v>42000</v>
      </c>
      <c r="M1149" s="3">
        <v>2</v>
      </c>
      <c r="N1149" s="2">
        <v>84000</v>
      </c>
      <c r="O1149" s="2">
        <v>8400</v>
      </c>
      <c r="P1149" s="2">
        <v>92400</v>
      </c>
      <c r="Q1149" s="2">
        <f>P1149*8.5%</f>
        <v>7854.0000000000009</v>
      </c>
    </row>
    <row r="1150" spans="1:17" hidden="1" x14ac:dyDescent="0.4">
      <c r="A1150" s="4" t="s">
        <v>23</v>
      </c>
      <c r="B1150" s="4" t="s">
        <v>14</v>
      </c>
      <c r="C1150" s="31" t="s">
        <v>435</v>
      </c>
      <c r="D1150" s="4" t="s">
        <v>24</v>
      </c>
      <c r="E1150" s="4" t="s">
        <v>16</v>
      </c>
      <c r="F1150" s="4" t="s">
        <v>17</v>
      </c>
      <c r="G1150" s="4" t="s">
        <v>18</v>
      </c>
      <c r="H1150" s="4" t="s">
        <v>181</v>
      </c>
      <c r="I1150" s="5" t="str">
        <f t="shared" si="17"/>
        <v>2025-05</v>
      </c>
      <c r="J1150" s="4" t="s">
        <v>118</v>
      </c>
      <c r="K1150" s="5" t="s">
        <v>342</v>
      </c>
      <c r="L1150" s="2">
        <v>54000</v>
      </c>
      <c r="M1150" s="3">
        <v>2</v>
      </c>
      <c r="N1150" s="2">
        <v>108000</v>
      </c>
      <c r="O1150" s="2">
        <v>10800</v>
      </c>
      <c r="P1150" s="2">
        <v>118800</v>
      </c>
      <c r="Q1150" s="2">
        <f>P1150*8.5%</f>
        <v>10098</v>
      </c>
    </row>
    <row r="1151" spans="1:17" hidden="1" x14ac:dyDescent="0.4">
      <c r="A1151" s="4" t="s">
        <v>51</v>
      </c>
      <c r="B1151" s="4" t="s">
        <v>14</v>
      </c>
      <c r="C1151" s="30" t="s">
        <v>434</v>
      </c>
      <c r="D1151" s="4" t="s">
        <v>52</v>
      </c>
      <c r="E1151" s="4" t="s">
        <v>16</v>
      </c>
      <c r="F1151" s="4" t="s">
        <v>17</v>
      </c>
      <c r="G1151" s="4" t="s">
        <v>18</v>
      </c>
      <c r="H1151" s="4" t="s">
        <v>181</v>
      </c>
      <c r="I1151" s="5" t="str">
        <f t="shared" si="17"/>
        <v>2025-05</v>
      </c>
      <c r="J1151" s="4" t="s">
        <v>118</v>
      </c>
      <c r="K1151" s="5" t="s">
        <v>342</v>
      </c>
      <c r="L1151" s="2">
        <v>71250</v>
      </c>
      <c r="M1151" s="3">
        <v>1</v>
      </c>
      <c r="N1151" s="2">
        <v>71250</v>
      </c>
      <c r="O1151" s="2">
        <v>7125</v>
      </c>
      <c r="P1151" s="2">
        <v>78375</v>
      </c>
      <c r="Q1151" s="2">
        <f>P1151*8.5%</f>
        <v>6661.8750000000009</v>
      </c>
    </row>
    <row r="1152" spans="1:17" hidden="1" x14ac:dyDescent="0.4">
      <c r="A1152" s="4" t="s">
        <v>80</v>
      </c>
      <c r="B1152" s="4" t="s">
        <v>26</v>
      </c>
      <c r="C1152" s="32" t="s">
        <v>436</v>
      </c>
      <c r="D1152" s="4" t="s">
        <v>81</v>
      </c>
      <c r="E1152" s="4" t="s">
        <v>16</v>
      </c>
      <c r="F1152" s="4" t="s">
        <v>17</v>
      </c>
      <c r="G1152" s="4" t="s">
        <v>18</v>
      </c>
      <c r="H1152" s="4" t="s">
        <v>181</v>
      </c>
      <c r="I1152" s="5" t="str">
        <f t="shared" si="17"/>
        <v>2025-05</v>
      </c>
      <c r="J1152" s="4" t="s">
        <v>34</v>
      </c>
      <c r="K1152" s="5" t="s">
        <v>342</v>
      </c>
      <c r="L1152" s="2">
        <v>17696</v>
      </c>
      <c r="M1152" s="3">
        <v>1</v>
      </c>
      <c r="N1152" s="2">
        <v>17696</v>
      </c>
      <c r="O1152" s="2">
        <v>1770</v>
      </c>
      <c r="P1152" s="2">
        <v>19466</v>
      </c>
      <c r="Q1152" s="2">
        <f>P1152*8.5%</f>
        <v>1654.6100000000001</v>
      </c>
    </row>
    <row r="1153" spans="1:17" hidden="1" x14ac:dyDescent="0.4">
      <c r="A1153" s="4" t="s">
        <v>82</v>
      </c>
      <c r="B1153" s="4" t="s">
        <v>26</v>
      </c>
      <c r="C1153" s="32" t="s">
        <v>436</v>
      </c>
      <c r="D1153" s="4" t="s">
        <v>81</v>
      </c>
      <c r="E1153" s="4" t="s">
        <v>16</v>
      </c>
      <c r="F1153" s="4" t="s">
        <v>17</v>
      </c>
      <c r="G1153" s="4" t="s">
        <v>18</v>
      </c>
      <c r="H1153" s="4" t="s">
        <v>181</v>
      </c>
      <c r="I1153" s="5" t="str">
        <f t="shared" si="17"/>
        <v>2025-05</v>
      </c>
      <c r="J1153" s="4" t="s">
        <v>34</v>
      </c>
      <c r="K1153" s="5" t="s">
        <v>342</v>
      </c>
      <c r="L1153" s="2">
        <v>20925</v>
      </c>
      <c r="M1153" s="3">
        <v>1</v>
      </c>
      <c r="N1153" s="2">
        <v>20925</v>
      </c>
      <c r="O1153" s="2">
        <v>2093</v>
      </c>
      <c r="P1153" s="2">
        <v>23018</v>
      </c>
      <c r="Q1153" s="2">
        <f>P1153*8.5%</f>
        <v>1956.5300000000002</v>
      </c>
    </row>
    <row r="1154" spans="1:17" hidden="1" x14ac:dyDescent="0.4">
      <c r="A1154" s="4" t="s">
        <v>32</v>
      </c>
      <c r="B1154" s="4" t="s">
        <v>14</v>
      </c>
      <c r="C1154" s="31" t="s">
        <v>435</v>
      </c>
      <c r="D1154" s="4" t="s">
        <v>33</v>
      </c>
      <c r="E1154" s="4" t="s">
        <v>16</v>
      </c>
      <c r="F1154" s="4" t="s">
        <v>17</v>
      </c>
      <c r="G1154" s="4" t="s">
        <v>18</v>
      </c>
      <c r="H1154" s="4" t="s">
        <v>181</v>
      </c>
      <c r="I1154" s="5" t="str">
        <f t="shared" ref="I1154:I1217" si="18">TEXT(H1154,"yyyy-mm")</f>
        <v>2025-05</v>
      </c>
      <c r="J1154" s="4" t="s">
        <v>34</v>
      </c>
      <c r="K1154" s="5" t="s">
        <v>342</v>
      </c>
      <c r="L1154" s="2">
        <v>44000</v>
      </c>
      <c r="M1154" s="3">
        <v>2</v>
      </c>
      <c r="N1154" s="2">
        <v>88000</v>
      </c>
      <c r="O1154" s="2">
        <v>8800</v>
      </c>
      <c r="P1154" s="2">
        <v>96800</v>
      </c>
      <c r="Q1154" s="2">
        <f>P1154*8.5%</f>
        <v>8228</v>
      </c>
    </row>
    <row r="1155" spans="1:17" hidden="1" x14ac:dyDescent="0.4">
      <c r="A1155" s="4" t="s">
        <v>58</v>
      </c>
      <c r="B1155" s="4" t="s">
        <v>14</v>
      </c>
      <c r="C1155" s="30" t="s">
        <v>434</v>
      </c>
      <c r="D1155" s="4" t="s">
        <v>36</v>
      </c>
      <c r="E1155" s="4" t="s">
        <v>16</v>
      </c>
      <c r="F1155" s="4" t="s">
        <v>17</v>
      </c>
      <c r="G1155" s="4" t="s">
        <v>18</v>
      </c>
      <c r="H1155" s="4" t="s">
        <v>181</v>
      </c>
      <c r="I1155" s="5" t="str">
        <f t="shared" si="18"/>
        <v>2025-05</v>
      </c>
      <c r="J1155" s="4" t="s">
        <v>34</v>
      </c>
      <c r="K1155" s="5" t="s">
        <v>342</v>
      </c>
      <c r="L1155" s="2">
        <v>120880</v>
      </c>
      <c r="M1155" s="3">
        <v>1</v>
      </c>
      <c r="N1155" s="2">
        <v>120880</v>
      </c>
      <c r="O1155" s="2">
        <v>12088</v>
      </c>
      <c r="P1155" s="2">
        <v>132968</v>
      </c>
      <c r="Q1155" s="2">
        <f>P1155*8.5%</f>
        <v>11302.28</v>
      </c>
    </row>
    <row r="1156" spans="1:17" hidden="1" x14ac:dyDescent="0.4">
      <c r="A1156" s="4" t="s">
        <v>13</v>
      </c>
      <c r="B1156" s="4" t="s">
        <v>14</v>
      </c>
      <c r="C1156" s="30" t="s">
        <v>434</v>
      </c>
      <c r="D1156" s="4" t="s">
        <v>15</v>
      </c>
      <c r="E1156" s="4" t="s">
        <v>16</v>
      </c>
      <c r="F1156" s="4" t="s">
        <v>17</v>
      </c>
      <c r="G1156" s="4" t="s">
        <v>18</v>
      </c>
      <c r="H1156" s="4" t="s">
        <v>181</v>
      </c>
      <c r="I1156" s="5" t="str">
        <f t="shared" si="18"/>
        <v>2025-05</v>
      </c>
      <c r="J1156" s="4" t="s">
        <v>34</v>
      </c>
      <c r="K1156" s="5" t="s">
        <v>342</v>
      </c>
      <c r="L1156" s="2">
        <v>42000</v>
      </c>
      <c r="M1156" s="3">
        <v>4</v>
      </c>
      <c r="N1156" s="2">
        <v>168000</v>
      </c>
      <c r="O1156" s="2">
        <v>16800</v>
      </c>
      <c r="P1156" s="2">
        <v>184800</v>
      </c>
      <c r="Q1156" s="2">
        <f>P1156*8.5%</f>
        <v>15708.000000000002</v>
      </c>
    </row>
    <row r="1157" spans="1:17" hidden="1" x14ac:dyDescent="0.4">
      <c r="A1157" s="4" t="s">
        <v>21</v>
      </c>
      <c r="B1157" s="4" t="s">
        <v>14</v>
      </c>
      <c r="C1157" s="31" t="s">
        <v>435</v>
      </c>
      <c r="D1157" s="4" t="s">
        <v>22</v>
      </c>
      <c r="E1157" s="4" t="s">
        <v>16</v>
      </c>
      <c r="F1157" s="4" t="s">
        <v>17</v>
      </c>
      <c r="G1157" s="4" t="s">
        <v>18</v>
      </c>
      <c r="H1157" s="4" t="s">
        <v>181</v>
      </c>
      <c r="I1157" s="5" t="str">
        <f t="shared" si="18"/>
        <v>2025-05</v>
      </c>
      <c r="J1157" s="4" t="s">
        <v>34</v>
      </c>
      <c r="K1157" s="5" t="s">
        <v>342</v>
      </c>
      <c r="L1157" s="2">
        <v>54000</v>
      </c>
      <c r="M1157" s="3">
        <v>2</v>
      </c>
      <c r="N1157" s="2">
        <v>108000</v>
      </c>
      <c r="O1157" s="2">
        <v>10800</v>
      </c>
      <c r="P1157" s="2">
        <v>118800</v>
      </c>
      <c r="Q1157" s="2">
        <f>P1157*8.5%</f>
        <v>10098</v>
      </c>
    </row>
    <row r="1158" spans="1:17" hidden="1" x14ac:dyDescent="0.4">
      <c r="A1158" s="4" t="s">
        <v>23</v>
      </c>
      <c r="B1158" s="4" t="s">
        <v>14</v>
      </c>
      <c r="C1158" s="31" t="s">
        <v>435</v>
      </c>
      <c r="D1158" s="4" t="s">
        <v>24</v>
      </c>
      <c r="E1158" s="4" t="s">
        <v>16</v>
      </c>
      <c r="F1158" s="4" t="s">
        <v>17</v>
      </c>
      <c r="G1158" s="4" t="s">
        <v>18</v>
      </c>
      <c r="H1158" s="4" t="s">
        <v>181</v>
      </c>
      <c r="I1158" s="5" t="str">
        <f t="shared" si="18"/>
        <v>2025-05</v>
      </c>
      <c r="J1158" s="4" t="s">
        <v>34</v>
      </c>
      <c r="K1158" s="5" t="s">
        <v>342</v>
      </c>
      <c r="L1158" s="2">
        <v>54000</v>
      </c>
      <c r="M1158" s="3">
        <v>6</v>
      </c>
      <c r="N1158" s="2">
        <v>324000</v>
      </c>
      <c r="O1158" s="2">
        <v>32400</v>
      </c>
      <c r="P1158" s="2">
        <v>356400</v>
      </c>
      <c r="Q1158" s="2">
        <f>P1158*8.5%</f>
        <v>30294.000000000004</v>
      </c>
    </row>
    <row r="1159" spans="1:17" hidden="1" x14ac:dyDescent="0.4">
      <c r="A1159" s="4" t="s">
        <v>51</v>
      </c>
      <c r="B1159" s="4" t="s">
        <v>14</v>
      </c>
      <c r="C1159" s="30" t="s">
        <v>434</v>
      </c>
      <c r="D1159" s="4" t="s">
        <v>52</v>
      </c>
      <c r="E1159" s="4" t="s">
        <v>16</v>
      </c>
      <c r="F1159" s="4" t="s">
        <v>17</v>
      </c>
      <c r="G1159" s="4" t="s">
        <v>18</v>
      </c>
      <c r="H1159" s="4" t="s">
        <v>181</v>
      </c>
      <c r="I1159" s="5" t="str">
        <f t="shared" si="18"/>
        <v>2025-05</v>
      </c>
      <c r="J1159" s="4" t="s">
        <v>34</v>
      </c>
      <c r="K1159" s="5" t="s">
        <v>342</v>
      </c>
      <c r="L1159" s="2">
        <v>71250</v>
      </c>
      <c r="M1159" s="3">
        <v>1</v>
      </c>
      <c r="N1159" s="2">
        <v>71250</v>
      </c>
      <c r="O1159" s="2">
        <v>7125</v>
      </c>
      <c r="P1159" s="2">
        <v>78375</v>
      </c>
      <c r="Q1159" s="2">
        <f>P1159*8.5%</f>
        <v>6661.8750000000009</v>
      </c>
    </row>
    <row r="1160" spans="1:17" hidden="1" x14ac:dyDescent="0.4">
      <c r="A1160" s="4" t="s">
        <v>84</v>
      </c>
      <c r="B1160" s="4" t="s">
        <v>26</v>
      </c>
      <c r="C1160" s="32" t="s">
        <v>436</v>
      </c>
      <c r="D1160" s="4" t="s">
        <v>85</v>
      </c>
      <c r="E1160" s="4" t="s">
        <v>28</v>
      </c>
      <c r="F1160" s="4" t="s">
        <v>17</v>
      </c>
      <c r="G1160" s="4" t="s">
        <v>18</v>
      </c>
      <c r="H1160" s="4" t="s">
        <v>181</v>
      </c>
      <c r="I1160" s="5" t="str">
        <f t="shared" si="18"/>
        <v>2025-05</v>
      </c>
      <c r="J1160" s="4" t="s">
        <v>34</v>
      </c>
      <c r="K1160" s="5" t="s">
        <v>342</v>
      </c>
      <c r="L1160" s="2">
        <v>5032</v>
      </c>
      <c r="M1160" s="3">
        <v>1</v>
      </c>
      <c r="N1160" s="2">
        <v>5032</v>
      </c>
      <c r="O1160" s="2">
        <v>503</v>
      </c>
      <c r="P1160" s="2">
        <v>5535</v>
      </c>
      <c r="Q1160" s="2">
        <f>P1160*8.5%</f>
        <v>470.47500000000002</v>
      </c>
    </row>
    <row r="1161" spans="1:17" hidden="1" x14ac:dyDescent="0.4">
      <c r="A1161" s="4" t="s">
        <v>67</v>
      </c>
      <c r="B1161" s="4" t="s">
        <v>26</v>
      </c>
      <c r="C1161" s="32" t="s">
        <v>436</v>
      </c>
      <c r="D1161" s="4" t="s">
        <v>63</v>
      </c>
      <c r="E1161" s="4" t="s">
        <v>28</v>
      </c>
      <c r="F1161" s="4" t="s">
        <v>17</v>
      </c>
      <c r="G1161" s="4" t="s">
        <v>18</v>
      </c>
      <c r="H1161" s="4" t="s">
        <v>181</v>
      </c>
      <c r="I1161" s="5" t="str">
        <f t="shared" si="18"/>
        <v>2025-05</v>
      </c>
      <c r="J1161" s="4" t="s">
        <v>34</v>
      </c>
      <c r="K1161" s="5" t="s">
        <v>342</v>
      </c>
      <c r="L1161" s="2">
        <v>7558</v>
      </c>
      <c r="M1161" s="3">
        <v>1</v>
      </c>
      <c r="N1161" s="2">
        <v>7558</v>
      </c>
      <c r="O1161" s="2">
        <v>756</v>
      </c>
      <c r="P1161" s="2">
        <v>8314</v>
      </c>
      <c r="Q1161" s="2">
        <f>P1161*8.5%</f>
        <v>706.69</v>
      </c>
    </row>
    <row r="1162" spans="1:17" hidden="1" x14ac:dyDescent="0.4">
      <c r="A1162" s="4" t="s">
        <v>73</v>
      </c>
      <c r="B1162" s="4" t="s">
        <v>26</v>
      </c>
      <c r="C1162" s="32" t="s">
        <v>436</v>
      </c>
      <c r="D1162" s="4" t="s">
        <v>57</v>
      </c>
      <c r="E1162" s="4" t="s">
        <v>28</v>
      </c>
      <c r="F1162" s="4" t="s">
        <v>17</v>
      </c>
      <c r="G1162" s="4" t="s">
        <v>18</v>
      </c>
      <c r="H1162" s="4" t="s">
        <v>181</v>
      </c>
      <c r="I1162" s="5" t="str">
        <f t="shared" si="18"/>
        <v>2025-05</v>
      </c>
      <c r="J1162" s="4" t="s">
        <v>34</v>
      </c>
      <c r="K1162" s="5" t="s">
        <v>342</v>
      </c>
      <c r="L1162" s="2">
        <v>7055</v>
      </c>
      <c r="M1162" s="3">
        <v>2</v>
      </c>
      <c r="N1162" s="2">
        <v>14110</v>
      </c>
      <c r="O1162" s="2">
        <v>1411</v>
      </c>
      <c r="P1162" s="2">
        <v>15521</v>
      </c>
      <c r="Q1162" s="2">
        <f>P1162*8.5%</f>
        <v>1319.2850000000001</v>
      </c>
    </row>
    <row r="1163" spans="1:17" hidden="1" x14ac:dyDescent="0.4">
      <c r="A1163" s="4" t="s">
        <v>42</v>
      </c>
      <c r="B1163" s="4" t="s">
        <v>14</v>
      </c>
      <c r="C1163" s="30" t="s">
        <v>434</v>
      </c>
      <c r="D1163" s="4" t="s">
        <v>43</v>
      </c>
      <c r="E1163" s="4" t="s">
        <v>44</v>
      </c>
      <c r="F1163" s="4" t="s">
        <v>31</v>
      </c>
      <c r="G1163" s="4" t="s">
        <v>18</v>
      </c>
      <c r="H1163" s="4" t="s">
        <v>181</v>
      </c>
      <c r="I1163" s="5" t="str">
        <f t="shared" si="18"/>
        <v>2025-05</v>
      </c>
      <c r="J1163" s="4" t="s">
        <v>34</v>
      </c>
      <c r="K1163" s="5" t="s">
        <v>342</v>
      </c>
      <c r="L1163" s="2">
        <v>6800</v>
      </c>
      <c r="M1163" s="3">
        <v>61.3</v>
      </c>
      <c r="N1163" s="2">
        <v>416840</v>
      </c>
      <c r="O1163" s="2">
        <v>0</v>
      </c>
      <c r="P1163" s="2">
        <v>416840</v>
      </c>
      <c r="Q1163" s="2">
        <f>P1163*8.5%</f>
        <v>35431.4</v>
      </c>
    </row>
    <row r="1164" spans="1:17" hidden="1" x14ac:dyDescent="0.4">
      <c r="A1164" s="4" t="s">
        <v>45</v>
      </c>
      <c r="B1164" s="4" t="s">
        <v>26</v>
      </c>
      <c r="C1164" s="32" t="s">
        <v>436</v>
      </c>
      <c r="D1164" s="4" t="s">
        <v>46</v>
      </c>
      <c r="E1164" s="4" t="s">
        <v>47</v>
      </c>
      <c r="F1164" s="4" t="s">
        <v>17</v>
      </c>
      <c r="G1164" s="4" t="s">
        <v>18</v>
      </c>
      <c r="H1164" s="4" t="s">
        <v>181</v>
      </c>
      <c r="I1164" s="5" t="str">
        <f t="shared" si="18"/>
        <v>2025-05</v>
      </c>
      <c r="J1164" s="4" t="s">
        <v>34</v>
      </c>
      <c r="K1164" s="5" t="s">
        <v>342</v>
      </c>
      <c r="L1164" s="2">
        <v>6576</v>
      </c>
      <c r="M1164" s="3">
        <v>2</v>
      </c>
      <c r="N1164" s="2">
        <v>13152</v>
      </c>
      <c r="O1164" s="2">
        <v>1315</v>
      </c>
      <c r="P1164" s="2">
        <v>14467</v>
      </c>
      <c r="Q1164" s="2">
        <f>P1164*8.5%</f>
        <v>1229.6950000000002</v>
      </c>
    </row>
    <row r="1165" spans="1:17" hidden="1" x14ac:dyDescent="0.4">
      <c r="A1165" s="4" t="s">
        <v>13</v>
      </c>
      <c r="B1165" s="4" t="s">
        <v>14</v>
      </c>
      <c r="C1165" s="30" t="s">
        <v>434</v>
      </c>
      <c r="D1165" s="4" t="s">
        <v>15</v>
      </c>
      <c r="E1165" s="4" t="s">
        <v>16</v>
      </c>
      <c r="F1165" s="4" t="s">
        <v>17</v>
      </c>
      <c r="G1165" s="4" t="s">
        <v>18</v>
      </c>
      <c r="H1165" s="4" t="s">
        <v>181</v>
      </c>
      <c r="I1165" s="5" t="str">
        <f t="shared" si="18"/>
        <v>2025-05</v>
      </c>
      <c r="J1165" s="4" t="s">
        <v>59</v>
      </c>
      <c r="K1165" s="5" t="s">
        <v>343</v>
      </c>
      <c r="L1165" s="2">
        <v>42000</v>
      </c>
      <c r="M1165" s="3">
        <v>5</v>
      </c>
      <c r="N1165" s="2">
        <v>210000</v>
      </c>
      <c r="O1165" s="2">
        <v>21000</v>
      </c>
      <c r="P1165" s="2">
        <v>231000</v>
      </c>
      <c r="Q1165" s="2">
        <f>P1165*12%</f>
        <v>27720</v>
      </c>
    </row>
    <row r="1166" spans="1:17" hidden="1" x14ac:dyDescent="0.4">
      <c r="A1166" s="4" t="s">
        <v>35</v>
      </c>
      <c r="B1166" s="4" t="s">
        <v>14</v>
      </c>
      <c r="C1166" s="30" t="s">
        <v>434</v>
      </c>
      <c r="D1166" s="4" t="s">
        <v>36</v>
      </c>
      <c r="E1166" s="4" t="s">
        <v>16</v>
      </c>
      <c r="F1166" s="4" t="s">
        <v>17</v>
      </c>
      <c r="G1166" s="4" t="s">
        <v>18</v>
      </c>
      <c r="H1166" s="4" t="s">
        <v>181</v>
      </c>
      <c r="I1166" s="5" t="str">
        <f t="shared" si="18"/>
        <v>2025-05</v>
      </c>
      <c r="J1166" s="4" t="s">
        <v>59</v>
      </c>
      <c r="K1166" s="5" t="s">
        <v>343</v>
      </c>
      <c r="L1166" s="2">
        <v>116220</v>
      </c>
      <c r="M1166" s="3">
        <v>1</v>
      </c>
      <c r="N1166" s="2">
        <v>116220</v>
      </c>
      <c r="O1166" s="2">
        <v>11622</v>
      </c>
      <c r="P1166" s="2">
        <v>127842</v>
      </c>
      <c r="Q1166" s="2">
        <f>P1166*12%</f>
        <v>15341.039999999999</v>
      </c>
    </row>
    <row r="1167" spans="1:17" hidden="1" x14ac:dyDescent="0.4">
      <c r="A1167" s="4" t="s">
        <v>23</v>
      </c>
      <c r="B1167" s="4" t="s">
        <v>14</v>
      </c>
      <c r="C1167" s="31" t="s">
        <v>435</v>
      </c>
      <c r="D1167" s="4" t="s">
        <v>24</v>
      </c>
      <c r="E1167" s="4" t="s">
        <v>16</v>
      </c>
      <c r="F1167" s="4" t="s">
        <v>17</v>
      </c>
      <c r="G1167" s="4" t="s">
        <v>18</v>
      </c>
      <c r="H1167" s="4" t="s">
        <v>181</v>
      </c>
      <c r="I1167" s="5" t="str">
        <f t="shared" si="18"/>
        <v>2025-05</v>
      </c>
      <c r="J1167" s="4" t="s">
        <v>59</v>
      </c>
      <c r="K1167" s="5" t="s">
        <v>343</v>
      </c>
      <c r="L1167" s="2">
        <v>54000</v>
      </c>
      <c r="M1167" s="3">
        <v>2</v>
      </c>
      <c r="N1167" s="2">
        <v>108000</v>
      </c>
      <c r="O1167" s="2">
        <v>10800</v>
      </c>
      <c r="P1167" s="2">
        <v>118800</v>
      </c>
      <c r="Q1167" s="2">
        <f>P1167*12%</f>
        <v>14256</v>
      </c>
    </row>
    <row r="1168" spans="1:17" hidden="1" x14ac:dyDescent="0.4">
      <c r="A1168" s="4" t="s">
        <v>51</v>
      </c>
      <c r="B1168" s="4" t="s">
        <v>14</v>
      </c>
      <c r="C1168" s="30" t="s">
        <v>434</v>
      </c>
      <c r="D1168" s="4" t="s">
        <v>52</v>
      </c>
      <c r="E1168" s="4" t="s">
        <v>16</v>
      </c>
      <c r="F1168" s="4" t="s">
        <v>17</v>
      </c>
      <c r="G1168" s="4" t="s">
        <v>18</v>
      </c>
      <c r="H1168" s="4" t="s">
        <v>181</v>
      </c>
      <c r="I1168" s="5" t="str">
        <f t="shared" si="18"/>
        <v>2025-05</v>
      </c>
      <c r="J1168" s="4" t="s">
        <v>59</v>
      </c>
      <c r="K1168" s="5" t="s">
        <v>343</v>
      </c>
      <c r="L1168" s="2">
        <v>71250</v>
      </c>
      <c r="M1168" s="3">
        <v>1</v>
      </c>
      <c r="N1168" s="2">
        <v>71250</v>
      </c>
      <c r="O1168" s="2">
        <v>7125</v>
      </c>
      <c r="P1168" s="2">
        <v>78375</v>
      </c>
      <c r="Q1168" s="2">
        <f>P1168*12%</f>
        <v>9405</v>
      </c>
    </row>
    <row r="1169" spans="1:17" hidden="1" x14ac:dyDescent="0.4">
      <c r="A1169" s="4" t="s">
        <v>13</v>
      </c>
      <c r="B1169" s="4" t="s">
        <v>14</v>
      </c>
      <c r="C1169" s="30" t="s">
        <v>434</v>
      </c>
      <c r="D1169" s="4" t="s">
        <v>15</v>
      </c>
      <c r="E1169" s="4" t="s">
        <v>16</v>
      </c>
      <c r="F1169" s="4" t="s">
        <v>17</v>
      </c>
      <c r="G1169" s="4" t="s">
        <v>18</v>
      </c>
      <c r="H1169" s="4" t="s">
        <v>181</v>
      </c>
      <c r="I1169" s="5" t="str">
        <f t="shared" si="18"/>
        <v>2025-05</v>
      </c>
      <c r="J1169" s="4" t="s">
        <v>153</v>
      </c>
      <c r="K1169" s="5" t="s">
        <v>343</v>
      </c>
      <c r="L1169" s="2">
        <v>42000</v>
      </c>
      <c r="M1169" s="3">
        <v>10</v>
      </c>
      <c r="N1169" s="2">
        <v>420000</v>
      </c>
      <c r="O1169" s="2">
        <v>42000</v>
      </c>
      <c r="P1169" s="2">
        <v>462000</v>
      </c>
      <c r="Q1169" s="2">
        <f>P1169*12%</f>
        <v>55440</v>
      </c>
    </row>
    <row r="1170" spans="1:17" hidden="1" x14ac:dyDescent="0.4">
      <c r="A1170" s="4" t="s">
        <v>32</v>
      </c>
      <c r="B1170" s="4" t="s">
        <v>14</v>
      </c>
      <c r="C1170" s="31" t="s">
        <v>435</v>
      </c>
      <c r="D1170" s="4" t="s">
        <v>33</v>
      </c>
      <c r="E1170" s="4" t="s">
        <v>16</v>
      </c>
      <c r="F1170" s="4" t="s">
        <v>17</v>
      </c>
      <c r="G1170" s="4" t="s">
        <v>18</v>
      </c>
      <c r="H1170" s="4" t="s">
        <v>181</v>
      </c>
      <c r="I1170" s="5" t="str">
        <f t="shared" si="18"/>
        <v>2025-05</v>
      </c>
      <c r="J1170" s="4" t="s">
        <v>49</v>
      </c>
      <c r="K1170" s="5" t="s">
        <v>343</v>
      </c>
      <c r="L1170" s="2">
        <v>44000</v>
      </c>
      <c r="M1170" s="3">
        <v>4</v>
      </c>
      <c r="N1170" s="2">
        <v>176000</v>
      </c>
      <c r="O1170" s="2">
        <v>17600</v>
      </c>
      <c r="P1170" s="2">
        <v>193600</v>
      </c>
      <c r="Q1170" s="2">
        <f>P1170*12%</f>
        <v>23232</v>
      </c>
    </row>
    <row r="1171" spans="1:17" hidden="1" x14ac:dyDescent="0.4">
      <c r="A1171" s="4" t="s">
        <v>13</v>
      </c>
      <c r="B1171" s="4" t="s">
        <v>14</v>
      </c>
      <c r="C1171" s="30" t="s">
        <v>434</v>
      </c>
      <c r="D1171" s="4" t="s">
        <v>15</v>
      </c>
      <c r="E1171" s="4" t="s">
        <v>16</v>
      </c>
      <c r="F1171" s="4" t="s">
        <v>17</v>
      </c>
      <c r="G1171" s="4" t="s">
        <v>18</v>
      </c>
      <c r="H1171" s="4" t="s">
        <v>181</v>
      </c>
      <c r="I1171" s="5" t="str">
        <f t="shared" si="18"/>
        <v>2025-05</v>
      </c>
      <c r="J1171" s="4" t="s">
        <v>49</v>
      </c>
      <c r="K1171" s="5" t="s">
        <v>343</v>
      </c>
      <c r="L1171" s="2">
        <v>42000</v>
      </c>
      <c r="M1171" s="3">
        <v>4</v>
      </c>
      <c r="N1171" s="2">
        <v>168000</v>
      </c>
      <c r="O1171" s="2">
        <v>16800</v>
      </c>
      <c r="P1171" s="2">
        <v>184800</v>
      </c>
      <c r="Q1171" s="2">
        <f>P1171*12%</f>
        <v>22176</v>
      </c>
    </row>
    <row r="1172" spans="1:17" hidden="1" x14ac:dyDescent="0.4">
      <c r="A1172" s="4" t="s">
        <v>35</v>
      </c>
      <c r="B1172" s="4" t="s">
        <v>14</v>
      </c>
      <c r="C1172" s="30" t="s">
        <v>434</v>
      </c>
      <c r="D1172" s="4" t="s">
        <v>36</v>
      </c>
      <c r="E1172" s="4" t="s">
        <v>16</v>
      </c>
      <c r="F1172" s="4" t="s">
        <v>17</v>
      </c>
      <c r="G1172" s="4" t="s">
        <v>18</v>
      </c>
      <c r="H1172" s="4" t="s">
        <v>181</v>
      </c>
      <c r="I1172" s="5" t="str">
        <f t="shared" si="18"/>
        <v>2025-05</v>
      </c>
      <c r="J1172" s="4" t="s">
        <v>49</v>
      </c>
      <c r="K1172" s="5" t="s">
        <v>343</v>
      </c>
      <c r="L1172" s="2">
        <v>116220</v>
      </c>
      <c r="M1172" s="3">
        <v>2</v>
      </c>
      <c r="N1172" s="2">
        <v>232440</v>
      </c>
      <c r="O1172" s="2">
        <v>23244</v>
      </c>
      <c r="P1172" s="2">
        <v>255684</v>
      </c>
      <c r="Q1172" s="2">
        <f>P1172*12%</f>
        <v>30682.079999999998</v>
      </c>
    </row>
    <row r="1173" spans="1:17" hidden="1" x14ac:dyDescent="0.4">
      <c r="A1173" s="4" t="s">
        <v>23</v>
      </c>
      <c r="B1173" s="4" t="s">
        <v>14</v>
      </c>
      <c r="C1173" s="31" t="s">
        <v>435</v>
      </c>
      <c r="D1173" s="4" t="s">
        <v>24</v>
      </c>
      <c r="E1173" s="4" t="s">
        <v>16</v>
      </c>
      <c r="F1173" s="4" t="s">
        <v>17</v>
      </c>
      <c r="G1173" s="4" t="s">
        <v>18</v>
      </c>
      <c r="H1173" s="4" t="s">
        <v>181</v>
      </c>
      <c r="I1173" s="5" t="str">
        <f t="shared" si="18"/>
        <v>2025-05</v>
      </c>
      <c r="J1173" s="4" t="s">
        <v>49</v>
      </c>
      <c r="K1173" s="5" t="s">
        <v>343</v>
      </c>
      <c r="L1173" s="2">
        <v>54000</v>
      </c>
      <c r="M1173" s="3">
        <v>3</v>
      </c>
      <c r="N1173" s="2">
        <v>162000</v>
      </c>
      <c r="O1173" s="2">
        <v>16200</v>
      </c>
      <c r="P1173" s="2">
        <v>178200</v>
      </c>
      <c r="Q1173" s="2">
        <f>P1173*12%</f>
        <v>21384</v>
      </c>
    </row>
    <row r="1174" spans="1:17" hidden="1" x14ac:dyDescent="0.4">
      <c r="A1174" s="4" t="s">
        <v>51</v>
      </c>
      <c r="B1174" s="4" t="s">
        <v>14</v>
      </c>
      <c r="C1174" s="30" t="s">
        <v>434</v>
      </c>
      <c r="D1174" s="4" t="s">
        <v>52</v>
      </c>
      <c r="E1174" s="4" t="s">
        <v>16</v>
      </c>
      <c r="F1174" s="4" t="s">
        <v>17</v>
      </c>
      <c r="G1174" s="4" t="s">
        <v>18</v>
      </c>
      <c r="H1174" s="4" t="s">
        <v>181</v>
      </c>
      <c r="I1174" s="5" t="str">
        <f t="shared" si="18"/>
        <v>2025-05</v>
      </c>
      <c r="J1174" s="4" t="s">
        <v>49</v>
      </c>
      <c r="K1174" s="5" t="s">
        <v>343</v>
      </c>
      <c r="L1174" s="2">
        <v>71250</v>
      </c>
      <c r="M1174" s="3">
        <v>2</v>
      </c>
      <c r="N1174" s="2">
        <v>142500</v>
      </c>
      <c r="O1174" s="2">
        <v>14250</v>
      </c>
      <c r="P1174" s="2">
        <v>156750</v>
      </c>
      <c r="Q1174" s="2">
        <f>P1174*12%</f>
        <v>18810</v>
      </c>
    </row>
    <row r="1175" spans="1:17" hidden="1" x14ac:dyDescent="0.4">
      <c r="A1175" s="4" t="s">
        <v>32</v>
      </c>
      <c r="B1175" s="4" t="s">
        <v>14</v>
      </c>
      <c r="C1175" s="31" t="s">
        <v>435</v>
      </c>
      <c r="D1175" s="4" t="s">
        <v>33</v>
      </c>
      <c r="E1175" s="4" t="s">
        <v>16</v>
      </c>
      <c r="F1175" s="4" t="s">
        <v>17</v>
      </c>
      <c r="G1175" s="4" t="s">
        <v>18</v>
      </c>
      <c r="H1175" s="4" t="s">
        <v>181</v>
      </c>
      <c r="I1175" s="5" t="str">
        <f t="shared" si="18"/>
        <v>2025-05</v>
      </c>
      <c r="J1175" s="4" t="s">
        <v>50</v>
      </c>
      <c r="K1175" s="5" t="s">
        <v>343</v>
      </c>
      <c r="L1175" s="2">
        <v>44000</v>
      </c>
      <c r="M1175" s="3">
        <v>1</v>
      </c>
      <c r="N1175" s="2">
        <v>44000</v>
      </c>
      <c r="O1175" s="2">
        <v>4400</v>
      </c>
      <c r="P1175" s="2">
        <v>48400</v>
      </c>
      <c r="Q1175" s="2">
        <f>P1175*12%</f>
        <v>5808</v>
      </c>
    </row>
    <row r="1176" spans="1:17" hidden="1" x14ac:dyDescent="0.4">
      <c r="A1176" s="4" t="s">
        <v>13</v>
      </c>
      <c r="B1176" s="4" t="s">
        <v>14</v>
      </c>
      <c r="C1176" s="30" t="s">
        <v>434</v>
      </c>
      <c r="D1176" s="4" t="s">
        <v>15</v>
      </c>
      <c r="E1176" s="4" t="s">
        <v>16</v>
      </c>
      <c r="F1176" s="4" t="s">
        <v>17</v>
      </c>
      <c r="G1176" s="4" t="s">
        <v>18</v>
      </c>
      <c r="H1176" s="4" t="s">
        <v>181</v>
      </c>
      <c r="I1176" s="5" t="str">
        <f t="shared" si="18"/>
        <v>2025-05</v>
      </c>
      <c r="J1176" s="4" t="s">
        <v>50</v>
      </c>
      <c r="K1176" s="5" t="s">
        <v>343</v>
      </c>
      <c r="L1176" s="2">
        <v>42000</v>
      </c>
      <c r="M1176" s="3">
        <v>10</v>
      </c>
      <c r="N1176" s="2">
        <v>420000</v>
      </c>
      <c r="O1176" s="2">
        <v>42000</v>
      </c>
      <c r="P1176" s="2">
        <v>462000</v>
      </c>
      <c r="Q1176" s="2">
        <f>P1176*12%</f>
        <v>55440</v>
      </c>
    </row>
    <row r="1177" spans="1:17" hidden="1" x14ac:dyDescent="0.4">
      <c r="A1177" s="4" t="s">
        <v>23</v>
      </c>
      <c r="B1177" s="4" t="s">
        <v>14</v>
      </c>
      <c r="C1177" s="31" t="s">
        <v>435</v>
      </c>
      <c r="D1177" s="4" t="s">
        <v>24</v>
      </c>
      <c r="E1177" s="4" t="s">
        <v>16</v>
      </c>
      <c r="F1177" s="4" t="s">
        <v>17</v>
      </c>
      <c r="G1177" s="4" t="s">
        <v>18</v>
      </c>
      <c r="H1177" s="4" t="s">
        <v>181</v>
      </c>
      <c r="I1177" s="5" t="str">
        <f t="shared" si="18"/>
        <v>2025-05</v>
      </c>
      <c r="J1177" s="4" t="s">
        <v>50</v>
      </c>
      <c r="K1177" s="5" t="s">
        <v>343</v>
      </c>
      <c r="L1177" s="2">
        <v>54000</v>
      </c>
      <c r="M1177" s="3">
        <v>5</v>
      </c>
      <c r="N1177" s="2">
        <v>270000</v>
      </c>
      <c r="O1177" s="2">
        <v>27000</v>
      </c>
      <c r="P1177" s="2">
        <v>297000</v>
      </c>
      <c r="Q1177" s="2">
        <f>P1177*12%</f>
        <v>35640</v>
      </c>
    </row>
    <row r="1178" spans="1:17" hidden="1" x14ac:dyDescent="0.4">
      <c r="A1178" s="4" t="s">
        <v>23</v>
      </c>
      <c r="B1178" s="4" t="s">
        <v>14</v>
      </c>
      <c r="C1178" s="31" t="s">
        <v>435</v>
      </c>
      <c r="D1178" s="4" t="s">
        <v>24</v>
      </c>
      <c r="E1178" s="4" t="s">
        <v>16</v>
      </c>
      <c r="F1178" s="4" t="s">
        <v>17</v>
      </c>
      <c r="G1178" s="4" t="s">
        <v>18</v>
      </c>
      <c r="H1178" s="4" t="s">
        <v>181</v>
      </c>
      <c r="I1178" s="5" t="str">
        <f t="shared" si="18"/>
        <v>2025-05</v>
      </c>
      <c r="J1178" s="4" t="s">
        <v>159</v>
      </c>
      <c r="K1178" s="5" t="s">
        <v>342</v>
      </c>
      <c r="L1178" s="2">
        <v>54000</v>
      </c>
      <c r="M1178" s="3">
        <v>3</v>
      </c>
      <c r="N1178" s="2">
        <v>162000</v>
      </c>
      <c r="O1178" s="2">
        <v>16200</v>
      </c>
      <c r="P1178" s="2">
        <v>178200</v>
      </c>
      <c r="Q1178" s="2">
        <f>P1178*8.5%</f>
        <v>15147.000000000002</v>
      </c>
    </row>
    <row r="1179" spans="1:17" x14ac:dyDescent="0.4">
      <c r="A1179" s="4" t="s">
        <v>58</v>
      </c>
      <c r="B1179" s="4" t="s">
        <v>14</v>
      </c>
      <c r="C1179" s="30" t="s">
        <v>434</v>
      </c>
      <c r="D1179" s="4" t="s">
        <v>36</v>
      </c>
      <c r="E1179" s="4" t="s">
        <v>16</v>
      </c>
      <c r="F1179" s="4" t="s">
        <v>17</v>
      </c>
      <c r="G1179" s="4" t="s">
        <v>18</v>
      </c>
      <c r="H1179" s="4" t="s">
        <v>182</v>
      </c>
      <c r="I1179" s="5" t="str">
        <f t="shared" si="18"/>
        <v>2025-05</v>
      </c>
      <c r="J1179" s="4" t="s">
        <v>20</v>
      </c>
      <c r="K1179" s="5" t="s">
        <v>342</v>
      </c>
      <c r="L1179" s="2">
        <v>120880</v>
      </c>
      <c r="M1179" s="3">
        <v>1</v>
      </c>
      <c r="N1179" s="2">
        <v>120880</v>
      </c>
      <c r="O1179" s="2">
        <v>12088</v>
      </c>
      <c r="P1179" s="2">
        <v>132968</v>
      </c>
      <c r="Q1179" s="2">
        <f>P1179*8.5%</f>
        <v>11302.28</v>
      </c>
    </row>
    <row r="1180" spans="1:17" x14ac:dyDescent="0.4">
      <c r="A1180" s="4" t="s">
        <v>13</v>
      </c>
      <c r="B1180" s="4" t="s">
        <v>14</v>
      </c>
      <c r="C1180" s="30" t="s">
        <v>434</v>
      </c>
      <c r="D1180" s="4" t="s">
        <v>15</v>
      </c>
      <c r="E1180" s="4" t="s">
        <v>16</v>
      </c>
      <c r="F1180" s="4" t="s">
        <v>17</v>
      </c>
      <c r="G1180" s="4" t="s">
        <v>18</v>
      </c>
      <c r="H1180" s="4" t="s">
        <v>182</v>
      </c>
      <c r="I1180" s="5" t="str">
        <f t="shared" si="18"/>
        <v>2025-05</v>
      </c>
      <c r="J1180" s="4" t="s">
        <v>20</v>
      </c>
      <c r="K1180" s="5" t="s">
        <v>342</v>
      </c>
      <c r="L1180" s="2">
        <v>42000</v>
      </c>
      <c r="M1180" s="3">
        <v>2</v>
      </c>
      <c r="N1180" s="2">
        <v>84000</v>
      </c>
      <c r="O1180" s="2">
        <v>8400</v>
      </c>
      <c r="P1180" s="2">
        <v>92400</v>
      </c>
      <c r="Q1180" s="2">
        <f>P1180*8.5%</f>
        <v>7854.0000000000009</v>
      </c>
    </row>
    <row r="1181" spans="1:17" x14ac:dyDescent="0.4">
      <c r="A1181" s="4" t="s">
        <v>21</v>
      </c>
      <c r="B1181" s="4" t="s">
        <v>14</v>
      </c>
      <c r="C1181" s="31" t="s">
        <v>435</v>
      </c>
      <c r="D1181" s="4" t="s">
        <v>22</v>
      </c>
      <c r="E1181" s="4" t="s">
        <v>16</v>
      </c>
      <c r="F1181" s="4" t="s">
        <v>17</v>
      </c>
      <c r="G1181" s="4" t="s">
        <v>18</v>
      </c>
      <c r="H1181" s="4" t="s">
        <v>182</v>
      </c>
      <c r="I1181" s="5" t="str">
        <f t="shared" si="18"/>
        <v>2025-05</v>
      </c>
      <c r="J1181" s="4" t="s">
        <v>20</v>
      </c>
      <c r="K1181" s="5" t="s">
        <v>342</v>
      </c>
      <c r="L1181" s="2">
        <v>54000</v>
      </c>
      <c r="M1181" s="3">
        <v>1</v>
      </c>
      <c r="N1181" s="2">
        <v>54000</v>
      </c>
      <c r="O1181" s="2">
        <v>5400</v>
      </c>
      <c r="P1181" s="2">
        <v>59400</v>
      </c>
      <c r="Q1181" s="2">
        <f>P1181*8.5%</f>
        <v>5049</v>
      </c>
    </row>
    <row r="1182" spans="1:17" x14ac:dyDescent="0.4">
      <c r="A1182" s="4" t="s">
        <v>23</v>
      </c>
      <c r="B1182" s="4" t="s">
        <v>14</v>
      </c>
      <c r="C1182" s="31" t="s">
        <v>435</v>
      </c>
      <c r="D1182" s="4" t="s">
        <v>24</v>
      </c>
      <c r="E1182" s="4" t="s">
        <v>16</v>
      </c>
      <c r="F1182" s="4" t="s">
        <v>17</v>
      </c>
      <c r="G1182" s="4" t="s">
        <v>18</v>
      </c>
      <c r="H1182" s="4" t="s">
        <v>182</v>
      </c>
      <c r="I1182" s="5" t="str">
        <f t="shared" si="18"/>
        <v>2025-05</v>
      </c>
      <c r="J1182" s="4" t="s">
        <v>20</v>
      </c>
      <c r="K1182" s="5" t="s">
        <v>342</v>
      </c>
      <c r="L1182" s="2">
        <v>54000</v>
      </c>
      <c r="M1182" s="3">
        <v>3</v>
      </c>
      <c r="N1182" s="2">
        <v>162000</v>
      </c>
      <c r="O1182" s="2">
        <v>16200</v>
      </c>
      <c r="P1182" s="2">
        <v>178200</v>
      </c>
      <c r="Q1182" s="2">
        <f>P1182*8.5%</f>
        <v>15147.000000000002</v>
      </c>
    </row>
    <row r="1183" spans="1:17" x14ac:dyDescent="0.4">
      <c r="A1183" s="4" t="s">
        <v>54</v>
      </c>
      <c r="B1183" s="4" t="s">
        <v>26</v>
      </c>
      <c r="C1183" s="32" t="s">
        <v>436</v>
      </c>
      <c r="D1183" s="4" t="s">
        <v>55</v>
      </c>
      <c r="E1183" s="4" t="s">
        <v>28</v>
      </c>
      <c r="F1183" s="4" t="s">
        <v>31</v>
      </c>
      <c r="G1183" s="4" t="s">
        <v>18</v>
      </c>
      <c r="H1183" s="4" t="s">
        <v>182</v>
      </c>
      <c r="I1183" s="5" t="str">
        <f t="shared" si="18"/>
        <v>2025-05</v>
      </c>
      <c r="J1183" s="4" t="s">
        <v>20</v>
      </c>
      <c r="K1183" s="5" t="s">
        <v>342</v>
      </c>
      <c r="L1183" s="2">
        <v>5261</v>
      </c>
      <c r="M1183" s="3">
        <v>1</v>
      </c>
      <c r="N1183" s="2">
        <v>5261</v>
      </c>
      <c r="O1183" s="2">
        <v>0</v>
      </c>
      <c r="P1183" s="2">
        <v>5261</v>
      </c>
      <c r="Q1183" s="2">
        <f>P1183*8.5%</f>
        <v>447.18500000000006</v>
      </c>
    </row>
    <row r="1184" spans="1:17" x14ac:dyDescent="0.4">
      <c r="A1184" s="4" t="s">
        <v>29</v>
      </c>
      <c r="B1184" s="4" t="s">
        <v>26</v>
      </c>
      <c r="C1184" s="32" t="s">
        <v>436</v>
      </c>
      <c r="D1184" s="4" t="s">
        <v>30</v>
      </c>
      <c r="E1184" s="4" t="s">
        <v>28</v>
      </c>
      <c r="F1184" s="4" t="s">
        <v>31</v>
      </c>
      <c r="G1184" s="4" t="s">
        <v>18</v>
      </c>
      <c r="H1184" s="4" t="s">
        <v>182</v>
      </c>
      <c r="I1184" s="5" t="str">
        <f t="shared" si="18"/>
        <v>2025-05</v>
      </c>
      <c r="J1184" s="4" t="s">
        <v>20</v>
      </c>
      <c r="K1184" s="5" t="s">
        <v>342</v>
      </c>
      <c r="L1184" s="2">
        <v>3719</v>
      </c>
      <c r="M1184" s="3">
        <v>1</v>
      </c>
      <c r="N1184" s="2">
        <v>3719</v>
      </c>
      <c r="O1184" s="2">
        <v>0</v>
      </c>
      <c r="P1184" s="2">
        <v>3719</v>
      </c>
      <c r="Q1184" s="2">
        <f>P1184*8.5%</f>
        <v>316.11500000000001</v>
      </c>
    </row>
    <row r="1185" spans="1:17" x14ac:dyDescent="0.4">
      <c r="A1185" s="4" t="s">
        <v>56</v>
      </c>
      <c r="B1185" s="4" t="s">
        <v>26</v>
      </c>
      <c r="C1185" s="32" t="s">
        <v>436</v>
      </c>
      <c r="D1185" s="4" t="s">
        <v>57</v>
      </c>
      <c r="E1185" s="4" t="s">
        <v>44</v>
      </c>
      <c r="F1185" s="4" t="s">
        <v>31</v>
      </c>
      <c r="G1185" s="4" t="s">
        <v>18</v>
      </c>
      <c r="H1185" s="4" t="s">
        <v>182</v>
      </c>
      <c r="I1185" s="5" t="str">
        <f t="shared" si="18"/>
        <v>2025-05</v>
      </c>
      <c r="J1185" s="4" t="s">
        <v>20</v>
      </c>
      <c r="K1185" s="5" t="s">
        <v>342</v>
      </c>
      <c r="L1185" s="2">
        <v>2427</v>
      </c>
      <c r="M1185" s="3">
        <v>27</v>
      </c>
      <c r="N1185" s="2">
        <v>65529</v>
      </c>
      <c r="O1185" s="2">
        <v>0</v>
      </c>
      <c r="P1185" s="2">
        <v>65529</v>
      </c>
      <c r="Q1185" s="2">
        <f>P1185*8.5%</f>
        <v>5569.9650000000001</v>
      </c>
    </row>
    <row r="1186" spans="1:17" hidden="1" x14ac:dyDescent="0.4">
      <c r="A1186" s="4" t="s">
        <v>32</v>
      </c>
      <c r="B1186" s="4" t="s">
        <v>14</v>
      </c>
      <c r="C1186" s="31" t="s">
        <v>435</v>
      </c>
      <c r="D1186" s="4" t="s">
        <v>33</v>
      </c>
      <c r="E1186" s="4" t="s">
        <v>16</v>
      </c>
      <c r="F1186" s="4" t="s">
        <v>17</v>
      </c>
      <c r="G1186" s="4" t="s">
        <v>18</v>
      </c>
      <c r="H1186" s="4" t="s">
        <v>182</v>
      </c>
      <c r="I1186" s="5" t="str">
        <f t="shared" si="18"/>
        <v>2025-05</v>
      </c>
      <c r="J1186" s="4" t="s">
        <v>118</v>
      </c>
      <c r="K1186" s="5" t="s">
        <v>342</v>
      </c>
      <c r="L1186" s="2">
        <v>44000</v>
      </c>
      <c r="M1186" s="3">
        <v>1</v>
      </c>
      <c r="N1186" s="2">
        <v>44000</v>
      </c>
      <c r="O1186" s="2">
        <v>4400</v>
      </c>
      <c r="P1186" s="2">
        <v>48400</v>
      </c>
      <c r="Q1186" s="2">
        <f>P1186*8.5%</f>
        <v>4114</v>
      </c>
    </row>
    <row r="1187" spans="1:17" hidden="1" x14ac:dyDescent="0.4">
      <c r="A1187" s="4" t="s">
        <v>13</v>
      </c>
      <c r="B1187" s="4" t="s">
        <v>14</v>
      </c>
      <c r="C1187" s="30" t="s">
        <v>434</v>
      </c>
      <c r="D1187" s="4" t="s">
        <v>15</v>
      </c>
      <c r="E1187" s="4" t="s">
        <v>16</v>
      </c>
      <c r="F1187" s="4" t="s">
        <v>17</v>
      </c>
      <c r="G1187" s="4" t="s">
        <v>18</v>
      </c>
      <c r="H1187" s="4" t="s">
        <v>182</v>
      </c>
      <c r="I1187" s="5" t="str">
        <f t="shared" si="18"/>
        <v>2025-05</v>
      </c>
      <c r="J1187" s="4" t="s">
        <v>118</v>
      </c>
      <c r="K1187" s="5" t="s">
        <v>342</v>
      </c>
      <c r="L1187" s="2">
        <v>42000</v>
      </c>
      <c r="M1187" s="3">
        <v>2</v>
      </c>
      <c r="N1187" s="2">
        <v>84000</v>
      </c>
      <c r="O1187" s="2">
        <v>8400</v>
      </c>
      <c r="P1187" s="2">
        <v>92400</v>
      </c>
      <c r="Q1187" s="2">
        <f>P1187*8.5%</f>
        <v>7854.0000000000009</v>
      </c>
    </row>
    <row r="1188" spans="1:17" hidden="1" x14ac:dyDescent="0.4">
      <c r="A1188" s="4" t="s">
        <v>51</v>
      </c>
      <c r="B1188" s="4" t="s">
        <v>14</v>
      </c>
      <c r="C1188" s="30" t="s">
        <v>434</v>
      </c>
      <c r="D1188" s="4" t="s">
        <v>52</v>
      </c>
      <c r="E1188" s="4" t="s">
        <v>16</v>
      </c>
      <c r="F1188" s="4" t="s">
        <v>17</v>
      </c>
      <c r="G1188" s="4" t="s">
        <v>18</v>
      </c>
      <c r="H1188" s="4" t="s">
        <v>182</v>
      </c>
      <c r="I1188" s="5" t="str">
        <f t="shared" si="18"/>
        <v>2025-05</v>
      </c>
      <c r="J1188" s="4" t="s">
        <v>118</v>
      </c>
      <c r="K1188" s="5" t="s">
        <v>342</v>
      </c>
      <c r="L1188" s="2">
        <v>71250</v>
      </c>
      <c r="M1188" s="3">
        <v>1</v>
      </c>
      <c r="N1188" s="2">
        <v>71250</v>
      </c>
      <c r="O1188" s="2">
        <v>7125</v>
      </c>
      <c r="P1188" s="2">
        <v>78375</v>
      </c>
      <c r="Q1188" s="2">
        <f>P1188*8.5%</f>
        <v>6661.8750000000009</v>
      </c>
    </row>
    <row r="1189" spans="1:17" hidden="1" x14ac:dyDescent="0.4">
      <c r="A1189" s="4" t="s">
        <v>64</v>
      </c>
      <c r="B1189" s="4" t="s">
        <v>65</v>
      </c>
      <c r="C1189" s="32" t="s">
        <v>436</v>
      </c>
      <c r="D1189" s="4" t="s">
        <v>66</v>
      </c>
      <c r="E1189" s="4" t="s">
        <v>16</v>
      </c>
      <c r="F1189" s="4" t="s">
        <v>17</v>
      </c>
      <c r="G1189" s="4" t="s">
        <v>18</v>
      </c>
      <c r="H1189" s="4" t="s">
        <v>182</v>
      </c>
      <c r="I1189" s="5" t="str">
        <f t="shared" si="18"/>
        <v>2025-05</v>
      </c>
      <c r="J1189" s="4" t="s">
        <v>34</v>
      </c>
      <c r="K1189" s="5" t="s">
        <v>342</v>
      </c>
      <c r="L1189" s="2">
        <v>10283</v>
      </c>
      <c r="M1189" s="3">
        <v>1</v>
      </c>
      <c r="N1189" s="2">
        <v>10283</v>
      </c>
      <c r="O1189" s="2">
        <v>1028</v>
      </c>
      <c r="P1189" s="2">
        <v>11311</v>
      </c>
      <c r="Q1189" s="2">
        <f>P1189*8.5%</f>
        <v>961.43500000000006</v>
      </c>
    </row>
    <row r="1190" spans="1:17" hidden="1" x14ac:dyDescent="0.4">
      <c r="A1190" s="4" t="s">
        <v>32</v>
      </c>
      <c r="B1190" s="4" t="s">
        <v>14</v>
      </c>
      <c r="C1190" s="31" t="s">
        <v>435</v>
      </c>
      <c r="D1190" s="4" t="s">
        <v>33</v>
      </c>
      <c r="E1190" s="4" t="s">
        <v>16</v>
      </c>
      <c r="F1190" s="4" t="s">
        <v>17</v>
      </c>
      <c r="G1190" s="4" t="s">
        <v>18</v>
      </c>
      <c r="H1190" s="4" t="s">
        <v>182</v>
      </c>
      <c r="I1190" s="5" t="str">
        <f t="shared" si="18"/>
        <v>2025-05</v>
      </c>
      <c r="J1190" s="4" t="s">
        <v>34</v>
      </c>
      <c r="K1190" s="5" t="s">
        <v>342</v>
      </c>
      <c r="L1190" s="2">
        <v>44000</v>
      </c>
      <c r="M1190" s="3">
        <v>2</v>
      </c>
      <c r="N1190" s="2">
        <v>88000</v>
      </c>
      <c r="O1190" s="2">
        <v>8800</v>
      </c>
      <c r="P1190" s="2">
        <v>96800</v>
      </c>
      <c r="Q1190" s="2">
        <f>P1190*8.5%</f>
        <v>8228</v>
      </c>
    </row>
    <row r="1191" spans="1:17" hidden="1" x14ac:dyDescent="0.4">
      <c r="A1191" s="4" t="s">
        <v>58</v>
      </c>
      <c r="B1191" s="4" t="s">
        <v>14</v>
      </c>
      <c r="C1191" s="30" t="s">
        <v>434</v>
      </c>
      <c r="D1191" s="4" t="s">
        <v>36</v>
      </c>
      <c r="E1191" s="4" t="s">
        <v>16</v>
      </c>
      <c r="F1191" s="4" t="s">
        <v>17</v>
      </c>
      <c r="G1191" s="4" t="s">
        <v>18</v>
      </c>
      <c r="H1191" s="4" t="s">
        <v>182</v>
      </c>
      <c r="I1191" s="5" t="str">
        <f t="shared" si="18"/>
        <v>2025-05</v>
      </c>
      <c r="J1191" s="4" t="s">
        <v>34</v>
      </c>
      <c r="K1191" s="5" t="s">
        <v>342</v>
      </c>
      <c r="L1191" s="2">
        <v>120880</v>
      </c>
      <c r="M1191" s="3">
        <v>1</v>
      </c>
      <c r="N1191" s="2">
        <v>120880</v>
      </c>
      <c r="O1191" s="2">
        <v>12088</v>
      </c>
      <c r="P1191" s="2">
        <v>132968</v>
      </c>
      <c r="Q1191" s="2">
        <f>P1191*8.5%</f>
        <v>11302.28</v>
      </c>
    </row>
    <row r="1192" spans="1:17" hidden="1" x14ac:dyDescent="0.4">
      <c r="A1192" s="4" t="s">
        <v>13</v>
      </c>
      <c r="B1192" s="4" t="s">
        <v>14</v>
      </c>
      <c r="C1192" s="30" t="s">
        <v>434</v>
      </c>
      <c r="D1192" s="4" t="s">
        <v>15</v>
      </c>
      <c r="E1192" s="4" t="s">
        <v>16</v>
      </c>
      <c r="F1192" s="4" t="s">
        <v>17</v>
      </c>
      <c r="G1192" s="4" t="s">
        <v>18</v>
      </c>
      <c r="H1192" s="4" t="s">
        <v>182</v>
      </c>
      <c r="I1192" s="5" t="str">
        <f t="shared" si="18"/>
        <v>2025-05</v>
      </c>
      <c r="J1192" s="4" t="s">
        <v>34</v>
      </c>
      <c r="K1192" s="5" t="s">
        <v>342</v>
      </c>
      <c r="L1192" s="2">
        <v>42000</v>
      </c>
      <c r="M1192" s="3">
        <v>8</v>
      </c>
      <c r="N1192" s="2">
        <v>336000</v>
      </c>
      <c r="O1192" s="2">
        <v>33600</v>
      </c>
      <c r="P1192" s="2">
        <v>369600</v>
      </c>
      <c r="Q1192" s="2">
        <f>P1192*8.5%</f>
        <v>31416.000000000004</v>
      </c>
    </row>
    <row r="1193" spans="1:17" hidden="1" x14ac:dyDescent="0.4">
      <c r="A1193" s="4" t="s">
        <v>21</v>
      </c>
      <c r="B1193" s="4" t="s">
        <v>14</v>
      </c>
      <c r="C1193" s="31" t="s">
        <v>435</v>
      </c>
      <c r="D1193" s="4" t="s">
        <v>22</v>
      </c>
      <c r="E1193" s="4" t="s">
        <v>16</v>
      </c>
      <c r="F1193" s="4" t="s">
        <v>17</v>
      </c>
      <c r="G1193" s="4" t="s">
        <v>18</v>
      </c>
      <c r="H1193" s="4" t="s">
        <v>182</v>
      </c>
      <c r="I1193" s="5" t="str">
        <f t="shared" si="18"/>
        <v>2025-05</v>
      </c>
      <c r="J1193" s="4" t="s">
        <v>34</v>
      </c>
      <c r="K1193" s="5" t="s">
        <v>342</v>
      </c>
      <c r="L1193" s="2">
        <v>54000</v>
      </c>
      <c r="M1193" s="3">
        <v>1</v>
      </c>
      <c r="N1193" s="2">
        <v>54000</v>
      </c>
      <c r="O1193" s="2">
        <v>5400</v>
      </c>
      <c r="P1193" s="2">
        <v>59400</v>
      </c>
      <c r="Q1193" s="2">
        <f>P1193*8.5%</f>
        <v>5049</v>
      </c>
    </row>
    <row r="1194" spans="1:17" hidden="1" x14ac:dyDescent="0.4">
      <c r="A1194" s="4" t="s">
        <v>23</v>
      </c>
      <c r="B1194" s="4" t="s">
        <v>14</v>
      </c>
      <c r="C1194" s="31" t="s">
        <v>435</v>
      </c>
      <c r="D1194" s="4" t="s">
        <v>24</v>
      </c>
      <c r="E1194" s="4" t="s">
        <v>16</v>
      </c>
      <c r="F1194" s="4" t="s">
        <v>17</v>
      </c>
      <c r="G1194" s="4" t="s">
        <v>18</v>
      </c>
      <c r="H1194" s="4" t="s">
        <v>182</v>
      </c>
      <c r="I1194" s="5" t="str">
        <f t="shared" si="18"/>
        <v>2025-05</v>
      </c>
      <c r="J1194" s="4" t="s">
        <v>34</v>
      </c>
      <c r="K1194" s="5" t="s">
        <v>342</v>
      </c>
      <c r="L1194" s="2">
        <v>54000</v>
      </c>
      <c r="M1194" s="3">
        <v>2</v>
      </c>
      <c r="N1194" s="2">
        <v>108000</v>
      </c>
      <c r="O1194" s="2">
        <v>10800</v>
      </c>
      <c r="P1194" s="2">
        <v>118800</v>
      </c>
      <c r="Q1194" s="2">
        <f>P1194*8.5%</f>
        <v>10098</v>
      </c>
    </row>
    <row r="1195" spans="1:17" hidden="1" x14ac:dyDescent="0.4">
      <c r="A1195" s="4" t="s">
        <v>51</v>
      </c>
      <c r="B1195" s="4" t="s">
        <v>14</v>
      </c>
      <c r="C1195" s="30" t="s">
        <v>434</v>
      </c>
      <c r="D1195" s="4" t="s">
        <v>52</v>
      </c>
      <c r="E1195" s="4" t="s">
        <v>16</v>
      </c>
      <c r="F1195" s="4" t="s">
        <v>17</v>
      </c>
      <c r="G1195" s="4" t="s">
        <v>18</v>
      </c>
      <c r="H1195" s="4" t="s">
        <v>182</v>
      </c>
      <c r="I1195" s="5" t="str">
        <f t="shared" si="18"/>
        <v>2025-05</v>
      </c>
      <c r="J1195" s="4" t="s">
        <v>34</v>
      </c>
      <c r="K1195" s="5" t="s">
        <v>342</v>
      </c>
      <c r="L1195" s="2">
        <v>71250</v>
      </c>
      <c r="M1195" s="3">
        <v>1</v>
      </c>
      <c r="N1195" s="2">
        <v>71250</v>
      </c>
      <c r="O1195" s="2">
        <v>7125</v>
      </c>
      <c r="P1195" s="2">
        <v>78375</v>
      </c>
      <c r="Q1195" s="2">
        <f>P1195*8.5%</f>
        <v>6661.8750000000009</v>
      </c>
    </row>
    <row r="1196" spans="1:17" hidden="1" x14ac:dyDescent="0.4">
      <c r="A1196" s="4" t="s">
        <v>42</v>
      </c>
      <c r="B1196" s="4" t="s">
        <v>14</v>
      </c>
      <c r="C1196" s="30" t="s">
        <v>434</v>
      </c>
      <c r="D1196" s="4" t="s">
        <v>43</v>
      </c>
      <c r="E1196" s="4" t="s">
        <v>44</v>
      </c>
      <c r="F1196" s="4" t="s">
        <v>31</v>
      </c>
      <c r="G1196" s="4" t="s">
        <v>18</v>
      </c>
      <c r="H1196" s="4" t="s">
        <v>182</v>
      </c>
      <c r="I1196" s="5" t="str">
        <f t="shared" si="18"/>
        <v>2025-05</v>
      </c>
      <c r="J1196" s="4" t="s">
        <v>34</v>
      </c>
      <c r="K1196" s="5" t="s">
        <v>342</v>
      </c>
      <c r="L1196" s="2">
        <v>6800</v>
      </c>
      <c r="M1196" s="3">
        <v>58.9</v>
      </c>
      <c r="N1196" s="2">
        <v>400520</v>
      </c>
      <c r="O1196" s="2">
        <v>0</v>
      </c>
      <c r="P1196" s="2">
        <v>400520</v>
      </c>
      <c r="Q1196" s="2">
        <f>P1196*8.5%</f>
        <v>34044.200000000004</v>
      </c>
    </row>
    <row r="1197" spans="1:17" hidden="1" x14ac:dyDescent="0.4">
      <c r="A1197" s="4" t="s">
        <v>32</v>
      </c>
      <c r="B1197" s="4" t="s">
        <v>14</v>
      </c>
      <c r="C1197" s="31" t="s">
        <v>435</v>
      </c>
      <c r="D1197" s="4" t="s">
        <v>33</v>
      </c>
      <c r="E1197" s="4" t="s">
        <v>16</v>
      </c>
      <c r="F1197" s="4" t="s">
        <v>17</v>
      </c>
      <c r="G1197" s="4" t="s">
        <v>18</v>
      </c>
      <c r="H1197" s="4" t="s">
        <v>182</v>
      </c>
      <c r="I1197" s="5" t="str">
        <f t="shared" si="18"/>
        <v>2025-05</v>
      </c>
      <c r="J1197" s="4" t="s">
        <v>49</v>
      </c>
      <c r="K1197" s="5" t="s">
        <v>343</v>
      </c>
      <c r="L1197" s="2">
        <v>44000</v>
      </c>
      <c r="M1197" s="3">
        <v>3</v>
      </c>
      <c r="N1197" s="2">
        <v>132000</v>
      </c>
      <c r="O1197" s="2">
        <v>13200</v>
      </c>
      <c r="P1197" s="2">
        <v>145200</v>
      </c>
      <c r="Q1197" s="2">
        <f>P1197*12%</f>
        <v>17424</v>
      </c>
    </row>
    <row r="1198" spans="1:17" hidden="1" x14ac:dyDescent="0.4">
      <c r="A1198" s="4" t="s">
        <v>13</v>
      </c>
      <c r="B1198" s="4" t="s">
        <v>14</v>
      </c>
      <c r="C1198" s="30" t="s">
        <v>434</v>
      </c>
      <c r="D1198" s="4" t="s">
        <v>15</v>
      </c>
      <c r="E1198" s="4" t="s">
        <v>16</v>
      </c>
      <c r="F1198" s="4" t="s">
        <v>17</v>
      </c>
      <c r="G1198" s="4" t="s">
        <v>18</v>
      </c>
      <c r="H1198" s="4" t="s">
        <v>182</v>
      </c>
      <c r="I1198" s="5" t="str">
        <f t="shared" si="18"/>
        <v>2025-05</v>
      </c>
      <c r="J1198" s="4" t="s">
        <v>49</v>
      </c>
      <c r="K1198" s="5" t="s">
        <v>343</v>
      </c>
      <c r="L1198" s="2">
        <v>42000</v>
      </c>
      <c r="M1198" s="3">
        <v>6</v>
      </c>
      <c r="N1198" s="2">
        <v>252000</v>
      </c>
      <c r="O1198" s="2">
        <v>25200</v>
      </c>
      <c r="P1198" s="2">
        <v>277200</v>
      </c>
      <c r="Q1198" s="2">
        <f>P1198*12%</f>
        <v>33264</v>
      </c>
    </row>
    <row r="1199" spans="1:17" hidden="1" x14ac:dyDescent="0.4">
      <c r="A1199" s="4" t="s">
        <v>35</v>
      </c>
      <c r="B1199" s="4" t="s">
        <v>14</v>
      </c>
      <c r="C1199" s="30" t="s">
        <v>434</v>
      </c>
      <c r="D1199" s="4" t="s">
        <v>36</v>
      </c>
      <c r="E1199" s="4" t="s">
        <v>16</v>
      </c>
      <c r="F1199" s="4" t="s">
        <v>17</v>
      </c>
      <c r="G1199" s="4" t="s">
        <v>18</v>
      </c>
      <c r="H1199" s="4" t="s">
        <v>182</v>
      </c>
      <c r="I1199" s="5" t="str">
        <f t="shared" si="18"/>
        <v>2025-05</v>
      </c>
      <c r="J1199" s="4" t="s">
        <v>49</v>
      </c>
      <c r="K1199" s="5" t="s">
        <v>343</v>
      </c>
      <c r="L1199" s="2">
        <v>116220</v>
      </c>
      <c r="M1199" s="3">
        <v>1</v>
      </c>
      <c r="N1199" s="2">
        <v>116220</v>
      </c>
      <c r="O1199" s="2">
        <v>11622</v>
      </c>
      <c r="P1199" s="2">
        <v>127842</v>
      </c>
      <c r="Q1199" s="2">
        <f>P1199*12%</f>
        <v>15341.039999999999</v>
      </c>
    </row>
    <row r="1200" spans="1:17" hidden="1" x14ac:dyDescent="0.4">
      <c r="A1200" s="4" t="s">
        <v>23</v>
      </c>
      <c r="B1200" s="4" t="s">
        <v>14</v>
      </c>
      <c r="C1200" s="31" t="s">
        <v>435</v>
      </c>
      <c r="D1200" s="4" t="s">
        <v>24</v>
      </c>
      <c r="E1200" s="4" t="s">
        <v>16</v>
      </c>
      <c r="F1200" s="4" t="s">
        <v>17</v>
      </c>
      <c r="G1200" s="4" t="s">
        <v>18</v>
      </c>
      <c r="H1200" s="4" t="s">
        <v>182</v>
      </c>
      <c r="I1200" s="5" t="str">
        <f t="shared" si="18"/>
        <v>2025-05</v>
      </c>
      <c r="J1200" s="4" t="s">
        <v>49</v>
      </c>
      <c r="K1200" s="5" t="s">
        <v>343</v>
      </c>
      <c r="L1200" s="2">
        <v>54000</v>
      </c>
      <c r="M1200" s="3">
        <v>4</v>
      </c>
      <c r="N1200" s="2">
        <v>216000</v>
      </c>
      <c r="O1200" s="2">
        <v>21600</v>
      </c>
      <c r="P1200" s="2">
        <v>237600</v>
      </c>
      <c r="Q1200" s="2">
        <f>P1200*12%</f>
        <v>28512</v>
      </c>
    </row>
    <row r="1201" spans="1:17" hidden="1" x14ac:dyDescent="0.4">
      <c r="A1201" s="4" t="s">
        <v>32</v>
      </c>
      <c r="B1201" s="4" t="s">
        <v>14</v>
      </c>
      <c r="C1201" s="31" t="s">
        <v>435</v>
      </c>
      <c r="D1201" s="4" t="s">
        <v>33</v>
      </c>
      <c r="E1201" s="4" t="s">
        <v>16</v>
      </c>
      <c r="F1201" s="4" t="s">
        <v>17</v>
      </c>
      <c r="G1201" s="4" t="s">
        <v>18</v>
      </c>
      <c r="H1201" s="4" t="s">
        <v>182</v>
      </c>
      <c r="I1201" s="5" t="str">
        <f t="shared" si="18"/>
        <v>2025-05</v>
      </c>
      <c r="J1201" s="4" t="s">
        <v>50</v>
      </c>
      <c r="K1201" s="5" t="s">
        <v>343</v>
      </c>
      <c r="L1201" s="2">
        <v>44000</v>
      </c>
      <c r="M1201" s="3">
        <v>1</v>
      </c>
      <c r="N1201" s="2">
        <v>44000</v>
      </c>
      <c r="O1201" s="2">
        <v>4400</v>
      </c>
      <c r="P1201" s="2">
        <v>48400</v>
      </c>
      <c r="Q1201" s="2">
        <f>P1201*12%</f>
        <v>5808</v>
      </c>
    </row>
    <row r="1202" spans="1:17" hidden="1" x14ac:dyDescent="0.4">
      <c r="A1202" s="4" t="s">
        <v>13</v>
      </c>
      <c r="B1202" s="4" t="s">
        <v>14</v>
      </c>
      <c r="C1202" s="30" t="s">
        <v>434</v>
      </c>
      <c r="D1202" s="4" t="s">
        <v>15</v>
      </c>
      <c r="E1202" s="4" t="s">
        <v>16</v>
      </c>
      <c r="F1202" s="4" t="s">
        <v>17</v>
      </c>
      <c r="G1202" s="4" t="s">
        <v>18</v>
      </c>
      <c r="H1202" s="4" t="s">
        <v>182</v>
      </c>
      <c r="I1202" s="5" t="str">
        <f t="shared" si="18"/>
        <v>2025-05</v>
      </c>
      <c r="J1202" s="4" t="s">
        <v>50</v>
      </c>
      <c r="K1202" s="5" t="s">
        <v>343</v>
      </c>
      <c r="L1202" s="2">
        <v>42000</v>
      </c>
      <c r="M1202" s="3">
        <v>5</v>
      </c>
      <c r="N1202" s="2">
        <v>210000</v>
      </c>
      <c r="O1202" s="2">
        <v>21000</v>
      </c>
      <c r="P1202" s="2">
        <v>231000</v>
      </c>
      <c r="Q1202" s="2">
        <f>P1202*12%</f>
        <v>27720</v>
      </c>
    </row>
    <row r="1203" spans="1:17" hidden="1" x14ac:dyDescent="0.4">
      <c r="A1203" s="4" t="s">
        <v>23</v>
      </c>
      <c r="B1203" s="4" t="s">
        <v>14</v>
      </c>
      <c r="C1203" s="31" t="s">
        <v>435</v>
      </c>
      <c r="D1203" s="4" t="s">
        <v>24</v>
      </c>
      <c r="E1203" s="4" t="s">
        <v>16</v>
      </c>
      <c r="F1203" s="4" t="s">
        <v>17</v>
      </c>
      <c r="G1203" s="4" t="s">
        <v>18</v>
      </c>
      <c r="H1203" s="4" t="s">
        <v>182</v>
      </c>
      <c r="I1203" s="5" t="str">
        <f t="shared" si="18"/>
        <v>2025-05</v>
      </c>
      <c r="J1203" s="4" t="s">
        <v>50</v>
      </c>
      <c r="K1203" s="5" t="s">
        <v>343</v>
      </c>
      <c r="L1203" s="2">
        <v>54000</v>
      </c>
      <c r="M1203" s="3">
        <v>3</v>
      </c>
      <c r="N1203" s="2">
        <v>162000</v>
      </c>
      <c r="O1203" s="2">
        <v>16200</v>
      </c>
      <c r="P1203" s="2">
        <v>178200</v>
      </c>
      <c r="Q1203" s="2">
        <f>P1203*12%</f>
        <v>21384</v>
      </c>
    </row>
    <row r="1204" spans="1:17" hidden="1" x14ac:dyDescent="0.4">
      <c r="A1204" s="4" t="s">
        <v>51</v>
      </c>
      <c r="B1204" s="4" t="s">
        <v>14</v>
      </c>
      <c r="C1204" s="30" t="s">
        <v>434</v>
      </c>
      <c r="D1204" s="4" t="s">
        <v>52</v>
      </c>
      <c r="E1204" s="4" t="s">
        <v>16</v>
      </c>
      <c r="F1204" s="4" t="s">
        <v>17</v>
      </c>
      <c r="G1204" s="4" t="s">
        <v>18</v>
      </c>
      <c r="H1204" s="4" t="s">
        <v>182</v>
      </c>
      <c r="I1204" s="5" t="str">
        <f t="shared" si="18"/>
        <v>2025-05</v>
      </c>
      <c r="J1204" s="4" t="s">
        <v>50</v>
      </c>
      <c r="K1204" s="5" t="s">
        <v>343</v>
      </c>
      <c r="L1204" s="2">
        <v>71250</v>
      </c>
      <c r="M1204" s="3">
        <v>2</v>
      </c>
      <c r="N1204" s="2">
        <v>142500</v>
      </c>
      <c r="O1204" s="2">
        <v>14250</v>
      </c>
      <c r="P1204" s="2">
        <v>156750</v>
      </c>
      <c r="Q1204" s="2">
        <f>P1204*12%</f>
        <v>18810</v>
      </c>
    </row>
    <row r="1205" spans="1:17" x14ac:dyDescent="0.4">
      <c r="A1205" s="4" t="s">
        <v>13</v>
      </c>
      <c r="B1205" s="4" t="s">
        <v>14</v>
      </c>
      <c r="C1205" s="30" t="s">
        <v>434</v>
      </c>
      <c r="D1205" s="4" t="s">
        <v>15</v>
      </c>
      <c r="E1205" s="4" t="s">
        <v>16</v>
      </c>
      <c r="F1205" s="4" t="s">
        <v>17</v>
      </c>
      <c r="G1205" s="4" t="s">
        <v>18</v>
      </c>
      <c r="H1205" s="4" t="s">
        <v>183</v>
      </c>
      <c r="I1205" s="5" t="str">
        <f t="shared" si="18"/>
        <v>2025-05</v>
      </c>
      <c r="J1205" s="4" t="s">
        <v>20</v>
      </c>
      <c r="K1205" s="5" t="s">
        <v>342</v>
      </c>
      <c r="L1205" s="2">
        <v>42000</v>
      </c>
      <c r="M1205" s="3">
        <v>2</v>
      </c>
      <c r="N1205" s="2">
        <v>84000</v>
      </c>
      <c r="O1205" s="2">
        <v>8400</v>
      </c>
      <c r="P1205" s="2">
        <v>92400</v>
      </c>
      <c r="Q1205" s="2">
        <f>P1205*8.5%</f>
        <v>7854.0000000000009</v>
      </c>
    </row>
    <row r="1206" spans="1:17" x14ac:dyDescent="0.4">
      <c r="A1206" s="4" t="s">
        <v>21</v>
      </c>
      <c r="B1206" s="4" t="s">
        <v>14</v>
      </c>
      <c r="C1206" s="31" t="s">
        <v>435</v>
      </c>
      <c r="D1206" s="4" t="s">
        <v>22</v>
      </c>
      <c r="E1206" s="4" t="s">
        <v>16</v>
      </c>
      <c r="F1206" s="4" t="s">
        <v>17</v>
      </c>
      <c r="G1206" s="4" t="s">
        <v>18</v>
      </c>
      <c r="H1206" s="4" t="s">
        <v>183</v>
      </c>
      <c r="I1206" s="5" t="str">
        <f t="shared" si="18"/>
        <v>2025-05</v>
      </c>
      <c r="J1206" s="4" t="s">
        <v>20</v>
      </c>
      <c r="K1206" s="5" t="s">
        <v>342</v>
      </c>
      <c r="L1206" s="2">
        <v>54000</v>
      </c>
      <c r="M1206" s="3">
        <v>2</v>
      </c>
      <c r="N1206" s="2">
        <v>108000</v>
      </c>
      <c r="O1206" s="2">
        <v>10800</v>
      </c>
      <c r="P1206" s="2">
        <v>118800</v>
      </c>
      <c r="Q1206" s="2">
        <f>P1206*8.5%</f>
        <v>10098</v>
      </c>
    </row>
    <row r="1207" spans="1:17" x14ac:dyDescent="0.4">
      <c r="A1207" s="4" t="s">
        <v>23</v>
      </c>
      <c r="B1207" s="4" t="s">
        <v>14</v>
      </c>
      <c r="C1207" s="31" t="s">
        <v>435</v>
      </c>
      <c r="D1207" s="4" t="s">
        <v>24</v>
      </c>
      <c r="E1207" s="4" t="s">
        <v>16</v>
      </c>
      <c r="F1207" s="4" t="s">
        <v>17</v>
      </c>
      <c r="G1207" s="4" t="s">
        <v>18</v>
      </c>
      <c r="H1207" s="4" t="s">
        <v>183</v>
      </c>
      <c r="I1207" s="5" t="str">
        <f t="shared" si="18"/>
        <v>2025-05</v>
      </c>
      <c r="J1207" s="4" t="s">
        <v>20</v>
      </c>
      <c r="K1207" s="5" t="s">
        <v>342</v>
      </c>
      <c r="L1207" s="2">
        <v>54000</v>
      </c>
      <c r="M1207" s="3">
        <v>2</v>
      </c>
      <c r="N1207" s="2">
        <v>108000</v>
      </c>
      <c r="O1207" s="2">
        <v>10800</v>
      </c>
      <c r="P1207" s="2">
        <v>118800</v>
      </c>
      <c r="Q1207" s="2">
        <f>P1207*8.5%</f>
        <v>10098</v>
      </c>
    </row>
    <row r="1208" spans="1:17" x14ac:dyDescent="0.4">
      <c r="A1208" s="4" t="s">
        <v>51</v>
      </c>
      <c r="B1208" s="4" t="s">
        <v>14</v>
      </c>
      <c r="C1208" s="30" t="s">
        <v>434</v>
      </c>
      <c r="D1208" s="4" t="s">
        <v>52</v>
      </c>
      <c r="E1208" s="4" t="s">
        <v>16</v>
      </c>
      <c r="F1208" s="4" t="s">
        <v>17</v>
      </c>
      <c r="G1208" s="4" t="s">
        <v>18</v>
      </c>
      <c r="H1208" s="4" t="s">
        <v>183</v>
      </c>
      <c r="I1208" s="5" t="str">
        <f t="shared" si="18"/>
        <v>2025-05</v>
      </c>
      <c r="J1208" s="4" t="s">
        <v>20</v>
      </c>
      <c r="K1208" s="5" t="s">
        <v>342</v>
      </c>
      <c r="L1208" s="2">
        <v>71250</v>
      </c>
      <c r="M1208" s="3">
        <v>1</v>
      </c>
      <c r="N1208" s="2">
        <v>71250</v>
      </c>
      <c r="O1208" s="2">
        <v>7125</v>
      </c>
      <c r="P1208" s="2">
        <v>78375</v>
      </c>
      <c r="Q1208" s="2">
        <f>P1208*8.5%</f>
        <v>6661.8750000000009</v>
      </c>
    </row>
    <row r="1209" spans="1:17" x14ac:dyDescent="0.4">
      <c r="A1209" s="4" t="s">
        <v>100</v>
      </c>
      <c r="B1209" s="4" t="s">
        <v>26</v>
      </c>
      <c r="C1209" s="32" t="s">
        <v>436</v>
      </c>
      <c r="D1209" s="4" t="s">
        <v>101</v>
      </c>
      <c r="E1209" s="4" t="s">
        <v>28</v>
      </c>
      <c r="F1209" s="4" t="s">
        <v>17</v>
      </c>
      <c r="G1209" s="4" t="s">
        <v>18</v>
      </c>
      <c r="H1209" s="4" t="s">
        <v>183</v>
      </c>
      <c r="I1209" s="5" t="str">
        <f t="shared" si="18"/>
        <v>2025-05</v>
      </c>
      <c r="J1209" s="4" t="s">
        <v>20</v>
      </c>
      <c r="K1209" s="5" t="s">
        <v>342</v>
      </c>
      <c r="L1209" s="2">
        <v>5620</v>
      </c>
      <c r="M1209" s="3">
        <v>4</v>
      </c>
      <c r="N1209" s="2">
        <v>22480</v>
      </c>
      <c r="O1209" s="2">
        <v>2248</v>
      </c>
      <c r="P1209" s="2">
        <v>24728</v>
      </c>
      <c r="Q1209" s="2">
        <f>P1209*8.5%</f>
        <v>2101.88</v>
      </c>
    </row>
    <row r="1210" spans="1:17" x14ac:dyDescent="0.4">
      <c r="A1210" s="4" t="s">
        <v>56</v>
      </c>
      <c r="B1210" s="4" t="s">
        <v>26</v>
      </c>
      <c r="C1210" s="32" t="s">
        <v>436</v>
      </c>
      <c r="D1210" s="4" t="s">
        <v>57</v>
      </c>
      <c r="E1210" s="4" t="s">
        <v>44</v>
      </c>
      <c r="F1210" s="4" t="s">
        <v>31</v>
      </c>
      <c r="G1210" s="4" t="s">
        <v>18</v>
      </c>
      <c r="H1210" s="4" t="s">
        <v>183</v>
      </c>
      <c r="I1210" s="5" t="str">
        <f t="shared" si="18"/>
        <v>2025-05</v>
      </c>
      <c r="J1210" s="4" t="s">
        <v>20</v>
      </c>
      <c r="K1210" s="5" t="s">
        <v>342</v>
      </c>
      <c r="L1210" s="2">
        <v>2427</v>
      </c>
      <c r="M1210" s="3">
        <v>27</v>
      </c>
      <c r="N1210" s="2">
        <v>65529</v>
      </c>
      <c r="O1210" s="2">
        <v>0</v>
      </c>
      <c r="P1210" s="2">
        <v>65529</v>
      </c>
      <c r="Q1210" s="2">
        <f>P1210*8.5%</f>
        <v>5569.9650000000001</v>
      </c>
    </row>
    <row r="1211" spans="1:17" hidden="1" x14ac:dyDescent="0.4">
      <c r="A1211" s="4" t="s">
        <v>13</v>
      </c>
      <c r="B1211" s="4" t="s">
        <v>14</v>
      </c>
      <c r="C1211" s="30" t="s">
        <v>434</v>
      </c>
      <c r="D1211" s="4" t="s">
        <v>15</v>
      </c>
      <c r="E1211" s="4" t="s">
        <v>16</v>
      </c>
      <c r="F1211" s="4" t="s">
        <v>17</v>
      </c>
      <c r="G1211" s="4" t="s">
        <v>18</v>
      </c>
      <c r="H1211" s="4" t="s">
        <v>183</v>
      </c>
      <c r="I1211" s="5" t="str">
        <f t="shared" si="18"/>
        <v>2025-05</v>
      </c>
      <c r="J1211" s="4" t="s">
        <v>118</v>
      </c>
      <c r="K1211" s="5" t="s">
        <v>342</v>
      </c>
      <c r="L1211" s="2">
        <v>42000</v>
      </c>
      <c r="M1211" s="3">
        <v>2</v>
      </c>
      <c r="N1211" s="2">
        <v>84000</v>
      </c>
      <c r="O1211" s="2">
        <v>8400</v>
      </c>
      <c r="P1211" s="2">
        <v>92400</v>
      </c>
      <c r="Q1211" s="2">
        <f>P1211*8.5%</f>
        <v>7854.0000000000009</v>
      </c>
    </row>
    <row r="1212" spans="1:17" hidden="1" x14ac:dyDescent="0.4">
      <c r="A1212" s="4" t="s">
        <v>23</v>
      </c>
      <c r="B1212" s="4" t="s">
        <v>14</v>
      </c>
      <c r="C1212" s="31" t="s">
        <v>435</v>
      </c>
      <c r="D1212" s="4" t="s">
        <v>24</v>
      </c>
      <c r="E1212" s="4" t="s">
        <v>16</v>
      </c>
      <c r="F1212" s="4" t="s">
        <v>17</v>
      </c>
      <c r="G1212" s="4" t="s">
        <v>18</v>
      </c>
      <c r="H1212" s="4" t="s">
        <v>183</v>
      </c>
      <c r="I1212" s="5" t="str">
        <f t="shared" si="18"/>
        <v>2025-05</v>
      </c>
      <c r="J1212" s="4" t="s">
        <v>118</v>
      </c>
      <c r="K1212" s="5" t="s">
        <v>342</v>
      </c>
      <c r="L1212" s="2">
        <v>54000</v>
      </c>
      <c r="M1212" s="3">
        <v>3</v>
      </c>
      <c r="N1212" s="2">
        <v>162000</v>
      </c>
      <c r="O1212" s="2">
        <v>16200</v>
      </c>
      <c r="P1212" s="2">
        <v>178200</v>
      </c>
      <c r="Q1212" s="2">
        <f>P1212*8.5%</f>
        <v>15147.000000000002</v>
      </c>
    </row>
    <row r="1213" spans="1:17" hidden="1" x14ac:dyDescent="0.4">
      <c r="A1213" s="4" t="s">
        <v>32</v>
      </c>
      <c r="B1213" s="4" t="s">
        <v>14</v>
      </c>
      <c r="C1213" s="31" t="s">
        <v>435</v>
      </c>
      <c r="D1213" s="4" t="s">
        <v>33</v>
      </c>
      <c r="E1213" s="4" t="s">
        <v>16</v>
      </c>
      <c r="F1213" s="4" t="s">
        <v>17</v>
      </c>
      <c r="G1213" s="4" t="s">
        <v>18</v>
      </c>
      <c r="H1213" s="4" t="s">
        <v>183</v>
      </c>
      <c r="I1213" s="5" t="str">
        <f t="shared" si="18"/>
        <v>2025-05</v>
      </c>
      <c r="J1213" s="4" t="s">
        <v>34</v>
      </c>
      <c r="K1213" s="5" t="s">
        <v>342</v>
      </c>
      <c r="L1213" s="2">
        <v>44000</v>
      </c>
      <c r="M1213" s="3">
        <v>1</v>
      </c>
      <c r="N1213" s="2">
        <v>44000</v>
      </c>
      <c r="O1213" s="2">
        <v>4400</v>
      </c>
      <c r="P1213" s="2">
        <v>48400</v>
      </c>
      <c r="Q1213" s="2">
        <f>P1213*8.5%</f>
        <v>4114</v>
      </c>
    </row>
    <row r="1214" spans="1:17" hidden="1" x14ac:dyDescent="0.4">
      <c r="A1214" s="4" t="s">
        <v>58</v>
      </c>
      <c r="B1214" s="4" t="s">
        <v>14</v>
      </c>
      <c r="C1214" s="30" t="s">
        <v>434</v>
      </c>
      <c r="D1214" s="4" t="s">
        <v>36</v>
      </c>
      <c r="E1214" s="4" t="s">
        <v>16</v>
      </c>
      <c r="F1214" s="4" t="s">
        <v>17</v>
      </c>
      <c r="G1214" s="4" t="s">
        <v>18</v>
      </c>
      <c r="H1214" s="4" t="s">
        <v>183</v>
      </c>
      <c r="I1214" s="5" t="str">
        <f t="shared" si="18"/>
        <v>2025-05</v>
      </c>
      <c r="J1214" s="4" t="s">
        <v>34</v>
      </c>
      <c r="K1214" s="5" t="s">
        <v>342</v>
      </c>
      <c r="L1214" s="2">
        <v>120880</v>
      </c>
      <c r="M1214" s="3">
        <v>1</v>
      </c>
      <c r="N1214" s="2">
        <v>120880</v>
      </c>
      <c r="O1214" s="2">
        <v>12088</v>
      </c>
      <c r="P1214" s="2">
        <v>132968</v>
      </c>
      <c r="Q1214" s="2">
        <f>P1214*8.5%</f>
        <v>11302.28</v>
      </c>
    </row>
    <row r="1215" spans="1:17" hidden="1" x14ac:dyDescent="0.4">
      <c r="A1215" s="4" t="s">
        <v>13</v>
      </c>
      <c r="B1215" s="4" t="s">
        <v>14</v>
      </c>
      <c r="C1215" s="30" t="s">
        <v>434</v>
      </c>
      <c r="D1215" s="4" t="s">
        <v>15</v>
      </c>
      <c r="E1215" s="4" t="s">
        <v>16</v>
      </c>
      <c r="F1215" s="4" t="s">
        <v>17</v>
      </c>
      <c r="G1215" s="4" t="s">
        <v>18</v>
      </c>
      <c r="H1215" s="4" t="s">
        <v>183</v>
      </c>
      <c r="I1215" s="5" t="str">
        <f t="shared" si="18"/>
        <v>2025-05</v>
      </c>
      <c r="J1215" s="4" t="s">
        <v>34</v>
      </c>
      <c r="K1215" s="5" t="s">
        <v>342</v>
      </c>
      <c r="L1215" s="2">
        <v>42000</v>
      </c>
      <c r="M1215" s="3">
        <v>7</v>
      </c>
      <c r="N1215" s="2">
        <v>294000</v>
      </c>
      <c r="O1215" s="2">
        <v>29400</v>
      </c>
      <c r="P1215" s="2">
        <v>323400</v>
      </c>
      <c r="Q1215" s="2">
        <f>P1215*8.5%</f>
        <v>27489.000000000004</v>
      </c>
    </row>
    <row r="1216" spans="1:17" hidden="1" x14ac:dyDescent="0.4">
      <c r="A1216" s="4" t="s">
        <v>21</v>
      </c>
      <c r="B1216" s="4" t="s">
        <v>14</v>
      </c>
      <c r="C1216" s="31" t="s">
        <v>435</v>
      </c>
      <c r="D1216" s="4" t="s">
        <v>22</v>
      </c>
      <c r="E1216" s="4" t="s">
        <v>16</v>
      </c>
      <c r="F1216" s="4" t="s">
        <v>17</v>
      </c>
      <c r="G1216" s="4" t="s">
        <v>18</v>
      </c>
      <c r="H1216" s="4" t="s">
        <v>183</v>
      </c>
      <c r="I1216" s="5" t="str">
        <f t="shared" si="18"/>
        <v>2025-05</v>
      </c>
      <c r="J1216" s="4" t="s">
        <v>34</v>
      </c>
      <c r="K1216" s="5" t="s">
        <v>342</v>
      </c>
      <c r="L1216" s="2">
        <v>54000</v>
      </c>
      <c r="M1216" s="3">
        <v>1</v>
      </c>
      <c r="N1216" s="2">
        <v>54000</v>
      </c>
      <c r="O1216" s="2">
        <v>5400</v>
      </c>
      <c r="P1216" s="2">
        <v>59400</v>
      </c>
      <c r="Q1216" s="2">
        <f>P1216*8.5%</f>
        <v>5049</v>
      </c>
    </row>
    <row r="1217" spans="1:17" hidden="1" x14ac:dyDescent="0.4">
      <c r="A1217" s="4" t="s">
        <v>35</v>
      </c>
      <c r="B1217" s="4" t="s">
        <v>14</v>
      </c>
      <c r="C1217" s="30" t="s">
        <v>434</v>
      </c>
      <c r="D1217" s="4" t="s">
        <v>36</v>
      </c>
      <c r="E1217" s="4" t="s">
        <v>16</v>
      </c>
      <c r="F1217" s="4" t="s">
        <v>17</v>
      </c>
      <c r="G1217" s="4" t="s">
        <v>18</v>
      </c>
      <c r="H1217" s="4" t="s">
        <v>183</v>
      </c>
      <c r="I1217" s="5" t="str">
        <f t="shared" si="18"/>
        <v>2025-05</v>
      </c>
      <c r="J1217" s="4" t="s">
        <v>34</v>
      </c>
      <c r="K1217" s="5" t="s">
        <v>342</v>
      </c>
      <c r="L1217" s="2">
        <v>116220</v>
      </c>
      <c r="M1217" s="3">
        <v>1</v>
      </c>
      <c r="N1217" s="2">
        <v>116220</v>
      </c>
      <c r="O1217" s="2">
        <v>11622</v>
      </c>
      <c r="P1217" s="2">
        <v>127842</v>
      </c>
      <c r="Q1217" s="2">
        <f>P1217*8.5%</f>
        <v>10866.570000000002</v>
      </c>
    </row>
    <row r="1218" spans="1:17" hidden="1" x14ac:dyDescent="0.4">
      <c r="A1218" s="4" t="s">
        <v>23</v>
      </c>
      <c r="B1218" s="4" t="s">
        <v>14</v>
      </c>
      <c r="C1218" s="31" t="s">
        <v>435</v>
      </c>
      <c r="D1218" s="4" t="s">
        <v>24</v>
      </c>
      <c r="E1218" s="4" t="s">
        <v>16</v>
      </c>
      <c r="F1218" s="4" t="s">
        <v>17</v>
      </c>
      <c r="G1218" s="4" t="s">
        <v>18</v>
      </c>
      <c r="H1218" s="4" t="s">
        <v>183</v>
      </c>
      <c r="I1218" s="5" t="str">
        <f t="shared" ref="I1218:I1281" si="19">TEXT(H1218,"yyyy-mm")</f>
        <v>2025-05</v>
      </c>
      <c r="J1218" s="4" t="s">
        <v>34</v>
      </c>
      <c r="K1218" s="5" t="s">
        <v>342</v>
      </c>
      <c r="L1218" s="2">
        <v>54000</v>
      </c>
      <c r="M1218" s="3">
        <v>3</v>
      </c>
      <c r="N1218" s="2">
        <v>162000</v>
      </c>
      <c r="O1218" s="2">
        <v>16200</v>
      </c>
      <c r="P1218" s="2">
        <v>178200</v>
      </c>
      <c r="Q1218" s="2">
        <f>P1218*8.5%</f>
        <v>15147.000000000002</v>
      </c>
    </row>
    <row r="1219" spans="1:17" hidden="1" x14ac:dyDescent="0.4">
      <c r="A1219" s="4" t="s">
        <v>51</v>
      </c>
      <c r="B1219" s="4" t="s">
        <v>14</v>
      </c>
      <c r="C1219" s="30" t="s">
        <v>434</v>
      </c>
      <c r="D1219" s="4" t="s">
        <v>52</v>
      </c>
      <c r="E1219" s="4" t="s">
        <v>16</v>
      </c>
      <c r="F1219" s="4" t="s">
        <v>17</v>
      </c>
      <c r="G1219" s="4" t="s">
        <v>18</v>
      </c>
      <c r="H1219" s="4" t="s">
        <v>183</v>
      </c>
      <c r="I1219" s="5" t="str">
        <f t="shared" si="19"/>
        <v>2025-05</v>
      </c>
      <c r="J1219" s="4" t="s">
        <v>34</v>
      </c>
      <c r="K1219" s="5" t="s">
        <v>342</v>
      </c>
      <c r="L1219" s="2">
        <v>71250</v>
      </c>
      <c r="M1219" s="3">
        <v>1</v>
      </c>
      <c r="N1219" s="2">
        <v>71250</v>
      </c>
      <c r="O1219" s="2">
        <v>7125</v>
      </c>
      <c r="P1219" s="2">
        <v>78375</v>
      </c>
      <c r="Q1219" s="2">
        <f>P1219*8.5%</f>
        <v>6661.8750000000009</v>
      </c>
    </row>
    <row r="1220" spans="1:17" hidden="1" x14ac:dyDescent="0.4">
      <c r="A1220" s="4" t="s">
        <v>37</v>
      </c>
      <c r="B1220" s="4" t="s">
        <v>26</v>
      </c>
      <c r="C1220" s="32" t="s">
        <v>436</v>
      </c>
      <c r="D1220" s="4" t="s">
        <v>38</v>
      </c>
      <c r="E1220" s="4" t="s">
        <v>28</v>
      </c>
      <c r="F1220" s="4" t="s">
        <v>17</v>
      </c>
      <c r="G1220" s="4" t="s">
        <v>18</v>
      </c>
      <c r="H1220" s="4" t="s">
        <v>183</v>
      </c>
      <c r="I1220" s="5" t="str">
        <f t="shared" si="19"/>
        <v>2025-05</v>
      </c>
      <c r="J1220" s="4" t="s">
        <v>34</v>
      </c>
      <c r="K1220" s="5" t="s">
        <v>342</v>
      </c>
      <c r="L1220" s="2">
        <v>395</v>
      </c>
      <c r="M1220" s="3">
        <v>20</v>
      </c>
      <c r="N1220" s="2">
        <v>7900</v>
      </c>
      <c r="O1220" s="2">
        <v>790</v>
      </c>
      <c r="P1220" s="2">
        <v>8690</v>
      </c>
      <c r="Q1220" s="2">
        <f>P1220*8.5%</f>
        <v>738.65000000000009</v>
      </c>
    </row>
    <row r="1221" spans="1:17" hidden="1" x14ac:dyDescent="0.4">
      <c r="A1221" s="4" t="s">
        <v>40</v>
      </c>
      <c r="B1221" s="4" t="s">
        <v>26</v>
      </c>
      <c r="C1221" s="32" t="s">
        <v>436</v>
      </c>
      <c r="D1221" s="4" t="s">
        <v>41</v>
      </c>
      <c r="E1221" s="4" t="s">
        <v>28</v>
      </c>
      <c r="F1221" s="4" t="s">
        <v>17</v>
      </c>
      <c r="G1221" s="4" t="s">
        <v>18</v>
      </c>
      <c r="H1221" s="4" t="s">
        <v>183</v>
      </c>
      <c r="I1221" s="5" t="str">
        <f t="shared" si="19"/>
        <v>2025-05</v>
      </c>
      <c r="J1221" s="4" t="s">
        <v>34</v>
      </c>
      <c r="K1221" s="5" t="s">
        <v>342</v>
      </c>
      <c r="L1221" s="2">
        <v>17936</v>
      </c>
      <c r="M1221" s="3">
        <v>2</v>
      </c>
      <c r="N1221" s="2">
        <v>35872</v>
      </c>
      <c r="O1221" s="2">
        <v>3587</v>
      </c>
      <c r="P1221" s="2">
        <v>39459</v>
      </c>
      <c r="Q1221" s="2">
        <f>P1221*8.5%</f>
        <v>3354.0150000000003</v>
      </c>
    </row>
    <row r="1222" spans="1:17" hidden="1" x14ac:dyDescent="0.4">
      <c r="A1222" s="4" t="s">
        <v>70</v>
      </c>
      <c r="B1222" s="4" t="s">
        <v>26</v>
      </c>
      <c r="C1222" s="32" t="s">
        <v>436</v>
      </c>
      <c r="D1222" s="4" t="s">
        <v>71</v>
      </c>
      <c r="E1222" s="4" t="s">
        <v>28</v>
      </c>
      <c r="F1222" s="4" t="s">
        <v>31</v>
      </c>
      <c r="G1222" s="4" t="s">
        <v>18</v>
      </c>
      <c r="H1222" s="4" t="s">
        <v>183</v>
      </c>
      <c r="I1222" s="5" t="str">
        <f t="shared" si="19"/>
        <v>2025-05</v>
      </c>
      <c r="J1222" s="4" t="s">
        <v>34</v>
      </c>
      <c r="K1222" s="5" t="s">
        <v>342</v>
      </c>
      <c r="L1222" s="2">
        <v>6624</v>
      </c>
      <c r="M1222" s="3">
        <v>2</v>
      </c>
      <c r="N1222" s="2">
        <v>13248</v>
      </c>
      <c r="O1222" s="2">
        <v>0</v>
      </c>
      <c r="P1222" s="2">
        <v>13248</v>
      </c>
      <c r="Q1222" s="2">
        <f>P1222*8.5%</f>
        <v>1126.0800000000002</v>
      </c>
    </row>
    <row r="1223" spans="1:17" hidden="1" x14ac:dyDescent="0.4">
      <c r="A1223" s="4" t="s">
        <v>42</v>
      </c>
      <c r="B1223" s="4" t="s">
        <v>14</v>
      </c>
      <c r="C1223" s="30" t="s">
        <v>434</v>
      </c>
      <c r="D1223" s="4" t="s">
        <v>43</v>
      </c>
      <c r="E1223" s="4" t="s">
        <v>44</v>
      </c>
      <c r="F1223" s="4" t="s">
        <v>31</v>
      </c>
      <c r="G1223" s="4" t="s">
        <v>18</v>
      </c>
      <c r="H1223" s="4" t="s">
        <v>183</v>
      </c>
      <c r="I1223" s="5" t="str">
        <f t="shared" si="19"/>
        <v>2025-05</v>
      </c>
      <c r="J1223" s="4" t="s">
        <v>34</v>
      </c>
      <c r="K1223" s="5" t="s">
        <v>342</v>
      </c>
      <c r="L1223" s="2">
        <v>6800</v>
      </c>
      <c r="M1223" s="3">
        <v>94.6</v>
      </c>
      <c r="N1223" s="2">
        <v>643280</v>
      </c>
      <c r="O1223" s="2">
        <v>0</v>
      </c>
      <c r="P1223" s="2">
        <v>643280</v>
      </c>
      <c r="Q1223" s="2">
        <f>P1223*8.5%</f>
        <v>54678.8</v>
      </c>
    </row>
    <row r="1224" spans="1:17" hidden="1" x14ac:dyDescent="0.4">
      <c r="A1224" s="4" t="s">
        <v>93</v>
      </c>
      <c r="B1224" s="4" t="s">
        <v>26</v>
      </c>
      <c r="C1224" s="32" t="s">
        <v>436</v>
      </c>
      <c r="D1224" s="4" t="s">
        <v>94</v>
      </c>
      <c r="E1224" s="4" t="s">
        <v>47</v>
      </c>
      <c r="F1224" s="4" t="s">
        <v>17</v>
      </c>
      <c r="G1224" s="4" t="s">
        <v>18</v>
      </c>
      <c r="H1224" s="4" t="s">
        <v>183</v>
      </c>
      <c r="I1224" s="5" t="str">
        <f t="shared" si="19"/>
        <v>2025-05</v>
      </c>
      <c r="J1224" s="4" t="s">
        <v>34</v>
      </c>
      <c r="K1224" s="5" t="s">
        <v>342</v>
      </c>
      <c r="L1224" s="2">
        <v>5261</v>
      </c>
      <c r="M1224" s="3">
        <v>2</v>
      </c>
      <c r="N1224" s="2">
        <v>10522</v>
      </c>
      <c r="O1224" s="2">
        <v>1052</v>
      </c>
      <c r="P1224" s="2">
        <v>11574</v>
      </c>
      <c r="Q1224" s="2">
        <f>P1224*8.5%</f>
        <v>983.79000000000008</v>
      </c>
    </row>
    <row r="1225" spans="1:17" hidden="1" x14ac:dyDescent="0.4">
      <c r="A1225" s="4" t="s">
        <v>13</v>
      </c>
      <c r="B1225" s="4" t="s">
        <v>14</v>
      </c>
      <c r="C1225" s="30" t="s">
        <v>434</v>
      </c>
      <c r="D1225" s="4" t="s">
        <v>15</v>
      </c>
      <c r="E1225" s="4" t="s">
        <v>16</v>
      </c>
      <c r="F1225" s="4" t="s">
        <v>17</v>
      </c>
      <c r="G1225" s="4" t="s">
        <v>18</v>
      </c>
      <c r="H1225" s="4" t="s">
        <v>183</v>
      </c>
      <c r="I1225" s="5" t="str">
        <f t="shared" si="19"/>
        <v>2025-05</v>
      </c>
      <c r="J1225" s="4" t="s">
        <v>59</v>
      </c>
      <c r="K1225" s="5" t="s">
        <v>343</v>
      </c>
      <c r="L1225" s="2">
        <v>42000</v>
      </c>
      <c r="M1225" s="3">
        <v>2</v>
      </c>
      <c r="N1225" s="2">
        <v>84000</v>
      </c>
      <c r="O1225" s="2">
        <v>8400</v>
      </c>
      <c r="P1225" s="2">
        <v>92400</v>
      </c>
      <c r="Q1225" s="2">
        <f>P1225*12%</f>
        <v>11088</v>
      </c>
    </row>
    <row r="1226" spans="1:17" hidden="1" x14ac:dyDescent="0.4">
      <c r="A1226" s="4" t="s">
        <v>23</v>
      </c>
      <c r="B1226" s="4" t="s">
        <v>14</v>
      </c>
      <c r="C1226" s="31" t="s">
        <v>435</v>
      </c>
      <c r="D1226" s="4" t="s">
        <v>24</v>
      </c>
      <c r="E1226" s="4" t="s">
        <v>16</v>
      </c>
      <c r="F1226" s="4" t="s">
        <v>17</v>
      </c>
      <c r="G1226" s="4" t="s">
        <v>18</v>
      </c>
      <c r="H1226" s="4" t="s">
        <v>183</v>
      </c>
      <c r="I1226" s="5" t="str">
        <f t="shared" si="19"/>
        <v>2025-05</v>
      </c>
      <c r="J1226" s="4" t="s">
        <v>59</v>
      </c>
      <c r="K1226" s="5" t="s">
        <v>343</v>
      </c>
      <c r="L1226" s="2">
        <v>54000</v>
      </c>
      <c r="M1226" s="3">
        <v>2</v>
      </c>
      <c r="N1226" s="2">
        <v>108000</v>
      </c>
      <c r="O1226" s="2">
        <v>10800</v>
      </c>
      <c r="P1226" s="2">
        <v>118800</v>
      </c>
      <c r="Q1226" s="2">
        <f>P1226*12%</f>
        <v>14256</v>
      </c>
    </row>
    <row r="1227" spans="1:17" hidden="1" x14ac:dyDescent="0.4">
      <c r="A1227" s="4" t="s">
        <v>100</v>
      </c>
      <c r="B1227" s="4" t="s">
        <v>26</v>
      </c>
      <c r="C1227" s="32" t="s">
        <v>436</v>
      </c>
      <c r="D1227" s="4" t="s">
        <v>101</v>
      </c>
      <c r="E1227" s="4" t="s">
        <v>28</v>
      </c>
      <c r="F1227" s="4" t="s">
        <v>17</v>
      </c>
      <c r="G1227" s="4" t="s">
        <v>18</v>
      </c>
      <c r="H1227" s="4" t="s">
        <v>183</v>
      </c>
      <c r="I1227" s="5" t="str">
        <f t="shared" si="19"/>
        <v>2025-05</v>
      </c>
      <c r="J1227" s="4" t="s">
        <v>59</v>
      </c>
      <c r="K1227" s="5" t="s">
        <v>343</v>
      </c>
      <c r="L1227" s="2">
        <v>5620</v>
      </c>
      <c r="M1227" s="3">
        <v>4</v>
      </c>
      <c r="N1227" s="2">
        <v>22480</v>
      </c>
      <c r="O1227" s="2">
        <v>2248</v>
      </c>
      <c r="P1227" s="2">
        <v>24728</v>
      </c>
      <c r="Q1227" s="2">
        <f>P1227*12%</f>
        <v>2967.3599999999997</v>
      </c>
    </row>
    <row r="1228" spans="1:17" hidden="1" x14ac:dyDescent="0.4">
      <c r="A1228" s="4" t="s">
        <v>32</v>
      </c>
      <c r="B1228" s="4" t="s">
        <v>14</v>
      </c>
      <c r="C1228" s="31" t="s">
        <v>435</v>
      </c>
      <c r="D1228" s="4" t="s">
        <v>33</v>
      </c>
      <c r="E1228" s="4" t="s">
        <v>16</v>
      </c>
      <c r="F1228" s="4" t="s">
        <v>17</v>
      </c>
      <c r="G1228" s="4" t="s">
        <v>18</v>
      </c>
      <c r="H1228" s="4" t="s">
        <v>183</v>
      </c>
      <c r="I1228" s="5" t="str">
        <f t="shared" si="19"/>
        <v>2025-05</v>
      </c>
      <c r="J1228" s="4" t="s">
        <v>49</v>
      </c>
      <c r="K1228" s="5" t="s">
        <v>343</v>
      </c>
      <c r="L1228" s="2">
        <v>44000</v>
      </c>
      <c r="M1228" s="3">
        <v>5</v>
      </c>
      <c r="N1228" s="2">
        <v>220000</v>
      </c>
      <c r="O1228" s="2">
        <v>22000</v>
      </c>
      <c r="P1228" s="2">
        <v>242000</v>
      </c>
      <c r="Q1228" s="2">
        <f>P1228*12%</f>
        <v>29040</v>
      </c>
    </row>
    <row r="1229" spans="1:17" hidden="1" x14ac:dyDescent="0.4">
      <c r="A1229" s="4" t="s">
        <v>13</v>
      </c>
      <c r="B1229" s="4" t="s">
        <v>14</v>
      </c>
      <c r="C1229" s="30" t="s">
        <v>434</v>
      </c>
      <c r="D1229" s="4" t="s">
        <v>15</v>
      </c>
      <c r="E1229" s="4" t="s">
        <v>16</v>
      </c>
      <c r="F1229" s="4" t="s">
        <v>17</v>
      </c>
      <c r="G1229" s="4" t="s">
        <v>18</v>
      </c>
      <c r="H1229" s="4" t="s">
        <v>183</v>
      </c>
      <c r="I1229" s="5" t="str">
        <f t="shared" si="19"/>
        <v>2025-05</v>
      </c>
      <c r="J1229" s="4" t="s">
        <v>49</v>
      </c>
      <c r="K1229" s="5" t="s">
        <v>343</v>
      </c>
      <c r="L1229" s="2">
        <v>42000</v>
      </c>
      <c r="M1229" s="3">
        <v>9</v>
      </c>
      <c r="N1229" s="2">
        <v>378000</v>
      </c>
      <c r="O1229" s="2">
        <v>37800</v>
      </c>
      <c r="P1229" s="2">
        <v>415800</v>
      </c>
      <c r="Q1229" s="2">
        <f>P1229*12%</f>
        <v>49896</v>
      </c>
    </row>
    <row r="1230" spans="1:17" hidden="1" x14ac:dyDescent="0.4">
      <c r="A1230" s="4" t="s">
        <v>35</v>
      </c>
      <c r="B1230" s="4" t="s">
        <v>14</v>
      </c>
      <c r="C1230" s="30" t="s">
        <v>434</v>
      </c>
      <c r="D1230" s="4" t="s">
        <v>36</v>
      </c>
      <c r="E1230" s="4" t="s">
        <v>16</v>
      </c>
      <c r="F1230" s="4" t="s">
        <v>17</v>
      </c>
      <c r="G1230" s="4" t="s">
        <v>18</v>
      </c>
      <c r="H1230" s="4" t="s">
        <v>183</v>
      </c>
      <c r="I1230" s="5" t="str">
        <f t="shared" si="19"/>
        <v>2025-05</v>
      </c>
      <c r="J1230" s="4" t="s">
        <v>49</v>
      </c>
      <c r="K1230" s="5" t="s">
        <v>343</v>
      </c>
      <c r="L1230" s="2">
        <v>116220</v>
      </c>
      <c r="M1230" s="3">
        <v>1</v>
      </c>
      <c r="N1230" s="2">
        <v>116220</v>
      </c>
      <c r="O1230" s="2">
        <v>11622</v>
      </c>
      <c r="P1230" s="2">
        <v>127842</v>
      </c>
      <c r="Q1230" s="2">
        <f>P1230*12%</f>
        <v>15341.039999999999</v>
      </c>
    </row>
    <row r="1231" spans="1:17" hidden="1" x14ac:dyDescent="0.4">
      <c r="A1231" s="4" t="s">
        <v>23</v>
      </c>
      <c r="B1231" s="4" t="s">
        <v>14</v>
      </c>
      <c r="C1231" s="31" t="s">
        <v>435</v>
      </c>
      <c r="D1231" s="4" t="s">
        <v>24</v>
      </c>
      <c r="E1231" s="4" t="s">
        <v>16</v>
      </c>
      <c r="F1231" s="4" t="s">
        <v>17</v>
      </c>
      <c r="G1231" s="4" t="s">
        <v>18</v>
      </c>
      <c r="H1231" s="4" t="s">
        <v>183</v>
      </c>
      <c r="I1231" s="5" t="str">
        <f t="shared" si="19"/>
        <v>2025-05</v>
      </c>
      <c r="J1231" s="4" t="s">
        <v>49</v>
      </c>
      <c r="K1231" s="5" t="s">
        <v>343</v>
      </c>
      <c r="L1231" s="2">
        <v>54000</v>
      </c>
      <c r="M1231" s="3">
        <v>5</v>
      </c>
      <c r="N1231" s="2">
        <v>270000</v>
      </c>
      <c r="O1231" s="2">
        <v>27000</v>
      </c>
      <c r="P1231" s="2">
        <v>297000</v>
      </c>
      <c r="Q1231" s="2">
        <f>P1231*12%</f>
        <v>35640</v>
      </c>
    </row>
    <row r="1232" spans="1:17" hidden="1" x14ac:dyDescent="0.4">
      <c r="A1232" s="4" t="s">
        <v>51</v>
      </c>
      <c r="B1232" s="4" t="s">
        <v>14</v>
      </c>
      <c r="C1232" s="30" t="s">
        <v>434</v>
      </c>
      <c r="D1232" s="4" t="s">
        <v>52</v>
      </c>
      <c r="E1232" s="4" t="s">
        <v>16</v>
      </c>
      <c r="F1232" s="4" t="s">
        <v>17</v>
      </c>
      <c r="G1232" s="4" t="s">
        <v>18</v>
      </c>
      <c r="H1232" s="4" t="s">
        <v>183</v>
      </c>
      <c r="I1232" s="5" t="str">
        <f t="shared" si="19"/>
        <v>2025-05</v>
      </c>
      <c r="J1232" s="4" t="s">
        <v>49</v>
      </c>
      <c r="K1232" s="5" t="s">
        <v>343</v>
      </c>
      <c r="L1232" s="2">
        <v>71250</v>
      </c>
      <c r="M1232" s="3">
        <v>1</v>
      </c>
      <c r="N1232" s="2">
        <v>71250</v>
      </c>
      <c r="O1232" s="2">
        <v>7125</v>
      </c>
      <c r="P1232" s="2">
        <v>78375</v>
      </c>
      <c r="Q1232" s="2">
        <f>P1232*12%</f>
        <v>9405</v>
      </c>
    </row>
    <row r="1233" spans="1:17" x14ac:dyDescent="0.4">
      <c r="A1233" s="4" t="s">
        <v>58</v>
      </c>
      <c r="B1233" s="4" t="s">
        <v>14</v>
      </c>
      <c r="C1233" s="30" t="s">
        <v>434</v>
      </c>
      <c r="D1233" s="4" t="s">
        <v>36</v>
      </c>
      <c r="E1233" s="4" t="s">
        <v>16</v>
      </c>
      <c r="F1233" s="4" t="s">
        <v>17</v>
      </c>
      <c r="G1233" s="4" t="s">
        <v>18</v>
      </c>
      <c r="H1233" s="4" t="s">
        <v>184</v>
      </c>
      <c r="I1233" s="5" t="str">
        <f t="shared" si="19"/>
        <v>2025-05</v>
      </c>
      <c r="J1233" s="4" t="s">
        <v>20</v>
      </c>
      <c r="K1233" s="5" t="s">
        <v>342</v>
      </c>
      <c r="L1233" s="2">
        <v>120880</v>
      </c>
      <c r="M1233" s="3">
        <v>1</v>
      </c>
      <c r="N1233" s="2">
        <v>120880</v>
      </c>
      <c r="O1233" s="2">
        <v>12088</v>
      </c>
      <c r="P1233" s="2">
        <v>132968</v>
      </c>
      <c r="Q1233" s="2">
        <f>P1233*8.5%</f>
        <v>11302.28</v>
      </c>
    </row>
    <row r="1234" spans="1:17" x14ac:dyDescent="0.4">
      <c r="A1234" s="4" t="s">
        <v>13</v>
      </c>
      <c r="B1234" s="4" t="s">
        <v>14</v>
      </c>
      <c r="C1234" s="30" t="s">
        <v>434</v>
      </c>
      <c r="D1234" s="4" t="s">
        <v>15</v>
      </c>
      <c r="E1234" s="4" t="s">
        <v>16</v>
      </c>
      <c r="F1234" s="4" t="s">
        <v>17</v>
      </c>
      <c r="G1234" s="4" t="s">
        <v>18</v>
      </c>
      <c r="H1234" s="4" t="s">
        <v>184</v>
      </c>
      <c r="I1234" s="5" t="str">
        <f t="shared" si="19"/>
        <v>2025-05</v>
      </c>
      <c r="J1234" s="4" t="s">
        <v>20</v>
      </c>
      <c r="K1234" s="5" t="s">
        <v>342</v>
      </c>
      <c r="L1234" s="2">
        <v>42000</v>
      </c>
      <c r="M1234" s="3">
        <v>2</v>
      </c>
      <c r="N1234" s="2">
        <v>84000</v>
      </c>
      <c r="O1234" s="2">
        <v>8400</v>
      </c>
      <c r="P1234" s="2">
        <v>92400</v>
      </c>
      <c r="Q1234" s="2">
        <f>P1234*8.5%</f>
        <v>7854.0000000000009</v>
      </c>
    </row>
    <row r="1235" spans="1:17" x14ac:dyDescent="0.4">
      <c r="A1235" s="4" t="s">
        <v>21</v>
      </c>
      <c r="B1235" s="4" t="s">
        <v>14</v>
      </c>
      <c r="C1235" s="31" t="s">
        <v>435</v>
      </c>
      <c r="D1235" s="4" t="s">
        <v>22</v>
      </c>
      <c r="E1235" s="4" t="s">
        <v>16</v>
      </c>
      <c r="F1235" s="4" t="s">
        <v>17</v>
      </c>
      <c r="G1235" s="4" t="s">
        <v>18</v>
      </c>
      <c r="H1235" s="4" t="s">
        <v>184</v>
      </c>
      <c r="I1235" s="5" t="str">
        <f t="shared" si="19"/>
        <v>2025-05</v>
      </c>
      <c r="J1235" s="4" t="s">
        <v>20</v>
      </c>
      <c r="K1235" s="5" t="s">
        <v>342</v>
      </c>
      <c r="L1235" s="2">
        <v>54000</v>
      </c>
      <c r="M1235" s="3">
        <v>2</v>
      </c>
      <c r="N1235" s="2">
        <v>108000</v>
      </c>
      <c r="O1235" s="2">
        <v>10800</v>
      </c>
      <c r="P1235" s="2">
        <v>118800</v>
      </c>
      <c r="Q1235" s="2">
        <f>P1235*8.5%</f>
        <v>10098</v>
      </c>
    </row>
    <row r="1236" spans="1:17" x14ac:dyDescent="0.4">
      <c r="A1236" s="4" t="s">
        <v>23</v>
      </c>
      <c r="B1236" s="4" t="s">
        <v>14</v>
      </c>
      <c r="C1236" s="31" t="s">
        <v>435</v>
      </c>
      <c r="D1236" s="4" t="s">
        <v>24</v>
      </c>
      <c r="E1236" s="4" t="s">
        <v>16</v>
      </c>
      <c r="F1236" s="4" t="s">
        <v>17</v>
      </c>
      <c r="G1236" s="4" t="s">
        <v>18</v>
      </c>
      <c r="H1236" s="4" t="s">
        <v>184</v>
      </c>
      <c r="I1236" s="5" t="str">
        <f t="shared" si="19"/>
        <v>2025-05</v>
      </c>
      <c r="J1236" s="4" t="s">
        <v>20</v>
      </c>
      <c r="K1236" s="5" t="s">
        <v>342</v>
      </c>
      <c r="L1236" s="2">
        <v>54000</v>
      </c>
      <c r="M1236" s="3">
        <v>2</v>
      </c>
      <c r="N1236" s="2">
        <v>108000</v>
      </c>
      <c r="O1236" s="2">
        <v>10800</v>
      </c>
      <c r="P1236" s="2">
        <v>118800</v>
      </c>
      <c r="Q1236" s="2">
        <f>P1236*8.5%</f>
        <v>10098</v>
      </c>
    </row>
    <row r="1237" spans="1:17" hidden="1" x14ac:dyDescent="0.4">
      <c r="A1237" s="4" t="s">
        <v>32</v>
      </c>
      <c r="B1237" s="4" t="s">
        <v>14</v>
      </c>
      <c r="C1237" s="31" t="s">
        <v>435</v>
      </c>
      <c r="D1237" s="4" t="s">
        <v>33</v>
      </c>
      <c r="E1237" s="4" t="s">
        <v>16</v>
      </c>
      <c r="F1237" s="4" t="s">
        <v>17</v>
      </c>
      <c r="G1237" s="4" t="s">
        <v>18</v>
      </c>
      <c r="H1237" s="4" t="s">
        <v>184</v>
      </c>
      <c r="I1237" s="5" t="str">
        <f t="shared" si="19"/>
        <v>2025-05</v>
      </c>
      <c r="J1237" s="4" t="s">
        <v>118</v>
      </c>
      <c r="K1237" s="5" t="s">
        <v>342</v>
      </c>
      <c r="L1237" s="2">
        <v>44000</v>
      </c>
      <c r="M1237" s="3">
        <v>1</v>
      </c>
      <c r="N1237" s="2">
        <v>44000</v>
      </c>
      <c r="O1237" s="2">
        <v>4400</v>
      </c>
      <c r="P1237" s="2">
        <v>48400</v>
      </c>
      <c r="Q1237" s="2">
        <f>P1237*8.5%</f>
        <v>4114</v>
      </c>
    </row>
    <row r="1238" spans="1:17" hidden="1" x14ac:dyDescent="0.4">
      <c r="A1238" s="4" t="s">
        <v>13</v>
      </c>
      <c r="B1238" s="4" t="s">
        <v>14</v>
      </c>
      <c r="C1238" s="30" t="s">
        <v>434</v>
      </c>
      <c r="D1238" s="4" t="s">
        <v>15</v>
      </c>
      <c r="E1238" s="4" t="s">
        <v>16</v>
      </c>
      <c r="F1238" s="4" t="s">
        <v>17</v>
      </c>
      <c r="G1238" s="4" t="s">
        <v>18</v>
      </c>
      <c r="H1238" s="4" t="s">
        <v>184</v>
      </c>
      <c r="I1238" s="5" t="str">
        <f t="shared" si="19"/>
        <v>2025-05</v>
      </c>
      <c r="J1238" s="4" t="s">
        <v>118</v>
      </c>
      <c r="K1238" s="5" t="s">
        <v>342</v>
      </c>
      <c r="L1238" s="2">
        <v>42000</v>
      </c>
      <c r="M1238" s="3">
        <v>6</v>
      </c>
      <c r="N1238" s="2">
        <v>252000</v>
      </c>
      <c r="O1238" s="2">
        <v>25200</v>
      </c>
      <c r="P1238" s="2">
        <v>277200</v>
      </c>
      <c r="Q1238" s="2">
        <f>P1238*8.5%</f>
        <v>23562</v>
      </c>
    </row>
    <row r="1239" spans="1:17" hidden="1" x14ac:dyDescent="0.4">
      <c r="A1239" s="4" t="s">
        <v>13</v>
      </c>
      <c r="B1239" s="4" t="s">
        <v>14</v>
      </c>
      <c r="C1239" s="30" t="s">
        <v>434</v>
      </c>
      <c r="D1239" s="4" t="s">
        <v>15</v>
      </c>
      <c r="E1239" s="4" t="s">
        <v>16</v>
      </c>
      <c r="F1239" s="4" t="s">
        <v>17</v>
      </c>
      <c r="G1239" s="4" t="s">
        <v>18</v>
      </c>
      <c r="H1239" s="4" t="s">
        <v>184</v>
      </c>
      <c r="I1239" s="5" t="str">
        <f t="shared" si="19"/>
        <v>2025-05</v>
      </c>
      <c r="J1239" s="4" t="s">
        <v>34</v>
      </c>
      <c r="K1239" s="5" t="s">
        <v>342</v>
      </c>
      <c r="L1239" s="2">
        <v>42000</v>
      </c>
      <c r="M1239" s="3">
        <v>7</v>
      </c>
      <c r="N1239" s="2">
        <v>294000</v>
      </c>
      <c r="O1239" s="2">
        <v>29400</v>
      </c>
      <c r="P1239" s="2">
        <v>323400</v>
      </c>
      <c r="Q1239" s="2">
        <f>P1239*8.5%</f>
        <v>27489.000000000004</v>
      </c>
    </row>
    <row r="1240" spans="1:17" hidden="1" x14ac:dyDescent="0.4">
      <c r="A1240" s="4" t="s">
        <v>21</v>
      </c>
      <c r="B1240" s="4" t="s">
        <v>14</v>
      </c>
      <c r="C1240" s="31" t="s">
        <v>435</v>
      </c>
      <c r="D1240" s="4" t="s">
        <v>22</v>
      </c>
      <c r="E1240" s="4" t="s">
        <v>16</v>
      </c>
      <c r="F1240" s="4" t="s">
        <v>17</v>
      </c>
      <c r="G1240" s="4" t="s">
        <v>18</v>
      </c>
      <c r="H1240" s="4" t="s">
        <v>184</v>
      </c>
      <c r="I1240" s="5" t="str">
        <f t="shared" si="19"/>
        <v>2025-05</v>
      </c>
      <c r="J1240" s="4" t="s">
        <v>34</v>
      </c>
      <c r="K1240" s="5" t="s">
        <v>342</v>
      </c>
      <c r="L1240" s="2">
        <v>54000</v>
      </c>
      <c r="M1240" s="3">
        <v>2</v>
      </c>
      <c r="N1240" s="2">
        <v>108000</v>
      </c>
      <c r="O1240" s="2">
        <v>10800</v>
      </c>
      <c r="P1240" s="2">
        <v>118800</v>
      </c>
      <c r="Q1240" s="2">
        <f>P1240*8.5%</f>
        <v>10098</v>
      </c>
    </row>
    <row r="1241" spans="1:17" hidden="1" x14ac:dyDescent="0.4">
      <c r="A1241" s="4" t="s">
        <v>35</v>
      </c>
      <c r="B1241" s="4" t="s">
        <v>14</v>
      </c>
      <c r="C1241" s="30" t="s">
        <v>434</v>
      </c>
      <c r="D1241" s="4" t="s">
        <v>36</v>
      </c>
      <c r="E1241" s="4" t="s">
        <v>16</v>
      </c>
      <c r="F1241" s="4" t="s">
        <v>17</v>
      </c>
      <c r="G1241" s="4" t="s">
        <v>18</v>
      </c>
      <c r="H1241" s="4" t="s">
        <v>184</v>
      </c>
      <c r="I1241" s="5" t="str">
        <f t="shared" si="19"/>
        <v>2025-05</v>
      </c>
      <c r="J1241" s="4" t="s">
        <v>34</v>
      </c>
      <c r="K1241" s="5" t="s">
        <v>342</v>
      </c>
      <c r="L1241" s="2">
        <v>116220</v>
      </c>
      <c r="M1241" s="3">
        <v>1</v>
      </c>
      <c r="N1241" s="2">
        <v>116220</v>
      </c>
      <c r="O1241" s="2">
        <v>11622</v>
      </c>
      <c r="P1241" s="2">
        <v>127842</v>
      </c>
      <c r="Q1241" s="2">
        <f>P1241*8.5%</f>
        <v>10866.570000000002</v>
      </c>
    </row>
    <row r="1242" spans="1:17" hidden="1" x14ac:dyDescent="0.4">
      <c r="A1242" s="4" t="s">
        <v>23</v>
      </c>
      <c r="B1242" s="4" t="s">
        <v>14</v>
      </c>
      <c r="C1242" s="31" t="s">
        <v>435</v>
      </c>
      <c r="D1242" s="4" t="s">
        <v>24</v>
      </c>
      <c r="E1242" s="4" t="s">
        <v>16</v>
      </c>
      <c r="F1242" s="4" t="s">
        <v>17</v>
      </c>
      <c r="G1242" s="4" t="s">
        <v>18</v>
      </c>
      <c r="H1242" s="4" t="s">
        <v>184</v>
      </c>
      <c r="I1242" s="5" t="str">
        <f t="shared" si="19"/>
        <v>2025-05</v>
      </c>
      <c r="J1242" s="4" t="s">
        <v>34</v>
      </c>
      <c r="K1242" s="5" t="s">
        <v>342</v>
      </c>
      <c r="L1242" s="2">
        <v>54000</v>
      </c>
      <c r="M1242" s="3">
        <v>5</v>
      </c>
      <c r="N1242" s="2">
        <v>270000</v>
      </c>
      <c r="O1242" s="2">
        <v>27000</v>
      </c>
      <c r="P1242" s="2">
        <v>297000</v>
      </c>
      <c r="Q1242" s="2">
        <f>P1242*8.5%</f>
        <v>25245</v>
      </c>
    </row>
    <row r="1243" spans="1:17" hidden="1" x14ac:dyDescent="0.4">
      <c r="A1243" s="4" t="s">
        <v>51</v>
      </c>
      <c r="B1243" s="4" t="s">
        <v>14</v>
      </c>
      <c r="C1243" s="30" t="s">
        <v>434</v>
      </c>
      <c r="D1243" s="4" t="s">
        <v>52</v>
      </c>
      <c r="E1243" s="4" t="s">
        <v>16</v>
      </c>
      <c r="F1243" s="4" t="s">
        <v>17</v>
      </c>
      <c r="G1243" s="4" t="s">
        <v>18</v>
      </c>
      <c r="H1243" s="4" t="s">
        <v>184</v>
      </c>
      <c r="I1243" s="5" t="str">
        <f t="shared" si="19"/>
        <v>2025-05</v>
      </c>
      <c r="J1243" s="4" t="s">
        <v>34</v>
      </c>
      <c r="K1243" s="5" t="s">
        <v>342</v>
      </c>
      <c r="L1243" s="2">
        <v>71250</v>
      </c>
      <c r="M1243" s="3">
        <v>1</v>
      </c>
      <c r="N1243" s="2">
        <v>71250</v>
      </c>
      <c r="O1243" s="2">
        <v>7125</v>
      </c>
      <c r="P1243" s="2">
        <v>78375</v>
      </c>
      <c r="Q1243" s="2">
        <f>P1243*8.5%</f>
        <v>6661.8750000000009</v>
      </c>
    </row>
    <row r="1244" spans="1:17" hidden="1" x14ac:dyDescent="0.4">
      <c r="A1244" s="4" t="s">
        <v>86</v>
      </c>
      <c r="B1244" s="4" t="s">
        <v>26</v>
      </c>
      <c r="C1244" s="32" t="s">
        <v>436</v>
      </c>
      <c r="D1244" s="4" t="s">
        <v>78</v>
      </c>
      <c r="E1244" s="4" t="s">
        <v>28</v>
      </c>
      <c r="F1244" s="4" t="s">
        <v>17</v>
      </c>
      <c r="G1244" s="4" t="s">
        <v>18</v>
      </c>
      <c r="H1244" s="4" t="s">
        <v>184</v>
      </c>
      <c r="I1244" s="5" t="str">
        <f t="shared" si="19"/>
        <v>2025-05</v>
      </c>
      <c r="J1244" s="4" t="s">
        <v>34</v>
      </c>
      <c r="K1244" s="5" t="s">
        <v>342</v>
      </c>
      <c r="L1244" s="2">
        <v>15544</v>
      </c>
      <c r="M1244" s="3">
        <v>1</v>
      </c>
      <c r="N1244" s="2">
        <v>15544</v>
      </c>
      <c r="O1244" s="2">
        <v>1554</v>
      </c>
      <c r="P1244" s="2">
        <v>17098</v>
      </c>
      <c r="Q1244" s="2">
        <f>P1244*8.5%</f>
        <v>1453.3300000000002</v>
      </c>
    </row>
    <row r="1245" spans="1:17" hidden="1" x14ac:dyDescent="0.4">
      <c r="A1245" s="4" t="s">
        <v>136</v>
      </c>
      <c r="B1245" s="4" t="s">
        <v>26</v>
      </c>
      <c r="C1245" s="32" t="s">
        <v>436</v>
      </c>
      <c r="D1245" s="4" t="s">
        <v>137</v>
      </c>
      <c r="E1245" s="4" t="s">
        <v>28</v>
      </c>
      <c r="F1245" s="4" t="s">
        <v>17</v>
      </c>
      <c r="G1245" s="4" t="s">
        <v>18</v>
      </c>
      <c r="H1245" s="4" t="s">
        <v>184</v>
      </c>
      <c r="I1245" s="5" t="str">
        <f t="shared" si="19"/>
        <v>2025-05</v>
      </c>
      <c r="J1245" s="4" t="s">
        <v>34</v>
      </c>
      <c r="K1245" s="5" t="s">
        <v>342</v>
      </c>
      <c r="L1245" s="2">
        <v>5548</v>
      </c>
      <c r="M1245" s="3">
        <v>2</v>
      </c>
      <c r="N1245" s="2">
        <v>11096</v>
      </c>
      <c r="O1245" s="2">
        <v>1110</v>
      </c>
      <c r="P1245" s="2">
        <v>12206</v>
      </c>
      <c r="Q1245" s="2">
        <f>P1245*8.5%</f>
        <v>1037.51</v>
      </c>
    </row>
    <row r="1246" spans="1:17" hidden="1" x14ac:dyDescent="0.4">
      <c r="A1246" s="4" t="s">
        <v>42</v>
      </c>
      <c r="B1246" s="4" t="s">
        <v>14</v>
      </c>
      <c r="C1246" s="30" t="s">
        <v>434</v>
      </c>
      <c r="D1246" s="4" t="s">
        <v>43</v>
      </c>
      <c r="E1246" s="4" t="s">
        <v>44</v>
      </c>
      <c r="F1246" s="4" t="s">
        <v>31</v>
      </c>
      <c r="G1246" s="4" t="s">
        <v>18</v>
      </c>
      <c r="H1246" s="4" t="s">
        <v>184</v>
      </c>
      <c r="I1246" s="5" t="str">
        <f t="shared" si="19"/>
        <v>2025-05</v>
      </c>
      <c r="J1246" s="4" t="s">
        <v>34</v>
      </c>
      <c r="K1246" s="5" t="s">
        <v>342</v>
      </c>
      <c r="L1246" s="2">
        <v>6800</v>
      </c>
      <c r="M1246" s="3">
        <v>51.4</v>
      </c>
      <c r="N1246" s="2">
        <v>349520</v>
      </c>
      <c r="O1246" s="2">
        <v>0</v>
      </c>
      <c r="P1246" s="2">
        <v>349520</v>
      </c>
      <c r="Q1246" s="2">
        <f>P1246*8.5%</f>
        <v>29709.200000000001</v>
      </c>
    </row>
    <row r="1247" spans="1:17" hidden="1" x14ac:dyDescent="0.4">
      <c r="A1247" s="4" t="s">
        <v>13</v>
      </c>
      <c r="B1247" s="4" t="s">
        <v>14</v>
      </c>
      <c r="C1247" s="30" t="s">
        <v>434</v>
      </c>
      <c r="D1247" s="4" t="s">
        <v>15</v>
      </c>
      <c r="E1247" s="4" t="s">
        <v>16</v>
      </c>
      <c r="F1247" s="4" t="s">
        <v>17</v>
      </c>
      <c r="G1247" s="4" t="s">
        <v>18</v>
      </c>
      <c r="H1247" s="4" t="s">
        <v>184</v>
      </c>
      <c r="I1247" s="5" t="str">
        <f t="shared" si="19"/>
        <v>2025-05</v>
      </c>
      <c r="J1247" s="4" t="s">
        <v>59</v>
      </c>
      <c r="K1247" s="5" t="s">
        <v>343</v>
      </c>
      <c r="L1247" s="2">
        <v>42000</v>
      </c>
      <c r="M1247" s="3">
        <v>6</v>
      </c>
      <c r="N1247" s="2">
        <v>252000</v>
      </c>
      <c r="O1247" s="2">
        <v>25200</v>
      </c>
      <c r="P1247" s="2">
        <v>277200</v>
      </c>
      <c r="Q1247" s="2">
        <f>P1247*12%</f>
        <v>33264</v>
      </c>
    </row>
    <row r="1248" spans="1:17" hidden="1" x14ac:dyDescent="0.4">
      <c r="A1248" s="4" t="s">
        <v>35</v>
      </c>
      <c r="B1248" s="4" t="s">
        <v>14</v>
      </c>
      <c r="C1248" s="30" t="s">
        <v>434</v>
      </c>
      <c r="D1248" s="4" t="s">
        <v>36</v>
      </c>
      <c r="E1248" s="4" t="s">
        <v>16</v>
      </c>
      <c r="F1248" s="4" t="s">
        <v>17</v>
      </c>
      <c r="G1248" s="4" t="s">
        <v>18</v>
      </c>
      <c r="H1248" s="4" t="s">
        <v>184</v>
      </c>
      <c r="I1248" s="5" t="str">
        <f t="shared" si="19"/>
        <v>2025-05</v>
      </c>
      <c r="J1248" s="4" t="s">
        <v>59</v>
      </c>
      <c r="K1248" s="5" t="s">
        <v>343</v>
      </c>
      <c r="L1248" s="2">
        <v>116220</v>
      </c>
      <c r="M1248" s="3">
        <v>1</v>
      </c>
      <c r="N1248" s="2">
        <v>116220</v>
      </c>
      <c r="O1248" s="2">
        <v>11622</v>
      </c>
      <c r="P1248" s="2">
        <v>127842</v>
      </c>
      <c r="Q1248" s="2">
        <f>P1248*12%</f>
        <v>15341.039999999999</v>
      </c>
    </row>
    <row r="1249" spans="1:17" hidden="1" x14ac:dyDescent="0.4">
      <c r="A1249" s="4" t="s">
        <v>23</v>
      </c>
      <c r="B1249" s="4" t="s">
        <v>14</v>
      </c>
      <c r="C1249" s="31" t="s">
        <v>435</v>
      </c>
      <c r="D1249" s="4" t="s">
        <v>24</v>
      </c>
      <c r="E1249" s="4" t="s">
        <v>16</v>
      </c>
      <c r="F1249" s="4" t="s">
        <v>17</v>
      </c>
      <c r="G1249" s="4" t="s">
        <v>18</v>
      </c>
      <c r="H1249" s="4" t="s">
        <v>184</v>
      </c>
      <c r="I1249" s="5" t="str">
        <f t="shared" si="19"/>
        <v>2025-05</v>
      </c>
      <c r="J1249" s="4" t="s">
        <v>59</v>
      </c>
      <c r="K1249" s="5" t="s">
        <v>343</v>
      </c>
      <c r="L1249" s="2">
        <v>54000</v>
      </c>
      <c r="M1249" s="3">
        <v>2</v>
      </c>
      <c r="N1249" s="2">
        <v>108000</v>
      </c>
      <c r="O1249" s="2">
        <v>10800</v>
      </c>
      <c r="P1249" s="2">
        <v>118800</v>
      </c>
      <c r="Q1249" s="2">
        <f>P1249*12%</f>
        <v>14256</v>
      </c>
    </row>
    <row r="1250" spans="1:17" hidden="1" x14ac:dyDescent="0.4">
      <c r="A1250" s="4" t="s">
        <v>51</v>
      </c>
      <c r="B1250" s="4" t="s">
        <v>14</v>
      </c>
      <c r="C1250" s="30" t="s">
        <v>434</v>
      </c>
      <c r="D1250" s="4" t="s">
        <v>52</v>
      </c>
      <c r="E1250" s="4" t="s">
        <v>16</v>
      </c>
      <c r="F1250" s="4" t="s">
        <v>17</v>
      </c>
      <c r="G1250" s="4" t="s">
        <v>18</v>
      </c>
      <c r="H1250" s="4" t="s">
        <v>184</v>
      </c>
      <c r="I1250" s="5" t="str">
        <f t="shared" si="19"/>
        <v>2025-05</v>
      </c>
      <c r="J1250" s="4" t="s">
        <v>59</v>
      </c>
      <c r="K1250" s="5" t="s">
        <v>343</v>
      </c>
      <c r="L1250" s="2">
        <v>71250</v>
      </c>
      <c r="M1250" s="3">
        <v>1</v>
      </c>
      <c r="N1250" s="2">
        <v>71250</v>
      </c>
      <c r="O1250" s="2">
        <v>7125</v>
      </c>
      <c r="P1250" s="2">
        <v>78375</v>
      </c>
      <c r="Q1250" s="2">
        <f>P1250*12%</f>
        <v>9405</v>
      </c>
    </row>
    <row r="1251" spans="1:17" hidden="1" x14ac:dyDescent="0.4">
      <c r="A1251" s="4" t="s">
        <v>112</v>
      </c>
      <c r="B1251" s="4" t="s">
        <v>26</v>
      </c>
      <c r="C1251" s="32" t="s">
        <v>436</v>
      </c>
      <c r="D1251" s="4" t="s">
        <v>113</v>
      </c>
      <c r="E1251" s="4" t="s">
        <v>28</v>
      </c>
      <c r="F1251" s="4" t="s">
        <v>17</v>
      </c>
      <c r="G1251" s="4" t="s">
        <v>18</v>
      </c>
      <c r="H1251" s="4" t="s">
        <v>184</v>
      </c>
      <c r="I1251" s="5" t="str">
        <f t="shared" si="19"/>
        <v>2025-05</v>
      </c>
      <c r="J1251" s="4" t="s">
        <v>59</v>
      </c>
      <c r="K1251" s="5" t="s">
        <v>343</v>
      </c>
      <c r="L1251" s="2">
        <v>375</v>
      </c>
      <c r="M1251" s="3">
        <v>20</v>
      </c>
      <c r="N1251" s="2">
        <v>7500</v>
      </c>
      <c r="O1251" s="2">
        <v>750</v>
      </c>
      <c r="P1251" s="2">
        <v>8250</v>
      </c>
      <c r="Q1251" s="2">
        <f>P1251*12%</f>
        <v>990</v>
      </c>
    </row>
    <row r="1252" spans="1:17" hidden="1" x14ac:dyDescent="0.4">
      <c r="A1252" s="4" t="s">
        <v>32</v>
      </c>
      <c r="B1252" s="4" t="s">
        <v>14</v>
      </c>
      <c r="C1252" s="31" t="s">
        <v>435</v>
      </c>
      <c r="D1252" s="4" t="s">
        <v>33</v>
      </c>
      <c r="E1252" s="4" t="s">
        <v>16</v>
      </c>
      <c r="F1252" s="4" t="s">
        <v>17</v>
      </c>
      <c r="G1252" s="4" t="s">
        <v>18</v>
      </c>
      <c r="H1252" s="4" t="s">
        <v>184</v>
      </c>
      <c r="I1252" s="5" t="str">
        <f t="shared" si="19"/>
        <v>2025-05</v>
      </c>
      <c r="J1252" s="4" t="s">
        <v>153</v>
      </c>
      <c r="K1252" s="5" t="s">
        <v>343</v>
      </c>
      <c r="L1252" s="2">
        <v>44000</v>
      </c>
      <c r="M1252" s="3">
        <v>1</v>
      </c>
      <c r="N1252" s="2">
        <v>44000</v>
      </c>
      <c r="O1252" s="2">
        <v>4400</v>
      </c>
      <c r="P1252" s="2">
        <v>48400</v>
      </c>
      <c r="Q1252" s="2">
        <f>P1252*12%</f>
        <v>5808</v>
      </c>
    </row>
    <row r="1253" spans="1:17" hidden="1" x14ac:dyDescent="0.4">
      <c r="A1253" s="4" t="s">
        <v>58</v>
      </c>
      <c r="B1253" s="4" t="s">
        <v>14</v>
      </c>
      <c r="C1253" s="30" t="s">
        <v>434</v>
      </c>
      <c r="D1253" s="4" t="s">
        <v>36</v>
      </c>
      <c r="E1253" s="4" t="s">
        <v>16</v>
      </c>
      <c r="F1253" s="4" t="s">
        <v>17</v>
      </c>
      <c r="G1253" s="4" t="s">
        <v>18</v>
      </c>
      <c r="H1253" s="4" t="s">
        <v>184</v>
      </c>
      <c r="I1253" s="5" t="str">
        <f t="shared" si="19"/>
        <v>2025-05</v>
      </c>
      <c r="J1253" s="4" t="s">
        <v>153</v>
      </c>
      <c r="K1253" s="5" t="s">
        <v>343</v>
      </c>
      <c r="L1253" s="2">
        <v>120880</v>
      </c>
      <c r="M1253" s="3">
        <v>1</v>
      </c>
      <c r="N1253" s="2">
        <v>120880</v>
      </c>
      <c r="O1253" s="2">
        <v>12088</v>
      </c>
      <c r="P1253" s="2">
        <v>132968</v>
      </c>
      <c r="Q1253" s="2">
        <f>P1253*12%</f>
        <v>15956.16</v>
      </c>
    </row>
    <row r="1254" spans="1:17" hidden="1" x14ac:dyDescent="0.4">
      <c r="A1254" s="4" t="s">
        <v>23</v>
      </c>
      <c r="B1254" s="4" t="s">
        <v>14</v>
      </c>
      <c r="C1254" s="31" t="s">
        <v>435</v>
      </c>
      <c r="D1254" s="4" t="s">
        <v>24</v>
      </c>
      <c r="E1254" s="4" t="s">
        <v>16</v>
      </c>
      <c r="F1254" s="4" t="s">
        <v>17</v>
      </c>
      <c r="G1254" s="4" t="s">
        <v>18</v>
      </c>
      <c r="H1254" s="4" t="s">
        <v>184</v>
      </c>
      <c r="I1254" s="5" t="str">
        <f t="shared" si="19"/>
        <v>2025-05</v>
      </c>
      <c r="J1254" s="4" t="s">
        <v>153</v>
      </c>
      <c r="K1254" s="5" t="s">
        <v>343</v>
      </c>
      <c r="L1254" s="2">
        <v>54000</v>
      </c>
      <c r="M1254" s="3">
        <v>7</v>
      </c>
      <c r="N1254" s="2">
        <v>378000</v>
      </c>
      <c r="O1254" s="2">
        <v>37800</v>
      </c>
      <c r="P1254" s="2">
        <v>415800</v>
      </c>
      <c r="Q1254" s="2">
        <f>P1254*12%</f>
        <v>49896</v>
      </c>
    </row>
    <row r="1255" spans="1:17" hidden="1" x14ac:dyDescent="0.4">
      <c r="A1255" s="4" t="s">
        <v>51</v>
      </c>
      <c r="B1255" s="4" t="s">
        <v>14</v>
      </c>
      <c r="C1255" s="30" t="s">
        <v>434</v>
      </c>
      <c r="D1255" s="4" t="s">
        <v>52</v>
      </c>
      <c r="E1255" s="4" t="s">
        <v>16</v>
      </c>
      <c r="F1255" s="4" t="s">
        <v>17</v>
      </c>
      <c r="G1255" s="4" t="s">
        <v>18</v>
      </c>
      <c r="H1255" s="4" t="s">
        <v>184</v>
      </c>
      <c r="I1255" s="5" t="str">
        <f t="shared" si="19"/>
        <v>2025-05</v>
      </c>
      <c r="J1255" s="4" t="s">
        <v>153</v>
      </c>
      <c r="K1255" s="5" t="s">
        <v>343</v>
      </c>
      <c r="L1255" s="2">
        <v>71250</v>
      </c>
      <c r="M1255" s="3">
        <v>1</v>
      </c>
      <c r="N1255" s="2">
        <v>71250</v>
      </c>
      <c r="O1255" s="2">
        <v>7125</v>
      </c>
      <c r="P1255" s="2">
        <v>78375</v>
      </c>
      <c r="Q1255" s="2">
        <f>P1255*12%</f>
        <v>9405</v>
      </c>
    </row>
    <row r="1256" spans="1:17" hidden="1" x14ac:dyDescent="0.4">
      <c r="A1256" s="4" t="s">
        <v>32</v>
      </c>
      <c r="B1256" s="4" t="s">
        <v>14</v>
      </c>
      <c r="C1256" s="31" t="s">
        <v>435</v>
      </c>
      <c r="D1256" s="4" t="s">
        <v>33</v>
      </c>
      <c r="E1256" s="4" t="s">
        <v>16</v>
      </c>
      <c r="F1256" s="4" t="s">
        <v>17</v>
      </c>
      <c r="G1256" s="4" t="s">
        <v>18</v>
      </c>
      <c r="H1256" s="4" t="s">
        <v>184</v>
      </c>
      <c r="I1256" s="5" t="str">
        <f t="shared" si="19"/>
        <v>2025-05</v>
      </c>
      <c r="J1256" s="4" t="s">
        <v>49</v>
      </c>
      <c r="K1256" s="5" t="s">
        <v>343</v>
      </c>
      <c r="L1256" s="2">
        <v>44000</v>
      </c>
      <c r="M1256" s="3">
        <v>1</v>
      </c>
      <c r="N1256" s="2">
        <v>44000</v>
      </c>
      <c r="O1256" s="2">
        <v>4400</v>
      </c>
      <c r="P1256" s="2">
        <v>48400</v>
      </c>
      <c r="Q1256" s="2">
        <f>P1256*12%</f>
        <v>5808</v>
      </c>
    </row>
    <row r="1257" spans="1:17" hidden="1" x14ac:dyDescent="0.4">
      <c r="A1257" s="4" t="s">
        <v>13</v>
      </c>
      <c r="B1257" s="4" t="s">
        <v>14</v>
      </c>
      <c r="C1257" s="30" t="s">
        <v>434</v>
      </c>
      <c r="D1257" s="4" t="s">
        <v>15</v>
      </c>
      <c r="E1257" s="4" t="s">
        <v>16</v>
      </c>
      <c r="F1257" s="4" t="s">
        <v>17</v>
      </c>
      <c r="G1257" s="4" t="s">
        <v>18</v>
      </c>
      <c r="H1257" s="4" t="s">
        <v>184</v>
      </c>
      <c r="I1257" s="5" t="str">
        <f t="shared" si="19"/>
        <v>2025-05</v>
      </c>
      <c r="J1257" s="4" t="s">
        <v>49</v>
      </c>
      <c r="K1257" s="5" t="s">
        <v>343</v>
      </c>
      <c r="L1257" s="2">
        <v>42000</v>
      </c>
      <c r="M1257" s="3">
        <v>3</v>
      </c>
      <c r="N1257" s="2">
        <v>126000</v>
      </c>
      <c r="O1257" s="2">
        <v>12600</v>
      </c>
      <c r="P1257" s="2">
        <v>138600</v>
      </c>
      <c r="Q1257" s="2">
        <f>P1257*12%</f>
        <v>16632</v>
      </c>
    </row>
    <row r="1258" spans="1:17" hidden="1" x14ac:dyDescent="0.4">
      <c r="A1258" s="4" t="s">
        <v>35</v>
      </c>
      <c r="B1258" s="4" t="s">
        <v>14</v>
      </c>
      <c r="C1258" s="30" t="s">
        <v>434</v>
      </c>
      <c r="D1258" s="4" t="s">
        <v>36</v>
      </c>
      <c r="E1258" s="4" t="s">
        <v>16</v>
      </c>
      <c r="F1258" s="4" t="s">
        <v>17</v>
      </c>
      <c r="G1258" s="4" t="s">
        <v>18</v>
      </c>
      <c r="H1258" s="4" t="s">
        <v>184</v>
      </c>
      <c r="I1258" s="5" t="str">
        <f t="shared" si="19"/>
        <v>2025-05</v>
      </c>
      <c r="J1258" s="4" t="s">
        <v>49</v>
      </c>
      <c r="K1258" s="5" t="s">
        <v>343</v>
      </c>
      <c r="L1258" s="2">
        <v>116220</v>
      </c>
      <c r="M1258" s="3">
        <v>1</v>
      </c>
      <c r="N1258" s="2">
        <v>116220</v>
      </c>
      <c r="O1258" s="2">
        <v>11622</v>
      </c>
      <c r="P1258" s="2">
        <v>127842</v>
      </c>
      <c r="Q1258" s="2">
        <f>P1258*12%</f>
        <v>15341.039999999999</v>
      </c>
    </row>
    <row r="1259" spans="1:17" hidden="1" x14ac:dyDescent="0.4">
      <c r="A1259" s="4" t="s">
        <v>23</v>
      </c>
      <c r="B1259" s="4" t="s">
        <v>14</v>
      </c>
      <c r="C1259" s="31" t="s">
        <v>435</v>
      </c>
      <c r="D1259" s="4" t="s">
        <v>24</v>
      </c>
      <c r="E1259" s="4" t="s">
        <v>16</v>
      </c>
      <c r="F1259" s="4" t="s">
        <v>17</v>
      </c>
      <c r="G1259" s="4" t="s">
        <v>18</v>
      </c>
      <c r="H1259" s="4" t="s">
        <v>184</v>
      </c>
      <c r="I1259" s="5" t="str">
        <f t="shared" si="19"/>
        <v>2025-05</v>
      </c>
      <c r="J1259" s="4" t="s">
        <v>49</v>
      </c>
      <c r="K1259" s="5" t="s">
        <v>343</v>
      </c>
      <c r="L1259" s="2">
        <v>54000</v>
      </c>
      <c r="M1259" s="3">
        <v>2</v>
      </c>
      <c r="N1259" s="2">
        <v>108000</v>
      </c>
      <c r="O1259" s="2">
        <v>10800</v>
      </c>
      <c r="P1259" s="2">
        <v>118800</v>
      </c>
      <c r="Q1259" s="2">
        <f>P1259*12%</f>
        <v>14256</v>
      </c>
    </row>
    <row r="1260" spans="1:17" hidden="1" x14ac:dyDescent="0.4">
      <c r="A1260" s="4" t="s">
        <v>32</v>
      </c>
      <c r="B1260" s="4" t="s">
        <v>14</v>
      </c>
      <c r="C1260" s="31" t="s">
        <v>435</v>
      </c>
      <c r="D1260" s="4" t="s">
        <v>33</v>
      </c>
      <c r="E1260" s="4" t="s">
        <v>16</v>
      </c>
      <c r="F1260" s="4" t="s">
        <v>17</v>
      </c>
      <c r="G1260" s="4" t="s">
        <v>18</v>
      </c>
      <c r="H1260" s="4" t="s">
        <v>184</v>
      </c>
      <c r="I1260" s="5" t="str">
        <f t="shared" si="19"/>
        <v>2025-05</v>
      </c>
      <c r="J1260" s="4" t="s">
        <v>50</v>
      </c>
      <c r="K1260" s="5" t="s">
        <v>343</v>
      </c>
      <c r="L1260" s="2">
        <v>44000</v>
      </c>
      <c r="M1260" s="3">
        <v>1</v>
      </c>
      <c r="N1260" s="2">
        <v>44000</v>
      </c>
      <c r="O1260" s="2">
        <v>4400</v>
      </c>
      <c r="P1260" s="2">
        <v>48400</v>
      </c>
      <c r="Q1260" s="2">
        <f>P1260*12%</f>
        <v>5808</v>
      </c>
    </row>
    <row r="1261" spans="1:17" hidden="1" x14ac:dyDescent="0.4">
      <c r="A1261" s="4" t="s">
        <v>13</v>
      </c>
      <c r="B1261" s="4" t="s">
        <v>14</v>
      </c>
      <c r="C1261" s="30" t="s">
        <v>434</v>
      </c>
      <c r="D1261" s="4" t="s">
        <v>15</v>
      </c>
      <c r="E1261" s="4" t="s">
        <v>16</v>
      </c>
      <c r="F1261" s="4" t="s">
        <v>17</v>
      </c>
      <c r="G1261" s="4" t="s">
        <v>18</v>
      </c>
      <c r="H1261" s="4" t="s">
        <v>184</v>
      </c>
      <c r="I1261" s="5" t="str">
        <f t="shared" si="19"/>
        <v>2025-05</v>
      </c>
      <c r="J1261" s="4" t="s">
        <v>50</v>
      </c>
      <c r="K1261" s="5" t="s">
        <v>343</v>
      </c>
      <c r="L1261" s="2">
        <v>42000</v>
      </c>
      <c r="M1261" s="3">
        <v>12</v>
      </c>
      <c r="N1261" s="2">
        <v>504000</v>
      </c>
      <c r="O1261" s="2">
        <v>50400</v>
      </c>
      <c r="P1261" s="2">
        <v>554400</v>
      </c>
      <c r="Q1261" s="2">
        <f>P1261*12%</f>
        <v>66528</v>
      </c>
    </row>
    <row r="1262" spans="1:17" hidden="1" x14ac:dyDescent="0.4">
      <c r="A1262" s="4" t="s">
        <v>23</v>
      </c>
      <c r="B1262" s="4" t="s">
        <v>14</v>
      </c>
      <c r="C1262" s="31" t="s">
        <v>435</v>
      </c>
      <c r="D1262" s="4" t="s">
        <v>24</v>
      </c>
      <c r="E1262" s="4" t="s">
        <v>16</v>
      </c>
      <c r="F1262" s="4" t="s">
        <v>17</v>
      </c>
      <c r="G1262" s="4" t="s">
        <v>18</v>
      </c>
      <c r="H1262" s="4" t="s">
        <v>184</v>
      </c>
      <c r="I1262" s="5" t="str">
        <f t="shared" si="19"/>
        <v>2025-05</v>
      </c>
      <c r="J1262" s="4" t="s">
        <v>50</v>
      </c>
      <c r="K1262" s="5" t="s">
        <v>343</v>
      </c>
      <c r="L1262" s="2">
        <v>54000</v>
      </c>
      <c r="M1262" s="3">
        <v>5</v>
      </c>
      <c r="N1262" s="2">
        <v>270000</v>
      </c>
      <c r="O1262" s="2">
        <v>27000</v>
      </c>
      <c r="P1262" s="2">
        <v>297000</v>
      </c>
      <c r="Q1262" s="2">
        <f>P1262*12%</f>
        <v>35640</v>
      </c>
    </row>
    <row r="1263" spans="1:17" hidden="1" x14ac:dyDescent="0.4">
      <c r="A1263" s="4" t="s">
        <v>51</v>
      </c>
      <c r="B1263" s="4" t="s">
        <v>14</v>
      </c>
      <c r="C1263" s="30" t="s">
        <v>434</v>
      </c>
      <c r="D1263" s="4" t="s">
        <v>52</v>
      </c>
      <c r="E1263" s="4" t="s">
        <v>16</v>
      </c>
      <c r="F1263" s="4" t="s">
        <v>17</v>
      </c>
      <c r="G1263" s="4" t="s">
        <v>18</v>
      </c>
      <c r="H1263" s="4" t="s">
        <v>184</v>
      </c>
      <c r="I1263" s="5" t="str">
        <f t="shared" si="19"/>
        <v>2025-05</v>
      </c>
      <c r="J1263" s="4" t="s">
        <v>50</v>
      </c>
      <c r="K1263" s="5" t="s">
        <v>343</v>
      </c>
      <c r="L1263" s="2">
        <v>71250</v>
      </c>
      <c r="M1263" s="3">
        <v>2</v>
      </c>
      <c r="N1263" s="2">
        <v>142500</v>
      </c>
      <c r="O1263" s="2">
        <v>14250</v>
      </c>
      <c r="P1263" s="2">
        <v>156750</v>
      </c>
      <c r="Q1263" s="2">
        <f>P1263*12%</f>
        <v>18810</v>
      </c>
    </row>
    <row r="1264" spans="1:17" x14ac:dyDescent="0.4">
      <c r="A1264" s="4" t="s">
        <v>13</v>
      </c>
      <c r="B1264" s="4" t="s">
        <v>14</v>
      </c>
      <c r="C1264" s="30" t="s">
        <v>434</v>
      </c>
      <c r="D1264" s="4" t="s">
        <v>15</v>
      </c>
      <c r="E1264" s="4" t="s">
        <v>16</v>
      </c>
      <c r="F1264" s="4" t="s">
        <v>17</v>
      </c>
      <c r="G1264" s="4" t="s">
        <v>18</v>
      </c>
      <c r="H1264" s="4" t="s">
        <v>185</v>
      </c>
      <c r="I1264" s="5" t="str">
        <f t="shared" si="19"/>
        <v>2025-06</v>
      </c>
      <c r="J1264" s="4" t="s">
        <v>20</v>
      </c>
      <c r="K1264" s="5" t="s">
        <v>342</v>
      </c>
      <c r="L1264" s="2">
        <v>42000</v>
      </c>
      <c r="M1264" s="3">
        <v>3</v>
      </c>
      <c r="N1264" s="2">
        <v>126000</v>
      </c>
      <c r="O1264" s="2">
        <v>12600</v>
      </c>
      <c r="P1264" s="2">
        <v>138600</v>
      </c>
      <c r="Q1264" s="2">
        <f>P1264*8.5%</f>
        <v>11781</v>
      </c>
    </row>
    <row r="1265" spans="1:17" x14ac:dyDescent="0.4">
      <c r="A1265" s="4" t="s">
        <v>21</v>
      </c>
      <c r="B1265" s="4" t="s">
        <v>14</v>
      </c>
      <c r="C1265" s="31" t="s">
        <v>435</v>
      </c>
      <c r="D1265" s="4" t="s">
        <v>22</v>
      </c>
      <c r="E1265" s="4" t="s">
        <v>16</v>
      </c>
      <c r="F1265" s="4" t="s">
        <v>17</v>
      </c>
      <c r="G1265" s="4" t="s">
        <v>18</v>
      </c>
      <c r="H1265" s="4" t="s">
        <v>185</v>
      </c>
      <c r="I1265" s="5" t="str">
        <f t="shared" si="19"/>
        <v>2025-06</v>
      </c>
      <c r="J1265" s="4" t="s">
        <v>20</v>
      </c>
      <c r="K1265" s="5" t="s">
        <v>342</v>
      </c>
      <c r="L1265" s="2">
        <v>54000</v>
      </c>
      <c r="M1265" s="3">
        <v>2</v>
      </c>
      <c r="N1265" s="2">
        <v>108000</v>
      </c>
      <c r="O1265" s="2">
        <v>10800</v>
      </c>
      <c r="P1265" s="2">
        <v>118800</v>
      </c>
      <c r="Q1265" s="2">
        <f>P1265*8.5%</f>
        <v>10098</v>
      </c>
    </row>
    <row r="1266" spans="1:17" x14ac:dyDescent="0.4">
      <c r="A1266" s="4" t="s">
        <v>23</v>
      </c>
      <c r="B1266" s="4" t="s">
        <v>14</v>
      </c>
      <c r="C1266" s="31" t="s">
        <v>435</v>
      </c>
      <c r="D1266" s="4" t="s">
        <v>24</v>
      </c>
      <c r="E1266" s="4" t="s">
        <v>16</v>
      </c>
      <c r="F1266" s="4" t="s">
        <v>17</v>
      </c>
      <c r="G1266" s="4" t="s">
        <v>18</v>
      </c>
      <c r="H1266" s="4" t="s">
        <v>185</v>
      </c>
      <c r="I1266" s="5" t="str">
        <f t="shared" si="19"/>
        <v>2025-06</v>
      </c>
      <c r="J1266" s="4" t="s">
        <v>20</v>
      </c>
      <c r="K1266" s="5" t="s">
        <v>342</v>
      </c>
      <c r="L1266" s="2">
        <v>54000</v>
      </c>
      <c r="M1266" s="3">
        <v>3</v>
      </c>
      <c r="N1266" s="2">
        <v>162000</v>
      </c>
      <c r="O1266" s="2">
        <v>16200</v>
      </c>
      <c r="P1266" s="2">
        <v>178200</v>
      </c>
      <c r="Q1266" s="2">
        <f>P1266*8.5%</f>
        <v>15147.000000000002</v>
      </c>
    </row>
    <row r="1267" spans="1:17" x14ac:dyDescent="0.4">
      <c r="A1267" s="4" t="s">
        <v>56</v>
      </c>
      <c r="B1267" s="4" t="s">
        <v>26</v>
      </c>
      <c r="C1267" s="32" t="s">
        <v>436</v>
      </c>
      <c r="D1267" s="4" t="s">
        <v>57</v>
      </c>
      <c r="E1267" s="4" t="s">
        <v>44</v>
      </c>
      <c r="F1267" s="4" t="s">
        <v>31</v>
      </c>
      <c r="G1267" s="4" t="s">
        <v>18</v>
      </c>
      <c r="H1267" s="4" t="s">
        <v>185</v>
      </c>
      <c r="I1267" s="5" t="str">
        <f t="shared" si="19"/>
        <v>2025-06</v>
      </c>
      <c r="J1267" s="4" t="s">
        <v>20</v>
      </c>
      <c r="K1267" s="5" t="s">
        <v>342</v>
      </c>
      <c r="L1267" s="2">
        <v>1925</v>
      </c>
      <c r="M1267" s="3">
        <v>27</v>
      </c>
      <c r="N1267" s="2">
        <v>51975</v>
      </c>
      <c r="O1267" s="2">
        <v>0</v>
      </c>
      <c r="P1267" s="2">
        <v>51975</v>
      </c>
      <c r="Q1267" s="2">
        <f>P1267*8.5%</f>
        <v>4417.875</v>
      </c>
    </row>
    <row r="1268" spans="1:17" hidden="1" x14ac:dyDescent="0.4">
      <c r="A1268" s="4" t="s">
        <v>32</v>
      </c>
      <c r="B1268" s="4" t="s">
        <v>14</v>
      </c>
      <c r="C1268" s="31" t="s">
        <v>435</v>
      </c>
      <c r="D1268" s="4" t="s">
        <v>33</v>
      </c>
      <c r="E1268" s="4" t="s">
        <v>16</v>
      </c>
      <c r="F1268" s="4" t="s">
        <v>17</v>
      </c>
      <c r="G1268" s="4" t="s">
        <v>18</v>
      </c>
      <c r="H1268" s="4" t="s">
        <v>185</v>
      </c>
      <c r="I1268" s="5" t="str">
        <f t="shared" si="19"/>
        <v>2025-06</v>
      </c>
      <c r="J1268" s="4" t="s">
        <v>118</v>
      </c>
      <c r="K1268" s="5" t="s">
        <v>342</v>
      </c>
      <c r="L1268" s="2">
        <v>44000</v>
      </c>
      <c r="M1268" s="3">
        <v>1</v>
      </c>
      <c r="N1268" s="2">
        <v>44000</v>
      </c>
      <c r="O1268" s="2">
        <v>4400</v>
      </c>
      <c r="P1268" s="2">
        <v>48400</v>
      </c>
      <c r="Q1268" s="2">
        <f>P1268*8.5%</f>
        <v>4114</v>
      </c>
    </row>
    <row r="1269" spans="1:17" hidden="1" x14ac:dyDescent="0.4">
      <c r="A1269" s="4" t="s">
        <v>13</v>
      </c>
      <c r="B1269" s="4" t="s">
        <v>14</v>
      </c>
      <c r="C1269" s="30" t="s">
        <v>434</v>
      </c>
      <c r="D1269" s="4" t="s">
        <v>15</v>
      </c>
      <c r="E1269" s="4" t="s">
        <v>16</v>
      </c>
      <c r="F1269" s="4" t="s">
        <v>17</v>
      </c>
      <c r="G1269" s="4" t="s">
        <v>18</v>
      </c>
      <c r="H1269" s="4" t="s">
        <v>185</v>
      </c>
      <c r="I1269" s="5" t="str">
        <f t="shared" si="19"/>
        <v>2025-06</v>
      </c>
      <c r="J1269" s="4" t="s">
        <v>118</v>
      </c>
      <c r="K1269" s="5" t="s">
        <v>342</v>
      </c>
      <c r="L1269" s="2">
        <v>42000</v>
      </c>
      <c r="M1269" s="3">
        <v>2</v>
      </c>
      <c r="N1269" s="2">
        <v>84000</v>
      </c>
      <c r="O1269" s="2">
        <v>8400</v>
      </c>
      <c r="P1269" s="2">
        <v>92400</v>
      </c>
      <c r="Q1269" s="2">
        <f>P1269*8.5%</f>
        <v>7854.0000000000009</v>
      </c>
    </row>
    <row r="1270" spans="1:17" hidden="1" x14ac:dyDescent="0.4">
      <c r="A1270" s="4" t="s">
        <v>23</v>
      </c>
      <c r="B1270" s="4" t="s">
        <v>14</v>
      </c>
      <c r="C1270" s="31" t="s">
        <v>435</v>
      </c>
      <c r="D1270" s="4" t="s">
        <v>24</v>
      </c>
      <c r="E1270" s="4" t="s">
        <v>16</v>
      </c>
      <c r="F1270" s="4" t="s">
        <v>17</v>
      </c>
      <c r="G1270" s="4" t="s">
        <v>18</v>
      </c>
      <c r="H1270" s="4" t="s">
        <v>185</v>
      </c>
      <c r="I1270" s="5" t="str">
        <f t="shared" si="19"/>
        <v>2025-06</v>
      </c>
      <c r="J1270" s="4" t="s">
        <v>118</v>
      </c>
      <c r="K1270" s="5" t="s">
        <v>342</v>
      </c>
      <c r="L1270" s="2">
        <v>54000</v>
      </c>
      <c r="M1270" s="3">
        <v>3</v>
      </c>
      <c r="N1270" s="2">
        <v>162000</v>
      </c>
      <c r="O1270" s="2">
        <v>16200</v>
      </c>
      <c r="P1270" s="2">
        <v>178200</v>
      </c>
      <c r="Q1270" s="2">
        <f>P1270*8.5%</f>
        <v>15147.000000000002</v>
      </c>
    </row>
    <row r="1271" spans="1:17" hidden="1" x14ac:dyDescent="0.4">
      <c r="A1271" s="4" t="s">
        <v>51</v>
      </c>
      <c r="B1271" s="4" t="s">
        <v>14</v>
      </c>
      <c r="C1271" s="30" t="s">
        <v>434</v>
      </c>
      <c r="D1271" s="4" t="s">
        <v>52</v>
      </c>
      <c r="E1271" s="4" t="s">
        <v>16</v>
      </c>
      <c r="F1271" s="4" t="s">
        <v>17</v>
      </c>
      <c r="G1271" s="4" t="s">
        <v>18</v>
      </c>
      <c r="H1271" s="4" t="s">
        <v>185</v>
      </c>
      <c r="I1271" s="5" t="str">
        <f t="shared" si="19"/>
        <v>2025-06</v>
      </c>
      <c r="J1271" s="4" t="s">
        <v>118</v>
      </c>
      <c r="K1271" s="5" t="s">
        <v>342</v>
      </c>
      <c r="L1271" s="2">
        <v>71250</v>
      </c>
      <c r="M1271" s="3">
        <v>1</v>
      </c>
      <c r="N1271" s="2">
        <v>71250</v>
      </c>
      <c r="O1271" s="2">
        <v>7125</v>
      </c>
      <c r="P1271" s="2">
        <v>78375</v>
      </c>
      <c r="Q1271" s="2">
        <f>P1271*8.5%</f>
        <v>6661.8750000000009</v>
      </c>
    </row>
    <row r="1272" spans="1:17" hidden="1" x14ac:dyDescent="0.4">
      <c r="A1272" s="4" t="s">
        <v>32</v>
      </c>
      <c r="B1272" s="4" t="s">
        <v>14</v>
      </c>
      <c r="C1272" s="31" t="s">
        <v>435</v>
      </c>
      <c r="D1272" s="4" t="s">
        <v>33</v>
      </c>
      <c r="E1272" s="4" t="s">
        <v>16</v>
      </c>
      <c r="F1272" s="4" t="s">
        <v>17</v>
      </c>
      <c r="G1272" s="4" t="s">
        <v>18</v>
      </c>
      <c r="H1272" s="4" t="s">
        <v>185</v>
      </c>
      <c r="I1272" s="5" t="str">
        <f t="shared" si="19"/>
        <v>2025-06</v>
      </c>
      <c r="J1272" s="4" t="s">
        <v>34</v>
      </c>
      <c r="K1272" s="5" t="s">
        <v>342</v>
      </c>
      <c r="L1272" s="2">
        <v>44000</v>
      </c>
      <c r="M1272" s="3">
        <v>3</v>
      </c>
      <c r="N1272" s="2">
        <v>132000</v>
      </c>
      <c r="O1272" s="2">
        <v>13200</v>
      </c>
      <c r="P1272" s="2">
        <v>145200</v>
      </c>
      <c r="Q1272" s="2">
        <f>P1272*8.5%</f>
        <v>12342</v>
      </c>
    </row>
    <row r="1273" spans="1:17" hidden="1" x14ac:dyDescent="0.4">
      <c r="A1273" s="4" t="s">
        <v>42</v>
      </c>
      <c r="B1273" s="4" t="s">
        <v>14</v>
      </c>
      <c r="C1273" s="30" t="s">
        <v>434</v>
      </c>
      <c r="D1273" s="4" t="s">
        <v>43</v>
      </c>
      <c r="E1273" s="4" t="s">
        <v>44</v>
      </c>
      <c r="F1273" s="4" t="s">
        <v>31</v>
      </c>
      <c r="G1273" s="4" t="s">
        <v>18</v>
      </c>
      <c r="H1273" s="4" t="s">
        <v>185</v>
      </c>
      <c r="I1273" s="5" t="str">
        <f t="shared" si="19"/>
        <v>2025-06</v>
      </c>
      <c r="J1273" s="4" t="s">
        <v>34</v>
      </c>
      <c r="K1273" s="5" t="s">
        <v>342</v>
      </c>
      <c r="L1273" s="2">
        <v>6800</v>
      </c>
      <c r="M1273" s="3">
        <v>33.1</v>
      </c>
      <c r="N1273" s="2">
        <v>225080</v>
      </c>
      <c r="O1273" s="2">
        <v>0</v>
      </c>
      <c r="P1273" s="2">
        <v>225080</v>
      </c>
      <c r="Q1273" s="2">
        <f>P1273*8.5%</f>
        <v>19131.800000000003</v>
      </c>
    </row>
    <row r="1274" spans="1:17" hidden="1" x14ac:dyDescent="0.4">
      <c r="A1274" s="4" t="s">
        <v>13</v>
      </c>
      <c r="B1274" s="4" t="s">
        <v>14</v>
      </c>
      <c r="C1274" s="30" t="s">
        <v>434</v>
      </c>
      <c r="D1274" s="4" t="s">
        <v>15</v>
      </c>
      <c r="E1274" s="4" t="s">
        <v>16</v>
      </c>
      <c r="F1274" s="4" t="s">
        <v>17</v>
      </c>
      <c r="G1274" s="4" t="s">
        <v>18</v>
      </c>
      <c r="H1274" s="4" t="s">
        <v>185</v>
      </c>
      <c r="I1274" s="5" t="str">
        <f t="shared" si="19"/>
        <v>2025-06</v>
      </c>
      <c r="J1274" s="4" t="s">
        <v>59</v>
      </c>
      <c r="K1274" s="5" t="s">
        <v>343</v>
      </c>
      <c r="L1274" s="2">
        <v>42000</v>
      </c>
      <c r="M1274" s="3">
        <v>2</v>
      </c>
      <c r="N1274" s="2">
        <v>84000</v>
      </c>
      <c r="O1274" s="2">
        <v>8400</v>
      </c>
      <c r="P1274" s="2">
        <v>92400</v>
      </c>
      <c r="Q1274" s="2">
        <f>P1274*12%</f>
        <v>11088</v>
      </c>
    </row>
    <row r="1275" spans="1:17" hidden="1" x14ac:dyDescent="0.4">
      <c r="A1275" s="4" t="s">
        <v>23</v>
      </c>
      <c r="B1275" s="4" t="s">
        <v>14</v>
      </c>
      <c r="C1275" s="31" t="s">
        <v>435</v>
      </c>
      <c r="D1275" s="4" t="s">
        <v>24</v>
      </c>
      <c r="E1275" s="4" t="s">
        <v>16</v>
      </c>
      <c r="F1275" s="4" t="s">
        <v>17</v>
      </c>
      <c r="G1275" s="4" t="s">
        <v>18</v>
      </c>
      <c r="H1275" s="4" t="s">
        <v>185</v>
      </c>
      <c r="I1275" s="5" t="str">
        <f t="shared" si="19"/>
        <v>2025-06</v>
      </c>
      <c r="J1275" s="4" t="s">
        <v>59</v>
      </c>
      <c r="K1275" s="5" t="s">
        <v>343</v>
      </c>
      <c r="L1275" s="2">
        <v>54000</v>
      </c>
      <c r="M1275" s="3">
        <v>2</v>
      </c>
      <c r="N1275" s="2">
        <v>108000</v>
      </c>
      <c r="O1275" s="2">
        <v>10800</v>
      </c>
      <c r="P1275" s="2">
        <v>118800</v>
      </c>
      <c r="Q1275" s="2">
        <f>P1275*12%</f>
        <v>14256</v>
      </c>
    </row>
    <row r="1276" spans="1:17" hidden="1" x14ac:dyDescent="0.4">
      <c r="A1276" s="4" t="s">
        <v>51</v>
      </c>
      <c r="B1276" s="4" t="s">
        <v>14</v>
      </c>
      <c r="C1276" s="30" t="s">
        <v>434</v>
      </c>
      <c r="D1276" s="4" t="s">
        <v>52</v>
      </c>
      <c r="E1276" s="4" t="s">
        <v>16</v>
      </c>
      <c r="F1276" s="4" t="s">
        <v>17</v>
      </c>
      <c r="G1276" s="4" t="s">
        <v>18</v>
      </c>
      <c r="H1276" s="4" t="s">
        <v>185</v>
      </c>
      <c r="I1276" s="5" t="str">
        <f t="shared" si="19"/>
        <v>2025-06</v>
      </c>
      <c r="J1276" s="4" t="s">
        <v>59</v>
      </c>
      <c r="K1276" s="5" t="s">
        <v>343</v>
      </c>
      <c r="L1276" s="2">
        <v>71250</v>
      </c>
      <c r="M1276" s="3">
        <v>1</v>
      </c>
      <c r="N1276" s="2">
        <v>71250</v>
      </c>
      <c r="O1276" s="2">
        <v>7125</v>
      </c>
      <c r="P1276" s="2">
        <v>78375</v>
      </c>
      <c r="Q1276" s="2">
        <f>P1276*12%</f>
        <v>9405</v>
      </c>
    </row>
    <row r="1277" spans="1:17" hidden="1" x14ac:dyDescent="0.4">
      <c r="A1277" s="4" t="s">
        <v>35</v>
      </c>
      <c r="B1277" s="4" t="s">
        <v>14</v>
      </c>
      <c r="C1277" s="30" t="s">
        <v>434</v>
      </c>
      <c r="D1277" s="4" t="s">
        <v>36</v>
      </c>
      <c r="E1277" s="4" t="s">
        <v>16</v>
      </c>
      <c r="F1277" s="4" t="s">
        <v>17</v>
      </c>
      <c r="G1277" s="4" t="s">
        <v>18</v>
      </c>
      <c r="H1277" s="4" t="s">
        <v>185</v>
      </c>
      <c r="I1277" s="5" t="str">
        <f t="shared" si="19"/>
        <v>2025-06</v>
      </c>
      <c r="J1277" s="4" t="s">
        <v>60</v>
      </c>
      <c r="K1277" s="5" t="s">
        <v>343</v>
      </c>
      <c r="L1277" s="2">
        <v>116220</v>
      </c>
      <c r="M1277" s="3">
        <v>6</v>
      </c>
      <c r="N1277" s="2">
        <v>697320</v>
      </c>
      <c r="O1277" s="2">
        <v>69732</v>
      </c>
      <c r="P1277" s="2">
        <v>767052</v>
      </c>
      <c r="Q1277" s="2">
        <f>P1277*12%</f>
        <v>92046.239999999991</v>
      </c>
    </row>
    <row r="1278" spans="1:17" hidden="1" x14ac:dyDescent="0.4">
      <c r="A1278" s="4" t="s">
        <v>23</v>
      </c>
      <c r="B1278" s="4" t="s">
        <v>14</v>
      </c>
      <c r="C1278" s="31" t="s">
        <v>435</v>
      </c>
      <c r="D1278" s="4" t="s">
        <v>24</v>
      </c>
      <c r="E1278" s="4" t="s">
        <v>16</v>
      </c>
      <c r="F1278" s="4" t="s">
        <v>17</v>
      </c>
      <c r="G1278" s="4" t="s">
        <v>18</v>
      </c>
      <c r="H1278" s="4" t="s">
        <v>185</v>
      </c>
      <c r="I1278" s="5" t="str">
        <f t="shared" si="19"/>
        <v>2025-06</v>
      </c>
      <c r="J1278" s="4" t="s">
        <v>60</v>
      </c>
      <c r="K1278" s="5" t="s">
        <v>343</v>
      </c>
      <c r="L1278" s="2">
        <v>54000</v>
      </c>
      <c r="M1278" s="3">
        <v>9</v>
      </c>
      <c r="N1278" s="2">
        <v>486000</v>
      </c>
      <c r="O1278" s="2">
        <v>48600</v>
      </c>
      <c r="P1278" s="2">
        <v>534600</v>
      </c>
      <c r="Q1278" s="2">
        <f>P1278*12%</f>
        <v>64152</v>
      </c>
    </row>
    <row r="1279" spans="1:17" hidden="1" x14ac:dyDescent="0.4">
      <c r="A1279" s="4" t="s">
        <v>51</v>
      </c>
      <c r="B1279" s="4" t="s">
        <v>14</v>
      </c>
      <c r="C1279" s="30" t="s">
        <v>434</v>
      </c>
      <c r="D1279" s="4" t="s">
        <v>52</v>
      </c>
      <c r="E1279" s="4" t="s">
        <v>16</v>
      </c>
      <c r="F1279" s="4" t="s">
        <v>17</v>
      </c>
      <c r="G1279" s="4" t="s">
        <v>18</v>
      </c>
      <c r="H1279" s="4" t="s">
        <v>185</v>
      </c>
      <c r="I1279" s="5" t="str">
        <f t="shared" si="19"/>
        <v>2025-06</v>
      </c>
      <c r="J1279" s="4" t="s">
        <v>60</v>
      </c>
      <c r="K1279" s="5" t="s">
        <v>343</v>
      </c>
      <c r="L1279" s="2">
        <v>71250</v>
      </c>
      <c r="M1279" s="3">
        <v>1</v>
      </c>
      <c r="N1279" s="2">
        <v>71250</v>
      </c>
      <c r="O1279" s="2">
        <v>7125</v>
      </c>
      <c r="P1279" s="2">
        <v>78375</v>
      </c>
      <c r="Q1279" s="2">
        <f>P1279*12%</f>
        <v>9405</v>
      </c>
    </row>
    <row r="1280" spans="1:17" hidden="1" x14ac:dyDescent="0.4">
      <c r="A1280" s="4" t="s">
        <v>32</v>
      </c>
      <c r="B1280" s="4" t="s">
        <v>14</v>
      </c>
      <c r="C1280" s="31" t="s">
        <v>435</v>
      </c>
      <c r="D1280" s="4" t="s">
        <v>33</v>
      </c>
      <c r="E1280" s="4" t="s">
        <v>16</v>
      </c>
      <c r="F1280" s="4" t="s">
        <v>17</v>
      </c>
      <c r="G1280" s="4" t="s">
        <v>18</v>
      </c>
      <c r="H1280" s="4" t="s">
        <v>185</v>
      </c>
      <c r="I1280" s="5" t="str">
        <f t="shared" si="19"/>
        <v>2025-06</v>
      </c>
      <c r="J1280" s="4" t="s">
        <v>49</v>
      </c>
      <c r="K1280" s="5" t="s">
        <v>343</v>
      </c>
      <c r="L1280" s="2">
        <v>44000</v>
      </c>
      <c r="M1280" s="3">
        <v>2</v>
      </c>
      <c r="N1280" s="2">
        <v>88000</v>
      </c>
      <c r="O1280" s="2">
        <v>8800</v>
      </c>
      <c r="P1280" s="2">
        <v>96800</v>
      </c>
      <c r="Q1280" s="2">
        <f>P1280*12%</f>
        <v>11616</v>
      </c>
    </row>
    <row r="1281" spans="1:17" hidden="1" x14ac:dyDescent="0.4">
      <c r="A1281" s="4" t="s">
        <v>13</v>
      </c>
      <c r="B1281" s="4" t="s">
        <v>14</v>
      </c>
      <c r="C1281" s="30" t="s">
        <v>434</v>
      </c>
      <c r="D1281" s="4" t="s">
        <v>15</v>
      </c>
      <c r="E1281" s="4" t="s">
        <v>16</v>
      </c>
      <c r="F1281" s="4" t="s">
        <v>17</v>
      </c>
      <c r="G1281" s="4" t="s">
        <v>18</v>
      </c>
      <c r="H1281" s="4" t="s">
        <v>185</v>
      </c>
      <c r="I1281" s="5" t="str">
        <f t="shared" si="19"/>
        <v>2025-06</v>
      </c>
      <c r="J1281" s="4" t="s">
        <v>49</v>
      </c>
      <c r="K1281" s="5" t="s">
        <v>343</v>
      </c>
      <c r="L1281" s="2">
        <v>42000</v>
      </c>
      <c r="M1281" s="3">
        <v>2</v>
      </c>
      <c r="N1281" s="2">
        <v>84000</v>
      </c>
      <c r="O1281" s="2">
        <v>8400</v>
      </c>
      <c r="P1281" s="2">
        <v>92400</v>
      </c>
      <c r="Q1281" s="2">
        <f>P1281*12%</f>
        <v>11088</v>
      </c>
    </row>
    <row r="1282" spans="1:17" hidden="1" x14ac:dyDescent="0.4">
      <c r="A1282" s="4" t="s">
        <v>35</v>
      </c>
      <c r="B1282" s="4" t="s">
        <v>14</v>
      </c>
      <c r="C1282" s="30" t="s">
        <v>434</v>
      </c>
      <c r="D1282" s="4" t="s">
        <v>36</v>
      </c>
      <c r="E1282" s="4" t="s">
        <v>16</v>
      </c>
      <c r="F1282" s="4" t="s">
        <v>17</v>
      </c>
      <c r="G1282" s="4" t="s">
        <v>18</v>
      </c>
      <c r="H1282" s="4" t="s">
        <v>185</v>
      </c>
      <c r="I1282" s="5" t="str">
        <f t="shared" ref="I1282:I1345" si="20">TEXT(H1282,"yyyy-mm")</f>
        <v>2025-06</v>
      </c>
      <c r="J1282" s="4" t="s">
        <v>49</v>
      </c>
      <c r="K1282" s="5" t="s">
        <v>343</v>
      </c>
      <c r="L1282" s="2">
        <v>116220</v>
      </c>
      <c r="M1282" s="3">
        <v>2</v>
      </c>
      <c r="N1282" s="2">
        <v>232440</v>
      </c>
      <c r="O1282" s="2">
        <v>23244</v>
      </c>
      <c r="P1282" s="2">
        <v>255684</v>
      </c>
      <c r="Q1282" s="2">
        <f>P1282*12%</f>
        <v>30682.079999999998</v>
      </c>
    </row>
    <row r="1283" spans="1:17" hidden="1" x14ac:dyDescent="0.4">
      <c r="A1283" s="4" t="s">
        <v>23</v>
      </c>
      <c r="B1283" s="4" t="s">
        <v>14</v>
      </c>
      <c r="C1283" s="31" t="s">
        <v>435</v>
      </c>
      <c r="D1283" s="4" t="s">
        <v>24</v>
      </c>
      <c r="E1283" s="4" t="s">
        <v>16</v>
      </c>
      <c r="F1283" s="4" t="s">
        <v>17</v>
      </c>
      <c r="G1283" s="4" t="s">
        <v>18</v>
      </c>
      <c r="H1283" s="4" t="s">
        <v>185</v>
      </c>
      <c r="I1283" s="5" t="str">
        <f t="shared" si="20"/>
        <v>2025-06</v>
      </c>
      <c r="J1283" s="4" t="s">
        <v>49</v>
      </c>
      <c r="K1283" s="5" t="s">
        <v>343</v>
      </c>
      <c r="L1283" s="2">
        <v>54000</v>
      </c>
      <c r="M1283" s="3">
        <v>2</v>
      </c>
      <c r="N1283" s="2">
        <v>108000</v>
      </c>
      <c r="O1283" s="2">
        <v>10800</v>
      </c>
      <c r="P1283" s="2">
        <v>118800</v>
      </c>
      <c r="Q1283" s="2">
        <f>P1283*12%</f>
        <v>14256</v>
      </c>
    </row>
    <row r="1284" spans="1:17" hidden="1" x14ac:dyDescent="0.4">
      <c r="A1284" s="4" t="s">
        <v>32</v>
      </c>
      <c r="B1284" s="4" t="s">
        <v>14</v>
      </c>
      <c r="C1284" s="31" t="s">
        <v>435</v>
      </c>
      <c r="D1284" s="4" t="s">
        <v>33</v>
      </c>
      <c r="E1284" s="4" t="s">
        <v>16</v>
      </c>
      <c r="F1284" s="4" t="s">
        <v>17</v>
      </c>
      <c r="G1284" s="4" t="s">
        <v>18</v>
      </c>
      <c r="H1284" s="4" t="s">
        <v>185</v>
      </c>
      <c r="I1284" s="5" t="str">
        <f t="shared" si="20"/>
        <v>2025-06</v>
      </c>
      <c r="J1284" s="4" t="s">
        <v>50</v>
      </c>
      <c r="K1284" s="5" t="s">
        <v>343</v>
      </c>
      <c r="L1284" s="2">
        <v>44000</v>
      </c>
      <c r="M1284" s="3">
        <v>1</v>
      </c>
      <c r="N1284" s="2">
        <v>44000</v>
      </c>
      <c r="O1284" s="2">
        <v>4400</v>
      </c>
      <c r="P1284" s="2">
        <v>48400</v>
      </c>
      <c r="Q1284" s="2">
        <f>P1284*12%</f>
        <v>5808</v>
      </c>
    </row>
    <row r="1285" spans="1:17" hidden="1" x14ac:dyDescent="0.4">
      <c r="A1285" s="4" t="s">
        <v>13</v>
      </c>
      <c r="B1285" s="4" t="s">
        <v>14</v>
      </c>
      <c r="C1285" s="30" t="s">
        <v>434</v>
      </c>
      <c r="D1285" s="4" t="s">
        <v>15</v>
      </c>
      <c r="E1285" s="4" t="s">
        <v>16</v>
      </c>
      <c r="F1285" s="4" t="s">
        <v>17</v>
      </c>
      <c r="G1285" s="4" t="s">
        <v>18</v>
      </c>
      <c r="H1285" s="4" t="s">
        <v>185</v>
      </c>
      <c r="I1285" s="5" t="str">
        <f t="shared" si="20"/>
        <v>2025-06</v>
      </c>
      <c r="J1285" s="4" t="s">
        <v>50</v>
      </c>
      <c r="K1285" s="5" t="s">
        <v>343</v>
      </c>
      <c r="L1285" s="2">
        <v>42000</v>
      </c>
      <c r="M1285" s="3">
        <v>15</v>
      </c>
      <c r="N1285" s="2">
        <v>630000</v>
      </c>
      <c r="O1285" s="2">
        <v>63000</v>
      </c>
      <c r="P1285" s="2">
        <v>693000</v>
      </c>
      <c r="Q1285" s="2">
        <f>P1285*12%</f>
        <v>83160</v>
      </c>
    </row>
    <row r="1286" spans="1:17" hidden="1" x14ac:dyDescent="0.4">
      <c r="A1286" s="4" t="s">
        <v>35</v>
      </c>
      <c r="B1286" s="4" t="s">
        <v>14</v>
      </c>
      <c r="C1286" s="30" t="s">
        <v>434</v>
      </c>
      <c r="D1286" s="4" t="s">
        <v>36</v>
      </c>
      <c r="E1286" s="4" t="s">
        <v>16</v>
      </c>
      <c r="F1286" s="4" t="s">
        <v>17</v>
      </c>
      <c r="G1286" s="4" t="s">
        <v>18</v>
      </c>
      <c r="H1286" s="4" t="s">
        <v>185</v>
      </c>
      <c r="I1286" s="5" t="str">
        <f t="shared" si="20"/>
        <v>2025-06</v>
      </c>
      <c r="J1286" s="4" t="s">
        <v>50</v>
      </c>
      <c r="K1286" s="5" t="s">
        <v>343</v>
      </c>
      <c r="L1286" s="2">
        <v>116220</v>
      </c>
      <c r="M1286" s="3">
        <v>1</v>
      </c>
      <c r="N1286" s="2">
        <v>116220</v>
      </c>
      <c r="O1286" s="2">
        <v>11622</v>
      </c>
      <c r="P1286" s="2">
        <v>127842</v>
      </c>
      <c r="Q1286" s="2">
        <f>P1286*12%</f>
        <v>15341.039999999999</v>
      </c>
    </row>
    <row r="1287" spans="1:17" hidden="1" x14ac:dyDescent="0.4">
      <c r="A1287" s="4" t="s">
        <v>23</v>
      </c>
      <c r="B1287" s="4" t="s">
        <v>14</v>
      </c>
      <c r="C1287" s="31" t="s">
        <v>435</v>
      </c>
      <c r="D1287" s="4" t="s">
        <v>24</v>
      </c>
      <c r="E1287" s="4" t="s">
        <v>16</v>
      </c>
      <c r="F1287" s="4" t="s">
        <v>17</v>
      </c>
      <c r="G1287" s="4" t="s">
        <v>18</v>
      </c>
      <c r="H1287" s="4" t="s">
        <v>185</v>
      </c>
      <c r="I1287" s="5" t="str">
        <f t="shared" si="20"/>
        <v>2025-06</v>
      </c>
      <c r="J1287" s="4" t="s">
        <v>50</v>
      </c>
      <c r="K1287" s="5" t="s">
        <v>343</v>
      </c>
      <c r="L1287" s="2">
        <v>54000</v>
      </c>
      <c r="M1287" s="3">
        <v>5</v>
      </c>
      <c r="N1287" s="2">
        <v>270000</v>
      </c>
      <c r="O1287" s="2">
        <v>27000</v>
      </c>
      <c r="P1287" s="2">
        <v>297000</v>
      </c>
      <c r="Q1287" s="2">
        <f>P1287*12%</f>
        <v>35640</v>
      </c>
    </row>
    <row r="1288" spans="1:17" hidden="1" x14ac:dyDescent="0.4">
      <c r="A1288" s="4" t="s">
        <v>51</v>
      </c>
      <c r="B1288" s="4" t="s">
        <v>14</v>
      </c>
      <c r="C1288" s="30" t="s">
        <v>434</v>
      </c>
      <c r="D1288" s="4" t="s">
        <v>52</v>
      </c>
      <c r="E1288" s="4" t="s">
        <v>16</v>
      </c>
      <c r="F1288" s="4" t="s">
        <v>17</v>
      </c>
      <c r="G1288" s="4" t="s">
        <v>18</v>
      </c>
      <c r="H1288" s="4" t="s">
        <v>185</v>
      </c>
      <c r="I1288" s="5" t="str">
        <f t="shared" si="20"/>
        <v>2025-06</v>
      </c>
      <c r="J1288" s="4" t="s">
        <v>50</v>
      </c>
      <c r="K1288" s="5" t="s">
        <v>343</v>
      </c>
      <c r="L1288" s="2">
        <v>71250</v>
      </c>
      <c r="M1288" s="3">
        <v>2</v>
      </c>
      <c r="N1288" s="2">
        <v>142500</v>
      </c>
      <c r="O1288" s="2">
        <v>14250</v>
      </c>
      <c r="P1288" s="2">
        <v>156750</v>
      </c>
      <c r="Q1288" s="2">
        <f>P1288*12%</f>
        <v>18810</v>
      </c>
    </row>
    <row r="1289" spans="1:17" x14ac:dyDescent="0.4">
      <c r="A1289" s="4" t="s">
        <v>13</v>
      </c>
      <c r="B1289" s="4" t="s">
        <v>14</v>
      </c>
      <c r="C1289" s="30" t="s">
        <v>434</v>
      </c>
      <c r="D1289" s="4" t="s">
        <v>15</v>
      </c>
      <c r="E1289" s="4" t="s">
        <v>16</v>
      </c>
      <c r="F1289" s="4" t="s">
        <v>17</v>
      </c>
      <c r="G1289" s="4" t="s">
        <v>18</v>
      </c>
      <c r="H1289" s="4" t="s">
        <v>186</v>
      </c>
      <c r="I1289" s="5" t="str">
        <f t="shared" si="20"/>
        <v>2025-06</v>
      </c>
      <c r="J1289" s="4" t="s">
        <v>20</v>
      </c>
      <c r="K1289" s="5" t="s">
        <v>342</v>
      </c>
      <c r="L1289" s="2">
        <v>42000</v>
      </c>
      <c r="M1289" s="3">
        <v>2</v>
      </c>
      <c r="N1289" s="2">
        <v>84000</v>
      </c>
      <c r="O1289" s="2">
        <v>8400</v>
      </c>
      <c r="P1289" s="2">
        <v>92400</v>
      </c>
      <c r="Q1289" s="2">
        <f>P1289*8.5%</f>
        <v>7854.0000000000009</v>
      </c>
    </row>
    <row r="1290" spans="1:17" x14ac:dyDescent="0.4">
      <c r="A1290" s="4" t="s">
        <v>21</v>
      </c>
      <c r="B1290" s="4" t="s">
        <v>14</v>
      </c>
      <c r="C1290" s="31" t="s">
        <v>435</v>
      </c>
      <c r="D1290" s="4" t="s">
        <v>22</v>
      </c>
      <c r="E1290" s="4" t="s">
        <v>16</v>
      </c>
      <c r="F1290" s="4" t="s">
        <v>17</v>
      </c>
      <c r="G1290" s="4" t="s">
        <v>18</v>
      </c>
      <c r="H1290" s="4" t="s">
        <v>186</v>
      </c>
      <c r="I1290" s="5" t="str">
        <f t="shared" si="20"/>
        <v>2025-06</v>
      </c>
      <c r="J1290" s="4" t="s">
        <v>20</v>
      </c>
      <c r="K1290" s="5" t="s">
        <v>342</v>
      </c>
      <c r="L1290" s="2">
        <v>54000</v>
      </c>
      <c r="M1290" s="3">
        <v>2</v>
      </c>
      <c r="N1290" s="2">
        <v>108000</v>
      </c>
      <c r="O1290" s="2">
        <v>10800</v>
      </c>
      <c r="P1290" s="2">
        <v>118800</v>
      </c>
      <c r="Q1290" s="2">
        <f>P1290*8.5%</f>
        <v>10098</v>
      </c>
    </row>
    <row r="1291" spans="1:17" x14ac:dyDescent="0.4">
      <c r="A1291" s="4" t="s">
        <v>23</v>
      </c>
      <c r="B1291" s="4" t="s">
        <v>14</v>
      </c>
      <c r="C1291" s="31" t="s">
        <v>435</v>
      </c>
      <c r="D1291" s="4" t="s">
        <v>24</v>
      </c>
      <c r="E1291" s="4" t="s">
        <v>16</v>
      </c>
      <c r="F1291" s="4" t="s">
        <v>17</v>
      </c>
      <c r="G1291" s="4" t="s">
        <v>18</v>
      </c>
      <c r="H1291" s="4" t="s">
        <v>186</v>
      </c>
      <c r="I1291" s="5" t="str">
        <f t="shared" si="20"/>
        <v>2025-06</v>
      </c>
      <c r="J1291" s="4" t="s">
        <v>20</v>
      </c>
      <c r="K1291" s="5" t="s">
        <v>342</v>
      </c>
      <c r="L1291" s="2">
        <v>54000</v>
      </c>
      <c r="M1291" s="3">
        <v>2</v>
      </c>
      <c r="N1291" s="2">
        <v>108000</v>
      </c>
      <c r="O1291" s="2">
        <v>10800</v>
      </c>
      <c r="P1291" s="2">
        <v>118800</v>
      </c>
      <c r="Q1291" s="2">
        <f>P1291*8.5%</f>
        <v>10098</v>
      </c>
    </row>
    <row r="1292" spans="1:17" x14ac:dyDescent="0.4">
      <c r="A1292" s="4" t="s">
        <v>56</v>
      </c>
      <c r="B1292" s="4" t="s">
        <v>26</v>
      </c>
      <c r="C1292" s="32" t="s">
        <v>436</v>
      </c>
      <c r="D1292" s="4" t="s">
        <v>57</v>
      </c>
      <c r="E1292" s="4" t="s">
        <v>44</v>
      </c>
      <c r="F1292" s="4" t="s">
        <v>31</v>
      </c>
      <c r="G1292" s="4" t="s">
        <v>18</v>
      </c>
      <c r="H1292" s="4" t="s">
        <v>186</v>
      </c>
      <c r="I1292" s="5" t="str">
        <f t="shared" si="20"/>
        <v>2025-06</v>
      </c>
      <c r="J1292" s="4" t="s">
        <v>20</v>
      </c>
      <c r="K1292" s="5" t="s">
        <v>342</v>
      </c>
      <c r="L1292" s="2">
        <v>1925</v>
      </c>
      <c r="M1292" s="3">
        <v>27</v>
      </c>
      <c r="N1292" s="2">
        <v>51975</v>
      </c>
      <c r="O1292" s="2">
        <v>0</v>
      </c>
      <c r="P1292" s="2">
        <v>51975</v>
      </c>
      <c r="Q1292" s="2">
        <f>P1292*8.5%</f>
        <v>4417.875</v>
      </c>
    </row>
    <row r="1293" spans="1:17" hidden="1" x14ac:dyDescent="0.4">
      <c r="A1293" s="4" t="s">
        <v>13</v>
      </c>
      <c r="B1293" s="4" t="s">
        <v>14</v>
      </c>
      <c r="C1293" s="30" t="s">
        <v>434</v>
      </c>
      <c r="D1293" s="4" t="s">
        <v>15</v>
      </c>
      <c r="E1293" s="4" t="s">
        <v>16</v>
      </c>
      <c r="F1293" s="4" t="s">
        <v>17</v>
      </c>
      <c r="G1293" s="4" t="s">
        <v>18</v>
      </c>
      <c r="H1293" s="4" t="s">
        <v>186</v>
      </c>
      <c r="I1293" s="5" t="str">
        <f t="shared" si="20"/>
        <v>2025-06</v>
      </c>
      <c r="J1293" s="4" t="s">
        <v>118</v>
      </c>
      <c r="K1293" s="5" t="s">
        <v>342</v>
      </c>
      <c r="L1293" s="2">
        <v>42000</v>
      </c>
      <c r="M1293" s="3">
        <v>4</v>
      </c>
      <c r="N1293" s="2">
        <v>168000</v>
      </c>
      <c r="O1293" s="2">
        <v>16800</v>
      </c>
      <c r="P1293" s="2">
        <v>184800</v>
      </c>
      <c r="Q1293" s="2">
        <f>P1293*8.5%</f>
        <v>15708.000000000002</v>
      </c>
    </row>
    <row r="1294" spans="1:17" hidden="1" x14ac:dyDescent="0.4">
      <c r="A1294" s="4" t="s">
        <v>64</v>
      </c>
      <c r="B1294" s="4" t="s">
        <v>65</v>
      </c>
      <c r="C1294" s="32" t="s">
        <v>436</v>
      </c>
      <c r="D1294" s="4" t="s">
        <v>66</v>
      </c>
      <c r="E1294" s="4" t="s">
        <v>16</v>
      </c>
      <c r="F1294" s="4" t="s">
        <v>17</v>
      </c>
      <c r="G1294" s="4" t="s">
        <v>18</v>
      </c>
      <c r="H1294" s="4" t="s">
        <v>186</v>
      </c>
      <c r="I1294" s="5" t="str">
        <f t="shared" si="20"/>
        <v>2025-06</v>
      </c>
      <c r="J1294" s="4" t="s">
        <v>34</v>
      </c>
      <c r="K1294" s="5" t="s">
        <v>342</v>
      </c>
      <c r="L1294" s="2">
        <v>10283</v>
      </c>
      <c r="M1294" s="3">
        <v>1</v>
      </c>
      <c r="N1294" s="2">
        <v>10283</v>
      </c>
      <c r="O1294" s="2">
        <v>1028</v>
      </c>
      <c r="P1294" s="2">
        <v>11311</v>
      </c>
      <c r="Q1294" s="2">
        <f>P1294*8.5%</f>
        <v>961.43500000000006</v>
      </c>
    </row>
    <row r="1295" spans="1:17" hidden="1" x14ac:dyDescent="0.4">
      <c r="A1295" s="4" t="s">
        <v>32</v>
      </c>
      <c r="B1295" s="4" t="s">
        <v>14</v>
      </c>
      <c r="C1295" s="31" t="s">
        <v>435</v>
      </c>
      <c r="D1295" s="4" t="s">
        <v>33</v>
      </c>
      <c r="E1295" s="4" t="s">
        <v>16</v>
      </c>
      <c r="F1295" s="4" t="s">
        <v>17</v>
      </c>
      <c r="G1295" s="4" t="s">
        <v>18</v>
      </c>
      <c r="H1295" s="4" t="s">
        <v>186</v>
      </c>
      <c r="I1295" s="5" t="str">
        <f t="shared" si="20"/>
        <v>2025-06</v>
      </c>
      <c r="J1295" s="4" t="s">
        <v>34</v>
      </c>
      <c r="K1295" s="5" t="s">
        <v>342</v>
      </c>
      <c r="L1295" s="2">
        <v>44000</v>
      </c>
      <c r="M1295" s="3">
        <v>2</v>
      </c>
      <c r="N1295" s="2">
        <v>88000</v>
      </c>
      <c r="O1295" s="2">
        <v>8800</v>
      </c>
      <c r="P1295" s="2">
        <v>96800</v>
      </c>
      <c r="Q1295" s="2">
        <f>P1295*8.5%</f>
        <v>8228</v>
      </c>
    </row>
    <row r="1296" spans="1:17" hidden="1" x14ac:dyDescent="0.4">
      <c r="A1296" s="4" t="s">
        <v>58</v>
      </c>
      <c r="B1296" s="4" t="s">
        <v>14</v>
      </c>
      <c r="C1296" s="30" t="s">
        <v>434</v>
      </c>
      <c r="D1296" s="4" t="s">
        <v>36</v>
      </c>
      <c r="E1296" s="4" t="s">
        <v>16</v>
      </c>
      <c r="F1296" s="4" t="s">
        <v>17</v>
      </c>
      <c r="G1296" s="4" t="s">
        <v>18</v>
      </c>
      <c r="H1296" s="4" t="s">
        <v>186</v>
      </c>
      <c r="I1296" s="5" t="str">
        <f t="shared" si="20"/>
        <v>2025-06</v>
      </c>
      <c r="J1296" s="4" t="s">
        <v>34</v>
      </c>
      <c r="K1296" s="5" t="s">
        <v>342</v>
      </c>
      <c r="L1296" s="2">
        <v>120880</v>
      </c>
      <c r="M1296" s="3">
        <v>1</v>
      </c>
      <c r="N1296" s="2">
        <v>120880</v>
      </c>
      <c r="O1296" s="2">
        <v>12088</v>
      </c>
      <c r="P1296" s="2">
        <v>132968</v>
      </c>
      <c r="Q1296" s="2">
        <f>P1296*8.5%</f>
        <v>11302.28</v>
      </c>
    </row>
    <row r="1297" spans="1:17" hidden="1" x14ac:dyDescent="0.4">
      <c r="A1297" s="4" t="s">
        <v>21</v>
      </c>
      <c r="B1297" s="4" t="s">
        <v>14</v>
      </c>
      <c r="C1297" s="31" t="s">
        <v>435</v>
      </c>
      <c r="D1297" s="4" t="s">
        <v>22</v>
      </c>
      <c r="E1297" s="4" t="s">
        <v>16</v>
      </c>
      <c r="F1297" s="4" t="s">
        <v>17</v>
      </c>
      <c r="G1297" s="4" t="s">
        <v>18</v>
      </c>
      <c r="H1297" s="4" t="s">
        <v>186</v>
      </c>
      <c r="I1297" s="5" t="str">
        <f t="shared" si="20"/>
        <v>2025-06</v>
      </c>
      <c r="J1297" s="4" t="s">
        <v>34</v>
      </c>
      <c r="K1297" s="5" t="s">
        <v>342</v>
      </c>
      <c r="L1297" s="2">
        <v>54000</v>
      </c>
      <c r="M1297" s="3">
        <v>2</v>
      </c>
      <c r="N1297" s="2">
        <v>108000</v>
      </c>
      <c r="O1297" s="2">
        <v>10800</v>
      </c>
      <c r="P1297" s="2">
        <v>118800</v>
      </c>
      <c r="Q1297" s="2">
        <f>P1297*8.5%</f>
        <v>10098</v>
      </c>
    </row>
    <row r="1298" spans="1:17" hidden="1" x14ac:dyDescent="0.4">
      <c r="A1298" s="4" t="s">
        <v>23</v>
      </c>
      <c r="B1298" s="4" t="s">
        <v>14</v>
      </c>
      <c r="C1298" s="31" t="s">
        <v>435</v>
      </c>
      <c r="D1298" s="4" t="s">
        <v>24</v>
      </c>
      <c r="E1298" s="4" t="s">
        <v>16</v>
      </c>
      <c r="F1298" s="4" t="s">
        <v>17</v>
      </c>
      <c r="G1298" s="4" t="s">
        <v>18</v>
      </c>
      <c r="H1298" s="4" t="s">
        <v>186</v>
      </c>
      <c r="I1298" s="5" t="str">
        <f t="shared" si="20"/>
        <v>2025-06</v>
      </c>
      <c r="J1298" s="4" t="s">
        <v>34</v>
      </c>
      <c r="K1298" s="5" t="s">
        <v>342</v>
      </c>
      <c r="L1298" s="2">
        <v>54000</v>
      </c>
      <c r="M1298" s="3">
        <v>6</v>
      </c>
      <c r="N1298" s="2">
        <v>324000</v>
      </c>
      <c r="O1298" s="2">
        <v>32400</v>
      </c>
      <c r="P1298" s="2">
        <v>356400</v>
      </c>
      <c r="Q1298" s="2">
        <f>P1298*8.5%</f>
        <v>30294.000000000004</v>
      </c>
    </row>
    <row r="1299" spans="1:17" hidden="1" x14ac:dyDescent="0.4">
      <c r="A1299" s="4" t="s">
        <v>51</v>
      </c>
      <c r="B1299" s="4" t="s">
        <v>14</v>
      </c>
      <c r="C1299" s="30" t="s">
        <v>434</v>
      </c>
      <c r="D1299" s="4" t="s">
        <v>52</v>
      </c>
      <c r="E1299" s="4" t="s">
        <v>16</v>
      </c>
      <c r="F1299" s="4" t="s">
        <v>17</v>
      </c>
      <c r="G1299" s="4" t="s">
        <v>18</v>
      </c>
      <c r="H1299" s="4" t="s">
        <v>186</v>
      </c>
      <c r="I1299" s="5" t="str">
        <f t="shared" si="20"/>
        <v>2025-06</v>
      </c>
      <c r="J1299" s="4" t="s">
        <v>34</v>
      </c>
      <c r="K1299" s="5" t="s">
        <v>342</v>
      </c>
      <c r="L1299" s="2">
        <v>71250</v>
      </c>
      <c r="M1299" s="3">
        <v>1</v>
      </c>
      <c r="N1299" s="2">
        <v>71250</v>
      </c>
      <c r="O1299" s="2">
        <v>7125</v>
      </c>
      <c r="P1299" s="2">
        <v>78375</v>
      </c>
      <c r="Q1299" s="2">
        <f>P1299*8.5%</f>
        <v>6661.8750000000009</v>
      </c>
    </row>
    <row r="1300" spans="1:17" hidden="1" x14ac:dyDescent="0.4">
      <c r="A1300" s="4" t="s">
        <v>84</v>
      </c>
      <c r="B1300" s="4" t="s">
        <v>26</v>
      </c>
      <c r="C1300" s="32" t="s">
        <v>436</v>
      </c>
      <c r="D1300" s="4" t="s">
        <v>85</v>
      </c>
      <c r="E1300" s="4" t="s">
        <v>28</v>
      </c>
      <c r="F1300" s="4" t="s">
        <v>17</v>
      </c>
      <c r="G1300" s="4" t="s">
        <v>18</v>
      </c>
      <c r="H1300" s="4" t="s">
        <v>186</v>
      </c>
      <c r="I1300" s="5" t="str">
        <f t="shared" si="20"/>
        <v>2025-06</v>
      </c>
      <c r="J1300" s="4" t="s">
        <v>34</v>
      </c>
      <c r="K1300" s="5" t="s">
        <v>342</v>
      </c>
      <c r="L1300" s="2">
        <v>5032</v>
      </c>
      <c r="M1300" s="3">
        <v>1</v>
      </c>
      <c r="N1300" s="2">
        <v>5032</v>
      </c>
      <c r="O1300" s="2">
        <v>503</v>
      </c>
      <c r="P1300" s="2">
        <v>5535</v>
      </c>
      <c r="Q1300" s="2">
        <f>P1300*8.5%</f>
        <v>470.47500000000002</v>
      </c>
    </row>
    <row r="1301" spans="1:17" hidden="1" x14ac:dyDescent="0.4">
      <c r="A1301" s="4" t="s">
        <v>67</v>
      </c>
      <c r="B1301" s="4" t="s">
        <v>26</v>
      </c>
      <c r="C1301" s="32" t="s">
        <v>436</v>
      </c>
      <c r="D1301" s="4" t="s">
        <v>63</v>
      </c>
      <c r="E1301" s="4" t="s">
        <v>28</v>
      </c>
      <c r="F1301" s="4" t="s">
        <v>17</v>
      </c>
      <c r="G1301" s="4" t="s">
        <v>18</v>
      </c>
      <c r="H1301" s="4" t="s">
        <v>186</v>
      </c>
      <c r="I1301" s="5" t="str">
        <f t="shared" si="20"/>
        <v>2025-06</v>
      </c>
      <c r="J1301" s="4" t="s">
        <v>34</v>
      </c>
      <c r="K1301" s="5" t="s">
        <v>342</v>
      </c>
      <c r="L1301" s="2">
        <v>7558</v>
      </c>
      <c r="M1301" s="3">
        <v>1</v>
      </c>
      <c r="N1301" s="2">
        <v>7558</v>
      </c>
      <c r="O1301" s="2">
        <v>756</v>
      </c>
      <c r="P1301" s="2">
        <v>8314</v>
      </c>
      <c r="Q1301" s="2">
        <f>P1301*8.5%</f>
        <v>706.69</v>
      </c>
    </row>
    <row r="1302" spans="1:17" hidden="1" x14ac:dyDescent="0.4">
      <c r="A1302" s="4" t="s">
        <v>42</v>
      </c>
      <c r="B1302" s="4" t="s">
        <v>14</v>
      </c>
      <c r="C1302" s="30" t="s">
        <v>434</v>
      </c>
      <c r="D1302" s="4" t="s">
        <v>43</v>
      </c>
      <c r="E1302" s="4" t="s">
        <v>44</v>
      </c>
      <c r="F1302" s="4" t="s">
        <v>31</v>
      </c>
      <c r="G1302" s="4" t="s">
        <v>18</v>
      </c>
      <c r="H1302" s="4" t="s">
        <v>186</v>
      </c>
      <c r="I1302" s="5" t="str">
        <f t="shared" si="20"/>
        <v>2025-06</v>
      </c>
      <c r="J1302" s="4" t="s">
        <v>34</v>
      </c>
      <c r="K1302" s="5" t="s">
        <v>342</v>
      </c>
      <c r="L1302" s="2">
        <v>6800</v>
      </c>
      <c r="M1302" s="3">
        <v>78.7</v>
      </c>
      <c r="N1302" s="2">
        <v>535160</v>
      </c>
      <c r="O1302" s="2">
        <v>0</v>
      </c>
      <c r="P1302" s="2">
        <v>535160</v>
      </c>
      <c r="Q1302" s="2">
        <f>P1302*8.5%</f>
        <v>45488.600000000006</v>
      </c>
    </row>
    <row r="1303" spans="1:17" hidden="1" x14ac:dyDescent="0.4">
      <c r="A1303" s="4" t="s">
        <v>58</v>
      </c>
      <c r="B1303" s="4" t="s">
        <v>14</v>
      </c>
      <c r="C1303" s="30" t="s">
        <v>434</v>
      </c>
      <c r="D1303" s="4" t="s">
        <v>36</v>
      </c>
      <c r="E1303" s="4" t="s">
        <v>16</v>
      </c>
      <c r="F1303" s="4" t="s">
        <v>17</v>
      </c>
      <c r="G1303" s="4" t="s">
        <v>18</v>
      </c>
      <c r="H1303" s="4" t="s">
        <v>186</v>
      </c>
      <c r="I1303" s="5" t="str">
        <f t="shared" si="20"/>
        <v>2025-06</v>
      </c>
      <c r="J1303" s="4" t="s">
        <v>153</v>
      </c>
      <c r="K1303" s="5" t="s">
        <v>343</v>
      </c>
      <c r="L1303" s="2">
        <v>120880</v>
      </c>
      <c r="M1303" s="3">
        <v>1</v>
      </c>
      <c r="N1303" s="2">
        <v>120880</v>
      </c>
      <c r="O1303" s="2">
        <v>12088</v>
      </c>
      <c r="P1303" s="2">
        <v>132968</v>
      </c>
      <c r="Q1303" s="2">
        <f>P1303*12%</f>
        <v>15956.16</v>
      </c>
    </row>
    <row r="1304" spans="1:17" hidden="1" x14ac:dyDescent="0.4">
      <c r="A1304" s="4" t="s">
        <v>13</v>
      </c>
      <c r="B1304" s="4" t="s">
        <v>14</v>
      </c>
      <c r="C1304" s="30" t="s">
        <v>434</v>
      </c>
      <c r="D1304" s="4" t="s">
        <v>15</v>
      </c>
      <c r="E1304" s="4" t="s">
        <v>16</v>
      </c>
      <c r="F1304" s="4" t="s">
        <v>17</v>
      </c>
      <c r="G1304" s="4" t="s">
        <v>18</v>
      </c>
      <c r="H1304" s="4" t="s">
        <v>186</v>
      </c>
      <c r="I1304" s="5" t="str">
        <f t="shared" si="20"/>
        <v>2025-06</v>
      </c>
      <c r="J1304" s="4" t="s">
        <v>153</v>
      </c>
      <c r="K1304" s="5" t="s">
        <v>343</v>
      </c>
      <c r="L1304" s="2">
        <v>42000</v>
      </c>
      <c r="M1304" s="3">
        <v>3</v>
      </c>
      <c r="N1304" s="2">
        <v>126000</v>
      </c>
      <c r="O1304" s="2">
        <v>12600</v>
      </c>
      <c r="P1304" s="2">
        <v>138600</v>
      </c>
      <c r="Q1304" s="2">
        <f>P1304*12%</f>
        <v>16632</v>
      </c>
    </row>
    <row r="1305" spans="1:17" hidden="1" x14ac:dyDescent="0.4">
      <c r="A1305" s="4" t="s">
        <v>35</v>
      </c>
      <c r="B1305" s="4" t="s">
        <v>14</v>
      </c>
      <c r="C1305" s="30" t="s">
        <v>434</v>
      </c>
      <c r="D1305" s="4" t="s">
        <v>36</v>
      </c>
      <c r="E1305" s="4" t="s">
        <v>16</v>
      </c>
      <c r="F1305" s="4" t="s">
        <v>17</v>
      </c>
      <c r="G1305" s="4" t="s">
        <v>18</v>
      </c>
      <c r="H1305" s="4" t="s">
        <v>186</v>
      </c>
      <c r="I1305" s="5" t="str">
        <f t="shared" si="20"/>
        <v>2025-06</v>
      </c>
      <c r="J1305" s="4" t="s">
        <v>153</v>
      </c>
      <c r="K1305" s="5" t="s">
        <v>343</v>
      </c>
      <c r="L1305" s="2">
        <v>116220</v>
      </c>
      <c r="M1305" s="3">
        <v>1</v>
      </c>
      <c r="N1305" s="2">
        <v>116220</v>
      </c>
      <c r="O1305" s="2">
        <v>11622</v>
      </c>
      <c r="P1305" s="2">
        <v>127842</v>
      </c>
      <c r="Q1305" s="2">
        <f>P1305*12%</f>
        <v>15341.039999999999</v>
      </c>
    </row>
    <row r="1306" spans="1:17" hidden="1" x14ac:dyDescent="0.4">
      <c r="A1306" s="4" t="s">
        <v>23</v>
      </c>
      <c r="B1306" s="4" t="s">
        <v>14</v>
      </c>
      <c r="C1306" s="31" t="s">
        <v>435</v>
      </c>
      <c r="D1306" s="4" t="s">
        <v>24</v>
      </c>
      <c r="E1306" s="4" t="s">
        <v>16</v>
      </c>
      <c r="F1306" s="4" t="s">
        <v>17</v>
      </c>
      <c r="G1306" s="4" t="s">
        <v>18</v>
      </c>
      <c r="H1306" s="4" t="s">
        <v>186</v>
      </c>
      <c r="I1306" s="5" t="str">
        <f t="shared" si="20"/>
        <v>2025-06</v>
      </c>
      <c r="J1306" s="4" t="s">
        <v>153</v>
      </c>
      <c r="K1306" s="5" t="s">
        <v>343</v>
      </c>
      <c r="L1306" s="2">
        <v>54000</v>
      </c>
      <c r="M1306" s="3">
        <v>2</v>
      </c>
      <c r="N1306" s="2">
        <v>108000</v>
      </c>
      <c r="O1306" s="2">
        <v>10800</v>
      </c>
      <c r="P1306" s="2">
        <v>118800</v>
      </c>
      <c r="Q1306" s="2">
        <f>P1306*12%</f>
        <v>14256</v>
      </c>
    </row>
    <row r="1307" spans="1:17" hidden="1" x14ac:dyDescent="0.4">
      <c r="A1307" s="4" t="s">
        <v>51</v>
      </c>
      <c r="B1307" s="4" t="s">
        <v>14</v>
      </c>
      <c r="C1307" s="30" t="s">
        <v>434</v>
      </c>
      <c r="D1307" s="4" t="s">
        <v>52</v>
      </c>
      <c r="E1307" s="4" t="s">
        <v>16</v>
      </c>
      <c r="F1307" s="4" t="s">
        <v>17</v>
      </c>
      <c r="G1307" s="4" t="s">
        <v>18</v>
      </c>
      <c r="H1307" s="4" t="s">
        <v>186</v>
      </c>
      <c r="I1307" s="5" t="str">
        <f t="shared" si="20"/>
        <v>2025-06</v>
      </c>
      <c r="J1307" s="4" t="s">
        <v>153</v>
      </c>
      <c r="K1307" s="5" t="s">
        <v>343</v>
      </c>
      <c r="L1307" s="2">
        <v>71250</v>
      </c>
      <c r="M1307" s="3">
        <v>1</v>
      </c>
      <c r="N1307" s="2">
        <v>71250</v>
      </c>
      <c r="O1307" s="2">
        <v>7125</v>
      </c>
      <c r="P1307" s="2">
        <v>78375</v>
      </c>
      <c r="Q1307" s="2">
        <f>P1307*12%</f>
        <v>9405</v>
      </c>
    </row>
    <row r="1308" spans="1:17" x14ac:dyDescent="0.4">
      <c r="A1308" s="4" t="s">
        <v>58</v>
      </c>
      <c r="B1308" s="4" t="s">
        <v>14</v>
      </c>
      <c r="C1308" s="30" t="s">
        <v>434</v>
      </c>
      <c r="D1308" s="4" t="s">
        <v>36</v>
      </c>
      <c r="E1308" s="4" t="s">
        <v>16</v>
      </c>
      <c r="F1308" s="4" t="s">
        <v>17</v>
      </c>
      <c r="G1308" s="4" t="s">
        <v>18</v>
      </c>
      <c r="H1308" s="4" t="s">
        <v>187</v>
      </c>
      <c r="I1308" s="5" t="str">
        <f t="shared" si="20"/>
        <v>2025-06</v>
      </c>
      <c r="J1308" s="4" t="s">
        <v>20</v>
      </c>
      <c r="K1308" s="5" t="s">
        <v>342</v>
      </c>
      <c r="L1308" s="2">
        <v>120880</v>
      </c>
      <c r="M1308" s="3">
        <v>1</v>
      </c>
      <c r="N1308" s="2">
        <v>120880</v>
      </c>
      <c r="O1308" s="2">
        <v>12088</v>
      </c>
      <c r="P1308" s="2">
        <v>132968</v>
      </c>
      <c r="Q1308" s="2">
        <f>P1308*8.5%</f>
        <v>11302.28</v>
      </c>
    </row>
    <row r="1309" spans="1:17" x14ac:dyDescent="0.4">
      <c r="A1309" s="4" t="s">
        <v>13</v>
      </c>
      <c r="B1309" s="4" t="s">
        <v>14</v>
      </c>
      <c r="C1309" s="30" t="s">
        <v>434</v>
      </c>
      <c r="D1309" s="4" t="s">
        <v>15</v>
      </c>
      <c r="E1309" s="4" t="s">
        <v>16</v>
      </c>
      <c r="F1309" s="4" t="s">
        <v>17</v>
      </c>
      <c r="G1309" s="4" t="s">
        <v>18</v>
      </c>
      <c r="H1309" s="4" t="s">
        <v>187</v>
      </c>
      <c r="I1309" s="5" t="str">
        <f t="shared" si="20"/>
        <v>2025-06</v>
      </c>
      <c r="J1309" s="4" t="s">
        <v>20</v>
      </c>
      <c r="K1309" s="5" t="s">
        <v>342</v>
      </c>
      <c r="L1309" s="2">
        <v>42000</v>
      </c>
      <c r="M1309" s="3">
        <v>1</v>
      </c>
      <c r="N1309" s="2">
        <v>42000</v>
      </c>
      <c r="O1309" s="2">
        <v>4200</v>
      </c>
      <c r="P1309" s="2">
        <v>46200</v>
      </c>
      <c r="Q1309" s="2">
        <f>P1309*8.5%</f>
        <v>3927.0000000000005</v>
      </c>
    </row>
    <row r="1310" spans="1:17" x14ac:dyDescent="0.4">
      <c r="A1310" s="4" t="s">
        <v>23</v>
      </c>
      <c r="B1310" s="4" t="s">
        <v>14</v>
      </c>
      <c r="C1310" s="31" t="s">
        <v>435</v>
      </c>
      <c r="D1310" s="4" t="s">
        <v>24</v>
      </c>
      <c r="E1310" s="4" t="s">
        <v>16</v>
      </c>
      <c r="F1310" s="4" t="s">
        <v>17</v>
      </c>
      <c r="G1310" s="4" t="s">
        <v>18</v>
      </c>
      <c r="H1310" s="4" t="s">
        <v>187</v>
      </c>
      <c r="I1310" s="5" t="str">
        <f t="shared" si="20"/>
        <v>2025-06</v>
      </c>
      <c r="J1310" s="4" t="s">
        <v>20</v>
      </c>
      <c r="K1310" s="5" t="s">
        <v>342</v>
      </c>
      <c r="L1310" s="2">
        <v>54000</v>
      </c>
      <c r="M1310" s="3">
        <v>1</v>
      </c>
      <c r="N1310" s="2">
        <v>54000</v>
      </c>
      <c r="O1310" s="2">
        <v>5400</v>
      </c>
      <c r="P1310" s="2">
        <v>59400</v>
      </c>
      <c r="Q1310" s="2">
        <f>P1310*8.5%</f>
        <v>5049</v>
      </c>
    </row>
    <row r="1311" spans="1:17" x14ac:dyDescent="0.4">
      <c r="A1311" s="4" t="s">
        <v>51</v>
      </c>
      <c r="B1311" s="4" t="s">
        <v>14</v>
      </c>
      <c r="C1311" s="30" t="s">
        <v>434</v>
      </c>
      <c r="D1311" s="4" t="s">
        <v>52</v>
      </c>
      <c r="E1311" s="4" t="s">
        <v>16</v>
      </c>
      <c r="F1311" s="4" t="s">
        <v>17</v>
      </c>
      <c r="G1311" s="4" t="s">
        <v>18</v>
      </c>
      <c r="H1311" s="4" t="s">
        <v>187</v>
      </c>
      <c r="I1311" s="5" t="str">
        <f t="shared" si="20"/>
        <v>2025-06</v>
      </c>
      <c r="J1311" s="4" t="s">
        <v>20</v>
      </c>
      <c r="K1311" s="5" t="s">
        <v>342</v>
      </c>
      <c r="L1311" s="2">
        <v>71250</v>
      </c>
      <c r="M1311" s="3">
        <v>1</v>
      </c>
      <c r="N1311" s="2">
        <v>71250</v>
      </c>
      <c r="O1311" s="2">
        <v>7125</v>
      </c>
      <c r="P1311" s="2">
        <v>78375</v>
      </c>
      <c r="Q1311" s="2">
        <f>P1311*8.5%</f>
        <v>6661.8750000000009</v>
      </c>
    </row>
    <row r="1312" spans="1:17" x14ac:dyDescent="0.4">
      <c r="A1312" s="4" t="s">
        <v>76</v>
      </c>
      <c r="B1312" s="4" t="s">
        <v>65</v>
      </c>
      <c r="C1312" s="32" t="s">
        <v>436</v>
      </c>
      <c r="D1312" s="4" t="s">
        <v>27</v>
      </c>
      <c r="E1312" s="4" t="s">
        <v>28</v>
      </c>
      <c r="F1312" s="4" t="s">
        <v>17</v>
      </c>
      <c r="G1312" s="4" t="s">
        <v>18</v>
      </c>
      <c r="H1312" s="4" t="s">
        <v>187</v>
      </c>
      <c r="I1312" s="5" t="str">
        <f t="shared" si="20"/>
        <v>2025-06</v>
      </c>
      <c r="J1312" s="4" t="s">
        <v>20</v>
      </c>
      <c r="K1312" s="5" t="s">
        <v>342</v>
      </c>
      <c r="L1312" s="2">
        <v>17338</v>
      </c>
      <c r="M1312" s="3">
        <v>1</v>
      </c>
      <c r="N1312" s="2">
        <v>17338</v>
      </c>
      <c r="O1312" s="2">
        <v>1734</v>
      </c>
      <c r="P1312" s="2">
        <v>19072</v>
      </c>
      <c r="Q1312" s="2">
        <f>P1312*8.5%</f>
        <v>1621.1200000000001</v>
      </c>
    </row>
    <row r="1313" spans="1:17" x14ac:dyDescent="0.4">
      <c r="A1313" s="4" t="s">
        <v>13</v>
      </c>
      <c r="B1313" s="4" t="s">
        <v>14</v>
      </c>
      <c r="C1313" s="30" t="s">
        <v>434</v>
      </c>
      <c r="D1313" s="4" t="s">
        <v>15</v>
      </c>
      <c r="E1313" s="4" t="s">
        <v>16</v>
      </c>
      <c r="F1313" s="4" t="s">
        <v>17</v>
      </c>
      <c r="G1313" s="4" t="s">
        <v>18</v>
      </c>
      <c r="H1313" s="4" t="s">
        <v>188</v>
      </c>
      <c r="I1313" s="5" t="str">
        <f t="shared" si="20"/>
        <v>2025-06</v>
      </c>
      <c r="J1313" s="4" t="s">
        <v>20</v>
      </c>
      <c r="K1313" s="5" t="s">
        <v>342</v>
      </c>
      <c r="L1313" s="2">
        <v>42000</v>
      </c>
      <c r="M1313" s="3">
        <v>2</v>
      </c>
      <c r="N1313" s="2">
        <v>84000</v>
      </c>
      <c r="O1313" s="2">
        <v>8400</v>
      </c>
      <c r="P1313" s="2">
        <v>92400</v>
      </c>
      <c r="Q1313" s="2">
        <f>P1313*8.5%</f>
        <v>7854.0000000000009</v>
      </c>
    </row>
    <row r="1314" spans="1:17" x14ac:dyDescent="0.4">
      <c r="A1314" s="4" t="s">
        <v>21</v>
      </c>
      <c r="B1314" s="4" t="s">
        <v>14</v>
      </c>
      <c r="C1314" s="31" t="s">
        <v>435</v>
      </c>
      <c r="D1314" s="4" t="s">
        <v>22</v>
      </c>
      <c r="E1314" s="4" t="s">
        <v>16</v>
      </c>
      <c r="F1314" s="4" t="s">
        <v>17</v>
      </c>
      <c r="G1314" s="4" t="s">
        <v>18</v>
      </c>
      <c r="H1314" s="4" t="s">
        <v>188</v>
      </c>
      <c r="I1314" s="5" t="str">
        <f t="shared" si="20"/>
        <v>2025-06</v>
      </c>
      <c r="J1314" s="4" t="s">
        <v>20</v>
      </c>
      <c r="K1314" s="5" t="s">
        <v>342</v>
      </c>
      <c r="L1314" s="2">
        <v>54000</v>
      </c>
      <c r="M1314" s="3">
        <v>2</v>
      </c>
      <c r="N1314" s="2">
        <v>108000</v>
      </c>
      <c r="O1314" s="2">
        <v>10800</v>
      </c>
      <c r="P1314" s="2">
        <v>118800</v>
      </c>
      <c r="Q1314" s="2">
        <f>P1314*8.5%</f>
        <v>10098</v>
      </c>
    </row>
    <row r="1315" spans="1:17" x14ac:dyDescent="0.4">
      <c r="A1315" s="4" t="s">
        <v>23</v>
      </c>
      <c r="B1315" s="4" t="s">
        <v>14</v>
      </c>
      <c r="C1315" s="31" t="s">
        <v>435</v>
      </c>
      <c r="D1315" s="4" t="s">
        <v>24</v>
      </c>
      <c r="E1315" s="4" t="s">
        <v>16</v>
      </c>
      <c r="F1315" s="4" t="s">
        <v>17</v>
      </c>
      <c r="G1315" s="4" t="s">
        <v>18</v>
      </c>
      <c r="H1315" s="4" t="s">
        <v>188</v>
      </c>
      <c r="I1315" s="5" t="str">
        <f t="shared" si="20"/>
        <v>2025-06</v>
      </c>
      <c r="J1315" s="4" t="s">
        <v>20</v>
      </c>
      <c r="K1315" s="5" t="s">
        <v>342</v>
      </c>
      <c r="L1315" s="2">
        <v>54000</v>
      </c>
      <c r="M1315" s="3">
        <v>2</v>
      </c>
      <c r="N1315" s="2">
        <v>108000</v>
      </c>
      <c r="O1315" s="2">
        <v>10800</v>
      </c>
      <c r="P1315" s="2">
        <v>118800</v>
      </c>
      <c r="Q1315" s="2">
        <f>P1315*8.5%</f>
        <v>10098</v>
      </c>
    </row>
    <row r="1316" spans="1:17" x14ac:dyDescent="0.4">
      <c r="A1316" s="4" t="s">
        <v>54</v>
      </c>
      <c r="B1316" s="4" t="s">
        <v>26</v>
      </c>
      <c r="C1316" s="32" t="s">
        <v>436</v>
      </c>
      <c r="D1316" s="4" t="s">
        <v>55</v>
      </c>
      <c r="E1316" s="4" t="s">
        <v>28</v>
      </c>
      <c r="F1316" s="4" t="s">
        <v>31</v>
      </c>
      <c r="G1316" s="4" t="s">
        <v>18</v>
      </c>
      <c r="H1316" s="4" t="s">
        <v>188</v>
      </c>
      <c r="I1316" s="5" t="str">
        <f t="shared" si="20"/>
        <v>2025-06</v>
      </c>
      <c r="J1316" s="4" t="s">
        <v>20</v>
      </c>
      <c r="K1316" s="5" t="s">
        <v>342</v>
      </c>
      <c r="L1316" s="2">
        <v>5261</v>
      </c>
      <c r="M1316" s="3">
        <v>1</v>
      </c>
      <c r="N1316" s="2">
        <v>5261</v>
      </c>
      <c r="O1316" s="2">
        <v>0</v>
      </c>
      <c r="P1316" s="2">
        <v>5261</v>
      </c>
      <c r="Q1316" s="2">
        <f>P1316*8.5%</f>
        <v>447.18500000000006</v>
      </c>
    </row>
    <row r="1317" spans="1:17" hidden="1" x14ac:dyDescent="0.4">
      <c r="A1317" s="4" t="s">
        <v>32</v>
      </c>
      <c r="B1317" s="4" t="s">
        <v>14</v>
      </c>
      <c r="C1317" s="31" t="s">
        <v>435</v>
      </c>
      <c r="D1317" s="4" t="s">
        <v>33</v>
      </c>
      <c r="E1317" s="4" t="s">
        <v>16</v>
      </c>
      <c r="F1317" s="4" t="s">
        <v>17</v>
      </c>
      <c r="G1317" s="4" t="s">
        <v>18</v>
      </c>
      <c r="H1317" s="4" t="s">
        <v>188</v>
      </c>
      <c r="I1317" s="5" t="str">
        <f t="shared" si="20"/>
        <v>2025-06</v>
      </c>
      <c r="J1317" s="4" t="s">
        <v>118</v>
      </c>
      <c r="K1317" s="5" t="s">
        <v>342</v>
      </c>
      <c r="L1317" s="2">
        <v>44000</v>
      </c>
      <c r="M1317" s="3">
        <v>2</v>
      </c>
      <c r="N1317" s="2">
        <v>88000</v>
      </c>
      <c r="O1317" s="2">
        <v>8800</v>
      </c>
      <c r="P1317" s="2">
        <v>96800</v>
      </c>
      <c r="Q1317" s="2">
        <f>P1317*8.5%</f>
        <v>8228</v>
      </c>
    </row>
    <row r="1318" spans="1:17" hidden="1" x14ac:dyDescent="0.4">
      <c r="A1318" s="4" t="s">
        <v>13</v>
      </c>
      <c r="B1318" s="4" t="s">
        <v>14</v>
      </c>
      <c r="C1318" s="30" t="s">
        <v>434</v>
      </c>
      <c r="D1318" s="4" t="s">
        <v>15</v>
      </c>
      <c r="E1318" s="4" t="s">
        <v>16</v>
      </c>
      <c r="F1318" s="4" t="s">
        <v>17</v>
      </c>
      <c r="G1318" s="4" t="s">
        <v>18</v>
      </c>
      <c r="H1318" s="4" t="s">
        <v>188</v>
      </c>
      <c r="I1318" s="5" t="str">
        <f t="shared" si="20"/>
        <v>2025-06</v>
      </c>
      <c r="J1318" s="4" t="s">
        <v>118</v>
      </c>
      <c r="K1318" s="5" t="s">
        <v>342</v>
      </c>
      <c r="L1318" s="2">
        <v>42000</v>
      </c>
      <c r="M1318" s="3">
        <v>3</v>
      </c>
      <c r="N1318" s="2">
        <v>126000</v>
      </c>
      <c r="O1318" s="2">
        <v>12600</v>
      </c>
      <c r="P1318" s="2">
        <v>138600</v>
      </c>
      <c r="Q1318" s="2">
        <f>P1318*8.5%</f>
        <v>11781</v>
      </c>
    </row>
    <row r="1319" spans="1:17" hidden="1" x14ac:dyDescent="0.4">
      <c r="A1319" s="4" t="s">
        <v>23</v>
      </c>
      <c r="B1319" s="4" t="s">
        <v>14</v>
      </c>
      <c r="C1319" s="31" t="s">
        <v>435</v>
      </c>
      <c r="D1319" s="4" t="s">
        <v>24</v>
      </c>
      <c r="E1319" s="4" t="s">
        <v>16</v>
      </c>
      <c r="F1319" s="4" t="s">
        <v>17</v>
      </c>
      <c r="G1319" s="4" t="s">
        <v>18</v>
      </c>
      <c r="H1319" s="4" t="s">
        <v>188</v>
      </c>
      <c r="I1319" s="5" t="str">
        <f t="shared" si="20"/>
        <v>2025-06</v>
      </c>
      <c r="J1319" s="4" t="s">
        <v>118</v>
      </c>
      <c r="K1319" s="5" t="s">
        <v>342</v>
      </c>
      <c r="L1319" s="2">
        <v>54000</v>
      </c>
      <c r="M1319" s="3">
        <v>3</v>
      </c>
      <c r="N1319" s="2">
        <v>162000</v>
      </c>
      <c r="O1319" s="2">
        <v>16200</v>
      </c>
      <c r="P1319" s="2">
        <v>178200</v>
      </c>
      <c r="Q1319" s="2">
        <f>P1319*8.5%</f>
        <v>15147.000000000002</v>
      </c>
    </row>
    <row r="1320" spans="1:17" hidden="1" x14ac:dyDescent="0.4">
      <c r="A1320" s="4" t="s">
        <v>51</v>
      </c>
      <c r="B1320" s="4" t="s">
        <v>14</v>
      </c>
      <c r="C1320" s="30" t="s">
        <v>434</v>
      </c>
      <c r="D1320" s="4" t="s">
        <v>52</v>
      </c>
      <c r="E1320" s="4" t="s">
        <v>16</v>
      </c>
      <c r="F1320" s="4" t="s">
        <v>17</v>
      </c>
      <c r="G1320" s="4" t="s">
        <v>18</v>
      </c>
      <c r="H1320" s="4" t="s">
        <v>188</v>
      </c>
      <c r="I1320" s="5" t="str">
        <f t="shared" si="20"/>
        <v>2025-06</v>
      </c>
      <c r="J1320" s="4" t="s">
        <v>118</v>
      </c>
      <c r="K1320" s="5" t="s">
        <v>342</v>
      </c>
      <c r="L1320" s="2">
        <v>71250</v>
      </c>
      <c r="M1320" s="3">
        <v>1</v>
      </c>
      <c r="N1320" s="2">
        <v>71250</v>
      </c>
      <c r="O1320" s="2">
        <v>7125</v>
      </c>
      <c r="P1320" s="2">
        <v>78375</v>
      </c>
      <c r="Q1320" s="2">
        <f>P1320*8.5%</f>
        <v>6661.8750000000009</v>
      </c>
    </row>
    <row r="1321" spans="1:17" hidden="1" x14ac:dyDescent="0.4">
      <c r="A1321" s="4" t="s">
        <v>13</v>
      </c>
      <c r="B1321" s="4" t="s">
        <v>14</v>
      </c>
      <c r="C1321" s="30" t="s">
        <v>434</v>
      </c>
      <c r="D1321" s="4" t="s">
        <v>15</v>
      </c>
      <c r="E1321" s="4" t="s">
        <v>16</v>
      </c>
      <c r="F1321" s="4" t="s">
        <v>17</v>
      </c>
      <c r="G1321" s="4" t="s">
        <v>18</v>
      </c>
      <c r="H1321" s="4" t="s">
        <v>188</v>
      </c>
      <c r="I1321" s="5" t="str">
        <f t="shared" si="20"/>
        <v>2025-06</v>
      </c>
      <c r="J1321" s="4" t="s">
        <v>59</v>
      </c>
      <c r="K1321" s="5" t="s">
        <v>343</v>
      </c>
      <c r="L1321" s="2">
        <v>42000</v>
      </c>
      <c r="M1321" s="3">
        <v>6</v>
      </c>
      <c r="N1321" s="2">
        <v>252000</v>
      </c>
      <c r="O1321" s="2">
        <v>25200</v>
      </c>
      <c r="P1321" s="2">
        <v>277200</v>
      </c>
      <c r="Q1321" s="2">
        <f>P1321*12%</f>
        <v>33264</v>
      </c>
    </row>
    <row r="1322" spans="1:17" hidden="1" x14ac:dyDescent="0.4">
      <c r="A1322" s="4" t="s">
        <v>35</v>
      </c>
      <c r="B1322" s="4" t="s">
        <v>14</v>
      </c>
      <c r="C1322" s="30" t="s">
        <v>434</v>
      </c>
      <c r="D1322" s="4" t="s">
        <v>36</v>
      </c>
      <c r="E1322" s="4" t="s">
        <v>16</v>
      </c>
      <c r="F1322" s="4" t="s">
        <v>17</v>
      </c>
      <c r="G1322" s="4" t="s">
        <v>18</v>
      </c>
      <c r="H1322" s="4" t="s">
        <v>188</v>
      </c>
      <c r="I1322" s="5" t="str">
        <f t="shared" si="20"/>
        <v>2025-06</v>
      </c>
      <c r="J1322" s="4" t="s">
        <v>59</v>
      </c>
      <c r="K1322" s="5" t="s">
        <v>343</v>
      </c>
      <c r="L1322" s="2">
        <v>116220</v>
      </c>
      <c r="M1322" s="3">
        <v>1</v>
      </c>
      <c r="N1322" s="2">
        <v>116220</v>
      </c>
      <c r="O1322" s="2">
        <v>11622</v>
      </c>
      <c r="P1322" s="2">
        <v>127842</v>
      </c>
      <c r="Q1322" s="2">
        <f>P1322*12%</f>
        <v>15341.039999999999</v>
      </c>
    </row>
    <row r="1323" spans="1:17" hidden="1" x14ac:dyDescent="0.4">
      <c r="A1323" s="4" t="s">
        <v>23</v>
      </c>
      <c r="B1323" s="4" t="s">
        <v>14</v>
      </c>
      <c r="C1323" s="31" t="s">
        <v>435</v>
      </c>
      <c r="D1323" s="4" t="s">
        <v>24</v>
      </c>
      <c r="E1323" s="4" t="s">
        <v>16</v>
      </c>
      <c r="F1323" s="4" t="s">
        <v>17</v>
      </c>
      <c r="G1323" s="4" t="s">
        <v>18</v>
      </c>
      <c r="H1323" s="4" t="s">
        <v>188</v>
      </c>
      <c r="I1323" s="5" t="str">
        <f t="shared" si="20"/>
        <v>2025-06</v>
      </c>
      <c r="J1323" s="4" t="s">
        <v>59</v>
      </c>
      <c r="K1323" s="5" t="s">
        <v>343</v>
      </c>
      <c r="L1323" s="2">
        <v>54000</v>
      </c>
      <c r="M1323" s="3">
        <v>3</v>
      </c>
      <c r="N1323" s="2">
        <v>162000</v>
      </c>
      <c r="O1323" s="2">
        <v>16200</v>
      </c>
      <c r="P1323" s="2">
        <v>178200</v>
      </c>
      <c r="Q1323" s="2">
        <f>P1323*12%</f>
        <v>21384</v>
      </c>
    </row>
    <row r="1324" spans="1:17" hidden="1" x14ac:dyDescent="0.4">
      <c r="A1324" s="4" t="s">
        <v>51</v>
      </c>
      <c r="B1324" s="4" t="s">
        <v>14</v>
      </c>
      <c r="C1324" s="30" t="s">
        <v>434</v>
      </c>
      <c r="D1324" s="4" t="s">
        <v>52</v>
      </c>
      <c r="E1324" s="4" t="s">
        <v>16</v>
      </c>
      <c r="F1324" s="4" t="s">
        <v>17</v>
      </c>
      <c r="G1324" s="4" t="s">
        <v>18</v>
      </c>
      <c r="H1324" s="4" t="s">
        <v>188</v>
      </c>
      <c r="I1324" s="5" t="str">
        <f t="shared" si="20"/>
        <v>2025-06</v>
      </c>
      <c r="J1324" s="4" t="s">
        <v>59</v>
      </c>
      <c r="K1324" s="5" t="s">
        <v>343</v>
      </c>
      <c r="L1324" s="2">
        <v>71250</v>
      </c>
      <c r="M1324" s="3">
        <v>1</v>
      </c>
      <c r="N1324" s="2">
        <v>71250</v>
      </c>
      <c r="O1324" s="2">
        <v>7125</v>
      </c>
      <c r="P1324" s="2">
        <v>78375</v>
      </c>
      <c r="Q1324" s="2">
        <f>P1324*12%</f>
        <v>9405</v>
      </c>
    </row>
    <row r="1325" spans="1:17" hidden="1" x14ac:dyDescent="0.4">
      <c r="A1325" s="4" t="s">
        <v>39</v>
      </c>
      <c r="B1325" s="4" t="s">
        <v>26</v>
      </c>
      <c r="C1325" s="32" t="s">
        <v>436</v>
      </c>
      <c r="D1325" s="4" t="s">
        <v>27</v>
      </c>
      <c r="E1325" s="4" t="s">
        <v>28</v>
      </c>
      <c r="F1325" s="4" t="s">
        <v>17</v>
      </c>
      <c r="G1325" s="4" t="s">
        <v>18</v>
      </c>
      <c r="H1325" s="4" t="s">
        <v>188</v>
      </c>
      <c r="I1325" s="5" t="str">
        <f t="shared" si="20"/>
        <v>2025-06</v>
      </c>
      <c r="J1325" s="4" t="s">
        <v>59</v>
      </c>
      <c r="K1325" s="5" t="s">
        <v>343</v>
      </c>
      <c r="L1325" s="2">
        <v>4018</v>
      </c>
      <c r="M1325" s="3">
        <v>6</v>
      </c>
      <c r="N1325" s="2">
        <v>24108</v>
      </c>
      <c r="O1325" s="2">
        <v>2411</v>
      </c>
      <c r="P1325" s="2">
        <v>26519</v>
      </c>
      <c r="Q1325" s="2">
        <f>P1325*12%</f>
        <v>3182.2799999999997</v>
      </c>
    </row>
    <row r="1326" spans="1:17" hidden="1" x14ac:dyDescent="0.4">
      <c r="A1326" s="4" t="s">
        <v>32</v>
      </c>
      <c r="B1326" s="4" t="s">
        <v>14</v>
      </c>
      <c r="C1326" s="31" t="s">
        <v>435</v>
      </c>
      <c r="D1326" s="4" t="s">
        <v>33</v>
      </c>
      <c r="E1326" s="4" t="s">
        <v>16</v>
      </c>
      <c r="F1326" s="4" t="s">
        <v>17</v>
      </c>
      <c r="G1326" s="4" t="s">
        <v>18</v>
      </c>
      <c r="H1326" s="4" t="s">
        <v>188</v>
      </c>
      <c r="I1326" s="5" t="str">
        <f t="shared" si="20"/>
        <v>2025-06</v>
      </c>
      <c r="J1326" s="4" t="s">
        <v>49</v>
      </c>
      <c r="K1326" s="5" t="s">
        <v>343</v>
      </c>
      <c r="L1326" s="2">
        <v>44000</v>
      </c>
      <c r="M1326" s="3">
        <v>5</v>
      </c>
      <c r="N1326" s="2">
        <v>220000</v>
      </c>
      <c r="O1326" s="2">
        <v>22000</v>
      </c>
      <c r="P1326" s="2">
        <v>242000</v>
      </c>
      <c r="Q1326" s="2">
        <f>P1326*12%</f>
        <v>29040</v>
      </c>
    </row>
    <row r="1327" spans="1:17" hidden="1" x14ac:dyDescent="0.4">
      <c r="A1327" s="4" t="s">
        <v>13</v>
      </c>
      <c r="B1327" s="4" t="s">
        <v>14</v>
      </c>
      <c r="C1327" s="30" t="s">
        <v>434</v>
      </c>
      <c r="D1327" s="4" t="s">
        <v>15</v>
      </c>
      <c r="E1327" s="4" t="s">
        <v>16</v>
      </c>
      <c r="F1327" s="4" t="s">
        <v>17</v>
      </c>
      <c r="G1327" s="4" t="s">
        <v>18</v>
      </c>
      <c r="H1327" s="4" t="s">
        <v>188</v>
      </c>
      <c r="I1327" s="5" t="str">
        <f t="shared" si="20"/>
        <v>2025-06</v>
      </c>
      <c r="J1327" s="4" t="s">
        <v>49</v>
      </c>
      <c r="K1327" s="5" t="s">
        <v>343</v>
      </c>
      <c r="L1327" s="2">
        <v>42000</v>
      </c>
      <c r="M1327" s="3">
        <v>11</v>
      </c>
      <c r="N1327" s="2">
        <v>462000</v>
      </c>
      <c r="O1327" s="2">
        <v>46200</v>
      </c>
      <c r="P1327" s="2">
        <v>508200</v>
      </c>
      <c r="Q1327" s="2">
        <f>P1327*12%</f>
        <v>60984</v>
      </c>
    </row>
    <row r="1328" spans="1:17" hidden="1" x14ac:dyDescent="0.4">
      <c r="A1328" s="4" t="s">
        <v>35</v>
      </c>
      <c r="B1328" s="4" t="s">
        <v>14</v>
      </c>
      <c r="C1328" s="30" t="s">
        <v>434</v>
      </c>
      <c r="D1328" s="4" t="s">
        <v>36</v>
      </c>
      <c r="E1328" s="4" t="s">
        <v>16</v>
      </c>
      <c r="F1328" s="4" t="s">
        <v>17</v>
      </c>
      <c r="G1328" s="4" t="s">
        <v>18</v>
      </c>
      <c r="H1328" s="4" t="s">
        <v>188</v>
      </c>
      <c r="I1328" s="5" t="str">
        <f t="shared" si="20"/>
        <v>2025-06</v>
      </c>
      <c r="J1328" s="4" t="s">
        <v>49</v>
      </c>
      <c r="K1328" s="5" t="s">
        <v>343</v>
      </c>
      <c r="L1328" s="2">
        <v>116220</v>
      </c>
      <c r="M1328" s="3">
        <v>2</v>
      </c>
      <c r="N1328" s="2">
        <v>232440</v>
      </c>
      <c r="O1328" s="2">
        <v>23244</v>
      </c>
      <c r="P1328" s="2">
        <v>255684</v>
      </c>
      <c r="Q1328" s="2">
        <f>P1328*12%</f>
        <v>30682.079999999998</v>
      </c>
    </row>
    <row r="1329" spans="1:17" hidden="1" x14ac:dyDescent="0.4">
      <c r="A1329" s="4" t="s">
        <v>23</v>
      </c>
      <c r="B1329" s="4" t="s">
        <v>14</v>
      </c>
      <c r="C1329" s="31" t="s">
        <v>435</v>
      </c>
      <c r="D1329" s="4" t="s">
        <v>24</v>
      </c>
      <c r="E1329" s="4" t="s">
        <v>16</v>
      </c>
      <c r="F1329" s="4" t="s">
        <v>17</v>
      </c>
      <c r="G1329" s="4" t="s">
        <v>18</v>
      </c>
      <c r="H1329" s="4" t="s">
        <v>188</v>
      </c>
      <c r="I1329" s="5" t="str">
        <f t="shared" si="20"/>
        <v>2025-06</v>
      </c>
      <c r="J1329" s="4" t="s">
        <v>49</v>
      </c>
      <c r="K1329" s="5" t="s">
        <v>343</v>
      </c>
      <c r="L1329" s="2">
        <v>54000</v>
      </c>
      <c r="M1329" s="3">
        <v>5</v>
      </c>
      <c r="N1329" s="2">
        <v>270000</v>
      </c>
      <c r="O1329" s="2">
        <v>27000</v>
      </c>
      <c r="P1329" s="2">
        <v>297000</v>
      </c>
      <c r="Q1329" s="2">
        <f>P1329*12%</f>
        <v>35640</v>
      </c>
    </row>
    <row r="1330" spans="1:17" hidden="1" x14ac:dyDescent="0.4">
      <c r="A1330" s="4" t="s">
        <v>51</v>
      </c>
      <c r="B1330" s="4" t="s">
        <v>14</v>
      </c>
      <c r="C1330" s="30" t="s">
        <v>434</v>
      </c>
      <c r="D1330" s="4" t="s">
        <v>52</v>
      </c>
      <c r="E1330" s="4" t="s">
        <v>16</v>
      </c>
      <c r="F1330" s="4" t="s">
        <v>17</v>
      </c>
      <c r="G1330" s="4" t="s">
        <v>18</v>
      </c>
      <c r="H1330" s="4" t="s">
        <v>188</v>
      </c>
      <c r="I1330" s="5" t="str">
        <f t="shared" si="20"/>
        <v>2025-06</v>
      </c>
      <c r="J1330" s="4" t="s">
        <v>49</v>
      </c>
      <c r="K1330" s="5" t="s">
        <v>343</v>
      </c>
      <c r="L1330" s="2">
        <v>71250</v>
      </c>
      <c r="M1330" s="3">
        <v>2</v>
      </c>
      <c r="N1330" s="2">
        <v>142500</v>
      </c>
      <c r="O1330" s="2">
        <v>14250</v>
      </c>
      <c r="P1330" s="2">
        <v>156750</v>
      </c>
      <c r="Q1330" s="2">
        <f>P1330*12%</f>
        <v>18810</v>
      </c>
    </row>
    <row r="1331" spans="1:17" hidden="1" x14ac:dyDescent="0.4">
      <c r="A1331" s="4" t="s">
        <v>13</v>
      </c>
      <c r="B1331" s="4" t="s">
        <v>14</v>
      </c>
      <c r="C1331" s="30" t="s">
        <v>434</v>
      </c>
      <c r="D1331" s="4" t="s">
        <v>15</v>
      </c>
      <c r="E1331" s="4" t="s">
        <v>16</v>
      </c>
      <c r="F1331" s="4" t="s">
        <v>17</v>
      </c>
      <c r="G1331" s="4" t="s">
        <v>18</v>
      </c>
      <c r="H1331" s="4" t="s">
        <v>188</v>
      </c>
      <c r="I1331" s="5" t="str">
        <f t="shared" si="20"/>
        <v>2025-06</v>
      </c>
      <c r="J1331" s="4" t="s">
        <v>50</v>
      </c>
      <c r="K1331" s="5" t="s">
        <v>343</v>
      </c>
      <c r="L1331" s="2">
        <v>42000</v>
      </c>
      <c r="M1331" s="3">
        <v>10</v>
      </c>
      <c r="N1331" s="2">
        <v>420000</v>
      </c>
      <c r="O1331" s="2">
        <v>42000</v>
      </c>
      <c r="P1331" s="2">
        <v>462000</v>
      </c>
      <c r="Q1331" s="2">
        <f>P1331*12%</f>
        <v>55440</v>
      </c>
    </row>
    <row r="1332" spans="1:17" hidden="1" x14ac:dyDescent="0.4">
      <c r="A1332" s="4" t="s">
        <v>23</v>
      </c>
      <c r="B1332" s="4" t="s">
        <v>14</v>
      </c>
      <c r="C1332" s="31" t="s">
        <v>435</v>
      </c>
      <c r="D1332" s="4" t="s">
        <v>24</v>
      </c>
      <c r="E1332" s="4" t="s">
        <v>16</v>
      </c>
      <c r="F1332" s="4" t="s">
        <v>17</v>
      </c>
      <c r="G1332" s="4" t="s">
        <v>18</v>
      </c>
      <c r="H1332" s="4" t="s">
        <v>188</v>
      </c>
      <c r="I1332" s="5" t="str">
        <f t="shared" si="20"/>
        <v>2025-06</v>
      </c>
      <c r="J1332" s="4" t="s">
        <v>50</v>
      </c>
      <c r="K1332" s="5" t="s">
        <v>343</v>
      </c>
      <c r="L1332" s="2">
        <v>54000</v>
      </c>
      <c r="M1332" s="3">
        <v>5</v>
      </c>
      <c r="N1332" s="2">
        <v>270000</v>
      </c>
      <c r="O1332" s="2">
        <v>27000</v>
      </c>
      <c r="P1332" s="2">
        <v>297000</v>
      </c>
      <c r="Q1332" s="2">
        <f>P1332*12%</f>
        <v>35640</v>
      </c>
    </row>
    <row r="1333" spans="1:17" x14ac:dyDescent="0.4">
      <c r="A1333" s="4" t="s">
        <v>58</v>
      </c>
      <c r="B1333" s="4" t="s">
        <v>14</v>
      </c>
      <c r="C1333" s="30" t="s">
        <v>434</v>
      </c>
      <c r="D1333" s="4" t="s">
        <v>36</v>
      </c>
      <c r="E1333" s="4" t="s">
        <v>16</v>
      </c>
      <c r="F1333" s="4" t="s">
        <v>17</v>
      </c>
      <c r="G1333" s="4" t="s">
        <v>18</v>
      </c>
      <c r="H1333" s="4" t="s">
        <v>189</v>
      </c>
      <c r="I1333" s="5" t="str">
        <f t="shared" si="20"/>
        <v>2025-06</v>
      </c>
      <c r="J1333" s="4" t="s">
        <v>20</v>
      </c>
      <c r="K1333" s="5" t="s">
        <v>342</v>
      </c>
      <c r="L1333" s="2">
        <v>120880</v>
      </c>
      <c r="M1333" s="3">
        <v>1</v>
      </c>
      <c r="N1333" s="2">
        <v>120880</v>
      </c>
      <c r="O1333" s="2">
        <v>12088</v>
      </c>
      <c r="P1333" s="2">
        <v>132968</v>
      </c>
      <c r="Q1333" s="2">
        <f>P1333*8.5%</f>
        <v>11302.28</v>
      </c>
    </row>
    <row r="1334" spans="1:17" x14ac:dyDescent="0.4">
      <c r="A1334" s="4" t="s">
        <v>13</v>
      </c>
      <c r="B1334" s="4" t="s">
        <v>14</v>
      </c>
      <c r="C1334" s="30" t="s">
        <v>434</v>
      </c>
      <c r="D1334" s="4" t="s">
        <v>15</v>
      </c>
      <c r="E1334" s="4" t="s">
        <v>16</v>
      </c>
      <c r="F1334" s="4" t="s">
        <v>17</v>
      </c>
      <c r="G1334" s="4" t="s">
        <v>18</v>
      </c>
      <c r="H1334" s="4" t="s">
        <v>189</v>
      </c>
      <c r="I1334" s="5" t="str">
        <f t="shared" si="20"/>
        <v>2025-06</v>
      </c>
      <c r="J1334" s="4" t="s">
        <v>20</v>
      </c>
      <c r="K1334" s="5" t="s">
        <v>342</v>
      </c>
      <c r="L1334" s="2">
        <v>42000</v>
      </c>
      <c r="M1334" s="3">
        <v>3</v>
      </c>
      <c r="N1334" s="2">
        <v>126000</v>
      </c>
      <c r="O1334" s="2">
        <v>12600</v>
      </c>
      <c r="P1334" s="2">
        <v>138600</v>
      </c>
      <c r="Q1334" s="2">
        <f>P1334*8.5%</f>
        <v>11781</v>
      </c>
    </row>
    <row r="1335" spans="1:17" x14ac:dyDescent="0.4">
      <c r="A1335" s="4" t="s">
        <v>21</v>
      </c>
      <c r="B1335" s="4" t="s">
        <v>14</v>
      </c>
      <c r="C1335" s="31" t="s">
        <v>435</v>
      </c>
      <c r="D1335" s="4" t="s">
        <v>22</v>
      </c>
      <c r="E1335" s="4" t="s">
        <v>16</v>
      </c>
      <c r="F1335" s="4" t="s">
        <v>17</v>
      </c>
      <c r="G1335" s="4" t="s">
        <v>18</v>
      </c>
      <c r="H1335" s="4" t="s">
        <v>189</v>
      </c>
      <c r="I1335" s="5" t="str">
        <f t="shared" si="20"/>
        <v>2025-06</v>
      </c>
      <c r="J1335" s="4" t="s">
        <v>20</v>
      </c>
      <c r="K1335" s="5" t="s">
        <v>342</v>
      </c>
      <c r="L1335" s="2">
        <v>54000</v>
      </c>
      <c r="M1335" s="3">
        <v>2</v>
      </c>
      <c r="N1335" s="2">
        <v>108000</v>
      </c>
      <c r="O1335" s="2">
        <v>10800</v>
      </c>
      <c r="P1335" s="2">
        <v>118800</v>
      </c>
      <c r="Q1335" s="2">
        <f>P1335*8.5%</f>
        <v>10098</v>
      </c>
    </row>
    <row r="1336" spans="1:17" x14ac:dyDescent="0.4">
      <c r="A1336" s="4" t="s">
        <v>23</v>
      </c>
      <c r="B1336" s="4" t="s">
        <v>14</v>
      </c>
      <c r="C1336" s="31" t="s">
        <v>435</v>
      </c>
      <c r="D1336" s="4" t="s">
        <v>24</v>
      </c>
      <c r="E1336" s="4" t="s">
        <v>16</v>
      </c>
      <c r="F1336" s="4" t="s">
        <v>17</v>
      </c>
      <c r="G1336" s="4" t="s">
        <v>18</v>
      </c>
      <c r="H1336" s="4" t="s">
        <v>189</v>
      </c>
      <c r="I1336" s="5" t="str">
        <f t="shared" si="20"/>
        <v>2025-06</v>
      </c>
      <c r="J1336" s="4" t="s">
        <v>20</v>
      </c>
      <c r="K1336" s="5" t="s">
        <v>342</v>
      </c>
      <c r="L1336" s="2">
        <v>54000</v>
      </c>
      <c r="M1336" s="3">
        <v>3</v>
      </c>
      <c r="N1336" s="2">
        <v>162000</v>
      </c>
      <c r="O1336" s="2">
        <v>16200</v>
      </c>
      <c r="P1336" s="2">
        <v>178200</v>
      </c>
      <c r="Q1336" s="2">
        <f>P1336*8.5%</f>
        <v>15147.000000000002</v>
      </c>
    </row>
    <row r="1337" spans="1:17" x14ac:dyDescent="0.4">
      <c r="A1337" s="4" t="s">
        <v>51</v>
      </c>
      <c r="B1337" s="4" t="s">
        <v>14</v>
      </c>
      <c r="C1337" s="30" t="s">
        <v>434</v>
      </c>
      <c r="D1337" s="4" t="s">
        <v>52</v>
      </c>
      <c r="E1337" s="4" t="s">
        <v>16</v>
      </c>
      <c r="F1337" s="4" t="s">
        <v>17</v>
      </c>
      <c r="G1337" s="4" t="s">
        <v>18</v>
      </c>
      <c r="H1337" s="4" t="s">
        <v>189</v>
      </c>
      <c r="I1337" s="5" t="str">
        <f t="shared" si="20"/>
        <v>2025-06</v>
      </c>
      <c r="J1337" s="4" t="s">
        <v>20</v>
      </c>
      <c r="K1337" s="5" t="s">
        <v>342</v>
      </c>
      <c r="L1337" s="2">
        <v>71250</v>
      </c>
      <c r="M1337" s="3">
        <v>1</v>
      </c>
      <c r="N1337" s="2">
        <v>71250</v>
      </c>
      <c r="O1337" s="2">
        <v>7125</v>
      </c>
      <c r="P1337" s="2">
        <v>78375</v>
      </c>
      <c r="Q1337" s="2">
        <f>P1337*8.5%</f>
        <v>6661.8750000000009</v>
      </c>
    </row>
    <row r="1338" spans="1:17" x14ac:dyDescent="0.4">
      <c r="A1338" s="4" t="s">
        <v>100</v>
      </c>
      <c r="B1338" s="4" t="s">
        <v>26</v>
      </c>
      <c r="C1338" s="32" t="s">
        <v>436</v>
      </c>
      <c r="D1338" s="4" t="s">
        <v>101</v>
      </c>
      <c r="E1338" s="4" t="s">
        <v>28</v>
      </c>
      <c r="F1338" s="4" t="s">
        <v>17</v>
      </c>
      <c r="G1338" s="4" t="s">
        <v>18</v>
      </c>
      <c r="H1338" s="4" t="s">
        <v>189</v>
      </c>
      <c r="I1338" s="5" t="str">
        <f t="shared" si="20"/>
        <v>2025-06</v>
      </c>
      <c r="J1338" s="4" t="s">
        <v>20</v>
      </c>
      <c r="K1338" s="5" t="s">
        <v>342</v>
      </c>
      <c r="L1338" s="2">
        <v>5620</v>
      </c>
      <c r="M1338" s="3">
        <v>2</v>
      </c>
      <c r="N1338" s="2">
        <v>11240</v>
      </c>
      <c r="O1338" s="2">
        <v>1124</v>
      </c>
      <c r="P1338" s="2">
        <v>12364</v>
      </c>
      <c r="Q1338" s="2">
        <f>P1338*8.5%</f>
        <v>1050.94</v>
      </c>
    </row>
    <row r="1339" spans="1:17" x14ac:dyDescent="0.4">
      <c r="A1339" s="4" t="s">
        <v>25</v>
      </c>
      <c r="B1339" s="4" t="s">
        <v>26</v>
      </c>
      <c r="C1339" s="32" t="s">
        <v>436</v>
      </c>
      <c r="D1339" s="4" t="s">
        <v>27</v>
      </c>
      <c r="E1339" s="4" t="s">
        <v>28</v>
      </c>
      <c r="F1339" s="4" t="s">
        <v>17</v>
      </c>
      <c r="G1339" s="4" t="s">
        <v>18</v>
      </c>
      <c r="H1339" s="4" t="s">
        <v>189</v>
      </c>
      <c r="I1339" s="5" t="str">
        <f t="shared" si="20"/>
        <v>2025-06</v>
      </c>
      <c r="J1339" s="4" t="s">
        <v>20</v>
      </c>
      <c r="K1339" s="5" t="s">
        <v>342</v>
      </c>
      <c r="L1339" s="2">
        <v>2631</v>
      </c>
      <c r="M1339" s="3">
        <v>1</v>
      </c>
      <c r="N1339" s="2">
        <v>2631</v>
      </c>
      <c r="O1339" s="2">
        <v>263</v>
      </c>
      <c r="P1339" s="2">
        <v>2894</v>
      </c>
      <c r="Q1339" s="2">
        <f>P1339*8.5%</f>
        <v>245.99</v>
      </c>
    </row>
    <row r="1340" spans="1:17" x14ac:dyDescent="0.4">
      <c r="A1340" s="4" t="s">
        <v>56</v>
      </c>
      <c r="B1340" s="4" t="s">
        <v>26</v>
      </c>
      <c r="C1340" s="32" t="s">
        <v>436</v>
      </c>
      <c r="D1340" s="4" t="s">
        <v>57</v>
      </c>
      <c r="E1340" s="4" t="s">
        <v>44</v>
      </c>
      <c r="F1340" s="4" t="s">
        <v>31</v>
      </c>
      <c r="G1340" s="4" t="s">
        <v>18</v>
      </c>
      <c r="H1340" s="4" t="s">
        <v>189</v>
      </c>
      <c r="I1340" s="5" t="str">
        <f t="shared" si="20"/>
        <v>2025-06</v>
      </c>
      <c r="J1340" s="4" t="s">
        <v>20</v>
      </c>
      <c r="K1340" s="5" t="s">
        <v>342</v>
      </c>
      <c r="L1340" s="2">
        <v>1925</v>
      </c>
      <c r="M1340" s="3">
        <v>27</v>
      </c>
      <c r="N1340" s="2">
        <v>51975</v>
      </c>
      <c r="O1340" s="2">
        <v>0</v>
      </c>
      <c r="P1340" s="2">
        <v>51975</v>
      </c>
      <c r="Q1340" s="2">
        <f>P1340*8.5%</f>
        <v>4417.875</v>
      </c>
    </row>
    <row r="1341" spans="1:17" hidden="1" x14ac:dyDescent="0.4">
      <c r="A1341" s="4" t="s">
        <v>32</v>
      </c>
      <c r="B1341" s="4" t="s">
        <v>14</v>
      </c>
      <c r="C1341" s="31" t="s">
        <v>435</v>
      </c>
      <c r="D1341" s="4" t="s">
        <v>33</v>
      </c>
      <c r="E1341" s="4" t="s">
        <v>16</v>
      </c>
      <c r="F1341" s="4" t="s">
        <v>17</v>
      </c>
      <c r="G1341" s="4" t="s">
        <v>18</v>
      </c>
      <c r="H1341" s="4" t="s">
        <v>189</v>
      </c>
      <c r="I1341" s="5" t="str">
        <f t="shared" si="20"/>
        <v>2025-06</v>
      </c>
      <c r="J1341" s="4" t="s">
        <v>118</v>
      </c>
      <c r="K1341" s="5" t="s">
        <v>342</v>
      </c>
      <c r="L1341" s="2">
        <v>44000</v>
      </c>
      <c r="M1341" s="3">
        <v>1</v>
      </c>
      <c r="N1341" s="2">
        <v>44000</v>
      </c>
      <c r="O1341" s="2">
        <v>4400</v>
      </c>
      <c r="P1341" s="2">
        <v>48400</v>
      </c>
      <c r="Q1341" s="2">
        <f>P1341*8.5%</f>
        <v>4114</v>
      </c>
    </row>
    <row r="1342" spans="1:17" hidden="1" x14ac:dyDescent="0.4">
      <c r="A1342" s="4" t="s">
        <v>13</v>
      </c>
      <c r="B1342" s="4" t="s">
        <v>14</v>
      </c>
      <c r="C1342" s="30" t="s">
        <v>434</v>
      </c>
      <c r="D1342" s="4" t="s">
        <v>15</v>
      </c>
      <c r="E1342" s="4" t="s">
        <v>16</v>
      </c>
      <c r="F1342" s="4" t="s">
        <v>17</v>
      </c>
      <c r="G1342" s="4" t="s">
        <v>18</v>
      </c>
      <c r="H1342" s="4" t="s">
        <v>189</v>
      </c>
      <c r="I1342" s="5" t="str">
        <f t="shared" si="20"/>
        <v>2025-06</v>
      </c>
      <c r="J1342" s="4" t="s">
        <v>118</v>
      </c>
      <c r="K1342" s="5" t="s">
        <v>342</v>
      </c>
      <c r="L1342" s="2">
        <v>42000</v>
      </c>
      <c r="M1342" s="3">
        <v>3</v>
      </c>
      <c r="N1342" s="2">
        <v>126000</v>
      </c>
      <c r="O1342" s="2">
        <v>12600</v>
      </c>
      <c r="P1342" s="2">
        <v>138600</v>
      </c>
      <c r="Q1342" s="2">
        <f>P1342*8.5%</f>
        <v>11781</v>
      </c>
    </row>
    <row r="1343" spans="1:17" hidden="1" x14ac:dyDescent="0.4">
      <c r="A1343" s="4" t="s">
        <v>23</v>
      </c>
      <c r="B1343" s="4" t="s">
        <v>14</v>
      </c>
      <c r="C1343" s="31" t="s">
        <v>435</v>
      </c>
      <c r="D1343" s="4" t="s">
        <v>24</v>
      </c>
      <c r="E1343" s="4" t="s">
        <v>16</v>
      </c>
      <c r="F1343" s="4" t="s">
        <v>17</v>
      </c>
      <c r="G1343" s="4" t="s">
        <v>18</v>
      </c>
      <c r="H1343" s="4" t="s">
        <v>189</v>
      </c>
      <c r="I1343" s="5" t="str">
        <f t="shared" si="20"/>
        <v>2025-06</v>
      </c>
      <c r="J1343" s="4" t="s">
        <v>118</v>
      </c>
      <c r="K1343" s="5" t="s">
        <v>342</v>
      </c>
      <c r="L1343" s="2">
        <v>54000</v>
      </c>
      <c r="M1343" s="3">
        <v>1</v>
      </c>
      <c r="N1343" s="2">
        <v>54000</v>
      </c>
      <c r="O1343" s="2">
        <v>5400</v>
      </c>
      <c r="P1343" s="2">
        <v>59400</v>
      </c>
      <c r="Q1343" s="2">
        <f>P1343*8.5%</f>
        <v>5049</v>
      </c>
    </row>
    <row r="1344" spans="1:17" hidden="1" x14ac:dyDescent="0.4">
      <c r="A1344" s="4" t="s">
        <v>32</v>
      </c>
      <c r="B1344" s="4" t="s">
        <v>14</v>
      </c>
      <c r="C1344" s="31" t="s">
        <v>435</v>
      </c>
      <c r="D1344" s="4" t="s">
        <v>33</v>
      </c>
      <c r="E1344" s="4" t="s">
        <v>16</v>
      </c>
      <c r="F1344" s="4" t="s">
        <v>17</v>
      </c>
      <c r="G1344" s="4" t="s">
        <v>18</v>
      </c>
      <c r="H1344" s="4" t="s">
        <v>189</v>
      </c>
      <c r="I1344" s="5" t="str">
        <f t="shared" si="20"/>
        <v>2025-06</v>
      </c>
      <c r="J1344" s="4" t="s">
        <v>34</v>
      </c>
      <c r="K1344" s="5" t="s">
        <v>342</v>
      </c>
      <c r="L1344" s="2">
        <v>44000</v>
      </c>
      <c r="M1344" s="3">
        <v>2</v>
      </c>
      <c r="N1344" s="2">
        <v>88000</v>
      </c>
      <c r="O1344" s="2">
        <v>8800</v>
      </c>
      <c r="P1344" s="2">
        <v>96800</v>
      </c>
      <c r="Q1344" s="2">
        <f>P1344*8.5%</f>
        <v>8228</v>
      </c>
    </row>
    <row r="1345" spans="1:17" hidden="1" x14ac:dyDescent="0.4">
      <c r="A1345" s="4" t="s">
        <v>58</v>
      </c>
      <c r="B1345" s="4" t="s">
        <v>14</v>
      </c>
      <c r="C1345" s="30" t="s">
        <v>434</v>
      </c>
      <c r="D1345" s="4" t="s">
        <v>36</v>
      </c>
      <c r="E1345" s="4" t="s">
        <v>16</v>
      </c>
      <c r="F1345" s="4" t="s">
        <v>17</v>
      </c>
      <c r="G1345" s="4" t="s">
        <v>18</v>
      </c>
      <c r="H1345" s="4" t="s">
        <v>189</v>
      </c>
      <c r="I1345" s="5" t="str">
        <f t="shared" si="20"/>
        <v>2025-06</v>
      </c>
      <c r="J1345" s="4" t="s">
        <v>34</v>
      </c>
      <c r="K1345" s="5" t="s">
        <v>342</v>
      </c>
      <c r="L1345" s="2">
        <v>120880</v>
      </c>
      <c r="M1345" s="3">
        <v>1</v>
      </c>
      <c r="N1345" s="2">
        <v>120880</v>
      </c>
      <c r="O1345" s="2">
        <v>12088</v>
      </c>
      <c r="P1345" s="2">
        <v>132968</v>
      </c>
      <c r="Q1345" s="2">
        <f>P1345*8.5%</f>
        <v>11302.28</v>
      </c>
    </row>
    <row r="1346" spans="1:17" hidden="1" x14ac:dyDescent="0.4">
      <c r="A1346" s="4" t="s">
        <v>21</v>
      </c>
      <c r="B1346" s="4" t="s">
        <v>14</v>
      </c>
      <c r="C1346" s="31" t="s">
        <v>435</v>
      </c>
      <c r="D1346" s="4" t="s">
        <v>22</v>
      </c>
      <c r="E1346" s="4" t="s">
        <v>16</v>
      </c>
      <c r="F1346" s="4" t="s">
        <v>17</v>
      </c>
      <c r="G1346" s="4" t="s">
        <v>18</v>
      </c>
      <c r="H1346" s="4" t="s">
        <v>189</v>
      </c>
      <c r="I1346" s="5" t="str">
        <f t="shared" ref="I1346:I1409" si="21">TEXT(H1346,"yyyy-mm")</f>
        <v>2025-06</v>
      </c>
      <c r="J1346" s="4" t="s">
        <v>34</v>
      </c>
      <c r="K1346" s="5" t="s">
        <v>342</v>
      </c>
      <c r="L1346" s="2">
        <v>54000</v>
      </c>
      <c r="M1346" s="3">
        <v>1</v>
      </c>
      <c r="N1346" s="2">
        <v>54000</v>
      </c>
      <c r="O1346" s="2">
        <v>5400</v>
      </c>
      <c r="P1346" s="2">
        <v>59400</v>
      </c>
      <c r="Q1346" s="2">
        <f>P1346*8.5%</f>
        <v>5049</v>
      </c>
    </row>
    <row r="1347" spans="1:17" hidden="1" x14ac:dyDescent="0.4">
      <c r="A1347" s="4" t="s">
        <v>35</v>
      </c>
      <c r="B1347" s="4" t="s">
        <v>14</v>
      </c>
      <c r="C1347" s="30" t="s">
        <v>434</v>
      </c>
      <c r="D1347" s="4" t="s">
        <v>36</v>
      </c>
      <c r="E1347" s="4" t="s">
        <v>16</v>
      </c>
      <c r="F1347" s="4" t="s">
        <v>17</v>
      </c>
      <c r="G1347" s="4" t="s">
        <v>18</v>
      </c>
      <c r="H1347" s="4" t="s">
        <v>189</v>
      </c>
      <c r="I1347" s="5" t="str">
        <f t="shared" si="21"/>
        <v>2025-06</v>
      </c>
      <c r="J1347" s="4" t="s">
        <v>34</v>
      </c>
      <c r="K1347" s="5" t="s">
        <v>342</v>
      </c>
      <c r="L1347" s="2">
        <v>116220</v>
      </c>
      <c r="M1347" s="3">
        <v>1</v>
      </c>
      <c r="N1347" s="2">
        <v>116220</v>
      </c>
      <c r="O1347" s="2">
        <v>11622</v>
      </c>
      <c r="P1347" s="2">
        <v>127842</v>
      </c>
      <c r="Q1347" s="2">
        <f>P1347*8.5%</f>
        <v>10866.570000000002</v>
      </c>
    </row>
    <row r="1348" spans="1:17" hidden="1" x14ac:dyDescent="0.4">
      <c r="A1348" s="4" t="s">
        <v>23</v>
      </c>
      <c r="B1348" s="4" t="s">
        <v>14</v>
      </c>
      <c r="C1348" s="31" t="s">
        <v>435</v>
      </c>
      <c r="D1348" s="4" t="s">
        <v>24</v>
      </c>
      <c r="E1348" s="4" t="s">
        <v>16</v>
      </c>
      <c r="F1348" s="4" t="s">
        <v>17</v>
      </c>
      <c r="G1348" s="4" t="s">
        <v>18</v>
      </c>
      <c r="H1348" s="4" t="s">
        <v>189</v>
      </c>
      <c r="I1348" s="5" t="str">
        <f t="shared" si="21"/>
        <v>2025-06</v>
      </c>
      <c r="J1348" s="4" t="s">
        <v>34</v>
      </c>
      <c r="K1348" s="5" t="s">
        <v>342</v>
      </c>
      <c r="L1348" s="2">
        <v>54000</v>
      </c>
      <c r="M1348" s="3">
        <v>5</v>
      </c>
      <c r="N1348" s="2">
        <v>270000</v>
      </c>
      <c r="O1348" s="2">
        <v>27000</v>
      </c>
      <c r="P1348" s="2">
        <v>297000</v>
      </c>
      <c r="Q1348" s="2">
        <f>P1348*8.5%</f>
        <v>25245</v>
      </c>
    </row>
    <row r="1349" spans="1:17" hidden="1" x14ac:dyDescent="0.4">
      <c r="A1349" s="4" t="s">
        <v>51</v>
      </c>
      <c r="B1349" s="4" t="s">
        <v>14</v>
      </c>
      <c r="C1349" s="30" t="s">
        <v>434</v>
      </c>
      <c r="D1349" s="4" t="s">
        <v>52</v>
      </c>
      <c r="E1349" s="4" t="s">
        <v>16</v>
      </c>
      <c r="F1349" s="4" t="s">
        <v>17</v>
      </c>
      <c r="G1349" s="4" t="s">
        <v>18</v>
      </c>
      <c r="H1349" s="4" t="s">
        <v>189</v>
      </c>
      <c r="I1349" s="5" t="str">
        <f t="shared" si="21"/>
        <v>2025-06</v>
      </c>
      <c r="J1349" s="4" t="s">
        <v>34</v>
      </c>
      <c r="K1349" s="5" t="s">
        <v>342</v>
      </c>
      <c r="L1349" s="2">
        <v>71250</v>
      </c>
      <c r="M1349" s="3">
        <v>2</v>
      </c>
      <c r="N1349" s="2">
        <v>142500</v>
      </c>
      <c r="O1349" s="2">
        <v>14250</v>
      </c>
      <c r="P1349" s="2">
        <v>156750</v>
      </c>
      <c r="Q1349" s="2">
        <f>P1349*8.5%</f>
        <v>13323.750000000002</v>
      </c>
    </row>
    <row r="1350" spans="1:17" hidden="1" x14ac:dyDescent="0.4">
      <c r="A1350" s="4" t="s">
        <v>37</v>
      </c>
      <c r="B1350" s="4" t="s">
        <v>26</v>
      </c>
      <c r="C1350" s="32" t="s">
        <v>436</v>
      </c>
      <c r="D1350" s="4" t="s">
        <v>38</v>
      </c>
      <c r="E1350" s="4" t="s">
        <v>28</v>
      </c>
      <c r="F1350" s="4" t="s">
        <v>17</v>
      </c>
      <c r="G1350" s="4" t="s">
        <v>18</v>
      </c>
      <c r="H1350" s="4" t="s">
        <v>189</v>
      </c>
      <c r="I1350" s="5" t="str">
        <f t="shared" si="21"/>
        <v>2025-06</v>
      </c>
      <c r="J1350" s="4" t="s">
        <v>34</v>
      </c>
      <c r="K1350" s="5" t="s">
        <v>342</v>
      </c>
      <c r="L1350" s="2">
        <v>395</v>
      </c>
      <c r="M1350" s="3">
        <v>20</v>
      </c>
      <c r="N1350" s="2">
        <v>7900</v>
      </c>
      <c r="O1350" s="2">
        <v>790</v>
      </c>
      <c r="P1350" s="2">
        <v>8690</v>
      </c>
      <c r="Q1350" s="2">
        <f>P1350*8.5%</f>
        <v>738.65000000000009</v>
      </c>
    </row>
    <row r="1351" spans="1:17" hidden="1" x14ac:dyDescent="0.4">
      <c r="A1351" s="4" t="s">
        <v>73</v>
      </c>
      <c r="B1351" s="4" t="s">
        <v>26</v>
      </c>
      <c r="C1351" s="32" t="s">
        <v>436</v>
      </c>
      <c r="D1351" s="4" t="s">
        <v>57</v>
      </c>
      <c r="E1351" s="4" t="s">
        <v>28</v>
      </c>
      <c r="F1351" s="4" t="s">
        <v>17</v>
      </c>
      <c r="G1351" s="4" t="s">
        <v>18</v>
      </c>
      <c r="H1351" s="4" t="s">
        <v>189</v>
      </c>
      <c r="I1351" s="5" t="str">
        <f t="shared" si="21"/>
        <v>2025-06</v>
      </c>
      <c r="J1351" s="4" t="s">
        <v>34</v>
      </c>
      <c r="K1351" s="5" t="s">
        <v>342</v>
      </c>
      <c r="L1351" s="2">
        <v>7055</v>
      </c>
      <c r="M1351" s="3">
        <v>2</v>
      </c>
      <c r="N1351" s="2">
        <v>14110</v>
      </c>
      <c r="O1351" s="2">
        <v>1411</v>
      </c>
      <c r="P1351" s="2">
        <v>15521</v>
      </c>
      <c r="Q1351" s="2">
        <f>P1351*8.5%</f>
        <v>1319.2850000000001</v>
      </c>
    </row>
    <row r="1352" spans="1:17" hidden="1" x14ac:dyDescent="0.4">
      <c r="A1352" s="4" t="s">
        <v>40</v>
      </c>
      <c r="B1352" s="4" t="s">
        <v>26</v>
      </c>
      <c r="C1352" s="32" t="s">
        <v>436</v>
      </c>
      <c r="D1352" s="4" t="s">
        <v>41</v>
      </c>
      <c r="E1352" s="4" t="s">
        <v>28</v>
      </c>
      <c r="F1352" s="4" t="s">
        <v>17</v>
      </c>
      <c r="G1352" s="4" t="s">
        <v>18</v>
      </c>
      <c r="H1352" s="4" t="s">
        <v>189</v>
      </c>
      <c r="I1352" s="5" t="str">
        <f t="shared" si="21"/>
        <v>2025-06</v>
      </c>
      <c r="J1352" s="4" t="s">
        <v>34</v>
      </c>
      <c r="K1352" s="5" t="s">
        <v>342</v>
      </c>
      <c r="L1352" s="2">
        <v>17936</v>
      </c>
      <c r="M1352" s="3">
        <v>2</v>
      </c>
      <c r="N1352" s="2">
        <v>35872</v>
      </c>
      <c r="O1352" s="2">
        <v>3587</v>
      </c>
      <c r="P1352" s="2">
        <v>39459</v>
      </c>
      <c r="Q1352" s="2">
        <f>P1352*8.5%</f>
        <v>3354.0150000000003</v>
      </c>
    </row>
    <row r="1353" spans="1:17" hidden="1" x14ac:dyDescent="0.4">
      <c r="A1353" s="4" t="s">
        <v>42</v>
      </c>
      <c r="B1353" s="4" t="s">
        <v>14</v>
      </c>
      <c r="C1353" s="30" t="s">
        <v>434</v>
      </c>
      <c r="D1353" s="4" t="s">
        <v>43</v>
      </c>
      <c r="E1353" s="4" t="s">
        <v>44</v>
      </c>
      <c r="F1353" s="4" t="s">
        <v>31</v>
      </c>
      <c r="G1353" s="4" t="s">
        <v>18</v>
      </c>
      <c r="H1353" s="4" t="s">
        <v>189</v>
      </c>
      <c r="I1353" s="5" t="str">
        <f t="shared" si="21"/>
        <v>2025-06</v>
      </c>
      <c r="J1353" s="4" t="s">
        <v>34</v>
      </c>
      <c r="K1353" s="5" t="s">
        <v>342</v>
      </c>
      <c r="L1353" s="2">
        <v>6800</v>
      </c>
      <c r="M1353" s="3">
        <v>61</v>
      </c>
      <c r="N1353" s="2">
        <v>414800</v>
      </c>
      <c r="O1353" s="2">
        <v>0</v>
      </c>
      <c r="P1353" s="2">
        <v>414800</v>
      </c>
      <c r="Q1353" s="2">
        <f>P1353*8.5%</f>
        <v>35258</v>
      </c>
    </row>
    <row r="1354" spans="1:17" hidden="1" x14ac:dyDescent="0.4">
      <c r="A1354" s="4" t="s">
        <v>13</v>
      </c>
      <c r="B1354" s="4" t="s">
        <v>14</v>
      </c>
      <c r="C1354" s="30" t="s">
        <v>434</v>
      </c>
      <c r="D1354" s="4" t="s">
        <v>15</v>
      </c>
      <c r="E1354" s="4" t="s">
        <v>16</v>
      </c>
      <c r="F1354" s="4" t="s">
        <v>17</v>
      </c>
      <c r="G1354" s="4" t="s">
        <v>18</v>
      </c>
      <c r="H1354" s="4" t="s">
        <v>189</v>
      </c>
      <c r="I1354" s="5" t="str">
        <f t="shared" si="21"/>
        <v>2025-06</v>
      </c>
      <c r="J1354" s="4" t="s">
        <v>59</v>
      </c>
      <c r="K1354" s="5" t="s">
        <v>343</v>
      </c>
      <c r="L1354" s="2">
        <v>42000</v>
      </c>
      <c r="M1354" s="3">
        <v>3</v>
      </c>
      <c r="N1354" s="2">
        <v>126000</v>
      </c>
      <c r="O1354" s="2">
        <v>12600</v>
      </c>
      <c r="P1354" s="2">
        <v>138600</v>
      </c>
      <c r="Q1354" s="2">
        <f>P1354*12%</f>
        <v>16632</v>
      </c>
    </row>
    <row r="1355" spans="1:17" hidden="1" x14ac:dyDescent="0.4">
      <c r="A1355" s="4" t="s">
        <v>23</v>
      </c>
      <c r="B1355" s="4" t="s">
        <v>14</v>
      </c>
      <c r="C1355" s="31" t="s">
        <v>435</v>
      </c>
      <c r="D1355" s="4" t="s">
        <v>24</v>
      </c>
      <c r="E1355" s="4" t="s">
        <v>16</v>
      </c>
      <c r="F1355" s="4" t="s">
        <v>17</v>
      </c>
      <c r="G1355" s="4" t="s">
        <v>18</v>
      </c>
      <c r="H1355" s="4" t="s">
        <v>189</v>
      </c>
      <c r="I1355" s="5" t="str">
        <f t="shared" si="21"/>
        <v>2025-06</v>
      </c>
      <c r="J1355" s="4" t="s">
        <v>59</v>
      </c>
      <c r="K1355" s="5" t="s">
        <v>343</v>
      </c>
      <c r="L1355" s="2">
        <v>54000</v>
      </c>
      <c r="M1355" s="3">
        <v>2</v>
      </c>
      <c r="N1355" s="2">
        <v>108000</v>
      </c>
      <c r="O1355" s="2">
        <v>10800</v>
      </c>
      <c r="P1355" s="2">
        <v>118800</v>
      </c>
      <c r="Q1355" s="2">
        <f>P1355*12%</f>
        <v>14256</v>
      </c>
    </row>
    <row r="1356" spans="1:17" hidden="1" x14ac:dyDescent="0.4">
      <c r="A1356" s="4" t="s">
        <v>32</v>
      </c>
      <c r="B1356" s="4" t="s">
        <v>14</v>
      </c>
      <c r="C1356" s="31" t="s">
        <v>435</v>
      </c>
      <c r="D1356" s="4" t="s">
        <v>33</v>
      </c>
      <c r="E1356" s="4" t="s">
        <v>16</v>
      </c>
      <c r="F1356" s="4" t="s">
        <v>17</v>
      </c>
      <c r="G1356" s="4" t="s">
        <v>18</v>
      </c>
      <c r="H1356" s="4" t="s">
        <v>189</v>
      </c>
      <c r="I1356" s="5" t="str">
        <f t="shared" si="21"/>
        <v>2025-06</v>
      </c>
      <c r="J1356" s="4" t="s">
        <v>50</v>
      </c>
      <c r="K1356" s="5" t="s">
        <v>343</v>
      </c>
      <c r="L1356" s="2">
        <v>44000</v>
      </c>
      <c r="M1356" s="3">
        <v>2</v>
      </c>
      <c r="N1356" s="2">
        <v>88000</v>
      </c>
      <c r="O1356" s="2">
        <v>8800</v>
      </c>
      <c r="P1356" s="2">
        <v>96800</v>
      </c>
      <c r="Q1356" s="2">
        <f>P1356*12%</f>
        <v>11616</v>
      </c>
    </row>
    <row r="1357" spans="1:17" hidden="1" x14ac:dyDescent="0.4">
      <c r="A1357" s="4" t="s">
        <v>13</v>
      </c>
      <c r="B1357" s="4" t="s">
        <v>14</v>
      </c>
      <c r="C1357" s="30" t="s">
        <v>434</v>
      </c>
      <c r="D1357" s="4" t="s">
        <v>15</v>
      </c>
      <c r="E1357" s="4" t="s">
        <v>16</v>
      </c>
      <c r="F1357" s="4" t="s">
        <v>17</v>
      </c>
      <c r="G1357" s="4" t="s">
        <v>18</v>
      </c>
      <c r="H1357" s="4" t="s">
        <v>189</v>
      </c>
      <c r="I1357" s="5" t="str">
        <f t="shared" si="21"/>
        <v>2025-06</v>
      </c>
      <c r="J1357" s="4" t="s">
        <v>50</v>
      </c>
      <c r="K1357" s="5" t="s">
        <v>343</v>
      </c>
      <c r="L1357" s="2">
        <v>42000</v>
      </c>
      <c r="M1357" s="3">
        <v>15</v>
      </c>
      <c r="N1357" s="2">
        <v>630000</v>
      </c>
      <c r="O1357" s="2">
        <v>63000</v>
      </c>
      <c r="P1357" s="2">
        <v>693000</v>
      </c>
      <c r="Q1357" s="2">
        <f>P1357*12%</f>
        <v>83160</v>
      </c>
    </row>
    <row r="1358" spans="1:17" hidden="1" x14ac:dyDescent="0.4">
      <c r="A1358" s="4" t="s">
        <v>23</v>
      </c>
      <c r="B1358" s="4" t="s">
        <v>14</v>
      </c>
      <c r="C1358" s="31" t="s">
        <v>435</v>
      </c>
      <c r="D1358" s="4" t="s">
        <v>24</v>
      </c>
      <c r="E1358" s="4" t="s">
        <v>16</v>
      </c>
      <c r="F1358" s="4" t="s">
        <v>17</v>
      </c>
      <c r="G1358" s="4" t="s">
        <v>18</v>
      </c>
      <c r="H1358" s="4" t="s">
        <v>189</v>
      </c>
      <c r="I1358" s="5" t="str">
        <f t="shared" si="21"/>
        <v>2025-06</v>
      </c>
      <c r="J1358" s="4" t="s">
        <v>50</v>
      </c>
      <c r="K1358" s="5" t="s">
        <v>343</v>
      </c>
      <c r="L1358" s="2">
        <v>54000</v>
      </c>
      <c r="M1358" s="3">
        <v>5</v>
      </c>
      <c r="N1358" s="2">
        <v>270000</v>
      </c>
      <c r="O1358" s="2">
        <v>27000</v>
      </c>
      <c r="P1358" s="2">
        <v>297000</v>
      </c>
      <c r="Q1358" s="2">
        <f>P1358*12%</f>
        <v>35640</v>
      </c>
    </row>
    <row r="1359" spans="1:17" hidden="1" x14ac:dyDescent="0.4">
      <c r="A1359" s="4" t="s">
        <v>51</v>
      </c>
      <c r="B1359" s="4" t="s">
        <v>14</v>
      </c>
      <c r="C1359" s="30" t="s">
        <v>434</v>
      </c>
      <c r="D1359" s="4" t="s">
        <v>52</v>
      </c>
      <c r="E1359" s="4" t="s">
        <v>16</v>
      </c>
      <c r="F1359" s="4" t="s">
        <v>17</v>
      </c>
      <c r="G1359" s="4" t="s">
        <v>18</v>
      </c>
      <c r="H1359" s="4" t="s">
        <v>189</v>
      </c>
      <c r="I1359" s="5" t="str">
        <f t="shared" si="21"/>
        <v>2025-06</v>
      </c>
      <c r="J1359" s="4" t="s">
        <v>50</v>
      </c>
      <c r="K1359" s="5" t="s">
        <v>343</v>
      </c>
      <c r="L1359" s="2">
        <v>71250</v>
      </c>
      <c r="M1359" s="3">
        <v>2</v>
      </c>
      <c r="N1359" s="2">
        <v>142500</v>
      </c>
      <c r="O1359" s="2">
        <v>14250</v>
      </c>
      <c r="P1359" s="2">
        <v>156750</v>
      </c>
      <c r="Q1359" s="2">
        <f>P1359*12%</f>
        <v>18810</v>
      </c>
    </row>
    <row r="1360" spans="1:17" x14ac:dyDescent="0.4">
      <c r="A1360" s="4" t="s">
        <v>13</v>
      </c>
      <c r="B1360" s="4" t="s">
        <v>14</v>
      </c>
      <c r="C1360" s="30" t="s">
        <v>434</v>
      </c>
      <c r="D1360" s="4" t="s">
        <v>15</v>
      </c>
      <c r="E1360" s="4" t="s">
        <v>16</v>
      </c>
      <c r="F1360" s="4" t="s">
        <v>17</v>
      </c>
      <c r="G1360" s="4" t="s">
        <v>18</v>
      </c>
      <c r="H1360" s="4" t="s">
        <v>190</v>
      </c>
      <c r="I1360" s="5" t="str">
        <f t="shared" si="21"/>
        <v>2025-06</v>
      </c>
      <c r="J1360" s="4" t="s">
        <v>20</v>
      </c>
      <c r="K1360" s="5" t="s">
        <v>342</v>
      </c>
      <c r="L1360" s="2">
        <v>42000</v>
      </c>
      <c r="M1360" s="3">
        <v>3</v>
      </c>
      <c r="N1360" s="2">
        <v>126000</v>
      </c>
      <c r="O1360" s="2">
        <v>12600</v>
      </c>
      <c r="P1360" s="2">
        <v>138600</v>
      </c>
      <c r="Q1360" s="2">
        <f>P1360*8.5%</f>
        <v>11781</v>
      </c>
    </row>
    <row r="1361" spans="1:17" x14ac:dyDescent="0.4">
      <c r="A1361" s="4" t="s">
        <v>21</v>
      </c>
      <c r="B1361" s="4" t="s">
        <v>14</v>
      </c>
      <c r="C1361" s="31" t="s">
        <v>435</v>
      </c>
      <c r="D1361" s="4" t="s">
        <v>22</v>
      </c>
      <c r="E1361" s="4" t="s">
        <v>16</v>
      </c>
      <c r="F1361" s="4" t="s">
        <v>17</v>
      </c>
      <c r="G1361" s="4" t="s">
        <v>18</v>
      </c>
      <c r="H1361" s="4" t="s">
        <v>190</v>
      </c>
      <c r="I1361" s="5" t="str">
        <f t="shared" si="21"/>
        <v>2025-06</v>
      </c>
      <c r="J1361" s="4" t="s">
        <v>20</v>
      </c>
      <c r="K1361" s="5" t="s">
        <v>342</v>
      </c>
      <c r="L1361" s="2">
        <v>54000</v>
      </c>
      <c r="M1361" s="3">
        <v>2</v>
      </c>
      <c r="N1361" s="2">
        <v>108000</v>
      </c>
      <c r="O1361" s="2">
        <v>10800</v>
      </c>
      <c r="P1361" s="2">
        <v>118800</v>
      </c>
      <c r="Q1361" s="2">
        <f>P1361*8.5%</f>
        <v>10098</v>
      </c>
    </row>
    <row r="1362" spans="1:17" x14ac:dyDescent="0.4">
      <c r="A1362" s="4" t="s">
        <v>23</v>
      </c>
      <c r="B1362" s="4" t="s">
        <v>14</v>
      </c>
      <c r="C1362" s="31" t="s">
        <v>435</v>
      </c>
      <c r="D1362" s="4" t="s">
        <v>24</v>
      </c>
      <c r="E1362" s="4" t="s">
        <v>16</v>
      </c>
      <c r="F1362" s="4" t="s">
        <v>17</v>
      </c>
      <c r="G1362" s="4" t="s">
        <v>18</v>
      </c>
      <c r="H1362" s="4" t="s">
        <v>190</v>
      </c>
      <c r="I1362" s="5" t="str">
        <f t="shared" si="21"/>
        <v>2025-06</v>
      </c>
      <c r="J1362" s="4" t="s">
        <v>20</v>
      </c>
      <c r="K1362" s="5" t="s">
        <v>342</v>
      </c>
      <c r="L1362" s="2">
        <v>54000</v>
      </c>
      <c r="M1362" s="3">
        <v>3</v>
      </c>
      <c r="N1362" s="2">
        <v>162000</v>
      </c>
      <c r="O1362" s="2">
        <v>16200</v>
      </c>
      <c r="P1362" s="2">
        <v>178200</v>
      </c>
      <c r="Q1362" s="2">
        <f>P1362*8.5%</f>
        <v>15147.000000000002</v>
      </c>
    </row>
    <row r="1363" spans="1:17" x14ac:dyDescent="0.4">
      <c r="A1363" s="4" t="s">
        <v>127</v>
      </c>
      <c r="B1363" s="4" t="s">
        <v>26</v>
      </c>
      <c r="C1363" s="32" t="s">
        <v>436</v>
      </c>
      <c r="D1363" s="4" t="s">
        <v>128</v>
      </c>
      <c r="E1363" s="4" t="s">
        <v>28</v>
      </c>
      <c r="F1363" s="4" t="s">
        <v>17</v>
      </c>
      <c r="G1363" s="4" t="s">
        <v>18</v>
      </c>
      <c r="H1363" s="4" t="s">
        <v>190</v>
      </c>
      <c r="I1363" s="5" t="str">
        <f t="shared" si="21"/>
        <v>2025-06</v>
      </c>
      <c r="J1363" s="4" t="s">
        <v>20</v>
      </c>
      <c r="K1363" s="5" t="s">
        <v>342</v>
      </c>
      <c r="L1363" s="2">
        <v>2870</v>
      </c>
      <c r="M1363" s="3">
        <v>4</v>
      </c>
      <c r="N1363" s="2">
        <v>11480</v>
      </c>
      <c r="O1363" s="2">
        <v>1148</v>
      </c>
      <c r="P1363" s="2">
        <v>12628</v>
      </c>
      <c r="Q1363" s="2">
        <f>P1363*8.5%</f>
        <v>1073.3800000000001</v>
      </c>
    </row>
    <row r="1364" spans="1:17" x14ac:dyDescent="0.4">
      <c r="A1364" s="4" t="s">
        <v>56</v>
      </c>
      <c r="B1364" s="4" t="s">
        <v>26</v>
      </c>
      <c r="C1364" s="32" t="s">
        <v>436</v>
      </c>
      <c r="D1364" s="4" t="s">
        <v>57</v>
      </c>
      <c r="E1364" s="4" t="s">
        <v>44</v>
      </c>
      <c r="F1364" s="4" t="s">
        <v>31</v>
      </c>
      <c r="G1364" s="4" t="s">
        <v>18</v>
      </c>
      <c r="H1364" s="4" t="s">
        <v>190</v>
      </c>
      <c r="I1364" s="5" t="str">
        <f t="shared" si="21"/>
        <v>2025-06</v>
      </c>
      <c r="J1364" s="4" t="s">
        <v>20</v>
      </c>
      <c r="K1364" s="5" t="s">
        <v>342</v>
      </c>
      <c r="L1364" s="2">
        <v>1925</v>
      </c>
      <c r="M1364" s="3">
        <v>27</v>
      </c>
      <c r="N1364" s="2">
        <v>51975</v>
      </c>
      <c r="O1364" s="2">
        <v>0</v>
      </c>
      <c r="P1364" s="2">
        <v>51975</v>
      </c>
      <c r="Q1364" s="2">
        <f>P1364*8.5%</f>
        <v>4417.875</v>
      </c>
    </row>
    <row r="1365" spans="1:17" hidden="1" x14ac:dyDescent="0.4">
      <c r="A1365" s="4" t="s">
        <v>32</v>
      </c>
      <c r="B1365" s="4" t="s">
        <v>14</v>
      </c>
      <c r="C1365" s="31" t="s">
        <v>435</v>
      </c>
      <c r="D1365" s="4" t="s">
        <v>33</v>
      </c>
      <c r="E1365" s="4" t="s">
        <v>16</v>
      </c>
      <c r="F1365" s="4" t="s">
        <v>17</v>
      </c>
      <c r="G1365" s="4" t="s">
        <v>18</v>
      </c>
      <c r="H1365" s="4" t="s">
        <v>190</v>
      </c>
      <c r="I1365" s="5" t="str">
        <f t="shared" si="21"/>
        <v>2025-06</v>
      </c>
      <c r="J1365" s="4" t="s">
        <v>118</v>
      </c>
      <c r="K1365" s="5" t="s">
        <v>342</v>
      </c>
      <c r="L1365" s="2">
        <v>44000</v>
      </c>
      <c r="M1365" s="3">
        <v>1</v>
      </c>
      <c r="N1365" s="2">
        <v>44000</v>
      </c>
      <c r="O1365" s="2">
        <v>4400</v>
      </c>
      <c r="P1365" s="2">
        <v>48400</v>
      </c>
      <c r="Q1365" s="2">
        <f>P1365*8.5%</f>
        <v>4114</v>
      </c>
    </row>
    <row r="1366" spans="1:17" hidden="1" x14ac:dyDescent="0.4">
      <c r="A1366" s="4" t="s">
        <v>13</v>
      </c>
      <c r="B1366" s="4" t="s">
        <v>14</v>
      </c>
      <c r="C1366" s="30" t="s">
        <v>434</v>
      </c>
      <c r="D1366" s="4" t="s">
        <v>15</v>
      </c>
      <c r="E1366" s="4" t="s">
        <v>16</v>
      </c>
      <c r="F1366" s="4" t="s">
        <v>17</v>
      </c>
      <c r="G1366" s="4" t="s">
        <v>18</v>
      </c>
      <c r="H1366" s="4" t="s">
        <v>190</v>
      </c>
      <c r="I1366" s="5" t="str">
        <f t="shared" si="21"/>
        <v>2025-06</v>
      </c>
      <c r="J1366" s="4" t="s">
        <v>118</v>
      </c>
      <c r="K1366" s="5" t="s">
        <v>342</v>
      </c>
      <c r="L1366" s="2">
        <v>42000</v>
      </c>
      <c r="M1366" s="3">
        <v>1</v>
      </c>
      <c r="N1366" s="2">
        <v>42000</v>
      </c>
      <c r="O1366" s="2">
        <v>4200</v>
      </c>
      <c r="P1366" s="2">
        <v>46200</v>
      </c>
      <c r="Q1366" s="2">
        <f>P1366*8.5%</f>
        <v>3927.0000000000005</v>
      </c>
    </row>
    <row r="1367" spans="1:17" hidden="1" x14ac:dyDescent="0.4">
      <c r="A1367" s="4" t="s">
        <v>23</v>
      </c>
      <c r="B1367" s="4" t="s">
        <v>14</v>
      </c>
      <c r="C1367" s="31" t="s">
        <v>435</v>
      </c>
      <c r="D1367" s="4" t="s">
        <v>24</v>
      </c>
      <c r="E1367" s="4" t="s">
        <v>16</v>
      </c>
      <c r="F1367" s="4" t="s">
        <v>17</v>
      </c>
      <c r="G1367" s="4" t="s">
        <v>18</v>
      </c>
      <c r="H1367" s="4" t="s">
        <v>190</v>
      </c>
      <c r="I1367" s="5" t="str">
        <f t="shared" si="21"/>
        <v>2025-06</v>
      </c>
      <c r="J1367" s="4" t="s">
        <v>118</v>
      </c>
      <c r="K1367" s="5" t="s">
        <v>342</v>
      </c>
      <c r="L1367" s="2">
        <v>54000</v>
      </c>
      <c r="M1367" s="3">
        <v>3</v>
      </c>
      <c r="N1367" s="2">
        <v>162000</v>
      </c>
      <c r="O1367" s="2">
        <v>16200</v>
      </c>
      <c r="P1367" s="2">
        <v>178200</v>
      </c>
      <c r="Q1367" s="2">
        <f>P1367*8.5%</f>
        <v>15147.000000000002</v>
      </c>
    </row>
    <row r="1368" spans="1:17" hidden="1" x14ac:dyDescent="0.4">
      <c r="A1368" s="4" t="s">
        <v>64</v>
      </c>
      <c r="B1368" s="4" t="s">
        <v>65</v>
      </c>
      <c r="C1368" s="32" t="s">
        <v>436</v>
      </c>
      <c r="D1368" s="4" t="s">
        <v>66</v>
      </c>
      <c r="E1368" s="4" t="s">
        <v>16</v>
      </c>
      <c r="F1368" s="4" t="s">
        <v>17</v>
      </c>
      <c r="G1368" s="4" t="s">
        <v>18</v>
      </c>
      <c r="H1368" s="4" t="s">
        <v>190</v>
      </c>
      <c r="I1368" s="5" t="str">
        <f t="shared" si="21"/>
        <v>2025-06</v>
      </c>
      <c r="J1368" s="4" t="s">
        <v>34</v>
      </c>
      <c r="K1368" s="5" t="s">
        <v>342</v>
      </c>
      <c r="L1368" s="2">
        <v>10283</v>
      </c>
      <c r="M1368" s="3">
        <v>1</v>
      </c>
      <c r="N1368" s="2">
        <v>10283</v>
      </c>
      <c r="O1368" s="2">
        <v>1028</v>
      </c>
      <c r="P1368" s="2">
        <v>11311</v>
      </c>
      <c r="Q1368" s="2">
        <f>P1368*8.5%</f>
        <v>961.43500000000006</v>
      </c>
    </row>
    <row r="1369" spans="1:17" hidden="1" x14ac:dyDescent="0.4">
      <c r="A1369" s="4" t="s">
        <v>32</v>
      </c>
      <c r="B1369" s="4" t="s">
        <v>14</v>
      </c>
      <c r="C1369" s="31" t="s">
        <v>435</v>
      </c>
      <c r="D1369" s="4" t="s">
        <v>33</v>
      </c>
      <c r="E1369" s="4" t="s">
        <v>16</v>
      </c>
      <c r="F1369" s="4" t="s">
        <v>17</v>
      </c>
      <c r="G1369" s="4" t="s">
        <v>18</v>
      </c>
      <c r="H1369" s="4" t="s">
        <v>190</v>
      </c>
      <c r="I1369" s="5" t="str">
        <f t="shared" si="21"/>
        <v>2025-06</v>
      </c>
      <c r="J1369" s="4" t="s">
        <v>34</v>
      </c>
      <c r="K1369" s="5" t="s">
        <v>342</v>
      </c>
      <c r="L1369" s="2">
        <v>44000</v>
      </c>
      <c r="M1369" s="3">
        <v>2</v>
      </c>
      <c r="N1369" s="2">
        <v>88000</v>
      </c>
      <c r="O1369" s="2">
        <v>8800</v>
      </c>
      <c r="P1369" s="2">
        <v>96800</v>
      </c>
      <c r="Q1369" s="2">
        <f>P1369*8.5%</f>
        <v>8228</v>
      </c>
    </row>
    <row r="1370" spans="1:17" hidden="1" x14ac:dyDescent="0.4">
      <c r="A1370" s="4" t="s">
        <v>58</v>
      </c>
      <c r="B1370" s="4" t="s">
        <v>14</v>
      </c>
      <c r="C1370" s="30" t="s">
        <v>434</v>
      </c>
      <c r="D1370" s="4" t="s">
        <v>36</v>
      </c>
      <c r="E1370" s="4" t="s">
        <v>16</v>
      </c>
      <c r="F1370" s="4" t="s">
        <v>17</v>
      </c>
      <c r="G1370" s="4" t="s">
        <v>18</v>
      </c>
      <c r="H1370" s="4" t="s">
        <v>190</v>
      </c>
      <c r="I1370" s="5" t="str">
        <f t="shared" si="21"/>
        <v>2025-06</v>
      </c>
      <c r="J1370" s="4" t="s">
        <v>34</v>
      </c>
      <c r="K1370" s="5" t="s">
        <v>342</v>
      </c>
      <c r="L1370" s="2">
        <v>120880</v>
      </c>
      <c r="M1370" s="3">
        <v>1</v>
      </c>
      <c r="N1370" s="2">
        <v>120880</v>
      </c>
      <c r="O1370" s="2">
        <v>12088</v>
      </c>
      <c r="P1370" s="2">
        <v>132968</v>
      </c>
      <c r="Q1370" s="2">
        <f>P1370*8.5%</f>
        <v>11302.28</v>
      </c>
    </row>
    <row r="1371" spans="1:17" hidden="1" x14ac:dyDescent="0.4">
      <c r="A1371" s="4" t="s">
        <v>13</v>
      </c>
      <c r="B1371" s="4" t="s">
        <v>14</v>
      </c>
      <c r="C1371" s="30" t="s">
        <v>434</v>
      </c>
      <c r="D1371" s="4" t="s">
        <v>15</v>
      </c>
      <c r="E1371" s="4" t="s">
        <v>16</v>
      </c>
      <c r="F1371" s="4" t="s">
        <v>17</v>
      </c>
      <c r="G1371" s="4" t="s">
        <v>18</v>
      </c>
      <c r="H1371" s="4" t="s">
        <v>190</v>
      </c>
      <c r="I1371" s="5" t="str">
        <f t="shared" si="21"/>
        <v>2025-06</v>
      </c>
      <c r="J1371" s="4" t="s">
        <v>34</v>
      </c>
      <c r="K1371" s="5" t="s">
        <v>342</v>
      </c>
      <c r="L1371" s="2">
        <v>42000</v>
      </c>
      <c r="M1371" s="3">
        <v>7</v>
      </c>
      <c r="N1371" s="2">
        <v>294000</v>
      </c>
      <c r="O1371" s="2">
        <v>29400</v>
      </c>
      <c r="P1371" s="2">
        <v>323400</v>
      </c>
      <c r="Q1371" s="2">
        <f>P1371*8.5%</f>
        <v>27489.000000000004</v>
      </c>
    </row>
    <row r="1372" spans="1:17" hidden="1" x14ac:dyDescent="0.4">
      <c r="A1372" s="4" t="s">
        <v>21</v>
      </c>
      <c r="B1372" s="4" t="s">
        <v>14</v>
      </c>
      <c r="C1372" s="31" t="s">
        <v>435</v>
      </c>
      <c r="D1372" s="4" t="s">
        <v>22</v>
      </c>
      <c r="E1372" s="4" t="s">
        <v>16</v>
      </c>
      <c r="F1372" s="4" t="s">
        <v>17</v>
      </c>
      <c r="G1372" s="4" t="s">
        <v>18</v>
      </c>
      <c r="H1372" s="4" t="s">
        <v>190</v>
      </c>
      <c r="I1372" s="5" t="str">
        <f t="shared" si="21"/>
        <v>2025-06</v>
      </c>
      <c r="J1372" s="4" t="s">
        <v>34</v>
      </c>
      <c r="K1372" s="5" t="s">
        <v>342</v>
      </c>
      <c r="L1372" s="2">
        <v>54000</v>
      </c>
      <c r="M1372" s="3">
        <v>2</v>
      </c>
      <c r="N1372" s="2">
        <v>108000</v>
      </c>
      <c r="O1372" s="2">
        <v>10800</v>
      </c>
      <c r="P1372" s="2">
        <v>118800</v>
      </c>
      <c r="Q1372" s="2">
        <f>P1372*8.5%</f>
        <v>10098</v>
      </c>
    </row>
    <row r="1373" spans="1:17" hidden="1" x14ac:dyDescent="0.4">
      <c r="A1373" s="4" t="s">
        <v>23</v>
      </c>
      <c r="B1373" s="4" t="s">
        <v>14</v>
      </c>
      <c r="C1373" s="31" t="s">
        <v>435</v>
      </c>
      <c r="D1373" s="4" t="s">
        <v>24</v>
      </c>
      <c r="E1373" s="4" t="s">
        <v>16</v>
      </c>
      <c r="F1373" s="4" t="s">
        <v>17</v>
      </c>
      <c r="G1373" s="4" t="s">
        <v>18</v>
      </c>
      <c r="H1373" s="4" t="s">
        <v>190</v>
      </c>
      <c r="I1373" s="5" t="str">
        <f t="shared" si="21"/>
        <v>2025-06</v>
      </c>
      <c r="J1373" s="4" t="s">
        <v>34</v>
      </c>
      <c r="K1373" s="5" t="s">
        <v>342</v>
      </c>
      <c r="L1373" s="2">
        <v>54000</v>
      </c>
      <c r="M1373" s="3">
        <v>4</v>
      </c>
      <c r="N1373" s="2">
        <v>216000</v>
      </c>
      <c r="O1373" s="2">
        <v>21600</v>
      </c>
      <c r="P1373" s="2">
        <v>237600</v>
      </c>
      <c r="Q1373" s="2">
        <f>P1373*8.5%</f>
        <v>20196</v>
      </c>
    </row>
    <row r="1374" spans="1:17" hidden="1" x14ac:dyDescent="0.4">
      <c r="A1374" s="4" t="s">
        <v>51</v>
      </c>
      <c r="B1374" s="4" t="s">
        <v>14</v>
      </c>
      <c r="C1374" s="30" t="s">
        <v>434</v>
      </c>
      <c r="D1374" s="4" t="s">
        <v>52</v>
      </c>
      <c r="E1374" s="4" t="s">
        <v>16</v>
      </c>
      <c r="F1374" s="4" t="s">
        <v>17</v>
      </c>
      <c r="G1374" s="4" t="s">
        <v>18</v>
      </c>
      <c r="H1374" s="4" t="s">
        <v>190</v>
      </c>
      <c r="I1374" s="5" t="str">
        <f t="shared" si="21"/>
        <v>2025-06</v>
      </c>
      <c r="J1374" s="4" t="s">
        <v>34</v>
      </c>
      <c r="K1374" s="5" t="s">
        <v>342</v>
      </c>
      <c r="L1374" s="2">
        <v>71250</v>
      </c>
      <c r="M1374" s="3">
        <v>1</v>
      </c>
      <c r="N1374" s="2">
        <v>71250</v>
      </c>
      <c r="O1374" s="2">
        <v>7125</v>
      </c>
      <c r="P1374" s="2">
        <v>78375</v>
      </c>
      <c r="Q1374" s="2">
        <f>P1374*8.5%</f>
        <v>6661.8750000000009</v>
      </c>
    </row>
    <row r="1375" spans="1:17" hidden="1" x14ac:dyDescent="0.4">
      <c r="A1375" s="4" t="s">
        <v>77</v>
      </c>
      <c r="B1375" s="4" t="s">
        <v>26</v>
      </c>
      <c r="C1375" s="32" t="s">
        <v>436</v>
      </c>
      <c r="D1375" s="4" t="s">
        <v>78</v>
      </c>
      <c r="E1375" s="4" t="s">
        <v>28</v>
      </c>
      <c r="F1375" s="4" t="s">
        <v>17</v>
      </c>
      <c r="G1375" s="4" t="s">
        <v>18</v>
      </c>
      <c r="H1375" s="4" t="s">
        <v>190</v>
      </c>
      <c r="I1375" s="5" t="str">
        <f t="shared" si="21"/>
        <v>2025-06</v>
      </c>
      <c r="J1375" s="4" t="s">
        <v>34</v>
      </c>
      <c r="K1375" s="5" t="s">
        <v>342</v>
      </c>
      <c r="L1375" s="2">
        <v>15544</v>
      </c>
      <c r="M1375" s="3">
        <v>1</v>
      </c>
      <c r="N1375" s="2">
        <v>15544</v>
      </c>
      <c r="O1375" s="2">
        <v>1554</v>
      </c>
      <c r="P1375" s="2">
        <v>17098</v>
      </c>
      <c r="Q1375" s="2">
        <f>P1375*8.5%</f>
        <v>1453.3300000000002</v>
      </c>
    </row>
    <row r="1376" spans="1:17" hidden="1" x14ac:dyDescent="0.4">
      <c r="A1376" s="4" t="s">
        <v>42</v>
      </c>
      <c r="B1376" s="4" t="s">
        <v>14</v>
      </c>
      <c r="C1376" s="30" t="s">
        <v>434</v>
      </c>
      <c r="D1376" s="4" t="s">
        <v>43</v>
      </c>
      <c r="E1376" s="4" t="s">
        <v>44</v>
      </c>
      <c r="F1376" s="4" t="s">
        <v>31</v>
      </c>
      <c r="G1376" s="4" t="s">
        <v>18</v>
      </c>
      <c r="H1376" s="4" t="s">
        <v>190</v>
      </c>
      <c r="I1376" s="5" t="str">
        <f t="shared" si="21"/>
        <v>2025-06</v>
      </c>
      <c r="J1376" s="4" t="s">
        <v>34</v>
      </c>
      <c r="K1376" s="5" t="s">
        <v>342</v>
      </c>
      <c r="L1376" s="2">
        <v>6800</v>
      </c>
      <c r="M1376" s="3">
        <v>77.400000000000006</v>
      </c>
      <c r="N1376" s="2">
        <v>526320</v>
      </c>
      <c r="O1376" s="2">
        <v>0</v>
      </c>
      <c r="P1376" s="2">
        <v>526320</v>
      </c>
      <c r="Q1376" s="2">
        <f>P1376*8.5%</f>
        <v>44737.200000000004</v>
      </c>
    </row>
    <row r="1377" spans="1:17" hidden="1" x14ac:dyDescent="0.4">
      <c r="A1377" s="4" t="s">
        <v>45</v>
      </c>
      <c r="B1377" s="4" t="s">
        <v>26</v>
      </c>
      <c r="C1377" s="32" t="s">
        <v>436</v>
      </c>
      <c r="D1377" s="4" t="s">
        <v>46</v>
      </c>
      <c r="E1377" s="4" t="s">
        <v>47</v>
      </c>
      <c r="F1377" s="4" t="s">
        <v>17</v>
      </c>
      <c r="G1377" s="4" t="s">
        <v>18</v>
      </c>
      <c r="H1377" s="4" t="s">
        <v>190</v>
      </c>
      <c r="I1377" s="5" t="str">
        <f t="shared" si="21"/>
        <v>2025-06</v>
      </c>
      <c r="J1377" s="4" t="s">
        <v>34</v>
      </c>
      <c r="K1377" s="5" t="s">
        <v>342</v>
      </c>
      <c r="L1377" s="2">
        <v>6576</v>
      </c>
      <c r="M1377" s="3">
        <v>2</v>
      </c>
      <c r="N1377" s="2">
        <v>13152</v>
      </c>
      <c r="O1377" s="2">
        <v>1315</v>
      </c>
      <c r="P1377" s="2">
        <v>14467</v>
      </c>
      <c r="Q1377" s="2">
        <f>P1377*8.5%</f>
        <v>1229.6950000000002</v>
      </c>
    </row>
    <row r="1378" spans="1:17" hidden="1" x14ac:dyDescent="0.4">
      <c r="A1378" s="4" t="s">
        <v>13</v>
      </c>
      <c r="B1378" s="4" t="s">
        <v>14</v>
      </c>
      <c r="C1378" s="30" t="s">
        <v>434</v>
      </c>
      <c r="D1378" s="4" t="s">
        <v>15</v>
      </c>
      <c r="E1378" s="4" t="s">
        <v>16</v>
      </c>
      <c r="F1378" s="4" t="s">
        <v>17</v>
      </c>
      <c r="G1378" s="4" t="s">
        <v>18</v>
      </c>
      <c r="H1378" s="4" t="s">
        <v>190</v>
      </c>
      <c r="I1378" s="5" t="str">
        <f t="shared" si="21"/>
        <v>2025-06</v>
      </c>
      <c r="J1378" s="4" t="s">
        <v>59</v>
      </c>
      <c r="K1378" s="5" t="s">
        <v>343</v>
      </c>
      <c r="L1378" s="2">
        <v>42000</v>
      </c>
      <c r="M1378" s="3">
        <v>3</v>
      </c>
      <c r="N1378" s="2">
        <v>126000</v>
      </c>
      <c r="O1378" s="2">
        <v>12600</v>
      </c>
      <c r="P1378" s="2">
        <v>138600</v>
      </c>
      <c r="Q1378" s="2">
        <f>P1378*12%</f>
        <v>16632</v>
      </c>
    </row>
    <row r="1379" spans="1:17" hidden="1" x14ac:dyDescent="0.4">
      <c r="A1379" s="4" t="s">
        <v>35</v>
      </c>
      <c r="B1379" s="4" t="s">
        <v>14</v>
      </c>
      <c r="C1379" s="30" t="s">
        <v>434</v>
      </c>
      <c r="D1379" s="4" t="s">
        <v>36</v>
      </c>
      <c r="E1379" s="4" t="s">
        <v>16</v>
      </c>
      <c r="F1379" s="4" t="s">
        <v>17</v>
      </c>
      <c r="G1379" s="4" t="s">
        <v>18</v>
      </c>
      <c r="H1379" s="4" t="s">
        <v>190</v>
      </c>
      <c r="I1379" s="5" t="str">
        <f t="shared" si="21"/>
        <v>2025-06</v>
      </c>
      <c r="J1379" s="4" t="s">
        <v>59</v>
      </c>
      <c r="K1379" s="5" t="s">
        <v>343</v>
      </c>
      <c r="L1379" s="2">
        <v>116220</v>
      </c>
      <c r="M1379" s="3">
        <v>1</v>
      </c>
      <c r="N1379" s="2">
        <v>116220</v>
      </c>
      <c r="O1379" s="2">
        <v>11622</v>
      </c>
      <c r="P1379" s="2">
        <v>127842</v>
      </c>
      <c r="Q1379" s="2">
        <f>P1379*12%</f>
        <v>15341.039999999999</v>
      </c>
    </row>
    <row r="1380" spans="1:17" hidden="1" x14ac:dyDescent="0.4">
      <c r="A1380" s="4" t="s">
        <v>23</v>
      </c>
      <c r="B1380" s="4" t="s">
        <v>14</v>
      </c>
      <c r="C1380" s="31" t="s">
        <v>435</v>
      </c>
      <c r="D1380" s="4" t="s">
        <v>24</v>
      </c>
      <c r="E1380" s="4" t="s">
        <v>16</v>
      </c>
      <c r="F1380" s="4" t="s">
        <v>17</v>
      </c>
      <c r="G1380" s="4" t="s">
        <v>18</v>
      </c>
      <c r="H1380" s="4" t="s">
        <v>190</v>
      </c>
      <c r="I1380" s="5" t="str">
        <f t="shared" si="21"/>
        <v>2025-06</v>
      </c>
      <c r="J1380" s="4" t="s">
        <v>59</v>
      </c>
      <c r="K1380" s="5" t="s">
        <v>343</v>
      </c>
      <c r="L1380" s="2">
        <v>54000</v>
      </c>
      <c r="M1380" s="3">
        <v>1</v>
      </c>
      <c r="N1380" s="2">
        <v>54000</v>
      </c>
      <c r="O1380" s="2">
        <v>5400</v>
      </c>
      <c r="P1380" s="2">
        <v>59400</v>
      </c>
      <c r="Q1380" s="2">
        <f>P1380*12%</f>
        <v>7128</v>
      </c>
    </row>
    <row r="1381" spans="1:17" hidden="1" x14ac:dyDescent="0.4">
      <c r="A1381" s="4" t="s">
        <v>51</v>
      </c>
      <c r="B1381" s="4" t="s">
        <v>14</v>
      </c>
      <c r="C1381" s="30" t="s">
        <v>434</v>
      </c>
      <c r="D1381" s="4" t="s">
        <v>52</v>
      </c>
      <c r="E1381" s="4" t="s">
        <v>16</v>
      </c>
      <c r="F1381" s="4" t="s">
        <v>17</v>
      </c>
      <c r="G1381" s="4" t="s">
        <v>18</v>
      </c>
      <c r="H1381" s="4" t="s">
        <v>190</v>
      </c>
      <c r="I1381" s="5" t="str">
        <f t="shared" si="21"/>
        <v>2025-06</v>
      </c>
      <c r="J1381" s="4" t="s">
        <v>59</v>
      </c>
      <c r="K1381" s="5" t="s">
        <v>343</v>
      </c>
      <c r="L1381" s="2">
        <v>71250</v>
      </c>
      <c r="M1381" s="3">
        <v>1</v>
      </c>
      <c r="N1381" s="2">
        <v>71250</v>
      </c>
      <c r="O1381" s="2">
        <v>7125</v>
      </c>
      <c r="P1381" s="2">
        <v>78375</v>
      </c>
      <c r="Q1381" s="2">
        <f>P1381*12%</f>
        <v>9405</v>
      </c>
    </row>
    <row r="1382" spans="1:17" hidden="1" x14ac:dyDescent="0.4">
      <c r="A1382" s="4" t="s">
        <v>32</v>
      </c>
      <c r="B1382" s="4" t="s">
        <v>14</v>
      </c>
      <c r="C1382" s="31" t="s">
        <v>435</v>
      </c>
      <c r="D1382" s="4" t="s">
        <v>33</v>
      </c>
      <c r="E1382" s="4" t="s">
        <v>16</v>
      </c>
      <c r="F1382" s="4" t="s">
        <v>17</v>
      </c>
      <c r="G1382" s="4" t="s">
        <v>18</v>
      </c>
      <c r="H1382" s="4" t="s">
        <v>190</v>
      </c>
      <c r="I1382" s="5" t="str">
        <f t="shared" si="21"/>
        <v>2025-06</v>
      </c>
      <c r="J1382" s="4" t="s">
        <v>49</v>
      </c>
      <c r="K1382" s="5" t="s">
        <v>343</v>
      </c>
      <c r="L1382" s="2">
        <v>44000</v>
      </c>
      <c r="M1382" s="3">
        <v>5</v>
      </c>
      <c r="N1382" s="2">
        <v>220000</v>
      </c>
      <c r="O1382" s="2">
        <v>22000</v>
      </c>
      <c r="P1382" s="2">
        <v>242000</v>
      </c>
      <c r="Q1382" s="2">
        <f>P1382*12%</f>
        <v>29040</v>
      </c>
    </row>
    <row r="1383" spans="1:17" hidden="1" x14ac:dyDescent="0.4">
      <c r="A1383" s="4" t="s">
        <v>13</v>
      </c>
      <c r="B1383" s="4" t="s">
        <v>14</v>
      </c>
      <c r="C1383" s="30" t="s">
        <v>434</v>
      </c>
      <c r="D1383" s="4" t="s">
        <v>15</v>
      </c>
      <c r="E1383" s="4" t="s">
        <v>16</v>
      </c>
      <c r="F1383" s="4" t="s">
        <v>17</v>
      </c>
      <c r="G1383" s="4" t="s">
        <v>18</v>
      </c>
      <c r="H1383" s="4" t="s">
        <v>190</v>
      </c>
      <c r="I1383" s="5" t="str">
        <f t="shared" si="21"/>
        <v>2025-06</v>
      </c>
      <c r="J1383" s="4" t="s">
        <v>49</v>
      </c>
      <c r="K1383" s="5" t="s">
        <v>343</v>
      </c>
      <c r="L1383" s="2">
        <v>42000</v>
      </c>
      <c r="M1383" s="3">
        <v>9</v>
      </c>
      <c r="N1383" s="2">
        <v>378000</v>
      </c>
      <c r="O1383" s="2">
        <v>37800</v>
      </c>
      <c r="P1383" s="2">
        <v>415800</v>
      </c>
      <c r="Q1383" s="2">
        <f>P1383*12%</f>
        <v>49896</v>
      </c>
    </row>
    <row r="1384" spans="1:17" hidden="1" x14ac:dyDescent="0.4">
      <c r="A1384" s="4" t="s">
        <v>35</v>
      </c>
      <c r="B1384" s="4" t="s">
        <v>14</v>
      </c>
      <c r="C1384" s="30" t="s">
        <v>434</v>
      </c>
      <c r="D1384" s="4" t="s">
        <v>36</v>
      </c>
      <c r="E1384" s="4" t="s">
        <v>16</v>
      </c>
      <c r="F1384" s="4" t="s">
        <v>17</v>
      </c>
      <c r="G1384" s="4" t="s">
        <v>18</v>
      </c>
      <c r="H1384" s="4" t="s">
        <v>190</v>
      </c>
      <c r="I1384" s="5" t="str">
        <f t="shared" si="21"/>
        <v>2025-06</v>
      </c>
      <c r="J1384" s="4" t="s">
        <v>49</v>
      </c>
      <c r="K1384" s="5" t="s">
        <v>343</v>
      </c>
      <c r="L1384" s="2">
        <v>116220</v>
      </c>
      <c r="M1384" s="3">
        <v>1</v>
      </c>
      <c r="N1384" s="2">
        <v>116220</v>
      </c>
      <c r="O1384" s="2">
        <v>11622</v>
      </c>
      <c r="P1384" s="2">
        <v>127842</v>
      </c>
      <c r="Q1384" s="2">
        <f>P1384*12%</f>
        <v>15341.039999999999</v>
      </c>
    </row>
    <row r="1385" spans="1:17" hidden="1" x14ac:dyDescent="0.4">
      <c r="A1385" s="4" t="s">
        <v>23</v>
      </c>
      <c r="B1385" s="4" t="s">
        <v>14</v>
      </c>
      <c r="C1385" s="31" t="s">
        <v>435</v>
      </c>
      <c r="D1385" s="4" t="s">
        <v>24</v>
      </c>
      <c r="E1385" s="4" t="s">
        <v>16</v>
      </c>
      <c r="F1385" s="4" t="s">
        <v>17</v>
      </c>
      <c r="G1385" s="4" t="s">
        <v>18</v>
      </c>
      <c r="H1385" s="4" t="s">
        <v>190</v>
      </c>
      <c r="I1385" s="5" t="str">
        <f t="shared" si="21"/>
        <v>2025-06</v>
      </c>
      <c r="J1385" s="4" t="s">
        <v>49</v>
      </c>
      <c r="K1385" s="5" t="s">
        <v>343</v>
      </c>
      <c r="L1385" s="2">
        <v>54000</v>
      </c>
      <c r="M1385" s="3">
        <v>4</v>
      </c>
      <c r="N1385" s="2">
        <v>216000</v>
      </c>
      <c r="O1385" s="2">
        <v>21600</v>
      </c>
      <c r="P1385" s="2">
        <v>237600</v>
      </c>
      <c r="Q1385" s="2">
        <f>P1385*12%</f>
        <v>28512</v>
      </c>
    </row>
    <row r="1386" spans="1:17" hidden="1" x14ac:dyDescent="0.4">
      <c r="A1386" s="4" t="s">
        <v>51</v>
      </c>
      <c r="B1386" s="4" t="s">
        <v>14</v>
      </c>
      <c r="C1386" s="30" t="s">
        <v>434</v>
      </c>
      <c r="D1386" s="4" t="s">
        <v>52</v>
      </c>
      <c r="E1386" s="4" t="s">
        <v>16</v>
      </c>
      <c r="F1386" s="4" t="s">
        <v>17</v>
      </c>
      <c r="G1386" s="4" t="s">
        <v>18</v>
      </c>
      <c r="H1386" s="4" t="s">
        <v>190</v>
      </c>
      <c r="I1386" s="5" t="str">
        <f t="shared" si="21"/>
        <v>2025-06</v>
      </c>
      <c r="J1386" s="4" t="s">
        <v>49</v>
      </c>
      <c r="K1386" s="5" t="s">
        <v>343</v>
      </c>
      <c r="L1386" s="2">
        <v>71250</v>
      </c>
      <c r="M1386" s="3">
        <v>1</v>
      </c>
      <c r="N1386" s="2">
        <v>71250</v>
      </c>
      <c r="O1386" s="2">
        <v>7125</v>
      </c>
      <c r="P1386" s="2">
        <v>78375</v>
      </c>
      <c r="Q1386" s="2">
        <f>P1386*12%</f>
        <v>9405</v>
      </c>
    </row>
    <row r="1387" spans="1:17" x14ac:dyDescent="0.4">
      <c r="A1387" s="4" t="s">
        <v>58</v>
      </c>
      <c r="B1387" s="4" t="s">
        <v>14</v>
      </c>
      <c r="C1387" s="30" t="s">
        <v>434</v>
      </c>
      <c r="D1387" s="4" t="s">
        <v>36</v>
      </c>
      <c r="E1387" s="4" t="s">
        <v>16</v>
      </c>
      <c r="F1387" s="4" t="s">
        <v>17</v>
      </c>
      <c r="G1387" s="4" t="s">
        <v>18</v>
      </c>
      <c r="H1387" s="4" t="s">
        <v>191</v>
      </c>
      <c r="I1387" s="5" t="str">
        <f t="shared" si="21"/>
        <v>2025-06</v>
      </c>
      <c r="J1387" s="4" t="s">
        <v>20</v>
      </c>
      <c r="K1387" s="5" t="s">
        <v>342</v>
      </c>
      <c r="L1387" s="2">
        <v>120880</v>
      </c>
      <c r="M1387" s="3">
        <v>1</v>
      </c>
      <c r="N1387" s="2">
        <v>120880</v>
      </c>
      <c r="O1387" s="2">
        <v>12088</v>
      </c>
      <c r="P1387" s="2">
        <v>132968</v>
      </c>
      <c r="Q1387" s="2">
        <f>P1387*8.5%</f>
        <v>11302.28</v>
      </c>
    </row>
    <row r="1388" spans="1:17" x14ac:dyDescent="0.4">
      <c r="A1388" s="4" t="s">
        <v>13</v>
      </c>
      <c r="B1388" s="4" t="s">
        <v>14</v>
      </c>
      <c r="C1388" s="30" t="s">
        <v>434</v>
      </c>
      <c r="D1388" s="4" t="s">
        <v>15</v>
      </c>
      <c r="E1388" s="4" t="s">
        <v>16</v>
      </c>
      <c r="F1388" s="4" t="s">
        <v>17</v>
      </c>
      <c r="G1388" s="4" t="s">
        <v>18</v>
      </c>
      <c r="H1388" s="4" t="s">
        <v>191</v>
      </c>
      <c r="I1388" s="5" t="str">
        <f t="shared" si="21"/>
        <v>2025-06</v>
      </c>
      <c r="J1388" s="4" t="s">
        <v>20</v>
      </c>
      <c r="K1388" s="5" t="s">
        <v>342</v>
      </c>
      <c r="L1388" s="2">
        <v>42000</v>
      </c>
      <c r="M1388" s="3">
        <v>3</v>
      </c>
      <c r="N1388" s="2">
        <v>126000</v>
      </c>
      <c r="O1388" s="2">
        <v>12600</v>
      </c>
      <c r="P1388" s="2">
        <v>138600</v>
      </c>
      <c r="Q1388" s="2">
        <f>P1388*8.5%</f>
        <v>11781</v>
      </c>
    </row>
    <row r="1389" spans="1:17" x14ac:dyDescent="0.4">
      <c r="A1389" s="4" t="s">
        <v>21</v>
      </c>
      <c r="B1389" s="4" t="s">
        <v>14</v>
      </c>
      <c r="C1389" s="31" t="s">
        <v>435</v>
      </c>
      <c r="D1389" s="4" t="s">
        <v>22</v>
      </c>
      <c r="E1389" s="4" t="s">
        <v>16</v>
      </c>
      <c r="F1389" s="4" t="s">
        <v>17</v>
      </c>
      <c r="G1389" s="4" t="s">
        <v>18</v>
      </c>
      <c r="H1389" s="4" t="s">
        <v>191</v>
      </c>
      <c r="I1389" s="5" t="str">
        <f t="shared" si="21"/>
        <v>2025-06</v>
      </c>
      <c r="J1389" s="4" t="s">
        <v>20</v>
      </c>
      <c r="K1389" s="5" t="s">
        <v>342</v>
      </c>
      <c r="L1389" s="2">
        <v>54000</v>
      </c>
      <c r="M1389" s="3">
        <v>2</v>
      </c>
      <c r="N1389" s="2">
        <v>108000</v>
      </c>
      <c r="O1389" s="2">
        <v>10800</v>
      </c>
      <c r="P1389" s="2">
        <v>118800</v>
      </c>
      <c r="Q1389" s="2">
        <f>P1389*8.5%</f>
        <v>10098</v>
      </c>
    </row>
    <row r="1390" spans="1:17" x14ac:dyDescent="0.4">
      <c r="A1390" s="4" t="s">
        <v>23</v>
      </c>
      <c r="B1390" s="4" t="s">
        <v>14</v>
      </c>
      <c r="C1390" s="31" t="s">
        <v>435</v>
      </c>
      <c r="D1390" s="4" t="s">
        <v>24</v>
      </c>
      <c r="E1390" s="4" t="s">
        <v>16</v>
      </c>
      <c r="F1390" s="4" t="s">
        <v>17</v>
      </c>
      <c r="G1390" s="4" t="s">
        <v>18</v>
      </c>
      <c r="H1390" s="4" t="s">
        <v>191</v>
      </c>
      <c r="I1390" s="5" t="str">
        <f t="shared" si="21"/>
        <v>2025-06</v>
      </c>
      <c r="J1390" s="4" t="s">
        <v>20</v>
      </c>
      <c r="K1390" s="5" t="s">
        <v>342</v>
      </c>
      <c r="L1390" s="2">
        <v>54000</v>
      </c>
      <c r="M1390" s="3">
        <v>2</v>
      </c>
      <c r="N1390" s="2">
        <v>108000</v>
      </c>
      <c r="O1390" s="2">
        <v>10800</v>
      </c>
      <c r="P1390" s="2">
        <v>118800</v>
      </c>
      <c r="Q1390" s="2">
        <f>P1390*8.5%</f>
        <v>10098</v>
      </c>
    </row>
    <row r="1391" spans="1:17" x14ac:dyDescent="0.4">
      <c r="A1391" s="4" t="s">
        <v>51</v>
      </c>
      <c r="B1391" s="4" t="s">
        <v>14</v>
      </c>
      <c r="C1391" s="30" t="s">
        <v>434</v>
      </c>
      <c r="D1391" s="4" t="s">
        <v>52</v>
      </c>
      <c r="E1391" s="4" t="s">
        <v>16</v>
      </c>
      <c r="F1391" s="4" t="s">
        <v>17</v>
      </c>
      <c r="G1391" s="4" t="s">
        <v>18</v>
      </c>
      <c r="H1391" s="4" t="s">
        <v>191</v>
      </c>
      <c r="I1391" s="5" t="str">
        <f t="shared" si="21"/>
        <v>2025-06</v>
      </c>
      <c r="J1391" s="4" t="s">
        <v>20</v>
      </c>
      <c r="K1391" s="5" t="s">
        <v>342</v>
      </c>
      <c r="L1391" s="2">
        <v>71250</v>
      </c>
      <c r="M1391" s="3">
        <v>1</v>
      </c>
      <c r="N1391" s="2">
        <v>71250</v>
      </c>
      <c r="O1391" s="2">
        <v>7125</v>
      </c>
      <c r="P1391" s="2">
        <v>78375</v>
      </c>
      <c r="Q1391" s="2">
        <f>P1391*8.5%</f>
        <v>6661.8750000000009</v>
      </c>
    </row>
    <row r="1392" spans="1:17" hidden="1" x14ac:dyDescent="0.4">
      <c r="A1392" s="4" t="s">
        <v>32</v>
      </c>
      <c r="B1392" s="4" t="s">
        <v>14</v>
      </c>
      <c r="C1392" s="31" t="s">
        <v>435</v>
      </c>
      <c r="D1392" s="4" t="s">
        <v>33</v>
      </c>
      <c r="E1392" s="4" t="s">
        <v>16</v>
      </c>
      <c r="F1392" s="4" t="s">
        <v>17</v>
      </c>
      <c r="G1392" s="4" t="s">
        <v>18</v>
      </c>
      <c r="H1392" s="4" t="s">
        <v>191</v>
      </c>
      <c r="I1392" s="5" t="str">
        <f t="shared" si="21"/>
        <v>2025-06</v>
      </c>
      <c r="J1392" s="4" t="s">
        <v>118</v>
      </c>
      <c r="K1392" s="5" t="s">
        <v>342</v>
      </c>
      <c r="L1392" s="2">
        <v>44000</v>
      </c>
      <c r="M1392" s="3">
        <v>2</v>
      </c>
      <c r="N1392" s="2">
        <v>88000</v>
      </c>
      <c r="O1392" s="2">
        <v>8800</v>
      </c>
      <c r="P1392" s="2">
        <v>96800</v>
      </c>
      <c r="Q1392" s="2">
        <f>P1392*8.5%</f>
        <v>8228</v>
      </c>
    </row>
    <row r="1393" spans="1:17" hidden="1" x14ac:dyDescent="0.4">
      <c r="A1393" s="4" t="s">
        <v>13</v>
      </c>
      <c r="B1393" s="4" t="s">
        <v>14</v>
      </c>
      <c r="C1393" s="30" t="s">
        <v>434</v>
      </c>
      <c r="D1393" s="4" t="s">
        <v>15</v>
      </c>
      <c r="E1393" s="4" t="s">
        <v>16</v>
      </c>
      <c r="F1393" s="4" t="s">
        <v>17</v>
      </c>
      <c r="G1393" s="4" t="s">
        <v>18</v>
      </c>
      <c r="H1393" s="4" t="s">
        <v>191</v>
      </c>
      <c r="I1393" s="5" t="str">
        <f t="shared" si="21"/>
        <v>2025-06</v>
      </c>
      <c r="J1393" s="4" t="s">
        <v>118</v>
      </c>
      <c r="K1393" s="5" t="s">
        <v>342</v>
      </c>
      <c r="L1393" s="2">
        <v>42000</v>
      </c>
      <c r="M1393" s="3">
        <v>15</v>
      </c>
      <c r="N1393" s="2">
        <v>630000</v>
      </c>
      <c r="O1393" s="2">
        <v>63000</v>
      </c>
      <c r="P1393" s="2">
        <v>693000</v>
      </c>
      <c r="Q1393" s="2">
        <f>P1393*8.5%</f>
        <v>58905.000000000007</v>
      </c>
    </row>
    <row r="1394" spans="1:17" hidden="1" x14ac:dyDescent="0.4">
      <c r="A1394" s="4" t="s">
        <v>35</v>
      </c>
      <c r="B1394" s="4" t="s">
        <v>14</v>
      </c>
      <c r="C1394" s="30" t="s">
        <v>434</v>
      </c>
      <c r="D1394" s="4" t="s">
        <v>36</v>
      </c>
      <c r="E1394" s="4" t="s">
        <v>16</v>
      </c>
      <c r="F1394" s="4" t="s">
        <v>17</v>
      </c>
      <c r="G1394" s="4" t="s">
        <v>18</v>
      </c>
      <c r="H1394" s="4" t="s">
        <v>191</v>
      </c>
      <c r="I1394" s="5" t="str">
        <f t="shared" si="21"/>
        <v>2025-06</v>
      </c>
      <c r="J1394" s="4" t="s">
        <v>118</v>
      </c>
      <c r="K1394" s="5" t="s">
        <v>342</v>
      </c>
      <c r="L1394" s="2">
        <v>116220</v>
      </c>
      <c r="M1394" s="3">
        <v>1</v>
      </c>
      <c r="N1394" s="2">
        <v>116220</v>
      </c>
      <c r="O1394" s="2">
        <v>11622</v>
      </c>
      <c r="P1394" s="2">
        <v>127842</v>
      </c>
      <c r="Q1394" s="2">
        <f>P1394*8.5%</f>
        <v>10866.570000000002</v>
      </c>
    </row>
    <row r="1395" spans="1:17" hidden="1" x14ac:dyDescent="0.4">
      <c r="A1395" s="4" t="s">
        <v>23</v>
      </c>
      <c r="B1395" s="4" t="s">
        <v>14</v>
      </c>
      <c r="C1395" s="31" t="s">
        <v>435</v>
      </c>
      <c r="D1395" s="4" t="s">
        <v>24</v>
      </c>
      <c r="E1395" s="4" t="s">
        <v>16</v>
      </c>
      <c r="F1395" s="4" t="s">
        <v>17</v>
      </c>
      <c r="G1395" s="4" t="s">
        <v>18</v>
      </c>
      <c r="H1395" s="4" t="s">
        <v>191</v>
      </c>
      <c r="I1395" s="5" t="str">
        <f t="shared" si="21"/>
        <v>2025-06</v>
      </c>
      <c r="J1395" s="4" t="s">
        <v>118</v>
      </c>
      <c r="K1395" s="5" t="s">
        <v>342</v>
      </c>
      <c r="L1395" s="2">
        <v>54000</v>
      </c>
      <c r="M1395" s="3">
        <v>4</v>
      </c>
      <c r="N1395" s="2">
        <v>216000</v>
      </c>
      <c r="O1395" s="2">
        <v>21600</v>
      </c>
      <c r="P1395" s="2">
        <v>237600</v>
      </c>
      <c r="Q1395" s="2">
        <f>P1395*8.5%</f>
        <v>20196</v>
      </c>
    </row>
    <row r="1396" spans="1:17" hidden="1" x14ac:dyDescent="0.4">
      <c r="A1396" s="4" t="s">
        <v>51</v>
      </c>
      <c r="B1396" s="4" t="s">
        <v>14</v>
      </c>
      <c r="C1396" s="30" t="s">
        <v>434</v>
      </c>
      <c r="D1396" s="4" t="s">
        <v>52</v>
      </c>
      <c r="E1396" s="4" t="s">
        <v>16</v>
      </c>
      <c r="F1396" s="4" t="s">
        <v>17</v>
      </c>
      <c r="G1396" s="4" t="s">
        <v>18</v>
      </c>
      <c r="H1396" s="4" t="s">
        <v>191</v>
      </c>
      <c r="I1396" s="5" t="str">
        <f t="shared" si="21"/>
        <v>2025-06</v>
      </c>
      <c r="J1396" s="4" t="s">
        <v>118</v>
      </c>
      <c r="K1396" s="5" t="s">
        <v>342</v>
      </c>
      <c r="L1396" s="2">
        <v>71250</v>
      </c>
      <c r="M1396" s="3">
        <v>1</v>
      </c>
      <c r="N1396" s="2">
        <v>71250</v>
      </c>
      <c r="O1396" s="2">
        <v>7125</v>
      </c>
      <c r="P1396" s="2">
        <v>78375</v>
      </c>
      <c r="Q1396" s="2">
        <f>P1396*8.5%</f>
        <v>6661.8750000000009</v>
      </c>
    </row>
    <row r="1397" spans="1:17" hidden="1" x14ac:dyDescent="0.4">
      <c r="A1397" s="4" t="s">
        <v>32</v>
      </c>
      <c r="B1397" s="4" t="s">
        <v>14</v>
      </c>
      <c r="C1397" s="31" t="s">
        <v>435</v>
      </c>
      <c r="D1397" s="4" t="s">
        <v>33</v>
      </c>
      <c r="E1397" s="4" t="s">
        <v>16</v>
      </c>
      <c r="F1397" s="4" t="s">
        <v>17</v>
      </c>
      <c r="G1397" s="4" t="s">
        <v>18</v>
      </c>
      <c r="H1397" s="4" t="s">
        <v>191</v>
      </c>
      <c r="I1397" s="5" t="str">
        <f t="shared" si="21"/>
        <v>2025-06</v>
      </c>
      <c r="J1397" s="4" t="s">
        <v>34</v>
      </c>
      <c r="K1397" s="5" t="s">
        <v>342</v>
      </c>
      <c r="L1397" s="2">
        <v>44000</v>
      </c>
      <c r="M1397" s="3">
        <v>2</v>
      </c>
      <c r="N1397" s="2">
        <v>88000</v>
      </c>
      <c r="O1397" s="2">
        <v>8800</v>
      </c>
      <c r="P1397" s="2">
        <v>96800</v>
      </c>
      <c r="Q1397" s="2">
        <f>P1397*8.5%</f>
        <v>8228</v>
      </c>
    </row>
    <row r="1398" spans="1:17" hidden="1" x14ac:dyDescent="0.4">
      <c r="A1398" s="4" t="s">
        <v>58</v>
      </c>
      <c r="B1398" s="4" t="s">
        <v>14</v>
      </c>
      <c r="C1398" s="30" t="s">
        <v>434</v>
      </c>
      <c r="D1398" s="4" t="s">
        <v>36</v>
      </c>
      <c r="E1398" s="4" t="s">
        <v>16</v>
      </c>
      <c r="F1398" s="4" t="s">
        <v>17</v>
      </c>
      <c r="G1398" s="4" t="s">
        <v>18</v>
      </c>
      <c r="H1398" s="4" t="s">
        <v>191</v>
      </c>
      <c r="I1398" s="5" t="str">
        <f t="shared" si="21"/>
        <v>2025-06</v>
      </c>
      <c r="J1398" s="4" t="s">
        <v>34</v>
      </c>
      <c r="K1398" s="5" t="s">
        <v>342</v>
      </c>
      <c r="L1398" s="2">
        <v>120880</v>
      </c>
      <c r="M1398" s="3">
        <v>1</v>
      </c>
      <c r="N1398" s="2">
        <v>120880</v>
      </c>
      <c r="O1398" s="2">
        <v>12088</v>
      </c>
      <c r="P1398" s="2">
        <v>132968</v>
      </c>
      <c r="Q1398" s="2">
        <f>P1398*8.5%</f>
        <v>11302.28</v>
      </c>
    </row>
    <row r="1399" spans="1:17" hidden="1" x14ac:dyDescent="0.4">
      <c r="A1399" s="4" t="s">
        <v>13</v>
      </c>
      <c r="B1399" s="4" t="s">
        <v>14</v>
      </c>
      <c r="C1399" s="30" t="s">
        <v>434</v>
      </c>
      <c r="D1399" s="4" t="s">
        <v>15</v>
      </c>
      <c r="E1399" s="4" t="s">
        <v>16</v>
      </c>
      <c r="F1399" s="4" t="s">
        <v>17</v>
      </c>
      <c r="G1399" s="4" t="s">
        <v>18</v>
      </c>
      <c r="H1399" s="4" t="s">
        <v>191</v>
      </c>
      <c r="I1399" s="5" t="str">
        <f t="shared" si="21"/>
        <v>2025-06</v>
      </c>
      <c r="J1399" s="4" t="s">
        <v>34</v>
      </c>
      <c r="K1399" s="5" t="s">
        <v>342</v>
      </c>
      <c r="L1399" s="2">
        <v>42000</v>
      </c>
      <c r="M1399" s="3">
        <v>7</v>
      </c>
      <c r="N1399" s="2">
        <v>294000</v>
      </c>
      <c r="O1399" s="2">
        <v>29400</v>
      </c>
      <c r="P1399" s="2">
        <v>323400</v>
      </c>
      <c r="Q1399" s="2">
        <f>P1399*8.5%</f>
        <v>27489.000000000004</v>
      </c>
    </row>
    <row r="1400" spans="1:17" hidden="1" x14ac:dyDescent="0.4">
      <c r="A1400" s="4" t="s">
        <v>21</v>
      </c>
      <c r="B1400" s="4" t="s">
        <v>14</v>
      </c>
      <c r="C1400" s="31" t="s">
        <v>435</v>
      </c>
      <c r="D1400" s="4" t="s">
        <v>22</v>
      </c>
      <c r="E1400" s="4" t="s">
        <v>16</v>
      </c>
      <c r="F1400" s="4" t="s">
        <v>17</v>
      </c>
      <c r="G1400" s="4" t="s">
        <v>18</v>
      </c>
      <c r="H1400" s="4" t="s">
        <v>191</v>
      </c>
      <c r="I1400" s="5" t="str">
        <f t="shared" si="21"/>
        <v>2025-06</v>
      </c>
      <c r="J1400" s="4" t="s">
        <v>34</v>
      </c>
      <c r="K1400" s="5" t="s">
        <v>342</v>
      </c>
      <c r="L1400" s="2">
        <v>54000</v>
      </c>
      <c r="M1400" s="3">
        <v>1</v>
      </c>
      <c r="N1400" s="2">
        <v>54000</v>
      </c>
      <c r="O1400" s="2">
        <v>5400</v>
      </c>
      <c r="P1400" s="2">
        <v>59400</v>
      </c>
      <c r="Q1400" s="2">
        <f>P1400*8.5%</f>
        <v>5049</v>
      </c>
    </row>
    <row r="1401" spans="1:17" hidden="1" x14ac:dyDescent="0.4">
      <c r="A1401" s="4" t="s">
        <v>23</v>
      </c>
      <c r="B1401" s="4" t="s">
        <v>14</v>
      </c>
      <c r="C1401" s="31" t="s">
        <v>435</v>
      </c>
      <c r="D1401" s="4" t="s">
        <v>24</v>
      </c>
      <c r="E1401" s="4" t="s">
        <v>16</v>
      </c>
      <c r="F1401" s="4" t="s">
        <v>17</v>
      </c>
      <c r="G1401" s="4" t="s">
        <v>18</v>
      </c>
      <c r="H1401" s="4" t="s">
        <v>191</v>
      </c>
      <c r="I1401" s="5" t="str">
        <f t="shared" si="21"/>
        <v>2025-06</v>
      </c>
      <c r="J1401" s="4" t="s">
        <v>34</v>
      </c>
      <c r="K1401" s="5" t="s">
        <v>342</v>
      </c>
      <c r="L1401" s="2">
        <v>54000</v>
      </c>
      <c r="M1401" s="3">
        <v>5</v>
      </c>
      <c r="N1401" s="2">
        <v>270000</v>
      </c>
      <c r="O1401" s="2">
        <v>27000</v>
      </c>
      <c r="P1401" s="2">
        <v>297000</v>
      </c>
      <c r="Q1401" s="2">
        <f>P1401*8.5%</f>
        <v>25245</v>
      </c>
    </row>
    <row r="1402" spans="1:17" hidden="1" x14ac:dyDescent="0.4">
      <c r="A1402" s="4" t="s">
        <v>51</v>
      </c>
      <c r="B1402" s="4" t="s">
        <v>14</v>
      </c>
      <c r="C1402" s="30" t="s">
        <v>434</v>
      </c>
      <c r="D1402" s="4" t="s">
        <v>52</v>
      </c>
      <c r="E1402" s="4" t="s">
        <v>16</v>
      </c>
      <c r="F1402" s="4" t="s">
        <v>17</v>
      </c>
      <c r="G1402" s="4" t="s">
        <v>18</v>
      </c>
      <c r="H1402" s="4" t="s">
        <v>191</v>
      </c>
      <c r="I1402" s="5" t="str">
        <f t="shared" si="21"/>
        <v>2025-06</v>
      </c>
      <c r="J1402" s="4" t="s">
        <v>34</v>
      </c>
      <c r="K1402" s="5" t="s">
        <v>342</v>
      </c>
      <c r="L1402" s="2">
        <v>71250</v>
      </c>
      <c r="M1402" s="3">
        <v>1</v>
      </c>
      <c r="N1402" s="2">
        <v>71250</v>
      </c>
      <c r="O1402" s="2">
        <v>7125</v>
      </c>
      <c r="P1402" s="2">
        <v>78375</v>
      </c>
      <c r="Q1402" s="2">
        <f>P1402*8.5%</f>
        <v>6661.8750000000009</v>
      </c>
    </row>
    <row r="1403" spans="1:17" hidden="1" x14ac:dyDescent="0.4">
      <c r="A1403" s="4" t="s">
        <v>70</v>
      </c>
      <c r="B1403" s="4" t="s">
        <v>26</v>
      </c>
      <c r="C1403" s="32" t="s">
        <v>436</v>
      </c>
      <c r="D1403" s="4" t="s">
        <v>71</v>
      </c>
      <c r="E1403" s="4" t="s">
        <v>28</v>
      </c>
      <c r="F1403" s="4" t="s">
        <v>31</v>
      </c>
      <c r="G1403" s="4" t="s">
        <v>18</v>
      </c>
      <c r="H1403" s="4" t="s">
        <v>191</v>
      </c>
      <c r="I1403" s="5" t="str">
        <f t="shared" si="21"/>
        <v>2025-06</v>
      </c>
      <c r="J1403" s="4" t="s">
        <v>34</v>
      </c>
      <c r="K1403" s="5" t="s">
        <v>342</v>
      </c>
      <c r="L1403" s="2">
        <v>6624</v>
      </c>
      <c r="M1403" s="3">
        <v>2</v>
      </c>
      <c r="N1403" s="2">
        <v>13248</v>
      </c>
      <c r="O1403" s="2">
        <v>0</v>
      </c>
      <c r="P1403" s="2">
        <v>13248</v>
      </c>
      <c r="Q1403" s="2">
        <f>P1403*8.5%</f>
        <v>1126.0800000000002</v>
      </c>
    </row>
    <row r="1404" spans="1:17" hidden="1" x14ac:dyDescent="0.4">
      <c r="A1404" s="4" t="s">
        <v>42</v>
      </c>
      <c r="B1404" s="4" t="s">
        <v>14</v>
      </c>
      <c r="C1404" s="30" t="s">
        <v>434</v>
      </c>
      <c r="D1404" s="4" t="s">
        <v>43</v>
      </c>
      <c r="E1404" s="4" t="s">
        <v>44</v>
      </c>
      <c r="F1404" s="4" t="s">
        <v>31</v>
      </c>
      <c r="G1404" s="4" t="s">
        <v>18</v>
      </c>
      <c r="H1404" s="4" t="s">
        <v>191</v>
      </c>
      <c r="I1404" s="5" t="str">
        <f t="shared" si="21"/>
        <v>2025-06</v>
      </c>
      <c r="J1404" s="4" t="s">
        <v>34</v>
      </c>
      <c r="K1404" s="5" t="s">
        <v>342</v>
      </c>
      <c r="L1404" s="2">
        <v>6800</v>
      </c>
      <c r="M1404" s="3">
        <v>46.9</v>
      </c>
      <c r="N1404" s="2">
        <v>318920</v>
      </c>
      <c r="O1404" s="2">
        <v>0</v>
      </c>
      <c r="P1404" s="2">
        <v>318920</v>
      </c>
      <c r="Q1404" s="2">
        <f>P1404*8.5%</f>
        <v>27108.2</v>
      </c>
    </row>
    <row r="1405" spans="1:17" hidden="1" x14ac:dyDescent="0.4">
      <c r="A1405" s="4" t="s">
        <v>93</v>
      </c>
      <c r="B1405" s="4" t="s">
        <v>26</v>
      </c>
      <c r="C1405" s="32" t="s">
        <v>436</v>
      </c>
      <c r="D1405" s="4" t="s">
        <v>94</v>
      </c>
      <c r="E1405" s="4" t="s">
        <v>47</v>
      </c>
      <c r="F1405" s="4" t="s">
        <v>17</v>
      </c>
      <c r="G1405" s="4" t="s">
        <v>18</v>
      </c>
      <c r="H1405" s="4" t="s">
        <v>191</v>
      </c>
      <c r="I1405" s="5" t="str">
        <f t="shared" si="21"/>
        <v>2025-06</v>
      </c>
      <c r="J1405" s="4" t="s">
        <v>34</v>
      </c>
      <c r="K1405" s="5" t="s">
        <v>342</v>
      </c>
      <c r="L1405" s="2">
        <v>5261</v>
      </c>
      <c r="M1405" s="3">
        <v>2</v>
      </c>
      <c r="N1405" s="2">
        <v>10522</v>
      </c>
      <c r="O1405" s="2">
        <v>1052</v>
      </c>
      <c r="P1405" s="2">
        <v>11574</v>
      </c>
      <c r="Q1405" s="2">
        <f>P1405*8.5%</f>
        <v>983.79000000000008</v>
      </c>
    </row>
    <row r="1406" spans="1:17" hidden="1" x14ac:dyDescent="0.4">
      <c r="A1406" s="4" t="s">
        <v>13</v>
      </c>
      <c r="B1406" s="4" t="s">
        <v>14</v>
      </c>
      <c r="C1406" s="30" t="s">
        <v>434</v>
      </c>
      <c r="D1406" s="4" t="s">
        <v>15</v>
      </c>
      <c r="E1406" s="4" t="s">
        <v>16</v>
      </c>
      <c r="F1406" s="4" t="s">
        <v>17</v>
      </c>
      <c r="G1406" s="4" t="s">
        <v>18</v>
      </c>
      <c r="H1406" s="4" t="s">
        <v>191</v>
      </c>
      <c r="I1406" s="5" t="str">
        <f t="shared" si="21"/>
        <v>2025-06</v>
      </c>
      <c r="J1406" s="4" t="s">
        <v>59</v>
      </c>
      <c r="K1406" s="5" t="s">
        <v>343</v>
      </c>
      <c r="L1406" s="2">
        <v>42000</v>
      </c>
      <c r="M1406" s="3">
        <v>8</v>
      </c>
      <c r="N1406" s="2">
        <v>336000</v>
      </c>
      <c r="O1406" s="2">
        <v>33600</v>
      </c>
      <c r="P1406" s="2">
        <v>369600</v>
      </c>
      <c r="Q1406" s="2">
        <f>P1406*12%</f>
        <v>44352</v>
      </c>
    </row>
    <row r="1407" spans="1:17" hidden="1" x14ac:dyDescent="0.4">
      <c r="A1407" s="4" t="s">
        <v>35</v>
      </c>
      <c r="B1407" s="4" t="s">
        <v>14</v>
      </c>
      <c r="C1407" s="30" t="s">
        <v>434</v>
      </c>
      <c r="D1407" s="4" t="s">
        <v>36</v>
      </c>
      <c r="E1407" s="4" t="s">
        <v>16</v>
      </c>
      <c r="F1407" s="4" t="s">
        <v>17</v>
      </c>
      <c r="G1407" s="4" t="s">
        <v>18</v>
      </c>
      <c r="H1407" s="4" t="s">
        <v>191</v>
      </c>
      <c r="I1407" s="5" t="str">
        <f t="shared" si="21"/>
        <v>2025-06</v>
      </c>
      <c r="J1407" s="4" t="s">
        <v>59</v>
      </c>
      <c r="K1407" s="5" t="s">
        <v>343</v>
      </c>
      <c r="L1407" s="2">
        <v>116220</v>
      </c>
      <c r="M1407" s="3">
        <v>2</v>
      </c>
      <c r="N1407" s="2">
        <v>232440</v>
      </c>
      <c r="O1407" s="2">
        <v>23244</v>
      </c>
      <c r="P1407" s="2">
        <v>255684</v>
      </c>
      <c r="Q1407" s="2">
        <f>P1407*12%</f>
        <v>30682.079999999998</v>
      </c>
    </row>
    <row r="1408" spans="1:17" hidden="1" x14ac:dyDescent="0.4">
      <c r="A1408" s="4" t="s">
        <v>23</v>
      </c>
      <c r="B1408" s="4" t="s">
        <v>14</v>
      </c>
      <c r="C1408" s="31" t="s">
        <v>435</v>
      </c>
      <c r="D1408" s="4" t="s">
        <v>24</v>
      </c>
      <c r="E1408" s="4" t="s">
        <v>16</v>
      </c>
      <c r="F1408" s="4" t="s">
        <v>17</v>
      </c>
      <c r="G1408" s="4" t="s">
        <v>18</v>
      </c>
      <c r="H1408" s="4" t="s">
        <v>191</v>
      </c>
      <c r="I1408" s="5" t="str">
        <f t="shared" si="21"/>
        <v>2025-06</v>
      </c>
      <c r="J1408" s="4" t="s">
        <v>59</v>
      </c>
      <c r="K1408" s="5" t="s">
        <v>343</v>
      </c>
      <c r="L1408" s="2">
        <v>54000</v>
      </c>
      <c r="M1408" s="3">
        <v>3</v>
      </c>
      <c r="N1408" s="2">
        <v>162000</v>
      </c>
      <c r="O1408" s="2">
        <v>16200</v>
      </c>
      <c r="P1408" s="2">
        <v>178200</v>
      </c>
      <c r="Q1408" s="2">
        <f>P1408*12%</f>
        <v>21384</v>
      </c>
    </row>
    <row r="1409" spans="1:17" hidden="1" x14ac:dyDescent="0.4">
      <c r="A1409" s="4" t="s">
        <v>51</v>
      </c>
      <c r="B1409" s="4" t="s">
        <v>14</v>
      </c>
      <c r="C1409" s="30" t="s">
        <v>434</v>
      </c>
      <c r="D1409" s="4" t="s">
        <v>52</v>
      </c>
      <c r="E1409" s="4" t="s">
        <v>16</v>
      </c>
      <c r="F1409" s="4" t="s">
        <v>17</v>
      </c>
      <c r="G1409" s="4" t="s">
        <v>18</v>
      </c>
      <c r="H1409" s="4" t="s">
        <v>191</v>
      </c>
      <c r="I1409" s="5" t="str">
        <f t="shared" si="21"/>
        <v>2025-06</v>
      </c>
      <c r="J1409" s="4" t="s">
        <v>59</v>
      </c>
      <c r="K1409" s="5" t="s">
        <v>343</v>
      </c>
      <c r="L1409" s="2">
        <v>71250</v>
      </c>
      <c r="M1409" s="3">
        <v>2</v>
      </c>
      <c r="N1409" s="2">
        <v>142500</v>
      </c>
      <c r="O1409" s="2">
        <v>14250</v>
      </c>
      <c r="P1409" s="2">
        <v>156750</v>
      </c>
      <c r="Q1409" s="2">
        <f>P1409*12%</f>
        <v>18810</v>
      </c>
    </row>
    <row r="1410" spans="1:17" hidden="1" x14ac:dyDescent="0.4">
      <c r="A1410" s="4" t="s">
        <v>58</v>
      </c>
      <c r="B1410" s="4" t="s">
        <v>14</v>
      </c>
      <c r="C1410" s="30" t="s">
        <v>434</v>
      </c>
      <c r="D1410" s="4" t="s">
        <v>36</v>
      </c>
      <c r="E1410" s="4" t="s">
        <v>16</v>
      </c>
      <c r="F1410" s="4" t="s">
        <v>17</v>
      </c>
      <c r="G1410" s="4" t="s">
        <v>18</v>
      </c>
      <c r="H1410" s="4" t="s">
        <v>191</v>
      </c>
      <c r="I1410" s="5" t="str">
        <f t="shared" ref="I1410:I1473" si="22">TEXT(H1410,"yyyy-mm")</f>
        <v>2025-06</v>
      </c>
      <c r="J1410" s="4" t="s">
        <v>153</v>
      </c>
      <c r="K1410" s="5" t="s">
        <v>343</v>
      </c>
      <c r="L1410" s="2">
        <v>120880</v>
      </c>
      <c r="M1410" s="3">
        <v>1</v>
      </c>
      <c r="N1410" s="2">
        <v>120880</v>
      </c>
      <c r="O1410" s="2">
        <v>12088</v>
      </c>
      <c r="P1410" s="2">
        <v>132968</v>
      </c>
      <c r="Q1410" s="2">
        <f>P1410*12%</f>
        <v>15956.16</v>
      </c>
    </row>
    <row r="1411" spans="1:17" hidden="1" x14ac:dyDescent="0.4">
      <c r="A1411" s="4" t="s">
        <v>13</v>
      </c>
      <c r="B1411" s="4" t="s">
        <v>14</v>
      </c>
      <c r="C1411" s="30" t="s">
        <v>434</v>
      </c>
      <c r="D1411" s="4" t="s">
        <v>15</v>
      </c>
      <c r="E1411" s="4" t="s">
        <v>16</v>
      </c>
      <c r="F1411" s="4" t="s">
        <v>17</v>
      </c>
      <c r="G1411" s="4" t="s">
        <v>18</v>
      </c>
      <c r="H1411" s="4" t="s">
        <v>191</v>
      </c>
      <c r="I1411" s="5" t="str">
        <f t="shared" si="22"/>
        <v>2025-06</v>
      </c>
      <c r="J1411" s="4" t="s">
        <v>153</v>
      </c>
      <c r="K1411" s="5" t="s">
        <v>343</v>
      </c>
      <c r="L1411" s="2">
        <v>42000</v>
      </c>
      <c r="M1411" s="3">
        <v>9</v>
      </c>
      <c r="N1411" s="2">
        <v>378000</v>
      </c>
      <c r="O1411" s="2">
        <v>37800</v>
      </c>
      <c r="P1411" s="2">
        <v>415800</v>
      </c>
      <c r="Q1411" s="2">
        <f>P1411*12%</f>
        <v>49896</v>
      </c>
    </row>
    <row r="1412" spans="1:17" hidden="1" x14ac:dyDescent="0.4">
      <c r="A1412" s="4" t="s">
        <v>35</v>
      </c>
      <c r="B1412" s="4" t="s">
        <v>14</v>
      </c>
      <c r="C1412" s="30" t="s">
        <v>434</v>
      </c>
      <c r="D1412" s="4" t="s">
        <v>36</v>
      </c>
      <c r="E1412" s="4" t="s">
        <v>16</v>
      </c>
      <c r="F1412" s="4" t="s">
        <v>17</v>
      </c>
      <c r="G1412" s="4" t="s">
        <v>18</v>
      </c>
      <c r="H1412" s="4" t="s">
        <v>191</v>
      </c>
      <c r="I1412" s="5" t="str">
        <f t="shared" si="22"/>
        <v>2025-06</v>
      </c>
      <c r="J1412" s="4" t="s">
        <v>153</v>
      </c>
      <c r="K1412" s="5" t="s">
        <v>343</v>
      </c>
      <c r="L1412" s="2">
        <v>116220</v>
      </c>
      <c r="M1412" s="3">
        <v>1</v>
      </c>
      <c r="N1412" s="2">
        <v>116220</v>
      </c>
      <c r="O1412" s="2">
        <v>11622</v>
      </c>
      <c r="P1412" s="2">
        <v>127842</v>
      </c>
      <c r="Q1412" s="2">
        <f>P1412*12%</f>
        <v>15341.039999999999</v>
      </c>
    </row>
    <row r="1413" spans="1:17" hidden="1" x14ac:dyDescent="0.4">
      <c r="A1413" s="4" t="s">
        <v>23</v>
      </c>
      <c r="B1413" s="4" t="s">
        <v>14</v>
      </c>
      <c r="C1413" s="31" t="s">
        <v>435</v>
      </c>
      <c r="D1413" s="4" t="s">
        <v>24</v>
      </c>
      <c r="E1413" s="4" t="s">
        <v>16</v>
      </c>
      <c r="F1413" s="4" t="s">
        <v>17</v>
      </c>
      <c r="G1413" s="4" t="s">
        <v>18</v>
      </c>
      <c r="H1413" s="4" t="s">
        <v>191</v>
      </c>
      <c r="I1413" s="5" t="str">
        <f t="shared" si="22"/>
        <v>2025-06</v>
      </c>
      <c r="J1413" s="4" t="s">
        <v>153</v>
      </c>
      <c r="K1413" s="5" t="s">
        <v>343</v>
      </c>
      <c r="L1413" s="2">
        <v>54000</v>
      </c>
      <c r="M1413" s="3">
        <v>7</v>
      </c>
      <c r="N1413" s="2">
        <v>378000</v>
      </c>
      <c r="O1413" s="2">
        <v>37800</v>
      </c>
      <c r="P1413" s="2">
        <v>415800</v>
      </c>
      <c r="Q1413" s="2">
        <f>P1413*12%</f>
        <v>49896</v>
      </c>
    </row>
    <row r="1414" spans="1:17" hidden="1" x14ac:dyDescent="0.4">
      <c r="A1414" s="4" t="s">
        <v>51</v>
      </c>
      <c r="B1414" s="4" t="s">
        <v>14</v>
      </c>
      <c r="C1414" s="30" t="s">
        <v>434</v>
      </c>
      <c r="D1414" s="4" t="s">
        <v>52</v>
      </c>
      <c r="E1414" s="4" t="s">
        <v>16</v>
      </c>
      <c r="F1414" s="4" t="s">
        <v>17</v>
      </c>
      <c r="G1414" s="4" t="s">
        <v>18</v>
      </c>
      <c r="H1414" s="4" t="s">
        <v>191</v>
      </c>
      <c r="I1414" s="5" t="str">
        <f t="shared" si="22"/>
        <v>2025-06</v>
      </c>
      <c r="J1414" s="4" t="s">
        <v>153</v>
      </c>
      <c r="K1414" s="5" t="s">
        <v>343</v>
      </c>
      <c r="L1414" s="2">
        <v>71250</v>
      </c>
      <c r="M1414" s="3">
        <v>1</v>
      </c>
      <c r="N1414" s="2">
        <v>71250</v>
      </c>
      <c r="O1414" s="2">
        <v>7125</v>
      </c>
      <c r="P1414" s="2">
        <v>78375</v>
      </c>
      <c r="Q1414" s="2">
        <f>P1414*12%</f>
        <v>9405</v>
      </c>
    </row>
    <row r="1415" spans="1:17" hidden="1" x14ac:dyDescent="0.4">
      <c r="A1415" s="4" t="s">
        <v>35</v>
      </c>
      <c r="B1415" s="4" t="s">
        <v>14</v>
      </c>
      <c r="C1415" s="30" t="s">
        <v>434</v>
      </c>
      <c r="D1415" s="4" t="s">
        <v>36</v>
      </c>
      <c r="E1415" s="4" t="s">
        <v>16</v>
      </c>
      <c r="F1415" s="4" t="s">
        <v>17</v>
      </c>
      <c r="G1415" s="4" t="s">
        <v>18</v>
      </c>
      <c r="H1415" s="4" t="s">
        <v>191</v>
      </c>
      <c r="I1415" s="5" t="str">
        <f t="shared" si="22"/>
        <v>2025-06</v>
      </c>
      <c r="J1415" s="4" t="s">
        <v>60</v>
      </c>
      <c r="K1415" s="5" t="s">
        <v>343</v>
      </c>
      <c r="L1415" s="2">
        <v>116220</v>
      </c>
      <c r="M1415" s="3">
        <v>3</v>
      </c>
      <c r="N1415" s="2">
        <v>348660</v>
      </c>
      <c r="O1415" s="2">
        <v>34866</v>
      </c>
      <c r="P1415" s="2">
        <v>383526</v>
      </c>
      <c r="Q1415" s="2">
        <f>P1415*12%</f>
        <v>46023.119999999995</v>
      </c>
    </row>
    <row r="1416" spans="1:17" hidden="1" x14ac:dyDescent="0.4">
      <c r="A1416" s="4" t="s">
        <v>23</v>
      </c>
      <c r="B1416" s="4" t="s">
        <v>14</v>
      </c>
      <c r="C1416" s="31" t="s">
        <v>435</v>
      </c>
      <c r="D1416" s="4" t="s">
        <v>24</v>
      </c>
      <c r="E1416" s="4" t="s">
        <v>16</v>
      </c>
      <c r="F1416" s="4" t="s">
        <v>17</v>
      </c>
      <c r="G1416" s="4" t="s">
        <v>18</v>
      </c>
      <c r="H1416" s="4" t="s">
        <v>191</v>
      </c>
      <c r="I1416" s="5" t="str">
        <f t="shared" si="22"/>
        <v>2025-06</v>
      </c>
      <c r="J1416" s="4" t="s">
        <v>60</v>
      </c>
      <c r="K1416" s="5" t="s">
        <v>343</v>
      </c>
      <c r="L1416" s="2">
        <v>54000</v>
      </c>
      <c r="M1416" s="3">
        <v>8</v>
      </c>
      <c r="N1416" s="2">
        <v>432000</v>
      </c>
      <c r="O1416" s="2">
        <v>43200</v>
      </c>
      <c r="P1416" s="2">
        <v>475200</v>
      </c>
      <c r="Q1416" s="2">
        <f>P1416*12%</f>
        <v>57024</v>
      </c>
    </row>
    <row r="1417" spans="1:17" hidden="1" x14ac:dyDescent="0.4">
      <c r="A1417" s="4" t="s">
        <v>32</v>
      </c>
      <c r="B1417" s="4" t="s">
        <v>14</v>
      </c>
      <c r="C1417" s="31" t="s">
        <v>435</v>
      </c>
      <c r="D1417" s="4" t="s">
        <v>33</v>
      </c>
      <c r="E1417" s="4" t="s">
        <v>16</v>
      </c>
      <c r="F1417" s="4" t="s">
        <v>17</v>
      </c>
      <c r="G1417" s="4" t="s">
        <v>18</v>
      </c>
      <c r="H1417" s="4" t="s">
        <v>191</v>
      </c>
      <c r="I1417" s="5" t="str">
        <f t="shared" si="22"/>
        <v>2025-06</v>
      </c>
      <c r="J1417" s="4" t="s">
        <v>49</v>
      </c>
      <c r="K1417" s="5" t="s">
        <v>343</v>
      </c>
      <c r="L1417" s="2">
        <v>44000</v>
      </c>
      <c r="M1417" s="3">
        <v>5</v>
      </c>
      <c r="N1417" s="2">
        <v>220000</v>
      </c>
      <c r="O1417" s="2">
        <v>22000</v>
      </c>
      <c r="P1417" s="2">
        <v>242000</v>
      </c>
      <c r="Q1417" s="2">
        <f>P1417*12%</f>
        <v>29040</v>
      </c>
    </row>
    <row r="1418" spans="1:17" hidden="1" x14ac:dyDescent="0.4">
      <c r="A1418" s="4" t="s">
        <v>13</v>
      </c>
      <c r="B1418" s="4" t="s">
        <v>14</v>
      </c>
      <c r="C1418" s="30" t="s">
        <v>434</v>
      </c>
      <c r="D1418" s="4" t="s">
        <v>15</v>
      </c>
      <c r="E1418" s="4" t="s">
        <v>16</v>
      </c>
      <c r="F1418" s="4" t="s">
        <v>17</v>
      </c>
      <c r="G1418" s="4" t="s">
        <v>18</v>
      </c>
      <c r="H1418" s="4" t="s">
        <v>191</v>
      </c>
      <c r="I1418" s="5" t="str">
        <f t="shared" si="22"/>
        <v>2025-06</v>
      </c>
      <c r="J1418" s="4" t="s">
        <v>49</v>
      </c>
      <c r="K1418" s="5" t="s">
        <v>343</v>
      </c>
      <c r="L1418" s="2">
        <v>42000</v>
      </c>
      <c r="M1418" s="3">
        <v>6</v>
      </c>
      <c r="N1418" s="2">
        <v>252000</v>
      </c>
      <c r="O1418" s="2">
        <v>25200</v>
      </c>
      <c r="P1418" s="2">
        <v>277200</v>
      </c>
      <c r="Q1418" s="2">
        <f>P1418*12%</f>
        <v>33264</v>
      </c>
    </row>
    <row r="1419" spans="1:17" hidden="1" x14ac:dyDescent="0.4">
      <c r="A1419" s="4" t="s">
        <v>35</v>
      </c>
      <c r="B1419" s="4" t="s">
        <v>14</v>
      </c>
      <c r="C1419" s="30" t="s">
        <v>434</v>
      </c>
      <c r="D1419" s="4" t="s">
        <v>36</v>
      </c>
      <c r="E1419" s="4" t="s">
        <v>16</v>
      </c>
      <c r="F1419" s="4" t="s">
        <v>17</v>
      </c>
      <c r="G1419" s="4" t="s">
        <v>18</v>
      </c>
      <c r="H1419" s="4" t="s">
        <v>191</v>
      </c>
      <c r="I1419" s="5" t="str">
        <f t="shared" si="22"/>
        <v>2025-06</v>
      </c>
      <c r="J1419" s="4" t="s">
        <v>49</v>
      </c>
      <c r="K1419" s="5" t="s">
        <v>343</v>
      </c>
      <c r="L1419" s="2">
        <v>116220</v>
      </c>
      <c r="M1419" s="3">
        <v>2</v>
      </c>
      <c r="N1419" s="2">
        <v>232440</v>
      </c>
      <c r="O1419" s="2">
        <v>23244</v>
      </c>
      <c r="P1419" s="2">
        <v>255684</v>
      </c>
      <c r="Q1419" s="2">
        <f>P1419*12%</f>
        <v>30682.079999999998</v>
      </c>
    </row>
    <row r="1420" spans="1:17" hidden="1" x14ac:dyDescent="0.4">
      <c r="A1420" s="4" t="s">
        <v>23</v>
      </c>
      <c r="B1420" s="4" t="s">
        <v>14</v>
      </c>
      <c r="C1420" s="31" t="s">
        <v>435</v>
      </c>
      <c r="D1420" s="4" t="s">
        <v>24</v>
      </c>
      <c r="E1420" s="4" t="s">
        <v>16</v>
      </c>
      <c r="F1420" s="4" t="s">
        <v>17</v>
      </c>
      <c r="G1420" s="4" t="s">
        <v>18</v>
      </c>
      <c r="H1420" s="4" t="s">
        <v>191</v>
      </c>
      <c r="I1420" s="5" t="str">
        <f t="shared" si="22"/>
        <v>2025-06</v>
      </c>
      <c r="J1420" s="4" t="s">
        <v>49</v>
      </c>
      <c r="K1420" s="5" t="s">
        <v>343</v>
      </c>
      <c r="L1420" s="2">
        <v>54000</v>
      </c>
      <c r="M1420" s="3">
        <v>3</v>
      </c>
      <c r="N1420" s="2">
        <v>162000</v>
      </c>
      <c r="O1420" s="2">
        <v>16200</v>
      </c>
      <c r="P1420" s="2">
        <v>178200</v>
      </c>
      <c r="Q1420" s="2">
        <f>P1420*12%</f>
        <v>21384</v>
      </c>
    </row>
    <row r="1421" spans="1:17" hidden="1" x14ac:dyDescent="0.4">
      <c r="A1421" s="4" t="s">
        <v>51</v>
      </c>
      <c r="B1421" s="4" t="s">
        <v>14</v>
      </c>
      <c r="C1421" s="30" t="s">
        <v>434</v>
      </c>
      <c r="D1421" s="4" t="s">
        <v>52</v>
      </c>
      <c r="E1421" s="4" t="s">
        <v>16</v>
      </c>
      <c r="F1421" s="4" t="s">
        <v>17</v>
      </c>
      <c r="G1421" s="4" t="s">
        <v>18</v>
      </c>
      <c r="H1421" s="4" t="s">
        <v>191</v>
      </c>
      <c r="I1421" s="5" t="str">
        <f t="shared" si="22"/>
        <v>2025-06</v>
      </c>
      <c r="J1421" s="4" t="s">
        <v>49</v>
      </c>
      <c r="K1421" s="5" t="s">
        <v>343</v>
      </c>
      <c r="L1421" s="2">
        <v>71250</v>
      </c>
      <c r="M1421" s="3">
        <v>1</v>
      </c>
      <c r="N1421" s="2">
        <v>71250</v>
      </c>
      <c r="O1421" s="2">
        <v>7125</v>
      </c>
      <c r="P1421" s="2">
        <v>78375</v>
      </c>
      <c r="Q1421" s="2">
        <f>P1421*12%</f>
        <v>9405</v>
      </c>
    </row>
    <row r="1422" spans="1:17" hidden="1" x14ac:dyDescent="0.4">
      <c r="A1422" s="4" t="s">
        <v>32</v>
      </c>
      <c r="B1422" s="4" t="s">
        <v>14</v>
      </c>
      <c r="C1422" s="31" t="s">
        <v>435</v>
      </c>
      <c r="D1422" s="4" t="s">
        <v>33</v>
      </c>
      <c r="E1422" s="4" t="s">
        <v>16</v>
      </c>
      <c r="F1422" s="4" t="s">
        <v>17</v>
      </c>
      <c r="G1422" s="4" t="s">
        <v>18</v>
      </c>
      <c r="H1422" s="4" t="s">
        <v>191</v>
      </c>
      <c r="I1422" s="5" t="str">
        <f t="shared" si="22"/>
        <v>2025-06</v>
      </c>
      <c r="J1422" s="4" t="s">
        <v>50</v>
      </c>
      <c r="K1422" s="5" t="s">
        <v>343</v>
      </c>
      <c r="L1422" s="2">
        <v>44000</v>
      </c>
      <c r="M1422" s="3">
        <v>1</v>
      </c>
      <c r="N1422" s="2">
        <v>44000</v>
      </c>
      <c r="O1422" s="2">
        <v>4400</v>
      </c>
      <c r="P1422" s="2">
        <v>48400</v>
      </c>
      <c r="Q1422" s="2">
        <f>P1422*12%</f>
        <v>5808</v>
      </c>
    </row>
    <row r="1423" spans="1:17" hidden="1" x14ac:dyDescent="0.4">
      <c r="A1423" s="4" t="s">
        <v>13</v>
      </c>
      <c r="B1423" s="4" t="s">
        <v>14</v>
      </c>
      <c r="C1423" s="30" t="s">
        <v>434</v>
      </c>
      <c r="D1423" s="4" t="s">
        <v>15</v>
      </c>
      <c r="E1423" s="4" t="s">
        <v>16</v>
      </c>
      <c r="F1423" s="4" t="s">
        <v>17</v>
      </c>
      <c r="G1423" s="4" t="s">
        <v>18</v>
      </c>
      <c r="H1423" s="4" t="s">
        <v>191</v>
      </c>
      <c r="I1423" s="5" t="str">
        <f t="shared" si="22"/>
        <v>2025-06</v>
      </c>
      <c r="J1423" s="4" t="s">
        <v>50</v>
      </c>
      <c r="K1423" s="5" t="s">
        <v>343</v>
      </c>
      <c r="L1423" s="2">
        <v>42000</v>
      </c>
      <c r="M1423" s="3">
        <v>10</v>
      </c>
      <c r="N1423" s="2">
        <v>420000</v>
      </c>
      <c r="O1423" s="2">
        <v>42000</v>
      </c>
      <c r="P1423" s="2">
        <v>462000</v>
      </c>
      <c r="Q1423" s="2">
        <f>P1423*12%</f>
        <v>55440</v>
      </c>
    </row>
    <row r="1424" spans="1:17" hidden="1" x14ac:dyDescent="0.4">
      <c r="A1424" s="4" t="s">
        <v>23</v>
      </c>
      <c r="B1424" s="4" t="s">
        <v>14</v>
      </c>
      <c r="C1424" s="31" t="s">
        <v>435</v>
      </c>
      <c r="D1424" s="4" t="s">
        <v>24</v>
      </c>
      <c r="E1424" s="4" t="s">
        <v>16</v>
      </c>
      <c r="F1424" s="4" t="s">
        <v>17</v>
      </c>
      <c r="G1424" s="4" t="s">
        <v>18</v>
      </c>
      <c r="H1424" s="4" t="s">
        <v>191</v>
      </c>
      <c r="I1424" s="5" t="str">
        <f t="shared" si="22"/>
        <v>2025-06</v>
      </c>
      <c r="J1424" s="4" t="s">
        <v>50</v>
      </c>
      <c r="K1424" s="5" t="s">
        <v>343</v>
      </c>
      <c r="L1424" s="2">
        <v>54000</v>
      </c>
      <c r="M1424" s="3">
        <v>5</v>
      </c>
      <c r="N1424" s="2">
        <v>270000</v>
      </c>
      <c r="O1424" s="2">
        <v>27000</v>
      </c>
      <c r="P1424" s="2">
        <v>297000</v>
      </c>
      <c r="Q1424" s="2">
        <f>P1424*12%</f>
        <v>35640</v>
      </c>
    </row>
    <row r="1425" spans="1:17" hidden="1" x14ac:dyDescent="0.4">
      <c r="A1425" s="4" t="s">
        <v>51</v>
      </c>
      <c r="B1425" s="4" t="s">
        <v>14</v>
      </c>
      <c r="C1425" s="30" t="s">
        <v>434</v>
      </c>
      <c r="D1425" s="4" t="s">
        <v>52</v>
      </c>
      <c r="E1425" s="4" t="s">
        <v>16</v>
      </c>
      <c r="F1425" s="4" t="s">
        <v>17</v>
      </c>
      <c r="G1425" s="4" t="s">
        <v>18</v>
      </c>
      <c r="H1425" s="4" t="s">
        <v>191</v>
      </c>
      <c r="I1425" s="5" t="str">
        <f t="shared" si="22"/>
        <v>2025-06</v>
      </c>
      <c r="J1425" s="4" t="s">
        <v>50</v>
      </c>
      <c r="K1425" s="5" t="s">
        <v>343</v>
      </c>
      <c r="L1425" s="2">
        <v>71250</v>
      </c>
      <c r="M1425" s="3">
        <v>2</v>
      </c>
      <c r="N1425" s="2">
        <v>142500</v>
      </c>
      <c r="O1425" s="2">
        <v>14250</v>
      </c>
      <c r="P1425" s="2">
        <v>156750</v>
      </c>
      <c r="Q1425" s="2">
        <f>P1425*12%</f>
        <v>18810</v>
      </c>
    </row>
    <row r="1426" spans="1:17" x14ac:dyDescent="0.4">
      <c r="A1426" s="4" t="s">
        <v>13</v>
      </c>
      <c r="B1426" s="4" t="s">
        <v>14</v>
      </c>
      <c r="C1426" s="30" t="s">
        <v>434</v>
      </c>
      <c r="D1426" s="4" t="s">
        <v>15</v>
      </c>
      <c r="E1426" s="4" t="s">
        <v>16</v>
      </c>
      <c r="F1426" s="4" t="s">
        <v>17</v>
      </c>
      <c r="G1426" s="4" t="s">
        <v>18</v>
      </c>
      <c r="H1426" s="4" t="s">
        <v>192</v>
      </c>
      <c r="I1426" s="5" t="str">
        <f t="shared" si="22"/>
        <v>2025-06</v>
      </c>
      <c r="J1426" s="4" t="s">
        <v>20</v>
      </c>
      <c r="K1426" s="5" t="s">
        <v>342</v>
      </c>
      <c r="L1426" s="2">
        <v>42000</v>
      </c>
      <c r="M1426" s="3">
        <v>3</v>
      </c>
      <c r="N1426" s="2">
        <v>126000</v>
      </c>
      <c r="O1426" s="2">
        <v>12600</v>
      </c>
      <c r="P1426" s="2">
        <v>138600</v>
      </c>
      <c r="Q1426" s="2">
        <f>P1426*8.5%</f>
        <v>11781</v>
      </c>
    </row>
    <row r="1427" spans="1:17" x14ac:dyDescent="0.4">
      <c r="A1427" s="4" t="s">
        <v>21</v>
      </c>
      <c r="B1427" s="4" t="s">
        <v>14</v>
      </c>
      <c r="C1427" s="31" t="s">
        <v>435</v>
      </c>
      <c r="D1427" s="4" t="s">
        <v>22</v>
      </c>
      <c r="E1427" s="4" t="s">
        <v>16</v>
      </c>
      <c r="F1427" s="4" t="s">
        <v>17</v>
      </c>
      <c r="G1427" s="4" t="s">
        <v>18</v>
      </c>
      <c r="H1427" s="4" t="s">
        <v>192</v>
      </c>
      <c r="I1427" s="5" t="str">
        <f t="shared" si="22"/>
        <v>2025-06</v>
      </c>
      <c r="J1427" s="4" t="s">
        <v>20</v>
      </c>
      <c r="K1427" s="5" t="s">
        <v>342</v>
      </c>
      <c r="L1427" s="2">
        <v>54000</v>
      </c>
      <c r="M1427" s="3">
        <v>2</v>
      </c>
      <c r="N1427" s="2">
        <v>108000</v>
      </c>
      <c r="O1427" s="2">
        <v>10800</v>
      </c>
      <c r="P1427" s="2">
        <v>118800</v>
      </c>
      <c r="Q1427" s="2">
        <f>P1427*8.5%</f>
        <v>10098</v>
      </c>
    </row>
    <row r="1428" spans="1:17" x14ac:dyDescent="0.4">
      <c r="A1428" s="4" t="s">
        <v>23</v>
      </c>
      <c r="B1428" s="4" t="s">
        <v>14</v>
      </c>
      <c r="C1428" s="31" t="s">
        <v>435</v>
      </c>
      <c r="D1428" s="4" t="s">
        <v>24</v>
      </c>
      <c r="E1428" s="4" t="s">
        <v>16</v>
      </c>
      <c r="F1428" s="4" t="s">
        <v>17</v>
      </c>
      <c r="G1428" s="4" t="s">
        <v>18</v>
      </c>
      <c r="H1428" s="4" t="s">
        <v>192</v>
      </c>
      <c r="I1428" s="5" t="str">
        <f t="shared" si="22"/>
        <v>2025-06</v>
      </c>
      <c r="J1428" s="4" t="s">
        <v>20</v>
      </c>
      <c r="K1428" s="5" t="s">
        <v>342</v>
      </c>
      <c r="L1428" s="2">
        <v>54000</v>
      </c>
      <c r="M1428" s="3">
        <v>3</v>
      </c>
      <c r="N1428" s="2">
        <v>162000</v>
      </c>
      <c r="O1428" s="2">
        <v>16200</v>
      </c>
      <c r="P1428" s="2">
        <v>178200</v>
      </c>
      <c r="Q1428" s="2">
        <f>P1428*8.5%</f>
        <v>15147.000000000002</v>
      </c>
    </row>
    <row r="1429" spans="1:17" x14ac:dyDescent="0.4">
      <c r="A1429" s="4" t="s">
        <v>76</v>
      </c>
      <c r="B1429" s="4" t="s">
        <v>65</v>
      </c>
      <c r="C1429" s="32" t="s">
        <v>436</v>
      </c>
      <c r="D1429" s="4" t="s">
        <v>27</v>
      </c>
      <c r="E1429" s="4" t="s">
        <v>28</v>
      </c>
      <c r="F1429" s="4" t="s">
        <v>17</v>
      </c>
      <c r="G1429" s="4" t="s">
        <v>18</v>
      </c>
      <c r="H1429" s="4" t="s">
        <v>192</v>
      </c>
      <c r="I1429" s="5" t="str">
        <f t="shared" si="22"/>
        <v>2025-06</v>
      </c>
      <c r="J1429" s="4" t="s">
        <v>20</v>
      </c>
      <c r="K1429" s="5" t="s">
        <v>342</v>
      </c>
      <c r="L1429" s="2">
        <v>17338</v>
      </c>
      <c r="M1429" s="3">
        <v>1</v>
      </c>
      <c r="N1429" s="2">
        <v>17338</v>
      </c>
      <c r="O1429" s="2">
        <v>1734</v>
      </c>
      <c r="P1429" s="2">
        <v>19072</v>
      </c>
      <c r="Q1429" s="2">
        <f>P1429*8.5%</f>
        <v>1621.1200000000001</v>
      </c>
    </row>
    <row r="1430" spans="1:17" x14ac:dyDescent="0.4">
      <c r="A1430" s="4" t="s">
        <v>54</v>
      </c>
      <c r="B1430" s="4" t="s">
        <v>26</v>
      </c>
      <c r="C1430" s="32" t="s">
        <v>436</v>
      </c>
      <c r="D1430" s="4" t="s">
        <v>55</v>
      </c>
      <c r="E1430" s="4" t="s">
        <v>28</v>
      </c>
      <c r="F1430" s="4" t="s">
        <v>31</v>
      </c>
      <c r="G1430" s="4" t="s">
        <v>18</v>
      </c>
      <c r="H1430" s="4" t="s">
        <v>192</v>
      </c>
      <c r="I1430" s="5" t="str">
        <f t="shared" si="22"/>
        <v>2025-06</v>
      </c>
      <c r="J1430" s="4" t="s">
        <v>20</v>
      </c>
      <c r="K1430" s="5" t="s">
        <v>342</v>
      </c>
      <c r="L1430" s="2">
        <v>5261</v>
      </c>
      <c r="M1430" s="3">
        <v>1</v>
      </c>
      <c r="N1430" s="2">
        <v>5261</v>
      </c>
      <c r="O1430" s="2">
        <v>0</v>
      </c>
      <c r="P1430" s="2">
        <v>5261</v>
      </c>
      <c r="Q1430" s="2">
        <f>P1430*8.5%</f>
        <v>447.18500000000006</v>
      </c>
    </row>
    <row r="1431" spans="1:17" x14ac:dyDescent="0.4">
      <c r="A1431" s="4" t="s">
        <v>56</v>
      </c>
      <c r="B1431" s="4" t="s">
        <v>26</v>
      </c>
      <c r="C1431" s="32" t="s">
        <v>436</v>
      </c>
      <c r="D1431" s="4" t="s">
        <v>57</v>
      </c>
      <c r="E1431" s="4" t="s">
        <v>44</v>
      </c>
      <c r="F1431" s="4" t="s">
        <v>31</v>
      </c>
      <c r="G1431" s="4" t="s">
        <v>18</v>
      </c>
      <c r="H1431" s="4" t="s">
        <v>192</v>
      </c>
      <c r="I1431" s="5" t="str">
        <f t="shared" si="22"/>
        <v>2025-06</v>
      </c>
      <c r="J1431" s="4" t="s">
        <v>20</v>
      </c>
      <c r="K1431" s="5" t="s">
        <v>342</v>
      </c>
      <c r="L1431" s="2">
        <v>1925</v>
      </c>
      <c r="M1431" s="3">
        <v>30</v>
      </c>
      <c r="N1431" s="2">
        <v>57750</v>
      </c>
      <c r="O1431" s="2">
        <v>0</v>
      </c>
      <c r="P1431" s="2">
        <v>57750</v>
      </c>
      <c r="Q1431" s="2">
        <f>P1431*8.5%</f>
        <v>4908.75</v>
      </c>
    </row>
    <row r="1432" spans="1:17" hidden="1" x14ac:dyDescent="0.4">
      <c r="A1432" s="4" t="s">
        <v>82</v>
      </c>
      <c r="B1432" s="4" t="s">
        <v>26</v>
      </c>
      <c r="C1432" s="32" t="s">
        <v>436</v>
      </c>
      <c r="D1432" s="4" t="s">
        <v>81</v>
      </c>
      <c r="E1432" s="4" t="s">
        <v>16</v>
      </c>
      <c r="F1432" s="4" t="s">
        <v>17</v>
      </c>
      <c r="G1432" s="4" t="s">
        <v>18</v>
      </c>
      <c r="H1432" s="4" t="s">
        <v>192</v>
      </c>
      <c r="I1432" s="5" t="str">
        <f t="shared" si="22"/>
        <v>2025-06</v>
      </c>
      <c r="J1432" s="4" t="s">
        <v>34</v>
      </c>
      <c r="K1432" s="5" t="s">
        <v>342</v>
      </c>
      <c r="L1432" s="2">
        <v>20925</v>
      </c>
      <c r="M1432" s="3">
        <v>1</v>
      </c>
      <c r="N1432" s="2">
        <v>20925</v>
      </c>
      <c r="O1432" s="2">
        <v>2093</v>
      </c>
      <c r="P1432" s="2">
        <v>23018</v>
      </c>
      <c r="Q1432" s="2">
        <f>P1432*8.5%</f>
        <v>1956.5300000000002</v>
      </c>
    </row>
    <row r="1433" spans="1:17" hidden="1" x14ac:dyDescent="0.4">
      <c r="A1433" s="4" t="s">
        <v>58</v>
      </c>
      <c r="B1433" s="4" t="s">
        <v>14</v>
      </c>
      <c r="C1433" s="30" t="s">
        <v>434</v>
      </c>
      <c r="D1433" s="4" t="s">
        <v>36</v>
      </c>
      <c r="E1433" s="4" t="s">
        <v>16</v>
      </c>
      <c r="F1433" s="4" t="s">
        <v>17</v>
      </c>
      <c r="G1433" s="4" t="s">
        <v>18</v>
      </c>
      <c r="H1433" s="4" t="s">
        <v>192</v>
      </c>
      <c r="I1433" s="5" t="str">
        <f t="shared" si="22"/>
        <v>2025-06</v>
      </c>
      <c r="J1433" s="4" t="s">
        <v>34</v>
      </c>
      <c r="K1433" s="5" t="s">
        <v>342</v>
      </c>
      <c r="L1433" s="2">
        <v>120880</v>
      </c>
      <c r="M1433" s="3">
        <v>1</v>
      </c>
      <c r="N1433" s="2">
        <v>120880</v>
      </c>
      <c r="O1433" s="2">
        <v>12088</v>
      </c>
      <c r="P1433" s="2">
        <v>132968</v>
      </c>
      <c r="Q1433" s="2">
        <f>P1433*8.5%</f>
        <v>11302.28</v>
      </c>
    </row>
    <row r="1434" spans="1:17" hidden="1" x14ac:dyDescent="0.4">
      <c r="A1434" s="4" t="s">
        <v>13</v>
      </c>
      <c r="B1434" s="4" t="s">
        <v>14</v>
      </c>
      <c r="C1434" s="30" t="s">
        <v>434</v>
      </c>
      <c r="D1434" s="4" t="s">
        <v>15</v>
      </c>
      <c r="E1434" s="4" t="s">
        <v>16</v>
      </c>
      <c r="F1434" s="4" t="s">
        <v>17</v>
      </c>
      <c r="G1434" s="4" t="s">
        <v>18</v>
      </c>
      <c r="H1434" s="4" t="s">
        <v>192</v>
      </c>
      <c r="I1434" s="5" t="str">
        <f t="shared" si="22"/>
        <v>2025-06</v>
      </c>
      <c r="J1434" s="4" t="s">
        <v>34</v>
      </c>
      <c r="K1434" s="5" t="s">
        <v>342</v>
      </c>
      <c r="L1434" s="2">
        <v>42000</v>
      </c>
      <c r="M1434" s="3">
        <v>7</v>
      </c>
      <c r="N1434" s="2">
        <v>294000</v>
      </c>
      <c r="O1434" s="2">
        <v>29400</v>
      </c>
      <c r="P1434" s="2">
        <v>323400</v>
      </c>
      <c r="Q1434" s="2">
        <f>P1434*8.5%</f>
        <v>27489.000000000004</v>
      </c>
    </row>
    <row r="1435" spans="1:17" hidden="1" x14ac:dyDescent="0.4">
      <c r="A1435" s="4" t="s">
        <v>21</v>
      </c>
      <c r="B1435" s="4" t="s">
        <v>14</v>
      </c>
      <c r="C1435" s="31" t="s">
        <v>435</v>
      </c>
      <c r="D1435" s="4" t="s">
        <v>22</v>
      </c>
      <c r="E1435" s="4" t="s">
        <v>16</v>
      </c>
      <c r="F1435" s="4" t="s">
        <v>17</v>
      </c>
      <c r="G1435" s="4" t="s">
        <v>18</v>
      </c>
      <c r="H1435" s="4" t="s">
        <v>192</v>
      </c>
      <c r="I1435" s="5" t="str">
        <f t="shared" si="22"/>
        <v>2025-06</v>
      </c>
      <c r="J1435" s="4" t="s">
        <v>34</v>
      </c>
      <c r="K1435" s="5" t="s">
        <v>342</v>
      </c>
      <c r="L1435" s="2">
        <v>54000</v>
      </c>
      <c r="M1435" s="3">
        <v>1</v>
      </c>
      <c r="N1435" s="2">
        <v>54000</v>
      </c>
      <c r="O1435" s="2">
        <v>5400</v>
      </c>
      <c r="P1435" s="2">
        <v>59400</v>
      </c>
      <c r="Q1435" s="2">
        <f>P1435*8.5%</f>
        <v>5049</v>
      </c>
    </row>
    <row r="1436" spans="1:17" hidden="1" x14ac:dyDescent="0.4">
      <c r="A1436" s="4" t="s">
        <v>23</v>
      </c>
      <c r="B1436" s="4" t="s">
        <v>14</v>
      </c>
      <c r="C1436" s="31" t="s">
        <v>435</v>
      </c>
      <c r="D1436" s="4" t="s">
        <v>24</v>
      </c>
      <c r="E1436" s="4" t="s">
        <v>16</v>
      </c>
      <c r="F1436" s="4" t="s">
        <v>17</v>
      </c>
      <c r="G1436" s="4" t="s">
        <v>18</v>
      </c>
      <c r="H1436" s="4" t="s">
        <v>192</v>
      </c>
      <c r="I1436" s="5" t="str">
        <f t="shared" si="22"/>
        <v>2025-06</v>
      </c>
      <c r="J1436" s="4" t="s">
        <v>34</v>
      </c>
      <c r="K1436" s="5" t="s">
        <v>342</v>
      </c>
      <c r="L1436" s="2">
        <v>54000</v>
      </c>
      <c r="M1436" s="3">
        <v>4</v>
      </c>
      <c r="N1436" s="2">
        <v>216000</v>
      </c>
      <c r="O1436" s="2">
        <v>21600</v>
      </c>
      <c r="P1436" s="2">
        <v>237600</v>
      </c>
      <c r="Q1436" s="2">
        <f>P1436*8.5%</f>
        <v>20196</v>
      </c>
    </row>
    <row r="1437" spans="1:17" hidden="1" x14ac:dyDescent="0.4">
      <c r="A1437" s="4" t="s">
        <v>51</v>
      </c>
      <c r="B1437" s="4" t="s">
        <v>14</v>
      </c>
      <c r="C1437" s="30" t="s">
        <v>434</v>
      </c>
      <c r="D1437" s="4" t="s">
        <v>52</v>
      </c>
      <c r="E1437" s="4" t="s">
        <v>16</v>
      </c>
      <c r="F1437" s="4" t="s">
        <v>17</v>
      </c>
      <c r="G1437" s="4" t="s">
        <v>18</v>
      </c>
      <c r="H1437" s="4" t="s">
        <v>192</v>
      </c>
      <c r="I1437" s="5" t="str">
        <f t="shared" si="22"/>
        <v>2025-06</v>
      </c>
      <c r="J1437" s="4" t="s">
        <v>34</v>
      </c>
      <c r="K1437" s="5" t="s">
        <v>342</v>
      </c>
      <c r="L1437" s="2">
        <v>71250</v>
      </c>
      <c r="M1437" s="3">
        <v>1</v>
      </c>
      <c r="N1437" s="2">
        <v>71250</v>
      </c>
      <c r="O1437" s="2">
        <v>7125</v>
      </c>
      <c r="P1437" s="2">
        <v>78375</v>
      </c>
      <c r="Q1437" s="2">
        <f>P1437*8.5%</f>
        <v>6661.8750000000009</v>
      </c>
    </row>
    <row r="1438" spans="1:17" hidden="1" x14ac:dyDescent="0.4">
      <c r="A1438" s="4" t="s">
        <v>42</v>
      </c>
      <c r="B1438" s="4" t="s">
        <v>14</v>
      </c>
      <c r="C1438" s="30" t="s">
        <v>434</v>
      </c>
      <c r="D1438" s="4" t="s">
        <v>43</v>
      </c>
      <c r="E1438" s="4" t="s">
        <v>44</v>
      </c>
      <c r="F1438" s="4" t="s">
        <v>31</v>
      </c>
      <c r="G1438" s="4" t="s">
        <v>18</v>
      </c>
      <c r="H1438" s="4" t="s">
        <v>192</v>
      </c>
      <c r="I1438" s="5" t="str">
        <f t="shared" si="22"/>
        <v>2025-06</v>
      </c>
      <c r="J1438" s="4" t="s">
        <v>34</v>
      </c>
      <c r="K1438" s="5" t="s">
        <v>342</v>
      </c>
      <c r="L1438" s="2">
        <v>6800</v>
      </c>
      <c r="M1438" s="3">
        <v>46</v>
      </c>
      <c r="N1438" s="2">
        <v>312800</v>
      </c>
      <c r="O1438" s="2">
        <v>0</v>
      </c>
      <c r="P1438" s="2">
        <v>312800</v>
      </c>
      <c r="Q1438" s="2">
        <f>P1438*8.5%</f>
        <v>26588.000000000004</v>
      </c>
    </row>
    <row r="1439" spans="1:17" hidden="1" x14ac:dyDescent="0.4">
      <c r="A1439" s="4" t="s">
        <v>32</v>
      </c>
      <c r="B1439" s="4" t="s">
        <v>14</v>
      </c>
      <c r="C1439" s="31" t="s">
        <v>435</v>
      </c>
      <c r="D1439" s="4" t="s">
        <v>33</v>
      </c>
      <c r="E1439" s="4" t="s">
        <v>16</v>
      </c>
      <c r="F1439" s="4" t="s">
        <v>17</v>
      </c>
      <c r="G1439" s="4" t="s">
        <v>18</v>
      </c>
      <c r="H1439" s="4" t="s">
        <v>193</v>
      </c>
      <c r="I1439" s="5" t="str">
        <f t="shared" si="22"/>
        <v>2025-06</v>
      </c>
      <c r="J1439" s="4" t="s">
        <v>49</v>
      </c>
      <c r="K1439" s="5" t="s">
        <v>343</v>
      </c>
      <c r="L1439" s="2">
        <v>44000</v>
      </c>
      <c r="M1439" s="3">
        <v>4</v>
      </c>
      <c r="N1439" s="2">
        <v>176000</v>
      </c>
      <c r="O1439" s="2">
        <v>17600</v>
      </c>
      <c r="P1439" s="2">
        <v>193600</v>
      </c>
      <c r="Q1439" s="2">
        <f>P1439*12%</f>
        <v>23232</v>
      </c>
    </row>
    <row r="1440" spans="1:17" hidden="1" x14ac:dyDescent="0.4">
      <c r="A1440" s="4" t="s">
        <v>13</v>
      </c>
      <c r="B1440" s="4" t="s">
        <v>14</v>
      </c>
      <c r="C1440" s="30" t="s">
        <v>434</v>
      </c>
      <c r="D1440" s="4" t="s">
        <v>15</v>
      </c>
      <c r="E1440" s="4" t="s">
        <v>16</v>
      </c>
      <c r="F1440" s="4" t="s">
        <v>17</v>
      </c>
      <c r="G1440" s="4" t="s">
        <v>18</v>
      </c>
      <c r="H1440" s="4" t="s">
        <v>193</v>
      </c>
      <c r="I1440" s="5" t="str">
        <f t="shared" si="22"/>
        <v>2025-06</v>
      </c>
      <c r="J1440" s="4" t="s">
        <v>49</v>
      </c>
      <c r="K1440" s="5" t="s">
        <v>343</v>
      </c>
      <c r="L1440" s="2">
        <v>42000</v>
      </c>
      <c r="M1440" s="3">
        <v>6</v>
      </c>
      <c r="N1440" s="2">
        <v>252000</v>
      </c>
      <c r="O1440" s="2">
        <v>25200</v>
      </c>
      <c r="P1440" s="2">
        <v>277200</v>
      </c>
      <c r="Q1440" s="2">
        <f>P1440*12%</f>
        <v>33264</v>
      </c>
    </row>
    <row r="1441" spans="1:17" hidden="1" x14ac:dyDescent="0.4">
      <c r="A1441" s="4" t="s">
        <v>35</v>
      </c>
      <c r="B1441" s="4" t="s">
        <v>14</v>
      </c>
      <c r="C1441" s="30" t="s">
        <v>434</v>
      </c>
      <c r="D1441" s="4" t="s">
        <v>36</v>
      </c>
      <c r="E1441" s="4" t="s">
        <v>16</v>
      </c>
      <c r="F1441" s="4" t="s">
        <v>17</v>
      </c>
      <c r="G1441" s="4" t="s">
        <v>18</v>
      </c>
      <c r="H1441" s="4" t="s">
        <v>193</v>
      </c>
      <c r="I1441" s="5" t="str">
        <f t="shared" si="22"/>
        <v>2025-06</v>
      </c>
      <c r="J1441" s="4" t="s">
        <v>49</v>
      </c>
      <c r="K1441" s="5" t="s">
        <v>343</v>
      </c>
      <c r="L1441" s="2">
        <v>116220</v>
      </c>
      <c r="M1441" s="3">
        <v>1</v>
      </c>
      <c r="N1441" s="2">
        <v>116220</v>
      </c>
      <c r="O1441" s="2">
        <v>11622</v>
      </c>
      <c r="P1441" s="2">
        <v>127842</v>
      </c>
      <c r="Q1441" s="2">
        <f>P1441*12%</f>
        <v>15341.039999999999</v>
      </c>
    </row>
    <row r="1442" spans="1:17" hidden="1" x14ac:dyDescent="0.4">
      <c r="A1442" s="4" t="s">
        <v>23</v>
      </c>
      <c r="B1442" s="4" t="s">
        <v>14</v>
      </c>
      <c r="C1442" s="31" t="s">
        <v>435</v>
      </c>
      <c r="D1442" s="4" t="s">
        <v>24</v>
      </c>
      <c r="E1442" s="4" t="s">
        <v>16</v>
      </c>
      <c r="F1442" s="4" t="s">
        <v>17</v>
      </c>
      <c r="G1442" s="4" t="s">
        <v>18</v>
      </c>
      <c r="H1442" s="4" t="s">
        <v>193</v>
      </c>
      <c r="I1442" s="5" t="str">
        <f t="shared" si="22"/>
        <v>2025-06</v>
      </c>
      <c r="J1442" s="4" t="s">
        <v>49</v>
      </c>
      <c r="K1442" s="5" t="s">
        <v>343</v>
      </c>
      <c r="L1442" s="2">
        <v>54000</v>
      </c>
      <c r="M1442" s="3">
        <v>4</v>
      </c>
      <c r="N1442" s="2">
        <v>216000</v>
      </c>
      <c r="O1442" s="2">
        <v>21600</v>
      </c>
      <c r="P1442" s="2">
        <v>237600</v>
      </c>
      <c r="Q1442" s="2">
        <f>P1442*12%</f>
        <v>28512</v>
      </c>
    </row>
    <row r="1443" spans="1:17" hidden="1" x14ac:dyDescent="0.4">
      <c r="A1443" s="4" t="s">
        <v>51</v>
      </c>
      <c r="B1443" s="4" t="s">
        <v>14</v>
      </c>
      <c r="C1443" s="30" t="s">
        <v>434</v>
      </c>
      <c r="D1443" s="4" t="s">
        <v>52</v>
      </c>
      <c r="E1443" s="4" t="s">
        <v>16</v>
      </c>
      <c r="F1443" s="4" t="s">
        <v>17</v>
      </c>
      <c r="G1443" s="4" t="s">
        <v>18</v>
      </c>
      <c r="H1443" s="4" t="s">
        <v>193</v>
      </c>
      <c r="I1443" s="5" t="str">
        <f t="shared" si="22"/>
        <v>2025-06</v>
      </c>
      <c r="J1443" s="4" t="s">
        <v>49</v>
      </c>
      <c r="K1443" s="5" t="s">
        <v>343</v>
      </c>
      <c r="L1443" s="2">
        <v>71250</v>
      </c>
      <c r="M1443" s="3">
        <v>1</v>
      </c>
      <c r="N1443" s="2">
        <v>71250</v>
      </c>
      <c r="O1443" s="2">
        <v>7125</v>
      </c>
      <c r="P1443" s="2">
        <v>78375</v>
      </c>
      <c r="Q1443" s="2">
        <f>P1443*12%</f>
        <v>9405</v>
      </c>
    </row>
    <row r="1444" spans="1:17" x14ac:dyDescent="0.4">
      <c r="A1444" s="4" t="s">
        <v>58</v>
      </c>
      <c r="B1444" s="4" t="s">
        <v>14</v>
      </c>
      <c r="C1444" s="30" t="s">
        <v>434</v>
      </c>
      <c r="D1444" s="4" t="s">
        <v>36</v>
      </c>
      <c r="E1444" s="4" t="s">
        <v>16</v>
      </c>
      <c r="F1444" s="4" t="s">
        <v>17</v>
      </c>
      <c r="G1444" s="4" t="s">
        <v>18</v>
      </c>
      <c r="H1444" s="4" t="s">
        <v>194</v>
      </c>
      <c r="I1444" s="5" t="str">
        <f t="shared" si="22"/>
        <v>2025-06</v>
      </c>
      <c r="J1444" s="4" t="s">
        <v>20</v>
      </c>
      <c r="K1444" s="5" t="s">
        <v>342</v>
      </c>
      <c r="L1444" s="2">
        <v>120880</v>
      </c>
      <c r="M1444" s="3">
        <v>1</v>
      </c>
      <c r="N1444" s="2">
        <v>120880</v>
      </c>
      <c r="O1444" s="2">
        <v>12088</v>
      </c>
      <c r="P1444" s="2">
        <v>132968</v>
      </c>
      <c r="Q1444" s="2">
        <f>P1444*8.5%</f>
        <v>11302.28</v>
      </c>
    </row>
    <row r="1445" spans="1:17" x14ac:dyDescent="0.4">
      <c r="A1445" s="4" t="s">
        <v>13</v>
      </c>
      <c r="B1445" s="4" t="s">
        <v>14</v>
      </c>
      <c r="C1445" s="30" t="s">
        <v>434</v>
      </c>
      <c r="D1445" s="4" t="s">
        <v>15</v>
      </c>
      <c r="E1445" s="4" t="s">
        <v>16</v>
      </c>
      <c r="F1445" s="4" t="s">
        <v>17</v>
      </c>
      <c r="G1445" s="4" t="s">
        <v>18</v>
      </c>
      <c r="H1445" s="4" t="s">
        <v>194</v>
      </c>
      <c r="I1445" s="5" t="str">
        <f t="shared" si="22"/>
        <v>2025-06</v>
      </c>
      <c r="J1445" s="4" t="s">
        <v>20</v>
      </c>
      <c r="K1445" s="5" t="s">
        <v>342</v>
      </c>
      <c r="L1445" s="2">
        <v>42000</v>
      </c>
      <c r="M1445" s="3">
        <v>3</v>
      </c>
      <c r="N1445" s="2">
        <v>126000</v>
      </c>
      <c r="O1445" s="2">
        <v>12600</v>
      </c>
      <c r="P1445" s="2">
        <v>138600</v>
      </c>
      <c r="Q1445" s="2">
        <f>P1445*8.5%</f>
        <v>11781</v>
      </c>
    </row>
    <row r="1446" spans="1:17" x14ac:dyDescent="0.4">
      <c r="A1446" s="4" t="s">
        <v>21</v>
      </c>
      <c r="B1446" s="4" t="s">
        <v>14</v>
      </c>
      <c r="C1446" s="31" t="s">
        <v>435</v>
      </c>
      <c r="D1446" s="4" t="s">
        <v>22</v>
      </c>
      <c r="E1446" s="4" t="s">
        <v>16</v>
      </c>
      <c r="F1446" s="4" t="s">
        <v>17</v>
      </c>
      <c r="G1446" s="4" t="s">
        <v>18</v>
      </c>
      <c r="H1446" s="4" t="s">
        <v>194</v>
      </c>
      <c r="I1446" s="5" t="str">
        <f t="shared" si="22"/>
        <v>2025-06</v>
      </c>
      <c r="J1446" s="4" t="s">
        <v>20</v>
      </c>
      <c r="K1446" s="5" t="s">
        <v>342</v>
      </c>
      <c r="L1446" s="2">
        <v>54000</v>
      </c>
      <c r="M1446" s="3">
        <v>2</v>
      </c>
      <c r="N1446" s="2">
        <v>108000</v>
      </c>
      <c r="O1446" s="2">
        <v>10800</v>
      </c>
      <c r="P1446" s="2">
        <v>118800</v>
      </c>
      <c r="Q1446" s="2">
        <f>P1446*8.5%</f>
        <v>10098</v>
      </c>
    </row>
    <row r="1447" spans="1:17" x14ac:dyDescent="0.4">
      <c r="A1447" s="4" t="s">
        <v>23</v>
      </c>
      <c r="B1447" s="4" t="s">
        <v>14</v>
      </c>
      <c r="C1447" s="31" t="s">
        <v>435</v>
      </c>
      <c r="D1447" s="4" t="s">
        <v>24</v>
      </c>
      <c r="E1447" s="4" t="s">
        <v>16</v>
      </c>
      <c r="F1447" s="4" t="s">
        <v>17</v>
      </c>
      <c r="G1447" s="4" t="s">
        <v>18</v>
      </c>
      <c r="H1447" s="4" t="s">
        <v>194</v>
      </c>
      <c r="I1447" s="5" t="str">
        <f t="shared" si="22"/>
        <v>2025-06</v>
      </c>
      <c r="J1447" s="4" t="s">
        <v>20</v>
      </c>
      <c r="K1447" s="5" t="s">
        <v>342</v>
      </c>
      <c r="L1447" s="2">
        <v>54000</v>
      </c>
      <c r="M1447" s="3">
        <v>3</v>
      </c>
      <c r="N1447" s="2">
        <v>162000</v>
      </c>
      <c r="O1447" s="2">
        <v>16200</v>
      </c>
      <c r="P1447" s="2">
        <v>178200</v>
      </c>
      <c r="Q1447" s="2">
        <f>P1447*8.5%</f>
        <v>15147.000000000002</v>
      </c>
    </row>
    <row r="1448" spans="1:17" x14ac:dyDescent="0.4">
      <c r="A1448" s="4" t="s">
        <v>51</v>
      </c>
      <c r="B1448" s="4" t="s">
        <v>14</v>
      </c>
      <c r="C1448" s="30" t="s">
        <v>434</v>
      </c>
      <c r="D1448" s="4" t="s">
        <v>52</v>
      </c>
      <c r="E1448" s="4" t="s">
        <v>16</v>
      </c>
      <c r="F1448" s="4" t="s">
        <v>17</v>
      </c>
      <c r="G1448" s="4" t="s">
        <v>18</v>
      </c>
      <c r="H1448" s="4" t="s">
        <v>194</v>
      </c>
      <c r="I1448" s="5" t="str">
        <f t="shared" si="22"/>
        <v>2025-06</v>
      </c>
      <c r="J1448" s="4" t="s">
        <v>20</v>
      </c>
      <c r="K1448" s="5" t="s">
        <v>342</v>
      </c>
      <c r="L1448" s="2">
        <v>71250</v>
      </c>
      <c r="M1448" s="3">
        <v>1</v>
      </c>
      <c r="N1448" s="2">
        <v>71250</v>
      </c>
      <c r="O1448" s="2">
        <v>7125</v>
      </c>
      <c r="P1448" s="2">
        <v>78375</v>
      </c>
      <c r="Q1448" s="2">
        <f>P1448*8.5%</f>
        <v>6661.8750000000009</v>
      </c>
    </row>
    <row r="1449" spans="1:17" x14ac:dyDescent="0.4">
      <c r="A1449" s="4" t="s">
        <v>100</v>
      </c>
      <c r="B1449" s="4" t="s">
        <v>26</v>
      </c>
      <c r="C1449" s="32" t="s">
        <v>436</v>
      </c>
      <c r="D1449" s="4" t="s">
        <v>101</v>
      </c>
      <c r="E1449" s="4" t="s">
        <v>28</v>
      </c>
      <c r="F1449" s="4" t="s">
        <v>17</v>
      </c>
      <c r="G1449" s="4" t="s">
        <v>18</v>
      </c>
      <c r="H1449" s="4" t="s">
        <v>194</v>
      </c>
      <c r="I1449" s="5" t="str">
        <f t="shared" si="22"/>
        <v>2025-06</v>
      </c>
      <c r="J1449" s="4" t="s">
        <v>20</v>
      </c>
      <c r="K1449" s="5" t="s">
        <v>342</v>
      </c>
      <c r="L1449" s="2">
        <v>5620</v>
      </c>
      <c r="M1449" s="3">
        <v>3</v>
      </c>
      <c r="N1449" s="2">
        <v>16860</v>
      </c>
      <c r="O1449" s="2">
        <v>1686</v>
      </c>
      <c r="P1449" s="2">
        <v>18546</v>
      </c>
      <c r="Q1449" s="2">
        <f>P1449*8.5%</f>
        <v>1576.41</v>
      </c>
    </row>
    <row r="1450" spans="1:17" x14ac:dyDescent="0.4">
      <c r="A1450" s="4" t="s">
        <v>25</v>
      </c>
      <c r="B1450" s="4" t="s">
        <v>26</v>
      </c>
      <c r="C1450" s="32" t="s">
        <v>436</v>
      </c>
      <c r="D1450" s="4" t="s">
        <v>27</v>
      </c>
      <c r="E1450" s="4" t="s">
        <v>28</v>
      </c>
      <c r="F1450" s="4" t="s">
        <v>17</v>
      </c>
      <c r="G1450" s="4" t="s">
        <v>18</v>
      </c>
      <c r="H1450" s="4" t="s">
        <v>194</v>
      </c>
      <c r="I1450" s="5" t="str">
        <f t="shared" si="22"/>
        <v>2025-06</v>
      </c>
      <c r="J1450" s="4" t="s">
        <v>20</v>
      </c>
      <c r="K1450" s="5" t="s">
        <v>342</v>
      </c>
      <c r="L1450" s="2">
        <v>2631</v>
      </c>
      <c r="M1450" s="3">
        <v>1</v>
      </c>
      <c r="N1450" s="2">
        <v>2631</v>
      </c>
      <c r="O1450" s="2">
        <v>263</v>
      </c>
      <c r="P1450" s="2">
        <v>2894</v>
      </c>
      <c r="Q1450" s="2">
        <f>P1450*8.5%</f>
        <v>245.99</v>
      </c>
    </row>
    <row r="1451" spans="1:17" x14ac:dyDescent="0.4">
      <c r="A1451" s="4" t="s">
        <v>29</v>
      </c>
      <c r="B1451" s="4" t="s">
        <v>26</v>
      </c>
      <c r="C1451" s="32" t="s">
        <v>436</v>
      </c>
      <c r="D1451" s="4" t="s">
        <v>30</v>
      </c>
      <c r="E1451" s="4" t="s">
        <v>28</v>
      </c>
      <c r="F1451" s="4" t="s">
        <v>31</v>
      </c>
      <c r="G1451" s="4" t="s">
        <v>18</v>
      </c>
      <c r="H1451" s="4" t="s">
        <v>194</v>
      </c>
      <c r="I1451" s="5" t="str">
        <f t="shared" si="22"/>
        <v>2025-06</v>
      </c>
      <c r="J1451" s="4" t="s">
        <v>20</v>
      </c>
      <c r="K1451" s="5" t="s">
        <v>342</v>
      </c>
      <c r="L1451" s="2">
        <v>3719</v>
      </c>
      <c r="M1451" s="3">
        <v>1</v>
      </c>
      <c r="N1451" s="2">
        <v>3719</v>
      </c>
      <c r="O1451" s="2">
        <v>0</v>
      </c>
      <c r="P1451" s="2">
        <v>3719</v>
      </c>
      <c r="Q1451" s="2">
        <f>P1451*8.5%</f>
        <v>316.11500000000001</v>
      </c>
    </row>
    <row r="1452" spans="1:17" hidden="1" x14ac:dyDescent="0.4">
      <c r="A1452" s="4" t="s">
        <v>150</v>
      </c>
      <c r="B1452" s="4" t="s">
        <v>65</v>
      </c>
      <c r="C1452" s="32" t="s">
        <v>436</v>
      </c>
      <c r="D1452" s="4" t="s">
        <v>151</v>
      </c>
      <c r="E1452" s="4" t="s">
        <v>16</v>
      </c>
      <c r="F1452" s="4" t="s">
        <v>17</v>
      </c>
      <c r="G1452" s="4" t="s">
        <v>18</v>
      </c>
      <c r="H1452" s="4" t="s">
        <v>194</v>
      </c>
      <c r="I1452" s="5" t="str">
        <f t="shared" si="22"/>
        <v>2025-06</v>
      </c>
      <c r="J1452" s="4" t="s">
        <v>34</v>
      </c>
      <c r="K1452" s="5" t="s">
        <v>342</v>
      </c>
      <c r="L1452" s="2">
        <v>8370</v>
      </c>
      <c r="M1452" s="3">
        <v>1</v>
      </c>
      <c r="N1452" s="2">
        <v>8370</v>
      </c>
      <c r="O1452" s="2">
        <v>837</v>
      </c>
      <c r="P1452" s="2">
        <v>9207</v>
      </c>
      <c r="Q1452" s="2">
        <f>P1452*8.5%</f>
        <v>782.59500000000003</v>
      </c>
    </row>
    <row r="1453" spans="1:17" hidden="1" x14ac:dyDescent="0.4">
      <c r="A1453" s="4" t="s">
        <v>64</v>
      </c>
      <c r="B1453" s="4" t="s">
        <v>65</v>
      </c>
      <c r="C1453" s="32" t="s">
        <v>436</v>
      </c>
      <c r="D1453" s="4" t="s">
        <v>66</v>
      </c>
      <c r="E1453" s="4" t="s">
        <v>16</v>
      </c>
      <c r="F1453" s="4" t="s">
        <v>17</v>
      </c>
      <c r="G1453" s="4" t="s">
        <v>18</v>
      </c>
      <c r="H1453" s="4" t="s">
        <v>194</v>
      </c>
      <c r="I1453" s="5" t="str">
        <f t="shared" si="22"/>
        <v>2025-06</v>
      </c>
      <c r="J1453" s="4" t="s">
        <v>34</v>
      </c>
      <c r="K1453" s="5" t="s">
        <v>342</v>
      </c>
      <c r="L1453" s="2">
        <v>10283</v>
      </c>
      <c r="M1453" s="3">
        <v>1</v>
      </c>
      <c r="N1453" s="2">
        <v>10283</v>
      </c>
      <c r="O1453" s="2">
        <v>1028</v>
      </c>
      <c r="P1453" s="2">
        <v>11311</v>
      </c>
      <c r="Q1453" s="2">
        <f>P1453*8.5%</f>
        <v>961.43500000000006</v>
      </c>
    </row>
    <row r="1454" spans="1:17" hidden="1" x14ac:dyDescent="0.4">
      <c r="A1454" s="4" t="s">
        <v>32</v>
      </c>
      <c r="B1454" s="4" t="s">
        <v>14</v>
      </c>
      <c r="C1454" s="31" t="s">
        <v>435</v>
      </c>
      <c r="D1454" s="4" t="s">
        <v>33</v>
      </c>
      <c r="E1454" s="4" t="s">
        <v>16</v>
      </c>
      <c r="F1454" s="4" t="s">
        <v>17</v>
      </c>
      <c r="G1454" s="4" t="s">
        <v>18</v>
      </c>
      <c r="H1454" s="4" t="s">
        <v>194</v>
      </c>
      <c r="I1454" s="5" t="str">
        <f t="shared" si="22"/>
        <v>2025-06</v>
      </c>
      <c r="J1454" s="4" t="s">
        <v>34</v>
      </c>
      <c r="K1454" s="5" t="s">
        <v>342</v>
      </c>
      <c r="L1454" s="2">
        <v>44000</v>
      </c>
      <c r="M1454" s="3">
        <v>2</v>
      </c>
      <c r="N1454" s="2">
        <v>88000</v>
      </c>
      <c r="O1454" s="2">
        <v>8800</v>
      </c>
      <c r="P1454" s="2">
        <v>96800</v>
      </c>
      <c r="Q1454" s="2">
        <f>P1454*8.5%</f>
        <v>8228</v>
      </c>
    </row>
    <row r="1455" spans="1:17" hidden="1" x14ac:dyDescent="0.4">
      <c r="A1455" s="4" t="s">
        <v>58</v>
      </c>
      <c r="B1455" s="4" t="s">
        <v>14</v>
      </c>
      <c r="C1455" s="30" t="s">
        <v>434</v>
      </c>
      <c r="D1455" s="4" t="s">
        <v>36</v>
      </c>
      <c r="E1455" s="4" t="s">
        <v>16</v>
      </c>
      <c r="F1455" s="4" t="s">
        <v>17</v>
      </c>
      <c r="G1455" s="4" t="s">
        <v>18</v>
      </c>
      <c r="H1455" s="4" t="s">
        <v>194</v>
      </c>
      <c r="I1455" s="5" t="str">
        <f t="shared" si="22"/>
        <v>2025-06</v>
      </c>
      <c r="J1455" s="4" t="s">
        <v>34</v>
      </c>
      <c r="K1455" s="5" t="s">
        <v>342</v>
      </c>
      <c r="L1455" s="2">
        <v>120880</v>
      </c>
      <c r="M1455" s="3">
        <v>1</v>
      </c>
      <c r="N1455" s="2">
        <v>120880</v>
      </c>
      <c r="O1455" s="2">
        <v>12088</v>
      </c>
      <c r="P1455" s="2">
        <v>132968</v>
      </c>
      <c r="Q1455" s="2">
        <f>P1455*8.5%</f>
        <v>11302.28</v>
      </c>
    </row>
    <row r="1456" spans="1:17" hidden="1" x14ac:dyDescent="0.4">
      <c r="A1456" s="4" t="s">
        <v>13</v>
      </c>
      <c r="B1456" s="4" t="s">
        <v>14</v>
      </c>
      <c r="C1456" s="30" t="s">
        <v>434</v>
      </c>
      <c r="D1456" s="4" t="s">
        <v>15</v>
      </c>
      <c r="E1456" s="4" t="s">
        <v>16</v>
      </c>
      <c r="F1456" s="4" t="s">
        <v>17</v>
      </c>
      <c r="G1456" s="4" t="s">
        <v>18</v>
      </c>
      <c r="H1456" s="4" t="s">
        <v>194</v>
      </c>
      <c r="I1456" s="5" t="str">
        <f t="shared" si="22"/>
        <v>2025-06</v>
      </c>
      <c r="J1456" s="4" t="s">
        <v>34</v>
      </c>
      <c r="K1456" s="5" t="s">
        <v>342</v>
      </c>
      <c r="L1456" s="2">
        <v>42000</v>
      </c>
      <c r="M1456" s="3">
        <v>4</v>
      </c>
      <c r="N1456" s="2">
        <v>168000</v>
      </c>
      <c r="O1456" s="2">
        <v>16800</v>
      </c>
      <c r="P1456" s="2">
        <v>184800</v>
      </c>
      <c r="Q1456" s="2">
        <f>P1456*8.5%</f>
        <v>15708.000000000002</v>
      </c>
    </row>
    <row r="1457" spans="1:17" hidden="1" x14ac:dyDescent="0.4">
      <c r="A1457" s="4" t="s">
        <v>21</v>
      </c>
      <c r="B1457" s="4" t="s">
        <v>14</v>
      </c>
      <c r="C1457" s="31" t="s">
        <v>435</v>
      </c>
      <c r="D1457" s="4" t="s">
        <v>22</v>
      </c>
      <c r="E1457" s="4" t="s">
        <v>16</v>
      </c>
      <c r="F1457" s="4" t="s">
        <v>17</v>
      </c>
      <c r="G1457" s="4" t="s">
        <v>18</v>
      </c>
      <c r="H1457" s="4" t="s">
        <v>194</v>
      </c>
      <c r="I1457" s="5" t="str">
        <f t="shared" si="22"/>
        <v>2025-06</v>
      </c>
      <c r="J1457" s="4" t="s">
        <v>34</v>
      </c>
      <c r="K1457" s="5" t="s">
        <v>342</v>
      </c>
      <c r="L1457" s="2">
        <v>54000</v>
      </c>
      <c r="M1457" s="3">
        <v>1</v>
      </c>
      <c r="N1457" s="2">
        <v>54000</v>
      </c>
      <c r="O1457" s="2">
        <v>5400</v>
      </c>
      <c r="P1457" s="2">
        <v>59400</v>
      </c>
      <c r="Q1457" s="2">
        <f>P1457*8.5%</f>
        <v>5049</v>
      </c>
    </row>
    <row r="1458" spans="1:17" hidden="1" x14ac:dyDescent="0.4">
      <c r="A1458" s="4" t="s">
        <v>23</v>
      </c>
      <c r="B1458" s="4" t="s">
        <v>14</v>
      </c>
      <c r="C1458" s="31" t="s">
        <v>435</v>
      </c>
      <c r="D1458" s="4" t="s">
        <v>24</v>
      </c>
      <c r="E1458" s="4" t="s">
        <v>16</v>
      </c>
      <c r="F1458" s="4" t="s">
        <v>17</v>
      </c>
      <c r="G1458" s="4" t="s">
        <v>18</v>
      </c>
      <c r="H1458" s="4" t="s">
        <v>194</v>
      </c>
      <c r="I1458" s="5" t="str">
        <f t="shared" si="22"/>
        <v>2025-06</v>
      </c>
      <c r="J1458" s="4" t="s">
        <v>34</v>
      </c>
      <c r="K1458" s="5" t="s">
        <v>342</v>
      </c>
      <c r="L1458" s="2">
        <v>54000</v>
      </c>
      <c r="M1458" s="3">
        <v>4</v>
      </c>
      <c r="N1458" s="2">
        <v>216000</v>
      </c>
      <c r="O1458" s="2">
        <v>21600</v>
      </c>
      <c r="P1458" s="2">
        <v>237600</v>
      </c>
      <c r="Q1458" s="2">
        <f>P1458*8.5%</f>
        <v>20196</v>
      </c>
    </row>
    <row r="1459" spans="1:17" hidden="1" x14ac:dyDescent="0.4">
      <c r="A1459" s="4" t="s">
        <v>51</v>
      </c>
      <c r="B1459" s="4" t="s">
        <v>14</v>
      </c>
      <c r="C1459" s="30" t="s">
        <v>434</v>
      </c>
      <c r="D1459" s="4" t="s">
        <v>52</v>
      </c>
      <c r="E1459" s="4" t="s">
        <v>16</v>
      </c>
      <c r="F1459" s="4" t="s">
        <v>17</v>
      </c>
      <c r="G1459" s="4" t="s">
        <v>18</v>
      </c>
      <c r="H1459" s="4" t="s">
        <v>194</v>
      </c>
      <c r="I1459" s="5" t="str">
        <f t="shared" si="22"/>
        <v>2025-06</v>
      </c>
      <c r="J1459" s="4" t="s">
        <v>34</v>
      </c>
      <c r="K1459" s="5" t="s">
        <v>342</v>
      </c>
      <c r="L1459" s="2">
        <v>71250</v>
      </c>
      <c r="M1459" s="3">
        <v>1</v>
      </c>
      <c r="N1459" s="2">
        <v>71250</v>
      </c>
      <c r="O1459" s="2">
        <v>7125</v>
      </c>
      <c r="P1459" s="2">
        <v>78375</v>
      </c>
      <c r="Q1459" s="2">
        <f>P1459*8.5%</f>
        <v>6661.8750000000009</v>
      </c>
    </row>
    <row r="1460" spans="1:17" hidden="1" x14ac:dyDescent="0.4">
      <c r="A1460" s="4" t="s">
        <v>73</v>
      </c>
      <c r="B1460" s="4" t="s">
        <v>26</v>
      </c>
      <c r="C1460" s="32" t="s">
        <v>436</v>
      </c>
      <c r="D1460" s="4" t="s">
        <v>57</v>
      </c>
      <c r="E1460" s="4" t="s">
        <v>28</v>
      </c>
      <c r="F1460" s="4" t="s">
        <v>17</v>
      </c>
      <c r="G1460" s="4" t="s">
        <v>18</v>
      </c>
      <c r="H1460" s="4" t="s">
        <v>194</v>
      </c>
      <c r="I1460" s="5" t="str">
        <f t="shared" si="22"/>
        <v>2025-06</v>
      </c>
      <c r="J1460" s="4" t="s">
        <v>34</v>
      </c>
      <c r="K1460" s="5" t="s">
        <v>342</v>
      </c>
      <c r="L1460" s="2">
        <v>7055</v>
      </c>
      <c r="M1460" s="3">
        <v>2</v>
      </c>
      <c r="N1460" s="2">
        <v>14110</v>
      </c>
      <c r="O1460" s="2">
        <v>1411</v>
      </c>
      <c r="P1460" s="2">
        <v>15521</v>
      </c>
      <c r="Q1460" s="2">
        <f>P1460*8.5%</f>
        <v>1319.2850000000001</v>
      </c>
    </row>
    <row r="1461" spans="1:17" hidden="1" x14ac:dyDescent="0.4">
      <c r="A1461" s="4" t="s">
        <v>42</v>
      </c>
      <c r="B1461" s="4" t="s">
        <v>14</v>
      </c>
      <c r="C1461" s="30" t="s">
        <v>434</v>
      </c>
      <c r="D1461" s="4" t="s">
        <v>43</v>
      </c>
      <c r="E1461" s="4" t="s">
        <v>44</v>
      </c>
      <c r="F1461" s="4" t="s">
        <v>31</v>
      </c>
      <c r="G1461" s="4" t="s">
        <v>18</v>
      </c>
      <c r="H1461" s="4" t="s">
        <v>194</v>
      </c>
      <c r="I1461" s="5" t="str">
        <f t="shared" si="22"/>
        <v>2025-06</v>
      </c>
      <c r="J1461" s="4" t="s">
        <v>34</v>
      </c>
      <c r="K1461" s="5" t="s">
        <v>342</v>
      </c>
      <c r="L1461" s="2">
        <v>6800</v>
      </c>
      <c r="M1461" s="3">
        <v>89.1</v>
      </c>
      <c r="N1461" s="2">
        <v>605880</v>
      </c>
      <c r="O1461" s="2">
        <v>0</v>
      </c>
      <c r="P1461" s="2">
        <v>605880</v>
      </c>
      <c r="Q1461" s="2">
        <f>P1461*8.5%</f>
        <v>51499.8</v>
      </c>
    </row>
    <row r="1462" spans="1:17" hidden="1" x14ac:dyDescent="0.4">
      <c r="A1462" s="4" t="s">
        <v>13</v>
      </c>
      <c r="B1462" s="4" t="s">
        <v>14</v>
      </c>
      <c r="C1462" s="30" t="s">
        <v>434</v>
      </c>
      <c r="D1462" s="4" t="s">
        <v>15</v>
      </c>
      <c r="E1462" s="4" t="s">
        <v>16</v>
      </c>
      <c r="F1462" s="4" t="s">
        <v>17</v>
      </c>
      <c r="G1462" s="4" t="s">
        <v>18</v>
      </c>
      <c r="H1462" s="4" t="s">
        <v>194</v>
      </c>
      <c r="I1462" s="5" t="str">
        <f t="shared" si="22"/>
        <v>2025-06</v>
      </c>
      <c r="J1462" s="4" t="s">
        <v>59</v>
      </c>
      <c r="K1462" s="5" t="s">
        <v>343</v>
      </c>
      <c r="L1462" s="2">
        <v>42000</v>
      </c>
      <c r="M1462" s="3">
        <v>4</v>
      </c>
      <c r="N1462" s="2">
        <v>168000</v>
      </c>
      <c r="O1462" s="2">
        <v>16800</v>
      </c>
      <c r="P1462" s="2">
        <v>184800</v>
      </c>
      <c r="Q1462" s="2">
        <f>P1462*12%</f>
        <v>22176</v>
      </c>
    </row>
    <row r="1463" spans="1:17" hidden="1" x14ac:dyDescent="0.4">
      <c r="A1463" s="4" t="s">
        <v>35</v>
      </c>
      <c r="B1463" s="4" t="s">
        <v>14</v>
      </c>
      <c r="C1463" s="30" t="s">
        <v>434</v>
      </c>
      <c r="D1463" s="4" t="s">
        <v>36</v>
      </c>
      <c r="E1463" s="4" t="s">
        <v>16</v>
      </c>
      <c r="F1463" s="4" t="s">
        <v>17</v>
      </c>
      <c r="G1463" s="4" t="s">
        <v>18</v>
      </c>
      <c r="H1463" s="4" t="s">
        <v>194</v>
      </c>
      <c r="I1463" s="5" t="str">
        <f t="shared" si="22"/>
        <v>2025-06</v>
      </c>
      <c r="J1463" s="4" t="s">
        <v>59</v>
      </c>
      <c r="K1463" s="5" t="s">
        <v>343</v>
      </c>
      <c r="L1463" s="2">
        <v>116220</v>
      </c>
      <c r="M1463" s="3">
        <v>1</v>
      </c>
      <c r="N1463" s="2">
        <v>116220</v>
      </c>
      <c r="O1463" s="2">
        <v>11622</v>
      </c>
      <c r="P1463" s="2">
        <v>127842</v>
      </c>
      <c r="Q1463" s="2">
        <f>P1463*12%</f>
        <v>15341.039999999999</v>
      </c>
    </row>
    <row r="1464" spans="1:17" hidden="1" x14ac:dyDescent="0.4">
      <c r="A1464" s="4" t="s">
        <v>23</v>
      </c>
      <c r="B1464" s="4" t="s">
        <v>14</v>
      </c>
      <c r="C1464" s="31" t="s">
        <v>435</v>
      </c>
      <c r="D1464" s="4" t="s">
        <v>24</v>
      </c>
      <c r="E1464" s="4" t="s">
        <v>16</v>
      </c>
      <c r="F1464" s="4" t="s">
        <v>17</v>
      </c>
      <c r="G1464" s="4" t="s">
        <v>18</v>
      </c>
      <c r="H1464" s="4" t="s">
        <v>194</v>
      </c>
      <c r="I1464" s="5" t="str">
        <f t="shared" si="22"/>
        <v>2025-06</v>
      </c>
      <c r="J1464" s="4" t="s">
        <v>59</v>
      </c>
      <c r="K1464" s="5" t="s">
        <v>343</v>
      </c>
      <c r="L1464" s="2">
        <v>54000</v>
      </c>
      <c r="M1464" s="3">
        <v>3</v>
      </c>
      <c r="N1464" s="2">
        <v>162000</v>
      </c>
      <c r="O1464" s="2">
        <v>16200</v>
      </c>
      <c r="P1464" s="2">
        <v>178200</v>
      </c>
      <c r="Q1464" s="2">
        <f>P1464*12%</f>
        <v>21384</v>
      </c>
    </row>
    <row r="1465" spans="1:17" hidden="1" x14ac:dyDescent="0.4">
      <c r="A1465" s="4" t="s">
        <v>51</v>
      </c>
      <c r="B1465" s="4" t="s">
        <v>14</v>
      </c>
      <c r="C1465" s="30" t="s">
        <v>434</v>
      </c>
      <c r="D1465" s="4" t="s">
        <v>52</v>
      </c>
      <c r="E1465" s="4" t="s">
        <v>16</v>
      </c>
      <c r="F1465" s="4" t="s">
        <v>17</v>
      </c>
      <c r="G1465" s="4" t="s">
        <v>18</v>
      </c>
      <c r="H1465" s="4" t="s">
        <v>194</v>
      </c>
      <c r="I1465" s="5" t="str">
        <f t="shared" si="22"/>
        <v>2025-06</v>
      </c>
      <c r="J1465" s="4" t="s">
        <v>59</v>
      </c>
      <c r="K1465" s="5" t="s">
        <v>343</v>
      </c>
      <c r="L1465" s="2">
        <v>71250</v>
      </c>
      <c r="M1465" s="3">
        <v>1</v>
      </c>
      <c r="N1465" s="2">
        <v>71250</v>
      </c>
      <c r="O1465" s="2">
        <v>7125</v>
      </c>
      <c r="P1465" s="2">
        <v>78375</v>
      </c>
      <c r="Q1465" s="2">
        <f>P1465*12%</f>
        <v>9405</v>
      </c>
    </row>
    <row r="1466" spans="1:17" hidden="1" x14ac:dyDescent="0.4">
      <c r="A1466" s="4" t="s">
        <v>32</v>
      </c>
      <c r="B1466" s="4" t="s">
        <v>14</v>
      </c>
      <c r="C1466" s="31" t="s">
        <v>435</v>
      </c>
      <c r="D1466" s="4" t="s">
        <v>33</v>
      </c>
      <c r="E1466" s="4" t="s">
        <v>16</v>
      </c>
      <c r="F1466" s="4" t="s">
        <v>17</v>
      </c>
      <c r="G1466" s="4" t="s">
        <v>18</v>
      </c>
      <c r="H1466" s="4" t="s">
        <v>194</v>
      </c>
      <c r="I1466" s="5" t="str">
        <f t="shared" si="22"/>
        <v>2025-06</v>
      </c>
      <c r="J1466" s="4" t="s">
        <v>50</v>
      </c>
      <c r="K1466" s="5" t="s">
        <v>343</v>
      </c>
      <c r="L1466" s="2">
        <v>44000</v>
      </c>
      <c r="M1466" s="3">
        <v>1</v>
      </c>
      <c r="N1466" s="2">
        <v>44000</v>
      </c>
      <c r="O1466" s="2">
        <v>4400</v>
      </c>
      <c r="P1466" s="2">
        <v>48400</v>
      </c>
      <c r="Q1466" s="2">
        <f>P1466*12%</f>
        <v>5808</v>
      </c>
    </row>
    <row r="1467" spans="1:17" hidden="1" x14ac:dyDescent="0.4">
      <c r="A1467" s="4" t="s">
        <v>13</v>
      </c>
      <c r="B1467" s="4" t="s">
        <v>14</v>
      </c>
      <c r="C1467" s="30" t="s">
        <v>434</v>
      </c>
      <c r="D1467" s="4" t="s">
        <v>15</v>
      </c>
      <c r="E1467" s="4" t="s">
        <v>16</v>
      </c>
      <c r="F1467" s="4" t="s">
        <v>17</v>
      </c>
      <c r="G1467" s="4" t="s">
        <v>18</v>
      </c>
      <c r="H1467" s="4" t="s">
        <v>194</v>
      </c>
      <c r="I1467" s="5" t="str">
        <f t="shared" si="22"/>
        <v>2025-06</v>
      </c>
      <c r="J1467" s="4" t="s">
        <v>50</v>
      </c>
      <c r="K1467" s="5" t="s">
        <v>343</v>
      </c>
      <c r="L1467" s="2">
        <v>42000</v>
      </c>
      <c r="M1467" s="3">
        <v>5</v>
      </c>
      <c r="N1467" s="2">
        <v>210000</v>
      </c>
      <c r="O1467" s="2">
        <v>21000</v>
      </c>
      <c r="P1467" s="2">
        <v>231000</v>
      </c>
      <c r="Q1467" s="2">
        <f>P1467*12%</f>
        <v>27720</v>
      </c>
    </row>
    <row r="1468" spans="1:17" hidden="1" x14ac:dyDescent="0.4">
      <c r="A1468" s="4" t="s">
        <v>35</v>
      </c>
      <c r="B1468" s="4" t="s">
        <v>14</v>
      </c>
      <c r="C1468" s="30" t="s">
        <v>434</v>
      </c>
      <c r="D1468" s="4" t="s">
        <v>36</v>
      </c>
      <c r="E1468" s="4" t="s">
        <v>16</v>
      </c>
      <c r="F1468" s="4" t="s">
        <v>17</v>
      </c>
      <c r="G1468" s="4" t="s">
        <v>18</v>
      </c>
      <c r="H1468" s="4" t="s">
        <v>194</v>
      </c>
      <c r="I1468" s="5" t="str">
        <f t="shared" si="22"/>
        <v>2025-06</v>
      </c>
      <c r="J1468" s="4" t="s">
        <v>50</v>
      </c>
      <c r="K1468" s="5" t="s">
        <v>343</v>
      </c>
      <c r="L1468" s="2">
        <v>116220</v>
      </c>
      <c r="M1468" s="3">
        <v>1</v>
      </c>
      <c r="N1468" s="2">
        <v>116220</v>
      </c>
      <c r="O1468" s="2">
        <v>11622</v>
      </c>
      <c r="P1468" s="2">
        <v>127842</v>
      </c>
      <c r="Q1468" s="2">
        <f>P1468*12%</f>
        <v>15341.039999999999</v>
      </c>
    </row>
    <row r="1469" spans="1:17" hidden="1" x14ac:dyDescent="0.4">
      <c r="A1469" s="4" t="s">
        <v>23</v>
      </c>
      <c r="B1469" s="4" t="s">
        <v>14</v>
      </c>
      <c r="C1469" s="31" t="s">
        <v>435</v>
      </c>
      <c r="D1469" s="4" t="s">
        <v>24</v>
      </c>
      <c r="E1469" s="4" t="s">
        <v>16</v>
      </c>
      <c r="F1469" s="4" t="s">
        <v>17</v>
      </c>
      <c r="G1469" s="4" t="s">
        <v>18</v>
      </c>
      <c r="H1469" s="4" t="s">
        <v>194</v>
      </c>
      <c r="I1469" s="5" t="str">
        <f t="shared" si="22"/>
        <v>2025-06</v>
      </c>
      <c r="J1469" s="4" t="s">
        <v>50</v>
      </c>
      <c r="K1469" s="5" t="s">
        <v>343</v>
      </c>
      <c r="L1469" s="2">
        <v>54000</v>
      </c>
      <c r="M1469" s="3">
        <v>3</v>
      </c>
      <c r="N1469" s="2">
        <v>162000</v>
      </c>
      <c r="O1469" s="2">
        <v>16200</v>
      </c>
      <c r="P1469" s="2">
        <v>178200</v>
      </c>
      <c r="Q1469" s="2">
        <f>P1469*12%</f>
        <v>21384</v>
      </c>
    </row>
    <row r="1470" spans="1:17" hidden="1" x14ac:dyDescent="0.4">
      <c r="A1470" s="4" t="s">
        <v>51</v>
      </c>
      <c r="B1470" s="4" t="s">
        <v>14</v>
      </c>
      <c r="C1470" s="30" t="s">
        <v>434</v>
      </c>
      <c r="D1470" s="4" t="s">
        <v>52</v>
      </c>
      <c r="E1470" s="4" t="s">
        <v>16</v>
      </c>
      <c r="F1470" s="4" t="s">
        <v>17</v>
      </c>
      <c r="G1470" s="4" t="s">
        <v>18</v>
      </c>
      <c r="H1470" s="4" t="s">
        <v>194</v>
      </c>
      <c r="I1470" s="5" t="str">
        <f t="shared" si="22"/>
        <v>2025-06</v>
      </c>
      <c r="J1470" s="4" t="s">
        <v>50</v>
      </c>
      <c r="K1470" s="5" t="s">
        <v>343</v>
      </c>
      <c r="L1470" s="2">
        <v>71250</v>
      </c>
      <c r="M1470" s="3">
        <v>2</v>
      </c>
      <c r="N1470" s="2">
        <v>142500</v>
      </c>
      <c r="O1470" s="2">
        <v>14250</v>
      </c>
      <c r="P1470" s="2">
        <v>156750</v>
      </c>
      <c r="Q1470" s="2">
        <f>P1470*12%</f>
        <v>18810</v>
      </c>
    </row>
    <row r="1471" spans="1:17" x14ac:dyDescent="0.4">
      <c r="A1471" s="4" t="s">
        <v>58</v>
      </c>
      <c r="B1471" s="4" t="s">
        <v>14</v>
      </c>
      <c r="C1471" s="30" t="s">
        <v>434</v>
      </c>
      <c r="D1471" s="4" t="s">
        <v>36</v>
      </c>
      <c r="E1471" s="4" t="s">
        <v>16</v>
      </c>
      <c r="F1471" s="4" t="s">
        <v>17</v>
      </c>
      <c r="G1471" s="4" t="s">
        <v>18</v>
      </c>
      <c r="H1471" s="4" t="s">
        <v>195</v>
      </c>
      <c r="I1471" s="5" t="str">
        <f t="shared" si="22"/>
        <v>2025-06</v>
      </c>
      <c r="J1471" s="4" t="s">
        <v>20</v>
      </c>
      <c r="K1471" s="5" t="s">
        <v>342</v>
      </c>
      <c r="L1471" s="2">
        <v>120880</v>
      </c>
      <c r="M1471" s="3">
        <v>1</v>
      </c>
      <c r="N1471" s="2">
        <v>120880</v>
      </c>
      <c r="O1471" s="2">
        <v>12088</v>
      </c>
      <c r="P1471" s="2">
        <v>132968</v>
      </c>
      <c r="Q1471" s="2">
        <f>P1471*8.5%</f>
        <v>11302.28</v>
      </c>
    </row>
    <row r="1472" spans="1:17" x14ac:dyDescent="0.4">
      <c r="A1472" s="4" t="s">
        <v>13</v>
      </c>
      <c r="B1472" s="4" t="s">
        <v>14</v>
      </c>
      <c r="C1472" s="30" t="s">
        <v>434</v>
      </c>
      <c r="D1472" s="4" t="s">
        <v>15</v>
      </c>
      <c r="E1472" s="4" t="s">
        <v>16</v>
      </c>
      <c r="F1472" s="4" t="s">
        <v>17</v>
      </c>
      <c r="G1472" s="4" t="s">
        <v>18</v>
      </c>
      <c r="H1472" s="4" t="s">
        <v>195</v>
      </c>
      <c r="I1472" s="5" t="str">
        <f t="shared" si="22"/>
        <v>2025-06</v>
      </c>
      <c r="J1472" s="4" t="s">
        <v>20</v>
      </c>
      <c r="K1472" s="5" t="s">
        <v>342</v>
      </c>
      <c r="L1472" s="2">
        <v>42000</v>
      </c>
      <c r="M1472" s="3">
        <v>3</v>
      </c>
      <c r="N1472" s="2">
        <v>126000</v>
      </c>
      <c r="O1472" s="2">
        <v>12600</v>
      </c>
      <c r="P1472" s="2">
        <v>138600</v>
      </c>
      <c r="Q1472" s="2">
        <f>P1472*8.5%</f>
        <v>11781</v>
      </c>
    </row>
    <row r="1473" spans="1:17" x14ac:dyDescent="0.4">
      <c r="A1473" s="4" t="s">
        <v>21</v>
      </c>
      <c r="B1473" s="4" t="s">
        <v>14</v>
      </c>
      <c r="C1473" s="31" t="s">
        <v>435</v>
      </c>
      <c r="D1473" s="4" t="s">
        <v>22</v>
      </c>
      <c r="E1473" s="4" t="s">
        <v>16</v>
      </c>
      <c r="F1473" s="4" t="s">
        <v>17</v>
      </c>
      <c r="G1473" s="4" t="s">
        <v>18</v>
      </c>
      <c r="H1473" s="4" t="s">
        <v>195</v>
      </c>
      <c r="I1473" s="5" t="str">
        <f t="shared" si="22"/>
        <v>2025-06</v>
      </c>
      <c r="J1473" s="4" t="s">
        <v>20</v>
      </c>
      <c r="K1473" s="5" t="s">
        <v>342</v>
      </c>
      <c r="L1473" s="2">
        <v>54000</v>
      </c>
      <c r="M1473" s="3">
        <v>2</v>
      </c>
      <c r="N1473" s="2">
        <v>108000</v>
      </c>
      <c r="O1473" s="2">
        <v>10800</v>
      </c>
      <c r="P1473" s="2">
        <v>118800</v>
      </c>
      <c r="Q1473" s="2">
        <f>P1473*8.5%</f>
        <v>10098</v>
      </c>
    </row>
    <row r="1474" spans="1:17" x14ac:dyDescent="0.4">
      <c r="A1474" s="4" t="s">
        <v>23</v>
      </c>
      <c r="B1474" s="4" t="s">
        <v>14</v>
      </c>
      <c r="C1474" s="31" t="s">
        <v>435</v>
      </c>
      <c r="D1474" s="4" t="s">
        <v>24</v>
      </c>
      <c r="E1474" s="4" t="s">
        <v>16</v>
      </c>
      <c r="F1474" s="4" t="s">
        <v>17</v>
      </c>
      <c r="G1474" s="4" t="s">
        <v>18</v>
      </c>
      <c r="H1474" s="4" t="s">
        <v>195</v>
      </c>
      <c r="I1474" s="5" t="str">
        <f t="shared" ref="I1474:I1537" si="23">TEXT(H1474,"yyyy-mm")</f>
        <v>2025-06</v>
      </c>
      <c r="J1474" s="4" t="s">
        <v>20</v>
      </c>
      <c r="K1474" s="5" t="s">
        <v>342</v>
      </c>
      <c r="L1474" s="2">
        <v>54000</v>
      </c>
      <c r="M1474" s="3">
        <v>3</v>
      </c>
      <c r="N1474" s="2">
        <v>162000</v>
      </c>
      <c r="O1474" s="2">
        <v>16200</v>
      </c>
      <c r="P1474" s="2">
        <v>178200</v>
      </c>
      <c r="Q1474" s="2">
        <f>P1474*8.5%</f>
        <v>15147.000000000002</v>
      </c>
    </row>
    <row r="1475" spans="1:17" x14ac:dyDescent="0.4">
      <c r="A1475" s="4" t="s">
        <v>56</v>
      </c>
      <c r="B1475" s="4" t="s">
        <v>26</v>
      </c>
      <c r="C1475" s="32" t="s">
        <v>436</v>
      </c>
      <c r="D1475" s="4" t="s">
        <v>57</v>
      </c>
      <c r="E1475" s="4" t="s">
        <v>44</v>
      </c>
      <c r="F1475" s="4" t="s">
        <v>31</v>
      </c>
      <c r="G1475" s="4" t="s">
        <v>18</v>
      </c>
      <c r="H1475" s="4" t="s">
        <v>195</v>
      </c>
      <c r="I1475" s="5" t="str">
        <f t="shared" si="23"/>
        <v>2025-06</v>
      </c>
      <c r="J1475" s="4" t="s">
        <v>20</v>
      </c>
      <c r="K1475" s="5" t="s">
        <v>342</v>
      </c>
      <c r="L1475" s="2">
        <v>1925</v>
      </c>
      <c r="M1475" s="3">
        <v>27</v>
      </c>
      <c r="N1475" s="2">
        <v>51975</v>
      </c>
      <c r="O1475" s="2">
        <v>0</v>
      </c>
      <c r="P1475" s="2">
        <v>51975</v>
      </c>
      <c r="Q1475" s="2">
        <f>P1475*8.5%</f>
        <v>4417.875</v>
      </c>
    </row>
    <row r="1476" spans="1:17" hidden="1" x14ac:dyDescent="0.4">
      <c r="A1476" s="4" t="s">
        <v>23</v>
      </c>
      <c r="B1476" s="4" t="s">
        <v>14</v>
      </c>
      <c r="C1476" s="31" t="s">
        <v>435</v>
      </c>
      <c r="D1476" s="4" t="s">
        <v>24</v>
      </c>
      <c r="E1476" s="4" t="s">
        <v>16</v>
      </c>
      <c r="F1476" s="4" t="s">
        <v>17</v>
      </c>
      <c r="G1476" s="4" t="s">
        <v>18</v>
      </c>
      <c r="H1476" s="4" t="s">
        <v>195</v>
      </c>
      <c r="I1476" s="5" t="str">
        <f t="shared" si="23"/>
        <v>2025-06</v>
      </c>
      <c r="J1476" s="4" t="s">
        <v>118</v>
      </c>
      <c r="K1476" s="5" t="s">
        <v>342</v>
      </c>
      <c r="L1476" s="2">
        <v>54000</v>
      </c>
      <c r="M1476" s="3">
        <v>1</v>
      </c>
      <c r="N1476" s="2">
        <v>54000</v>
      </c>
      <c r="O1476" s="2">
        <v>5400</v>
      </c>
      <c r="P1476" s="2">
        <v>59400</v>
      </c>
      <c r="Q1476" s="2">
        <f>P1476*8.5%</f>
        <v>5049</v>
      </c>
    </row>
    <row r="1477" spans="1:17" hidden="1" x14ac:dyDescent="0.4">
      <c r="A1477" s="4" t="s">
        <v>51</v>
      </c>
      <c r="B1477" s="4" t="s">
        <v>14</v>
      </c>
      <c r="C1477" s="30" t="s">
        <v>434</v>
      </c>
      <c r="D1477" s="4" t="s">
        <v>52</v>
      </c>
      <c r="E1477" s="4" t="s">
        <v>16</v>
      </c>
      <c r="F1477" s="4" t="s">
        <v>17</v>
      </c>
      <c r="G1477" s="4" t="s">
        <v>18</v>
      </c>
      <c r="H1477" s="4" t="s">
        <v>195</v>
      </c>
      <c r="I1477" s="5" t="str">
        <f t="shared" si="23"/>
        <v>2025-06</v>
      </c>
      <c r="J1477" s="4" t="s">
        <v>118</v>
      </c>
      <c r="K1477" s="5" t="s">
        <v>342</v>
      </c>
      <c r="L1477" s="2">
        <v>71250</v>
      </c>
      <c r="M1477" s="3">
        <v>2</v>
      </c>
      <c r="N1477" s="2">
        <v>142500</v>
      </c>
      <c r="O1477" s="2">
        <v>14250</v>
      </c>
      <c r="P1477" s="2">
        <v>156750</v>
      </c>
      <c r="Q1477" s="2">
        <f>P1477*8.5%</f>
        <v>13323.750000000002</v>
      </c>
    </row>
    <row r="1478" spans="1:17" hidden="1" x14ac:dyDescent="0.4">
      <c r="A1478" s="4" t="s">
        <v>80</v>
      </c>
      <c r="B1478" s="4" t="s">
        <v>26</v>
      </c>
      <c r="C1478" s="32" t="s">
        <v>436</v>
      </c>
      <c r="D1478" s="4" t="s">
        <v>81</v>
      </c>
      <c r="E1478" s="4" t="s">
        <v>16</v>
      </c>
      <c r="F1478" s="4" t="s">
        <v>17</v>
      </c>
      <c r="G1478" s="4" t="s">
        <v>18</v>
      </c>
      <c r="H1478" s="4" t="s">
        <v>195</v>
      </c>
      <c r="I1478" s="5" t="str">
        <f t="shared" si="23"/>
        <v>2025-06</v>
      </c>
      <c r="J1478" s="4" t="s">
        <v>34</v>
      </c>
      <c r="K1478" s="5" t="s">
        <v>342</v>
      </c>
      <c r="L1478" s="2">
        <v>17696</v>
      </c>
      <c r="M1478" s="3">
        <v>1</v>
      </c>
      <c r="N1478" s="2">
        <v>17696</v>
      </c>
      <c r="O1478" s="2">
        <v>1770</v>
      </c>
      <c r="P1478" s="2">
        <v>19466</v>
      </c>
      <c r="Q1478" s="2">
        <f>P1478*8.5%</f>
        <v>1654.6100000000001</v>
      </c>
    </row>
    <row r="1479" spans="1:17" hidden="1" x14ac:dyDescent="0.4">
      <c r="A1479" s="4" t="s">
        <v>32</v>
      </c>
      <c r="B1479" s="4" t="s">
        <v>14</v>
      </c>
      <c r="C1479" s="31" t="s">
        <v>435</v>
      </c>
      <c r="D1479" s="4" t="s">
        <v>33</v>
      </c>
      <c r="E1479" s="4" t="s">
        <v>16</v>
      </c>
      <c r="F1479" s="4" t="s">
        <v>17</v>
      </c>
      <c r="G1479" s="4" t="s">
        <v>18</v>
      </c>
      <c r="H1479" s="4" t="s">
        <v>195</v>
      </c>
      <c r="I1479" s="5" t="str">
        <f t="shared" si="23"/>
        <v>2025-06</v>
      </c>
      <c r="J1479" s="4" t="s">
        <v>34</v>
      </c>
      <c r="K1479" s="5" t="s">
        <v>342</v>
      </c>
      <c r="L1479" s="2">
        <v>44000</v>
      </c>
      <c r="M1479" s="3">
        <v>3</v>
      </c>
      <c r="N1479" s="2">
        <v>132000</v>
      </c>
      <c r="O1479" s="2">
        <v>13200</v>
      </c>
      <c r="P1479" s="2">
        <v>145200</v>
      </c>
      <c r="Q1479" s="2">
        <f>P1479*8.5%</f>
        <v>12342</v>
      </c>
    </row>
    <row r="1480" spans="1:17" hidden="1" x14ac:dyDescent="0.4">
      <c r="A1480" s="4" t="s">
        <v>58</v>
      </c>
      <c r="B1480" s="4" t="s">
        <v>14</v>
      </c>
      <c r="C1480" s="30" t="s">
        <v>434</v>
      </c>
      <c r="D1480" s="4" t="s">
        <v>36</v>
      </c>
      <c r="E1480" s="4" t="s">
        <v>16</v>
      </c>
      <c r="F1480" s="4" t="s">
        <v>17</v>
      </c>
      <c r="G1480" s="4" t="s">
        <v>18</v>
      </c>
      <c r="H1480" s="4" t="s">
        <v>195</v>
      </c>
      <c r="I1480" s="5" t="str">
        <f t="shared" si="23"/>
        <v>2025-06</v>
      </c>
      <c r="J1480" s="4" t="s">
        <v>34</v>
      </c>
      <c r="K1480" s="5" t="s">
        <v>342</v>
      </c>
      <c r="L1480" s="2">
        <v>120880</v>
      </c>
      <c r="M1480" s="3">
        <v>1</v>
      </c>
      <c r="N1480" s="2">
        <v>120880</v>
      </c>
      <c r="O1480" s="2">
        <v>12088</v>
      </c>
      <c r="P1480" s="2">
        <v>132968</v>
      </c>
      <c r="Q1480" s="2">
        <f>P1480*8.5%</f>
        <v>11302.28</v>
      </c>
    </row>
    <row r="1481" spans="1:17" hidden="1" x14ac:dyDescent="0.4">
      <c r="A1481" s="4" t="s">
        <v>13</v>
      </c>
      <c r="B1481" s="4" t="s">
        <v>14</v>
      </c>
      <c r="C1481" s="30" t="s">
        <v>434</v>
      </c>
      <c r="D1481" s="4" t="s">
        <v>15</v>
      </c>
      <c r="E1481" s="4" t="s">
        <v>16</v>
      </c>
      <c r="F1481" s="4" t="s">
        <v>17</v>
      </c>
      <c r="G1481" s="4" t="s">
        <v>18</v>
      </c>
      <c r="H1481" s="4" t="s">
        <v>195</v>
      </c>
      <c r="I1481" s="5" t="str">
        <f t="shared" si="23"/>
        <v>2025-06</v>
      </c>
      <c r="J1481" s="4" t="s">
        <v>34</v>
      </c>
      <c r="K1481" s="5" t="s">
        <v>342</v>
      </c>
      <c r="L1481" s="2">
        <v>42000</v>
      </c>
      <c r="M1481" s="3">
        <v>5</v>
      </c>
      <c r="N1481" s="2">
        <v>210000</v>
      </c>
      <c r="O1481" s="2">
        <v>21000</v>
      </c>
      <c r="P1481" s="2">
        <v>231000</v>
      </c>
      <c r="Q1481" s="2">
        <f>P1481*8.5%</f>
        <v>19635</v>
      </c>
    </row>
    <row r="1482" spans="1:17" hidden="1" x14ac:dyDescent="0.4">
      <c r="A1482" s="4" t="s">
        <v>21</v>
      </c>
      <c r="B1482" s="4" t="s">
        <v>14</v>
      </c>
      <c r="C1482" s="31" t="s">
        <v>435</v>
      </c>
      <c r="D1482" s="4" t="s">
        <v>22</v>
      </c>
      <c r="E1482" s="4" t="s">
        <v>16</v>
      </c>
      <c r="F1482" s="4" t="s">
        <v>17</v>
      </c>
      <c r="G1482" s="4" t="s">
        <v>18</v>
      </c>
      <c r="H1482" s="4" t="s">
        <v>195</v>
      </c>
      <c r="I1482" s="5" t="str">
        <f t="shared" si="23"/>
        <v>2025-06</v>
      </c>
      <c r="J1482" s="4" t="s">
        <v>34</v>
      </c>
      <c r="K1482" s="5" t="s">
        <v>342</v>
      </c>
      <c r="L1482" s="2">
        <v>54000</v>
      </c>
      <c r="M1482" s="3">
        <v>2</v>
      </c>
      <c r="N1482" s="2">
        <v>108000</v>
      </c>
      <c r="O1482" s="2">
        <v>10800</v>
      </c>
      <c r="P1482" s="2">
        <v>118800</v>
      </c>
      <c r="Q1482" s="2">
        <f>P1482*8.5%</f>
        <v>10098</v>
      </c>
    </row>
    <row r="1483" spans="1:17" hidden="1" x14ac:dyDescent="0.4">
      <c r="A1483" s="4" t="s">
        <v>35</v>
      </c>
      <c r="B1483" s="4" t="s">
        <v>14</v>
      </c>
      <c r="C1483" s="30" t="s">
        <v>434</v>
      </c>
      <c r="D1483" s="4" t="s">
        <v>36</v>
      </c>
      <c r="E1483" s="4" t="s">
        <v>16</v>
      </c>
      <c r="F1483" s="4" t="s">
        <v>17</v>
      </c>
      <c r="G1483" s="4" t="s">
        <v>18</v>
      </c>
      <c r="H1483" s="4" t="s">
        <v>195</v>
      </c>
      <c r="I1483" s="5" t="str">
        <f t="shared" si="23"/>
        <v>2025-06</v>
      </c>
      <c r="J1483" s="4" t="s">
        <v>34</v>
      </c>
      <c r="K1483" s="5" t="s">
        <v>342</v>
      </c>
      <c r="L1483" s="2">
        <v>116220</v>
      </c>
      <c r="M1483" s="3">
        <v>1</v>
      </c>
      <c r="N1483" s="2">
        <v>116220</v>
      </c>
      <c r="O1483" s="2">
        <v>11622</v>
      </c>
      <c r="P1483" s="2">
        <v>127842</v>
      </c>
      <c r="Q1483" s="2">
        <f>P1483*8.5%</f>
        <v>10866.570000000002</v>
      </c>
    </row>
    <row r="1484" spans="1:17" hidden="1" x14ac:dyDescent="0.4">
      <c r="A1484" s="4" t="s">
        <v>23</v>
      </c>
      <c r="B1484" s="4" t="s">
        <v>14</v>
      </c>
      <c r="C1484" s="31" t="s">
        <v>435</v>
      </c>
      <c r="D1484" s="4" t="s">
        <v>24</v>
      </c>
      <c r="E1484" s="4" t="s">
        <v>16</v>
      </c>
      <c r="F1484" s="4" t="s">
        <v>17</v>
      </c>
      <c r="G1484" s="4" t="s">
        <v>18</v>
      </c>
      <c r="H1484" s="4" t="s">
        <v>195</v>
      </c>
      <c r="I1484" s="5" t="str">
        <f t="shared" si="23"/>
        <v>2025-06</v>
      </c>
      <c r="J1484" s="4" t="s">
        <v>34</v>
      </c>
      <c r="K1484" s="5" t="s">
        <v>342</v>
      </c>
      <c r="L1484" s="2">
        <v>54000</v>
      </c>
      <c r="M1484" s="3">
        <v>4</v>
      </c>
      <c r="N1484" s="2">
        <v>216000</v>
      </c>
      <c r="O1484" s="2">
        <v>21600</v>
      </c>
      <c r="P1484" s="2">
        <v>237600</v>
      </c>
      <c r="Q1484" s="2">
        <f>P1484*8.5%</f>
        <v>20196</v>
      </c>
    </row>
    <row r="1485" spans="1:17" hidden="1" x14ac:dyDescent="0.4">
      <c r="A1485" s="4" t="s">
        <v>51</v>
      </c>
      <c r="B1485" s="4" t="s">
        <v>14</v>
      </c>
      <c r="C1485" s="30" t="s">
        <v>434</v>
      </c>
      <c r="D1485" s="4" t="s">
        <v>52</v>
      </c>
      <c r="E1485" s="4" t="s">
        <v>16</v>
      </c>
      <c r="F1485" s="4" t="s">
        <v>17</v>
      </c>
      <c r="G1485" s="4" t="s">
        <v>18</v>
      </c>
      <c r="H1485" s="4" t="s">
        <v>195</v>
      </c>
      <c r="I1485" s="5" t="str">
        <f t="shared" si="23"/>
        <v>2025-06</v>
      </c>
      <c r="J1485" s="4" t="s">
        <v>34</v>
      </c>
      <c r="K1485" s="5" t="s">
        <v>342</v>
      </c>
      <c r="L1485" s="2">
        <v>71250</v>
      </c>
      <c r="M1485" s="3">
        <v>1</v>
      </c>
      <c r="N1485" s="2">
        <v>71250</v>
      </c>
      <c r="O1485" s="2">
        <v>7125</v>
      </c>
      <c r="P1485" s="2">
        <v>78375</v>
      </c>
      <c r="Q1485" s="2">
        <f>P1485*8.5%</f>
        <v>6661.8750000000009</v>
      </c>
    </row>
    <row r="1486" spans="1:17" hidden="1" x14ac:dyDescent="0.4">
      <c r="A1486" s="4" t="s">
        <v>84</v>
      </c>
      <c r="B1486" s="4" t="s">
        <v>26</v>
      </c>
      <c r="C1486" s="32" t="s">
        <v>436</v>
      </c>
      <c r="D1486" s="4" t="s">
        <v>85</v>
      </c>
      <c r="E1486" s="4" t="s">
        <v>28</v>
      </c>
      <c r="F1486" s="4" t="s">
        <v>17</v>
      </c>
      <c r="G1486" s="4" t="s">
        <v>18</v>
      </c>
      <c r="H1486" s="4" t="s">
        <v>195</v>
      </c>
      <c r="I1486" s="5" t="str">
        <f t="shared" si="23"/>
        <v>2025-06</v>
      </c>
      <c r="J1486" s="4" t="s">
        <v>34</v>
      </c>
      <c r="K1486" s="5" t="s">
        <v>342</v>
      </c>
      <c r="L1486" s="2">
        <v>5032</v>
      </c>
      <c r="M1486" s="3">
        <v>1</v>
      </c>
      <c r="N1486" s="2">
        <v>5032</v>
      </c>
      <c r="O1486" s="2">
        <v>503</v>
      </c>
      <c r="P1486" s="2">
        <v>5535</v>
      </c>
      <c r="Q1486" s="2">
        <f>P1486*8.5%</f>
        <v>470.47500000000002</v>
      </c>
    </row>
    <row r="1487" spans="1:17" hidden="1" x14ac:dyDescent="0.4">
      <c r="A1487" s="4" t="s">
        <v>86</v>
      </c>
      <c r="B1487" s="4" t="s">
        <v>26</v>
      </c>
      <c r="C1487" s="32" t="s">
        <v>436</v>
      </c>
      <c r="D1487" s="4" t="s">
        <v>78</v>
      </c>
      <c r="E1487" s="4" t="s">
        <v>28</v>
      </c>
      <c r="F1487" s="4" t="s">
        <v>17</v>
      </c>
      <c r="G1487" s="4" t="s">
        <v>18</v>
      </c>
      <c r="H1487" s="4" t="s">
        <v>195</v>
      </c>
      <c r="I1487" s="5" t="str">
        <f t="shared" si="23"/>
        <v>2025-06</v>
      </c>
      <c r="J1487" s="4" t="s">
        <v>34</v>
      </c>
      <c r="K1487" s="5" t="s">
        <v>342</v>
      </c>
      <c r="L1487" s="2">
        <v>15544</v>
      </c>
      <c r="M1487" s="3">
        <v>1</v>
      </c>
      <c r="N1487" s="2">
        <v>15544</v>
      </c>
      <c r="O1487" s="2">
        <v>1554</v>
      </c>
      <c r="P1487" s="2">
        <v>17098</v>
      </c>
      <c r="Q1487" s="2">
        <f>P1487*8.5%</f>
        <v>1453.3300000000002</v>
      </c>
    </row>
    <row r="1488" spans="1:17" hidden="1" x14ac:dyDescent="0.4">
      <c r="A1488" s="4" t="s">
        <v>42</v>
      </c>
      <c r="B1488" s="4" t="s">
        <v>14</v>
      </c>
      <c r="C1488" s="30" t="s">
        <v>434</v>
      </c>
      <c r="D1488" s="4" t="s">
        <v>43</v>
      </c>
      <c r="E1488" s="4" t="s">
        <v>44</v>
      </c>
      <c r="F1488" s="4" t="s">
        <v>31</v>
      </c>
      <c r="G1488" s="4" t="s">
        <v>18</v>
      </c>
      <c r="H1488" s="4" t="s">
        <v>195</v>
      </c>
      <c r="I1488" s="5" t="str">
        <f t="shared" si="23"/>
        <v>2025-06</v>
      </c>
      <c r="J1488" s="4" t="s">
        <v>34</v>
      </c>
      <c r="K1488" s="5" t="s">
        <v>342</v>
      </c>
      <c r="L1488" s="2">
        <v>6800</v>
      </c>
      <c r="M1488" s="3">
        <v>46.9</v>
      </c>
      <c r="N1488" s="2">
        <v>318920</v>
      </c>
      <c r="O1488" s="2">
        <v>0</v>
      </c>
      <c r="P1488" s="2">
        <v>318920</v>
      </c>
      <c r="Q1488" s="2">
        <f>P1488*8.5%</f>
        <v>27108.2</v>
      </c>
    </row>
    <row r="1489" spans="1:17" hidden="1" x14ac:dyDescent="0.4">
      <c r="A1489" s="4" t="s">
        <v>13</v>
      </c>
      <c r="B1489" s="4" t="s">
        <v>14</v>
      </c>
      <c r="C1489" s="30" t="s">
        <v>434</v>
      </c>
      <c r="D1489" s="4" t="s">
        <v>15</v>
      </c>
      <c r="E1489" s="4" t="s">
        <v>16</v>
      </c>
      <c r="F1489" s="4" t="s">
        <v>17</v>
      </c>
      <c r="G1489" s="4" t="s">
        <v>18</v>
      </c>
      <c r="H1489" s="4" t="s">
        <v>195</v>
      </c>
      <c r="I1489" s="5" t="str">
        <f t="shared" si="23"/>
        <v>2025-06</v>
      </c>
      <c r="J1489" s="4" t="s">
        <v>59</v>
      </c>
      <c r="K1489" s="5" t="s">
        <v>343</v>
      </c>
      <c r="L1489" s="2">
        <v>42000</v>
      </c>
      <c r="M1489" s="3">
        <v>4</v>
      </c>
      <c r="N1489" s="2">
        <v>168000</v>
      </c>
      <c r="O1489" s="2">
        <v>16800</v>
      </c>
      <c r="P1489" s="2">
        <v>184800</v>
      </c>
      <c r="Q1489" s="2">
        <f>P1489*12%</f>
        <v>22176</v>
      </c>
    </row>
    <row r="1490" spans="1:17" hidden="1" x14ac:dyDescent="0.4">
      <c r="A1490" s="4" t="s">
        <v>35</v>
      </c>
      <c r="B1490" s="4" t="s">
        <v>14</v>
      </c>
      <c r="C1490" s="30" t="s">
        <v>434</v>
      </c>
      <c r="D1490" s="4" t="s">
        <v>36</v>
      </c>
      <c r="E1490" s="4" t="s">
        <v>16</v>
      </c>
      <c r="F1490" s="4" t="s">
        <v>17</v>
      </c>
      <c r="G1490" s="4" t="s">
        <v>18</v>
      </c>
      <c r="H1490" s="4" t="s">
        <v>195</v>
      </c>
      <c r="I1490" s="5" t="str">
        <f t="shared" si="23"/>
        <v>2025-06</v>
      </c>
      <c r="J1490" s="4" t="s">
        <v>59</v>
      </c>
      <c r="K1490" s="5" t="s">
        <v>343</v>
      </c>
      <c r="L1490" s="2">
        <v>116220</v>
      </c>
      <c r="M1490" s="3">
        <v>1</v>
      </c>
      <c r="N1490" s="2">
        <v>116220</v>
      </c>
      <c r="O1490" s="2">
        <v>11622</v>
      </c>
      <c r="P1490" s="2">
        <v>127842</v>
      </c>
      <c r="Q1490" s="2">
        <f>P1490*12%</f>
        <v>15341.039999999999</v>
      </c>
    </row>
    <row r="1491" spans="1:17" hidden="1" x14ac:dyDescent="0.4">
      <c r="A1491" s="4" t="s">
        <v>23</v>
      </c>
      <c r="B1491" s="4" t="s">
        <v>14</v>
      </c>
      <c r="C1491" s="31" t="s">
        <v>435</v>
      </c>
      <c r="D1491" s="4" t="s">
        <v>24</v>
      </c>
      <c r="E1491" s="4" t="s">
        <v>16</v>
      </c>
      <c r="F1491" s="4" t="s">
        <v>17</v>
      </c>
      <c r="G1491" s="4" t="s">
        <v>18</v>
      </c>
      <c r="H1491" s="4" t="s">
        <v>195</v>
      </c>
      <c r="I1491" s="5" t="str">
        <f t="shared" si="23"/>
        <v>2025-06</v>
      </c>
      <c r="J1491" s="4" t="s">
        <v>59</v>
      </c>
      <c r="K1491" s="5" t="s">
        <v>343</v>
      </c>
      <c r="L1491" s="2">
        <v>54000</v>
      </c>
      <c r="M1491" s="3">
        <v>2</v>
      </c>
      <c r="N1491" s="2">
        <v>108000</v>
      </c>
      <c r="O1491" s="2">
        <v>10800</v>
      </c>
      <c r="P1491" s="2">
        <v>118800</v>
      </c>
      <c r="Q1491" s="2">
        <f>P1491*12%</f>
        <v>14256</v>
      </c>
    </row>
    <row r="1492" spans="1:17" hidden="1" x14ac:dyDescent="0.4">
      <c r="A1492" s="4" t="s">
        <v>32</v>
      </c>
      <c r="B1492" s="4" t="s">
        <v>14</v>
      </c>
      <c r="C1492" s="31" t="s">
        <v>435</v>
      </c>
      <c r="D1492" s="4" t="s">
        <v>33</v>
      </c>
      <c r="E1492" s="4" t="s">
        <v>16</v>
      </c>
      <c r="F1492" s="4" t="s">
        <v>17</v>
      </c>
      <c r="G1492" s="4" t="s">
        <v>18</v>
      </c>
      <c r="H1492" s="4" t="s">
        <v>195</v>
      </c>
      <c r="I1492" s="5" t="str">
        <f t="shared" si="23"/>
        <v>2025-06</v>
      </c>
      <c r="J1492" s="4" t="s">
        <v>49</v>
      </c>
      <c r="K1492" s="5" t="s">
        <v>343</v>
      </c>
      <c r="L1492" s="2">
        <v>44000</v>
      </c>
      <c r="M1492" s="3">
        <v>4</v>
      </c>
      <c r="N1492" s="2">
        <v>176000</v>
      </c>
      <c r="O1492" s="2">
        <v>17600</v>
      </c>
      <c r="P1492" s="2">
        <v>193600</v>
      </c>
      <c r="Q1492" s="2">
        <f>P1492*12%</f>
        <v>23232</v>
      </c>
    </row>
    <row r="1493" spans="1:17" hidden="1" x14ac:dyDescent="0.4">
      <c r="A1493" s="4" t="s">
        <v>13</v>
      </c>
      <c r="B1493" s="4" t="s">
        <v>14</v>
      </c>
      <c r="C1493" s="30" t="s">
        <v>434</v>
      </c>
      <c r="D1493" s="4" t="s">
        <v>15</v>
      </c>
      <c r="E1493" s="4" t="s">
        <v>16</v>
      </c>
      <c r="F1493" s="4" t="s">
        <v>17</v>
      </c>
      <c r="G1493" s="4" t="s">
        <v>18</v>
      </c>
      <c r="H1493" s="4" t="s">
        <v>195</v>
      </c>
      <c r="I1493" s="5" t="str">
        <f t="shared" si="23"/>
        <v>2025-06</v>
      </c>
      <c r="J1493" s="4" t="s">
        <v>49</v>
      </c>
      <c r="K1493" s="5" t="s">
        <v>343</v>
      </c>
      <c r="L1493" s="2">
        <v>42000</v>
      </c>
      <c r="M1493" s="3">
        <v>8</v>
      </c>
      <c r="N1493" s="2">
        <v>336000</v>
      </c>
      <c r="O1493" s="2">
        <v>33600</v>
      </c>
      <c r="P1493" s="2">
        <v>369600</v>
      </c>
      <c r="Q1493" s="2">
        <f>P1493*12%</f>
        <v>44352</v>
      </c>
    </row>
    <row r="1494" spans="1:17" hidden="1" x14ac:dyDescent="0.4">
      <c r="A1494" s="4" t="s">
        <v>35</v>
      </c>
      <c r="B1494" s="4" t="s">
        <v>14</v>
      </c>
      <c r="C1494" s="30" t="s">
        <v>434</v>
      </c>
      <c r="D1494" s="4" t="s">
        <v>36</v>
      </c>
      <c r="E1494" s="4" t="s">
        <v>16</v>
      </c>
      <c r="F1494" s="4" t="s">
        <v>17</v>
      </c>
      <c r="G1494" s="4" t="s">
        <v>18</v>
      </c>
      <c r="H1494" s="4" t="s">
        <v>195</v>
      </c>
      <c r="I1494" s="5" t="str">
        <f t="shared" si="23"/>
        <v>2025-06</v>
      </c>
      <c r="J1494" s="4" t="s">
        <v>49</v>
      </c>
      <c r="K1494" s="5" t="s">
        <v>343</v>
      </c>
      <c r="L1494" s="2">
        <v>116220</v>
      </c>
      <c r="M1494" s="3">
        <v>1</v>
      </c>
      <c r="N1494" s="2">
        <v>116220</v>
      </c>
      <c r="O1494" s="2">
        <v>11622</v>
      </c>
      <c r="P1494" s="2">
        <v>127842</v>
      </c>
      <c r="Q1494" s="2">
        <f>P1494*12%</f>
        <v>15341.039999999999</v>
      </c>
    </row>
    <row r="1495" spans="1:17" hidden="1" x14ac:dyDescent="0.4">
      <c r="A1495" s="4" t="s">
        <v>23</v>
      </c>
      <c r="B1495" s="4" t="s">
        <v>14</v>
      </c>
      <c r="C1495" s="31" t="s">
        <v>435</v>
      </c>
      <c r="D1495" s="4" t="s">
        <v>24</v>
      </c>
      <c r="E1495" s="4" t="s">
        <v>16</v>
      </c>
      <c r="F1495" s="4" t="s">
        <v>17</v>
      </c>
      <c r="G1495" s="4" t="s">
        <v>18</v>
      </c>
      <c r="H1495" s="4" t="s">
        <v>195</v>
      </c>
      <c r="I1495" s="5" t="str">
        <f t="shared" si="23"/>
        <v>2025-06</v>
      </c>
      <c r="J1495" s="4" t="s">
        <v>49</v>
      </c>
      <c r="K1495" s="5" t="s">
        <v>343</v>
      </c>
      <c r="L1495" s="2">
        <v>54000</v>
      </c>
      <c r="M1495" s="3">
        <v>4</v>
      </c>
      <c r="N1495" s="2">
        <v>216000</v>
      </c>
      <c r="O1495" s="2">
        <v>21600</v>
      </c>
      <c r="P1495" s="2">
        <v>237600</v>
      </c>
      <c r="Q1495" s="2">
        <f>P1495*12%</f>
        <v>28512</v>
      </c>
    </row>
    <row r="1496" spans="1:17" hidden="1" x14ac:dyDescent="0.4">
      <c r="A1496" s="4" t="s">
        <v>51</v>
      </c>
      <c r="B1496" s="4" t="s">
        <v>14</v>
      </c>
      <c r="C1496" s="30" t="s">
        <v>434</v>
      </c>
      <c r="D1496" s="4" t="s">
        <v>52</v>
      </c>
      <c r="E1496" s="4" t="s">
        <v>16</v>
      </c>
      <c r="F1496" s="4" t="s">
        <v>17</v>
      </c>
      <c r="G1496" s="4" t="s">
        <v>18</v>
      </c>
      <c r="H1496" s="4" t="s">
        <v>195</v>
      </c>
      <c r="I1496" s="5" t="str">
        <f t="shared" si="23"/>
        <v>2025-06</v>
      </c>
      <c r="J1496" s="4" t="s">
        <v>49</v>
      </c>
      <c r="K1496" s="5" t="s">
        <v>343</v>
      </c>
      <c r="L1496" s="2">
        <v>71250</v>
      </c>
      <c r="M1496" s="3">
        <v>1</v>
      </c>
      <c r="N1496" s="2">
        <v>71250</v>
      </c>
      <c r="O1496" s="2">
        <v>7125</v>
      </c>
      <c r="P1496" s="2">
        <v>78375</v>
      </c>
      <c r="Q1496" s="2">
        <f>P1496*12%</f>
        <v>9405</v>
      </c>
    </row>
    <row r="1497" spans="1:17" x14ac:dyDescent="0.4">
      <c r="A1497" s="4" t="s">
        <v>13</v>
      </c>
      <c r="B1497" s="4" t="s">
        <v>14</v>
      </c>
      <c r="C1497" s="30" t="s">
        <v>434</v>
      </c>
      <c r="D1497" s="4" t="s">
        <v>15</v>
      </c>
      <c r="E1497" s="4" t="s">
        <v>16</v>
      </c>
      <c r="F1497" s="4" t="s">
        <v>17</v>
      </c>
      <c r="G1497" s="4" t="s">
        <v>18</v>
      </c>
      <c r="H1497" s="4" t="s">
        <v>196</v>
      </c>
      <c r="I1497" s="5" t="str">
        <f t="shared" si="23"/>
        <v>2025-06</v>
      </c>
      <c r="J1497" s="4" t="s">
        <v>20</v>
      </c>
      <c r="K1497" s="5" t="s">
        <v>342</v>
      </c>
      <c r="L1497" s="2">
        <v>42000</v>
      </c>
      <c r="M1497" s="3">
        <v>2</v>
      </c>
      <c r="N1497" s="2">
        <v>84000</v>
      </c>
      <c r="O1497" s="2">
        <v>8400</v>
      </c>
      <c r="P1497" s="2">
        <v>92400</v>
      </c>
      <c r="Q1497" s="2">
        <f>P1497*8.5%</f>
        <v>7854.0000000000009</v>
      </c>
    </row>
    <row r="1498" spans="1:17" x14ac:dyDescent="0.4">
      <c r="A1498" s="4" t="s">
        <v>21</v>
      </c>
      <c r="B1498" s="4" t="s">
        <v>14</v>
      </c>
      <c r="C1498" s="31" t="s">
        <v>435</v>
      </c>
      <c r="D1498" s="4" t="s">
        <v>22</v>
      </c>
      <c r="E1498" s="4" t="s">
        <v>16</v>
      </c>
      <c r="F1498" s="4" t="s">
        <v>17</v>
      </c>
      <c r="G1498" s="4" t="s">
        <v>18</v>
      </c>
      <c r="H1498" s="4" t="s">
        <v>196</v>
      </c>
      <c r="I1498" s="5" t="str">
        <f t="shared" si="23"/>
        <v>2025-06</v>
      </c>
      <c r="J1498" s="4" t="s">
        <v>20</v>
      </c>
      <c r="K1498" s="5" t="s">
        <v>342</v>
      </c>
      <c r="L1498" s="2">
        <v>54000</v>
      </c>
      <c r="M1498" s="3">
        <v>1</v>
      </c>
      <c r="N1498" s="2">
        <v>54000</v>
      </c>
      <c r="O1498" s="2">
        <v>5400</v>
      </c>
      <c r="P1498" s="2">
        <v>59400</v>
      </c>
      <c r="Q1498" s="2">
        <f>P1498*8.5%</f>
        <v>5049</v>
      </c>
    </row>
    <row r="1499" spans="1:17" x14ac:dyDescent="0.4">
      <c r="A1499" s="4" t="s">
        <v>23</v>
      </c>
      <c r="B1499" s="4" t="s">
        <v>14</v>
      </c>
      <c r="C1499" s="31" t="s">
        <v>435</v>
      </c>
      <c r="D1499" s="4" t="s">
        <v>24</v>
      </c>
      <c r="E1499" s="4" t="s">
        <v>16</v>
      </c>
      <c r="F1499" s="4" t="s">
        <v>17</v>
      </c>
      <c r="G1499" s="4" t="s">
        <v>18</v>
      </c>
      <c r="H1499" s="4" t="s">
        <v>196</v>
      </c>
      <c r="I1499" s="5" t="str">
        <f t="shared" si="23"/>
        <v>2025-06</v>
      </c>
      <c r="J1499" s="4" t="s">
        <v>20</v>
      </c>
      <c r="K1499" s="5" t="s">
        <v>342</v>
      </c>
      <c r="L1499" s="2">
        <v>54000</v>
      </c>
      <c r="M1499" s="3">
        <v>3</v>
      </c>
      <c r="N1499" s="2">
        <v>162000</v>
      </c>
      <c r="O1499" s="2">
        <v>16200</v>
      </c>
      <c r="P1499" s="2">
        <v>178200</v>
      </c>
      <c r="Q1499" s="2">
        <f>P1499*8.5%</f>
        <v>15147.000000000002</v>
      </c>
    </row>
    <row r="1500" spans="1:17" x14ac:dyDescent="0.4">
      <c r="A1500" s="4" t="s">
        <v>56</v>
      </c>
      <c r="B1500" s="4" t="s">
        <v>26</v>
      </c>
      <c r="C1500" s="32" t="s">
        <v>436</v>
      </c>
      <c r="D1500" s="4" t="s">
        <v>57</v>
      </c>
      <c r="E1500" s="4" t="s">
        <v>44</v>
      </c>
      <c r="F1500" s="4" t="s">
        <v>31</v>
      </c>
      <c r="G1500" s="4" t="s">
        <v>18</v>
      </c>
      <c r="H1500" s="4" t="s">
        <v>196</v>
      </c>
      <c r="I1500" s="5" t="str">
        <f t="shared" si="23"/>
        <v>2025-06</v>
      </c>
      <c r="J1500" s="4" t="s">
        <v>20</v>
      </c>
      <c r="K1500" s="5" t="s">
        <v>342</v>
      </c>
      <c r="L1500" s="2">
        <v>1925</v>
      </c>
      <c r="M1500" s="3">
        <v>25</v>
      </c>
      <c r="N1500" s="2">
        <v>48125</v>
      </c>
      <c r="O1500" s="2">
        <v>0</v>
      </c>
      <c r="P1500" s="2">
        <v>48125</v>
      </c>
      <c r="Q1500" s="2">
        <f>P1500*8.5%</f>
        <v>4090.6250000000005</v>
      </c>
    </row>
    <row r="1501" spans="1:17" hidden="1" x14ac:dyDescent="0.4">
      <c r="A1501" s="4" t="s">
        <v>32</v>
      </c>
      <c r="B1501" s="4" t="s">
        <v>14</v>
      </c>
      <c r="C1501" s="31" t="s">
        <v>435</v>
      </c>
      <c r="D1501" s="4" t="s">
        <v>33</v>
      </c>
      <c r="E1501" s="4" t="s">
        <v>16</v>
      </c>
      <c r="F1501" s="4" t="s">
        <v>17</v>
      </c>
      <c r="G1501" s="4" t="s">
        <v>18</v>
      </c>
      <c r="H1501" s="4" t="s">
        <v>196</v>
      </c>
      <c r="I1501" s="5" t="str">
        <f t="shared" si="23"/>
        <v>2025-06</v>
      </c>
      <c r="J1501" s="4" t="s">
        <v>118</v>
      </c>
      <c r="K1501" s="5" t="s">
        <v>342</v>
      </c>
      <c r="L1501" s="2">
        <v>44000</v>
      </c>
      <c r="M1501" s="3">
        <v>2</v>
      </c>
      <c r="N1501" s="2">
        <v>88000</v>
      </c>
      <c r="O1501" s="2">
        <v>8800</v>
      </c>
      <c r="P1501" s="2">
        <v>96800</v>
      </c>
      <c r="Q1501" s="2">
        <f>P1501*8.5%</f>
        <v>8228</v>
      </c>
    </row>
    <row r="1502" spans="1:17" hidden="1" x14ac:dyDescent="0.4">
      <c r="A1502" s="4" t="s">
        <v>23</v>
      </c>
      <c r="B1502" s="4" t="s">
        <v>14</v>
      </c>
      <c r="C1502" s="31" t="s">
        <v>435</v>
      </c>
      <c r="D1502" s="4" t="s">
        <v>24</v>
      </c>
      <c r="E1502" s="4" t="s">
        <v>16</v>
      </c>
      <c r="F1502" s="4" t="s">
        <v>17</v>
      </c>
      <c r="G1502" s="4" t="s">
        <v>18</v>
      </c>
      <c r="H1502" s="4" t="s">
        <v>196</v>
      </c>
      <c r="I1502" s="5" t="str">
        <f t="shared" si="23"/>
        <v>2025-06</v>
      </c>
      <c r="J1502" s="4" t="s">
        <v>118</v>
      </c>
      <c r="K1502" s="5" t="s">
        <v>342</v>
      </c>
      <c r="L1502" s="2">
        <v>54000</v>
      </c>
      <c r="M1502" s="3">
        <v>3</v>
      </c>
      <c r="N1502" s="2">
        <v>162000</v>
      </c>
      <c r="O1502" s="2">
        <v>16200</v>
      </c>
      <c r="P1502" s="2">
        <v>178200</v>
      </c>
      <c r="Q1502" s="2">
        <f>P1502*8.5%</f>
        <v>15147.000000000002</v>
      </c>
    </row>
    <row r="1503" spans="1:17" hidden="1" x14ac:dyDescent="0.4">
      <c r="A1503" s="4" t="s">
        <v>13</v>
      </c>
      <c r="B1503" s="4" t="s">
        <v>14</v>
      </c>
      <c r="C1503" s="30" t="s">
        <v>434</v>
      </c>
      <c r="D1503" s="4" t="s">
        <v>15</v>
      </c>
      <c r="E1503" s="4" t="s">
        <v>16</v>
      </c>
      <c r="F1503" s="4" t="s">
        <v>17</v>
      </c>
      <c r="G1503" s="4" t="s">
        <v>18</v>
      </c>
      <c r="H1503" s="4" t="s">
        <v>196</v>
      </c>
      <c r="I1503" s="5" t="str">
        <f t="shared" si="23"/>
        <v>2025-06</v>
      </c>
      <c r="J1503" s="4" t="s">
        <v>34</v>
      </c>
      <c r="K1503" s="5" t="s">
        <v>342</v>
      </c>
      <c r="L1503" s="2">
        <v>42000</v>
      </c>
      <c r="M1503" s="3">
        <v>8</v>
      </c>
      <c r="N1503" s="2">
        <v>336000</v>
      </c>
      <c r="O1503" s="2">
        <v>33600</v>
      </c>
      <c r="P1503" s="2">
        <v>369600</v>
      </c>
      <c r="Q1503" s="2">
        <f>P1503*8.5%</f>
        <v>31416.000000000004</v>
      </c>
    </row>
    <row r="1504" spans="1:17" hidden="1" x14ac:dyDescent="0.4">
      <c r="A1504" s="4" t="s">
        <v>21</v>
      </c>
      <c r="B1504" s="4" t="s">
        <v>14</v>
      </c>
      <c r="C1504" s="31" t="s">
        <v>435</v>
      </c>
      <c r="D1504" s="4" t="s">
        <v>22</v>
      </c>
      <c r="E1504" s="4" t="s">
        <v>16</v>
      </c>
      <c r="F1504" s="4" t="s">
        <v>17</v>
      </c>
      <c r="G1504" s="4" t="s">
        <v>18</v>
      </c>
      <c r="H1504" s="4" t="s">
        <v>196</v>
      </c>
      <c r="I1504" s="5" t="str">
        <f t="shared" si="23"/>
        <v>2025-06</v>
      </c>
      <c r="J1504" s="4" t="s">
        <v>34</v>
      </c>
      <c r="K1504" s="5" t="s">
        <v>342</v>
      </c>
      <c r="L1504" s="2">
        <v>54000</v>
      </c>
      <c r="M1504" s="3">
        <v>1</v>
      </c>
      <c r="N1504" s="2">
        <v>54000</v>
      </c>
      <c r="O1504" s="2">
        <v>5400</v>
      </c>
      <c r="P1504" s="2">
        <v>59400</v>
      </c>
      <c r="Q1504" s="2">
        <f>P1504*8.5%</f>
        <v>5049</v>
      </c>
    </row>
    <row r="1505" spans="1:17" hidden="1" x14ac:dyDescent="0.4">
      <c r="A1505" s="4" t="s">
        <v>23</v>
      </c>
      <c r="B1505" s="4" t="s">
        <v>14</v>
      </c>
      <c r="C1505" s="31" t="s">
        <v>435</v>
      </c>
      <c r="D1505" s="4" t="s">
        <v>24</v>
      </c>
      <c r="E1505" s="4" t="s">
        <v>16</v>
      </c>
      <c r="F1505" s="4" t="s">
        <v>17</v>
      </c>
      <c r="G1505" s="4" t="s">
        <v>18</v>
      </c>
      <c r="H1505" s="4" t="s">
        <v>196</v>
      </c>
      <c r="I1505" s="5" t="str">
        <f t="shared" si="23"/>
        <v>2025-06</v>
      </c>
      <c r="J1505" s="4" t="s">
        <v>34</v>
      </c>
      <c r="K1505" s="5" t="s">
        <v>342</v>
      </c>
      <c r="L1505" s="2">
        <v>54000</v>
      </c>
      <c r="M1505" s="3">
        <v>3</v>
      </c>
      <c r="N1505" s="2">
        <v>162000</v>
      </c>
      <c r="O1505" s="2">
        <v>16200</v>
      </c>
      <c r="P1505" s="2">
        <v>178200</v>
      </c>
      <c r="Q1505" s="2">
        <f>P1505*8.5%</f>
        <v>15147.000000000002</v>
      </c>
    </row>
    <row r="1506" spans="1:17" hidden="1" x14ac:dyDescent="0.4">
      <c r="A1506" s="4" t="s">
        <v>51</v>
      </c>
      <c r="B1506" s="4" t="s">
        <v>14</v>
      </c>
      <c r="C1506" s="30" t="s">
        <v>434</v>
      </c>
      <c r="D1506" s="4" t="s">
        <v>52</v>
      </c>
      <c r="E1506" s="4" t="s">
        <v>16</v>
      </c>
      <c r="F1506" s="4" t="s">
        <v>17</v>
      </c>
      <c r="G1506" s="4" t="s">
        <v>18</v>
      </c>
      <c r="H1506" s="4" t="s">
        <v>196</v>
      </c>
      <c r="I1506" s="5" t="str">
        <f t="shared" si="23"/>
        <v>2025-06</v>
      </c>
      <c r="J1506" s="4" t="s">
        <v>34</v>
      </c>
      <c r="K1506" s="5" t="s">
        <v>342</v>
      </c>
      <c r="L1506" s="2">
        <v>71250</v>
      </c>
      <c r="M1506" s="3">
        <v>2</v>
      </c>
      <c r="N1506" s="2">
        <v>142500</v>
      </c>
      <c r="O1506" s="2">
        <v>14250</v>
      </c>
      <c r="P1506" s="2">
        <v>156750</v>
      </c>
      <c r="Q1506" s="2">
        <f>P1506*8.5%</f>
        <v>13323.750000000002</v>
      </c>
    </row>
    <row r="1507" spans="1:17" hidden="1" x14ac:dyDescent="0.4">
      <c r="A1507" s="4" t="s">
        <v>67</v>
      </c>
      <c r="B1507" s="4" t="s">
        <v>26</v>
      </c>
      <c r="C1507" s="32" t="s">
        <v>436</v>
      </c>
      <c r="D1507" s="4" t="s">
        <v>63</v>
      </c>
      <c r="E1507" s="4" t="s">
        <v>28</v>
      </c>
      <c r="F1507" s="4" t="s">
        <v>17</v>
      </c>
      <c r="G1507" s="4" t="s">
        <v>18</v>
      </c>
      <c r="H1507" s="4" t="s">
        <v>196</v>
      </c>
      <c r="I1507" s="5" t="str">
        <f t="shared" si="23"/>
        <v>2025-06</v>
      </c>
      <c r="J1507" s="4" t="s">
        <v>34</v>
      </c>
      <c r="K1507" s="5" t="s">
        <v>342</v>
      </c>
      <c r="L1507" s="2">
        <v>7558</v>
      </c>
      <c r="M1507" s="3">
        <v>1</v>
      </c>
      <c r="N1507" s="2">
        <v>7558</v>
      </c>
      <c r="O1507" s="2">
        <v>756</v>
      </c>
      <c r="P1507" s="2">
        <v>8314</v>
      </c>
      <c r="Q1507" s="2">
        <f>P1507*8.5%</f>
        <v>706.69</v>
      </c>
    </row>
    <row r="1508" spans="1:17" hidden="1" x14ac:dyDescent="0.4">
      <c r="A1508" s="4" t="s">
        <v>42</v>
      </c>
      <c r="B1508" s="4" t="s">
        <v>14</v>
      </c>
      <c r="C1508" s="30" t="s">
        <v>434</v>
      </c>
      <c r="D1508" s="4" t="s">
        <v>43</v>
      </c>
      <c r="E1508" s="4" t="s">
        <v>44</v>
      </c>
      <c r="F1508" s="4" t="s">
        <v>31</v>
      </c>
      <c r="G1508" s="4" t="s">
        <v>18</v>
      </c>
      <c r="H1508" s="4" t="s">
        <v>196</v>
      </c>
      <c r="I1508" s="5" t="str">
        <f t="shared" si="23"/>
        <v>2025-06</v>
      </c>
      <c r="J1508" s="4" t="s">
        <v>34</v>
      </c>
      <c r="K1508" s="5" t="s">
        <v>342</v>
      </c>
      <c r="L1508" s="2">
        <v>6800</v>
      </c>
      <c r="M1508" s="3">
        <v>95.2</v>
      </c>
      <c r="N1508" s="2">
        <v>647360</v>
      </c>
      <c r="O1508" s="2">
        <v>0</v>
      </c>
      <c r="P1508" s="2">
        <v>647360</v>
      </c>
      <c r="Q1508" s="2">
        <f>P1508*8.5%</f>
        <v>55025.600000000006</v>
      </c>
    </row>
    <row r="1509" spans="1:17" hidden="1" x14ac:dyDescent="0.4">
      <c r="A1509" s="4" t="s">
        <v>13</v>
      </c>
      <c r="B1509" s="4" t="s">
        <v>14</v>
      </c>
      <c r="C1509" s="30" t="s">
        <v>434</v>
      </c>
      <c r="D1509" s="4" t="s">
        <v>15</v>
      </c>
      <c r="E1509" s="4" t="s">
        <v>16</v>
      </c>
      <c r="F1509" s="4" t="s">
        <v>17</v>
      </c>
      <c r="G1509" s="4" t="s">
        <v>18</v>
      </c>
      <c r="H1509" s="4" t="s">
        <v>196</v>
      </c>
      <c r="I1509" s="5" t="str">
        <f t="shared" si="23"/>
        <v>2025-06</v>
      </c>
      <c r="J1509" s="4" t="s">
        <v>59</v>
      </c>
      <c r="K1509" s="5" t="s">
        <v>343</v>
      </c>
      <c r="L1509" s="2">
        <v>42000</v>
      </c>
      <c r="M1509" s="3">
        <v>6</v>
      </c>
      <c r="N1509" s="2">
        <v>252000</v>
      </c>
      <c r="O1509" s="2">
        <v>25200</v>
      </c>
      <c r="P1509" s="2">
        <v>277200</v>
      </c>
      <c r="Q1509" s="2">
        <f>P1509*12%</f>
        <v>33264</v>
      </c>
    </row>
    <row r="1510" spans="1:17" hidden="1" x14ac:dyDescent="0.4">
      <c r="A1510" s="4" t="s">
        <v>35</v>
      </c>
      <c r="B1510" s="4" t="s">
        <v>14</v>
      </c>
      <c r="C1510" s="30" t="s">
        <v>434</v>
      </c>
      <c r="D1510" s="4" t="s">
        <v>36</v>
      </c>
      <c r="E1510" s="4" t="s">
        <v>16</v>
      </c>
      <c r="F1510" s="4" t="s">
        <v>17</v>
      </c>
      <c r="G1510" s="4" t="s">
        <v>18</v>
      </c>
      <c r="H1510" s="4" t="s">
        <v>196</v>
      </c>
      <c r="I1510" s="5" t="str">
        <f t="shared" si="23"/>
        <v>2025-06</v>
      </c>
      <c r="J1510" s="4" t="s">
        <v>59</v>
      </c>
      <c r="K1510" s="5" t="s">
        <v>343</v>
      </c>
      <c r="L1510" s="2">
        <v>116220</v>
      </c>
      <c r="M1510" s="3">
        <v>1</v>
      </c>
      <c r="N1510" s="2">
        <v>116220</v>
      </c>
      <c r="O1510" s="2">
        <v>11622</v>
      </c>
      <c r="P1510" s="2">
        <v>127842</v>
      </c>
      <c r="Q1510" s="2">
        <f>P1510*12%</f>
        <v>15341.039999999999</v>
      </c>
    </row>
    <row r="1511" spans="1:17" hidden="1" x14ac:dyDescent="0.4">
      <c r="A1511" s="4" t="s">
        <v>23</v>
      </c>
      <c r="B1511" s="4" t="s">
        <v>14</v>
      </c>
      <c r="C1511" s="31" t="s">
        <v>435</v>
      </c>
      <c r="D1511" s="4" t="s">
        <v>24</v>
      </c>
      <c r="E1511" s="4" t="s">
        <v>16</v>
      </c>
      <c r="F1511" s="4" t="s">
        <v>17</v>
      </c>
      <c r="G1511" s="4" t="s">
        <v>18</v>
      </c>
      <c r="H1511" s="4" t="s">
        <v>196</v>
      </c>
      <c r="I1511" s="5" t="str">
        <f t="shared" si="23"/>
        <v>2025-06</v>
      </c>
      <c r="J1511" s="4" t="s">
        <v>59</v>
      </c>
      <c r="K1511" s="5" t="s">
        <v>343</v>
      </c>
      <c r="L1511" s="2">
        <v>54000</v>
      </c>
      <c r="M1511" s="3">
        <v>1</v>
      </c>
      <c r="N1511" s="2">
        <v>54000</v>
      </c>
      <c r="O1511" s="2">
        <v>5400</v>
      </c>
      <c r="P1511" s="2">
        <v>59400</v>
      </c>
      <c r="Q1511" s="2">
        <f>P1511*12%</f>
        <v>7128</v>
      </c>
    </row>
    <row r="1512" spans="1:17" hidden="1" x14ac:dyDescent="0.4">
      <c r="A1512" s="4" t="s">
        <v>51</v>
      </c>
      <c r="B1512" s="4" t="s">
        <v>14</v>
      </c>
      <c r="C1512" s="30" t="s">
        <v>434</v>
      </c>
      <c r="D1512" s="4" t="s">
        <v>52</v>
      </c>
      <c r="E1512" s="4" t="s">
        <v>16</v>
      </c>
      <c r="F1512" s="4" t="s">
        <v>17</v>
      </c>
      <c r="G1512" s="4" t="s">
        <v>18</v>
      </c>
      <c r="H1512" s="4" t="s">
        <v>196</v>
      </c>
      <c r="I1512" s="5" t="str">
        <f t="shared" si="23"/>
        <v>2025-06</v>
      </c>
      <c r="J1512" s="4" t="s">
        <v>59</v>
      </c>
      <c r="K1512" s="5" t="s">
        <v>343</v>
      </c>
      <c r="L1512" s="2">
        <v>71250</v>
      </c>
      <c r="M1512" s="3">
        <v>1</v>
      </c>
      <c r="N1512" s="2">
        <v>71250</v>
      </c>
      <c r="O1512" s="2">
        <v>7125</v>
      </c>
      <c r="P1512" s="2">
        <v>78375</v>
      </c>
      <c r="Q1512" s="2">
        <f>P1512*12%</f>
        <v>9405</v>
      </c>
    </row>
    <row r="1513" spans="1:17" hidden="1" x14ac:dyDescent="0.4">
      <c r="A1513" s="4" t="s">
        <v>32</v>
      </c>
      <c r="B1513" s="4" t="s">
        <v>14</v>
      </c>
      <c r="C1513" s="31" t="s">
        <v>435</v>
      </c>
      <c r="D1513" s="4" t="s">
        <v>33</v>
      </c>
      <c r="E1513" s="4" t="s">
        <v>16</v>
      </c>
      <c r="F1513" s="4" t="s">
        <v>17</v>
      </c>
      <c r="G1513" s="4" t="s">
        <v>18</v>
      </c>
      <c r="H1513" s="4" t="s">
        <v>196</v>
      </c>
      <c r="I1513" s="5" t="str">
        <f t="shared" si="23"/>
        <v>2025-06</v>
      </c>
      <c r="J1513" s="4" t="s">
        <v>49</v>
      </c>
      <c r="K1513" s="5" t="s">
        <v>343</v>
      </c>
      <c r="L1513" s="2">
        <v>44000</v>
      </c>
      <c r="M1513" s="3">
        <v>3</v>
      </c>
      <c r="N1513" s="2">
        <v>132000</v>
      </c>
      <c r="O1513" s="2">
        <v>13200</v>
      </c>
      <c r="P1513" s="2">
        <v>145200</v>
      </c>
      <c r="Q1513" s="2">
        <f>P1513*12%</f>
        <v>17424</v>
      </c>
    </row>
    <row r="1514" spans="1:17" hidden="1" x14ac:dyDescent="0.4">
      <c r="A1514" s="4" t="s">
        <v>13</v>
      </c>
      <c r="B1514" s="4" t="s">
        <v>14</v>
      </c>
      <c r="C1514" s="30" t="s">
        <v>434</v>
      </c>
      <c r="D1514" s="4" t="s">
        <v>15</v>
      </c>
      <c r="E1514" s="4" t="s">
        <v>16</v>
      </c>
      <c r="F1514" s="4" t="s">
        <v>17</v>
      </c>
      <c r="G1514" s="4" t="s">
        <v>18</v>
      </c>
      <c r="H1514" s="4" t="s">
        <v>196</v>
      </c>
      <c r="I1514" s="5" t="str">
        <f t="shared" si="23"/>
        <v>2025-06</v>
      </c>
      <c r="J1514" s="4" t="s">
        <v>49</v>
      </c>
      <c r="K1514" s="5" t="s">
        <v>343</v>
      </c>
      <c r="L1514" s="2">
        <v>42000</v>
      </c>
      <c r="M1514" s="3">
        <v>7</v>
      </c>
      <c r="N1514" s="2">
        <v>294000</v>
      </c>
      <c r="O1514" s="2">
        <v>29400</v>
      </c>
      <c r="P1514" s="2">
        <v>323400</v>
      </c>
      <c r="Q1514" s="2">
        <f>P1514*12%</f>
        <v>38808</v>
      </c>
    </row>
    <row r="1515" spans="1:17" hidden="1" x14ac:dyDescent="0.4">
      <c r="A1515" s="4" t="s">
        <v>35</v>
      </c>
      <c r="B1515" s="4" t="s">
        <v>14</v>
      </c>
      <c r="C1515" s="30" t="s">
        <v>434</v>
      </c>
      <c r="D1515" s="4" t="s">
        <v>36</v>
      </c>
      <c r="E1515" s="4" t="s">
        <v>16</v>
      </c>
      <c r="F1515" s="4" t="s">
        <v>17</v>
      </c>
      <c r="G1515" s="4" t="s">
        <v>18</v>
      </c>
      <c r="H1515" s="4" t="s">
        <v>196</v>
      </c>
      <c r="I1515" s="5" t="str">
        <f t="shared" si="23"/>
        <v>2025-06</v>
      </c>
      <c r="J1515" s="4" t="s">
        <v>49</v>
      </c>
      <c r="K1515" s="5" t="s">
        <v>343</v>
      </c>
      <c r="L1515" s="2">
        <v>116220</v>
      </c>
      <c r="M1515" s="3">
        <v>2</v>
      </c>
      <c r="N1515" s="2">
        <v>232440</v>
      </c>
      <c r="O1515" s="2">
        <v>23244</v>
      </c>
      <c r="P1515" s="2">
        <v>255684</v>
      </c>
      <c r="Q1515" s="2">
        <f>P1515*12%</f>
        <v>30682.079999999998</v>
      </c>
    </row>
    <row r="1516" spans="1:17" hidden="1" x14ac:dyDescent="0.4">
      <c r="A1516" s="4" t="s">
        <v>23</v>
      </c>
      <c r="B1516" s="4" t="s">
        <v>14</v>
      </c>
      <c r="C1516" s="31" t="s">
        <v>435</v>
      </c>
      <c r="D1516" s="4" t="s">
        <v>24</v>
      </c>
      <c r="E1516" s="4" t="s">
        <v>16</v>
      </c>
      <c r="F1516" s="4" t="s">
        <v>17</v>
      </c>
      <c r="G1516" s="4" t="s">
        <v>18</v>
      </c>
      <c r="H1516" s="4" t="s">
        <v>196</v>
      </c>
      <c r="I1516" s="5" t="str">
        <f t="shared" si="23"/>
        <v>2025-06</v>
      </c>
      <c r="J1516" s="4" t="s">
        <v>49</v>
      </c>
      <c r="K1516" s="5" t="s">
        <v>343</v>
      </c>
      <c r="L1516" s="2">
        <v>54000</v>
      </c>
      <c r="M1516" s="3">
        <v>4</v>
      </c>
      <c r="N1516" s="2">
        <v>216000</v>
      </c>
      <c r="O1516" s="2">
        <v>21600</v>
      </c>
      <c r="P1516" s="2">
        <v>237600</v>
      </c>
      <c r="Q1516" s="2">
        <f>P1516*12%</f>
        <v>28512</v>
      </c>
    </row>
    <row r="1517" spans="1:17" hidden="1" x14ac:dyDescent="0.4">
      <c r="A1517" s="4" t="s">
        <v>51</v>
      </c>
      <c r="B1517" s="4" t="s">
        <v>14</v>
      </c>
      <c r="C1517" s="30" t="s">
        <v>434</v>
      </c>
      <c r="D1517" s="4" t="s">
        <v>52</v>
      </c>
      <c r="E1517" s="4" t="s">
        <v>16</v>
      </c>
      <c r="F1517" s="4" t="s">
        <v>17</v>
      </c>
      <c r="G1517" s="4" t="s">
        <v>18</v>
      </c>
      <c r="H1517" s="4" t="s">
        <v>196</v>
      </c>
      <c r="I1517" s="5" t="str">
        <f t="shared" si="23"/>
        <v>2025-06</v>
      </c>
      <c r="J1517" s="4" t="s">
        <v>49</v>
      </c>
      <c r="K1517" s="5" t="s">
        <v>343</v>
      </c>
      <c r="L1517" s="2">
        <v>71250</v>
      </c>
      <c r="M1517" s="3">
        <v>1</v>
      </c>
      <c r="N1517" s="2">
        <v>71250</v>
      </c>
      <c r="O1517" s="2">
        <v>7125</v>
      </c>
      <c r="P1517" s="2">
        <v>78375</v>
      </c>
      <c r="Q1517" s="2">
        <f>P1517*12%</f>
        <v>9405</v>
      </c>
    </row>
    <row r="1518" spans="1:17" hidden="1" x14ac:dyDescent="0.4">
      <c r="A1518" s="4" t="s">
        <v>32</v>
      </c>
      <c r="B1518" s="4" t="s">
        <v>14</v>
      </c>
      <c r="C1518" s="31" t="s">
        <v>435</v>
      </c>
      <c r="D1518" s="4" t="s">
        <v>33</v>
      </c>
      <c r="E1518" s="4" t="s">
        <v>16</v>
      </c>
      <c r="F1518" s="4" t="s">
        <v>17</v>
      </c>
      <c r="G1518" s="4" t="s">
        <v>18</v>
      </c>
      <c r="H1518" s="4" t="s">
        <v>196</v>
      </c>
      <c r="I1518" s="5" t="str">
        <f t="shared" si="23"/>
        <v>2025-06</v>
      </c>
      <c r="J1518" s="4" t="s">
        <v>50</v>
      </c>
      <c r="K1518" s="5" t="s">
        <v>343</v>
      </c>
      <c r="L1518" s="2">
        <v>44000</v>
      </c>
      <c r="M1518" s="3">
        <v>1</v>
      </c>
      <c r="N1518" s="2">
        <v>44000</v>
      </c>
      <c r="O1518" s="2">
        <v>4400</v>
      </c>
      <c r="P1518" s="2">
        <v>48400</v>
      </c>
      <c r="Q1518" s="2">
        <f>P1518*12%</f>
        <v>5808</v>
      </c>
    </row>
    <row r="1519" spans="1:17" hidden="1" x14ac:dyDescent="0.4">
      <c r="A1519" s="4" t="s">
        <v>13</v>
      </c>
      <c r="B1519" s="4" t="s">
        <v>14</v>
      </c>
      <c r="C1519" s="30" t="s">
        <v>434</v>
      </c>
      <c r="D1519" s="4" t="s">
        <v>15</v>
      </c>
      <c r="E1519" s="4" t="s">
        <v>16</v>
      </c>
      <c r="F1519" s="4" t="s">
        <v>17</v>
      </c>
      <c r="G1519" s="4" t="s">
        <v>18</v>
      </c>
      <c r="H1519" s="4" t="s">
        <v>196</v>
      </c>
      <c r="I1519" s="5" t="str">
        <f t="shared" si="23"/>
        <v>2025-06</v>
      </c>
      <c r="J1519" s="4" t="s">
        <v>50</v>
      </c>
      <c r="K1519" s="5" t="s">
        <v>343</v>
      </c>
      <c r="L1519" s="2">
        <v>42000</v>
      </c>
      <c r="M1519" s="3">
        <v>15</v>
      </c>
      <c r="N1519" s="2">
        <v>630000</v>
      </c>
      <c r="O1519" s="2">
        <v>63000</v>
      </c>
      <c r="P1519" s="2">
        <v>693000</v>
      </c>
      <c r="Q1519" s="2">
        <f>P1519*12%</f>
        <v>83160</v>
      </c>
    </row>
    <row r="1520" spans="1:17" hidden="1" x14ac:dyDescent="0.4">
      <c r="A1520" s="4" t="s">
        <v>23</v>
      </c>
      <c r="B1520" s="4" t="s">
        <v>14</v>
      </c>
      <c r="C1520" s="31" t="s">
        <v>435</v>
      </c>
      <c r="D1520" s="4" t="s">
        <v>24</v>
      </c>
      <c r="E1520" s="4" t="s">
        <v>16</v>
      </c>
      <c r="F1520" s="4" t="s">
        <v>17</v>
      </c>
      <c r="G1520" s="4" t="s">
        <v>18</v>
      </c>
      <c r="H1520" s="4" t="s">
        <v>196</v>
      </c>
      <c r="I1520" s="5" t="str">
        <f t="shared" si="23"/>
        <v>2025-06</v>
      </c>
      <c r="J1520" s="4" t="s">
        <v>50</v>
      </c>
      <c r="K1520" s="5" t="s">
        <v>343</v>
      </c>
      <c r="L1520" s="2">
        <v>54000</v>
      </c>
      <c r="M1520" s="3">
        <v>10</v>
      </c>
      <c r="N1520" s="2">
        <v>540000</v>
      </c>
      <c r="O1520" s="2">
        <v>54000</v>
      </c>
      <c r="P1520" s="2">
        <v>594000</v>
      </c>
      <c r="Q1520" s="2">
        <f>P1520*12%</f>
        <v>71280</v>
      </c>
    </row>
    <row r="1521" spans="1:17" hidden="1" x14ac:dyDescent="0.4">
      <c r="A1521" s="4" t="s">
        <v>51</v>
      </c>
      <c r="B1521" s="4" t="s">
        <v>14</v>
      </c>
      <c r="C1521" s="30" t="s">
        <v>434</v>
      </c>
      <c r="D1521" s="4" t="s">
        <v>52</v>
      </c>
      <c r="E1521" s="4" t="s">
        <v>16</v>
      </c>
      <c r="F1521" s="4" t="s">
        <v>17</v>
      </c>
      <c r="G1521" s="4" t="s">
        <v>18</v>
      </c>
      <c r="H1521" s="4" t="s">
        <v>196</v>
      </c>
      <c r="I1521" s="5" t="str">
        <f t="shared" si="23"/>
        <v>2025-06</v>
      </c>
      <c r="J1521" s="4" t="s">
        <v>50</v>
      </c>
      <c r="K1521" s="5" t="s">
        <v>343</v>
      </c>
      <c r="L1521" s="2">
        <v>71250</v>
      </c>
      <c r="M1521" s="3">
        <v>3</v>
      </c>
      <c r="N1521" s="2">
        <v>213750</v>
      </c>
      <c r="O1521" s="2">
        <v>21375</v>
      </c>
      <c r="P1521" s="2">
        <v>235125</v>
      </c>
      <c r="Q1521" s="2">
        <f>P1521*12%</f>
        <v>28215</v>
      </c>
    </row>
    <row r="1522" spans="1:17" x14ac:dyDescent="0.4">
      <c r="A1522" s="4" t="s">
        <v>58</v>
      </c>
      <c r="B1522" s="4" t="s">
        <v>14</v>
      </c>
      <c r="C1522" s="30" t="s">
        <v>434</v>
      </c>
      <c r="D1522" s="4" t="s">
        <v>36</v>
      </c>
      <c r="E1522" s="4" t="s">
        <v>16</v>
      </c>
      <c r="F1522" s="4" t="s">
        <v>17</v>
      </c>
      <c r="G1522" s="4" t="s">
        <v>18</v>
      </c>
      <c r="H1522" s="4" t="s">
        <v>197</v>
      </c>
      <c r="I1522" s="5" t="str">
        <f t="shared" si="23"/>
        <v>2025-06</v>
      </c>
      <c r="J1522" s="4" t="s">
        <v>20</v>
      </c>
      <c r="K1522" s="5" t="s">
        <v>342</v>
      </c>
      <c r="L1522" s="2">
        <v>120880</v>
      </c>
      <c r="M1522" s="3">
        <v>1</v>
      </c>
      <c r="N1522" s="2">
        <v>120880</v>
      </c>
      <c r="O1522" s="2">
        <v>12088</v>
      </c>
      <c r="P1522" s="2">
        <v>132968</v>
      </c>
      <c r="Q1522" s="2">
        <f>P1522*8.5%</f>
        <v>11302.28</v>
      </c>
    </row>
    <row r="1523" spans="1:17" x14ac:dyDescent="0.4">
      <c r="A1523" s="4" t="s">
        <v>13</v>
      </c>
      <c r="B1523" s="4" t="s">
        <v>14</v>
      </c>
      <c r="C1523" s="30" t="s">
        <v>434</v>
      </c>
      <c r="D1523" s="4" t="s">
        <v>15</v>
      </c>
      <c r="E1523" s="4" t="s">
        <v>16</v>
      </c>
      <c r="F1523" s="4" t="s">
        <v>17</v>
      </c>
      <c r="G1523" s="4" t="s">
        <v>18</v>
      </c>
      <c r="H1523" s="4" t="s">
        <v>197</v>
      </c>
      <c r="I1523" s="5" t="str">
        <f t="shared" si="23"/>
        <v>2025-06</v>
      </c>
      <c r="J1523" s="4" t="s">
        <v>20</v>
      </c>
      <c r="K1523" s="5" t="s">
        <v>342</v>
      </c>
      <c r="L1523" s="2">
        <v>42000</v>
      </c>
      <c r="M1523" s="3">
        <v>3</v>
      </c>
      <c r="N1523" s="2">
        <v>126000</v>
      </c>
      <c r="O1523" s="2">
        <v>12600</v>
      </c>
      <c r="P1523" s="2">
        <v>138600</v>
      </c>
      <c r="Q1523" s="2">
        <f>P1523*8.5%</f>
        <v>11781</v>
      </c>
    </row>
    <row r="1524" spans="1:17" x14ac:dyDescent="0.4">
      <c r="A1524" s="4" t="s">
        <v>21</v>
      </c>
      <c r="B1524" s="4" t="s">
        <v>14</v>
      </c>
      <c r="C1524" s="31" t="s">
        <v>435</v>
      </c>
      <c r="D1524" s="4" t="s">
        <v>22</v>
      </c>
      <c r="E1524" s="4" t="s">
        <v>16</v>
      </c>
      <c r="F1524" s="4" t="s">
        <v>17</v>
      </c>
      <c r="G1524" s="4" t="s">
        <v>18</v>
      </c>
      <c r="H1524" s="4" t="s">
        <v>197</v>
      </c>
      <c r="I1524" s="5" t="str">
        <f t="shared" si="23"/>
        <v>2025-06</v>
      </c>
      <c r="J1524" s="4" t="s">
        <v>20</v>
      </c>
      <c r="K1524" s="5" t="s">
        <v>342</v>
      </c>
      <c r="L1524" s="2">
        <v>54000</v>
      </c>
      <c r="M1524" s="3">
        <v>2</v>
      </c>
      <c r="N1524" s="2">
        <v>108000</v>
      </c>
      <c r="O1524" s="2">
        <v>10800</v>
      </c>
      <c r="P1524" s="2">
        <v>118800</v>
      </c>
      <c r="Q1524" s="2">
        <f>P1524*8.5%</f>
        <v>10098</v>
      </c>
    </row>
    <row r="1525" spans="1:17" x14ac:dyDescent="0.4">
      <c r="A1525" s="4" t="s">
        <v>23</v>
      </c>
      <c r="B1525" s="4" t="s">
        <v>14</v>
      </c>
      <c r="C1525" s="31" t="s">
        <v>435</v>
      </c>
      <c r="D1525" s="4" t="s">
        <v>24</v>
      </c>
      <c r="E1525" s="4" t="s">
        <v>16</v>
      </c>
      <c r="F1525" s="4" t="s">
        <v>17</v>
      </c>
      <c r="G1525" s="4" t="s">
        <v>18</v>
      </c>
      <c r="H1525" s="4" t="s">
        <v>197</v>
      </c>
      <c r="I1525" s="5" t="str">
        <f t="shared" si="23"/>
        <v>2025-06</v>
      </c>
      <c r="J1525" s="4" t="s">
        <v>20</v>
      </c>
      <c r="K1525" s="5" t="s">
        <v>342</v>
      </c>
      <c r="L1525" s="2">
        <v>54000</v>
      </c>
      <c r="M1525" s="3">
        <v>3</v>
      </c>
      <c r="N1525" s="2">
        <v>162000</v>
      </c>
      <c r="O1525" s="2">
        <v>16200</v>
      </c>
      <c r="P1525" s="2">
        <v>178200</v>
      </c>
      <c r="Q1525" s="2">
        <f>P1525*8.5%</f>
        <v>15147.000000000002</v>
      </c>
    </row>
    <row r="1526" spans="1:17" x14ac:dyDescent="0.4">
      <c r="A1526" s="4" t="s">
        <v>51</v>
      </c>
      <c r="B1526" s="4" t="s">
        <v>14</v>
      </c>
      <c r="C1526" s="30" t="s">
        <v>434</v>
      </c>
      <c r="D1526" s="4" t="s">
        <v>52</v>
      </c>
      <c r="E1526" s="4" t="s">
        <v>16</v>
      </c>
      <c r="F1526" s="4" t="s">
        <v>17</v>
      </c>
      <c r="G1526" s="4" t="s">
        <v>18</v>
      </c>
      <c r="H1526" s="4" t="s">
        <v>197</v>
      </c>
      <c r="I1526" s="5" t="str">
        <f t="shared" si="23"/>
        <v>2025-06</v>
      </c>
      <c r="J1526" s="4" t="s">
        <v>20</v>
      </c>
      <c r="K1526" s="5" t="s">
        <v>342</v>
      </c>
      <c r="L1526" s="2">
        <v>71250</v>
      </c>
      <c r="M1526" s="3">
        <v>1</v>
      </c>
      <c r="N1526" s="2">
        <v>71250</v>
      </c>
      <c r="O1526" s="2">
        <v>7125</v>
      </c>
      <c r="P1526" s="2">
        <v>78375</v>
      </c>
      <c r="Q1526" s="2">
        <f>P1526*8.5%</f>
        <v>6661.8750000000009</v>
      </c>
    </row>
    <row r="1527" spans="1:17" x14ac:dyDescent="0.4">
      <c r="A1527" s="4" t="s">
        <v>56</v>
      </c>
      <c r="B1527" s="4" t="s">
        <v>26</v>
      </c>
      <c r="C1527" s="32" t="s">
        <v>436</v>
      </c>
      <c r="D1527" s="4" t="s">
        <v>57</v>
      </c>
      <c r="E1527" s="4" t="s">
        <v>44</v>
      </c>
      <c r="F1527" s="4" t="s">
        <v>31</v>
      </c>
      <c r="G1527" s="4" t="s">
        <v>18</v>
      </c>
      <c r="H1527" s="4" t="s">
        <v>197</v>
      </c>
      <c r="I1527" s="5" t="str">
        <f t="shared" si="23"/>
        <v>2025-06</v>
      </c>
      <c r="J1527" s="4" t="s">
        <v>20</v>
      </c>
      <c r="K1527" s="5" t="s">
        <v>342</v>
      </c>
      <c r="L1527" s="2">
        <v>1925</v>
      </c>
      <c r="M1527" s="3">
        <v>8</v>
      </c>
      <c r="N1527" s="2">
        <v>15400</v>
      </c>
      <c r="O1527" s="2">
        <v>0</v>
      </c>
      <c r="P1527" s="2">
        <v>15400</v>
      </c>
      <c r="Q1527" s="2">
        <f>P1527*8.5%</f>
        <v>1309</v>
      </c>
    </row>
    <row r="1528" spans="1:17" hidden="1" x14ac:dyDescent="0.4">
      <c r="A1528" s="4" t="s">
        <v>13</v>
      </c>
      <c r="B1528" s="4" t="s">
        <v>14</v>
      </c>
      <c r="C1528" s="30" t="s">
        <v>434</v>
      </c>
      <c r="D1528" s="4" t="s">
        <v>15</v>
      </c>
      <c r="E1528" s="4" t="s">
        <v>16</v>
      </c>
      <c r="F1528" s="4" t="s">
        <v>17</v>
      </c>
      <c r="G1528" s="4" t="s">
        <v>18</v>
      </c>
      <c r="H1528" s="4" t="s">
        <v>197</v>
      </c>
      <c r="I1528" s="5" t="str">
        <f t="shared" si="23"/>
        <v>2025-06</v>
      </c>
      <c r="J1528" s="4" t="s">
        <v>118</v>
      </c>
      <c r="K1528" s="5" t="s">
        <v>342</v>
      </c>
      <c r="L1528" s="2">
        <v>42000</v>
      </c>
      <c r="M1528" s="3">
        <v>5</v>
      </c>
      <c r="N1528" s="2">
        <v>210000</v>
      </c>
      <c r="O1528" s="2">
        <v>21000</v>
      </c>
      <c r="P1528" s="2">
        <v>231000</v>
      </c>
      <c r="Q1528" s="2">
        <f>P1528*8.5%</f>
        <v>19635</v>
      </c>
    </row>
    <row r="1529" spans="1:17" hidden="1" x14ac:dyDescent="0.4">
      <c r="A1529" s="4" t="s">
        <v>64</v>
      </c>
      <c r="B1529" s="4" t="s">
        <v>65</v>
      </c>
      <c r="C1529" s="32" t="s">
        <v>436</v>
      </c>
      <c r="D1529" s="4" t="s">
        <v>66</v>
      </c>
      <c r="E1529" s="4" t="s">
        <v>16</v>
      </c>
      <c r="F1529" s="4" t="s">
        <v>17</v>
      </c>
      <c r="G1529" s="4" t="s">
        <v>18</v>
      </c>
      <c r="H1529" s="4" t="s">
        <v>197</v>
      </c>
      <c r="I1529" s="5" t="str">
        <f t="shared" si="23"/>
        <v>2025-06</v>
      </c>
      <c r="J1529" s="4" t="s">
        <v>34</v>
      </c>
      <c r="K1529" s="5" t="s">
        <v>342</v>
      </c>
      <c r="L1529" s="2">
        <v>10283</v>
      </c>
      <c r="M1529" s="3">
        <v>1</v>
      </c>
      <c r="N1529" s="2">
        <v>10283</v>
      </c>
      <c r="O1529" s="2">
        <v>1028</v>
      </c>
      <c r="P1529" s="2">
        <v>11311</v>
      </c>
      <c r="Q1529" s="2">
        <f>P1529*8.5%</f>
        <v>961.43500000000006</v>
      </c>
    </row>
    <row r="1530" spans="1:17" hidden="1" x14ac:dyDescent="0.4">
      <c r="A1530" s="4" t="s">
        <v>32</v>
      </c>
      <c r="B1530" s="4" t="s">
        <v>14</v>
      </c>
      <c r="C1530" s="31" t="s">
        <v>435</v>
      </c>
      <c r="D1530" s="4" t="s">
        <v>33</v>
      </c>
      <c r="E1530" s="4" t="s">
        <v>16</v>
      </c>
      <c r="F1530" s="4" t="s">
        <v>17</v>
      </c>
      <c r="G1530" s="4" t="s">
        <v>18</v>
      </c>
      <c r="H1530" s="4" t="s">
        <v>197</v>
      </c>
      <c r="I1530" s="5" t="str">
        <f t="shared" si="23"/>
        <v>2025-06</v>
      </c>
      <c r="J1530" s="4" t="s">
        <v>34</v>
      </c>
      <c r="K1530" s="5" t="s">
        <v>342</v>
      </c>
      <c r="L1530" s="2">
        <v>44000</v>
      </c>
      <c r="M1530" s="3">
        <v>1</v>
      </c>
      <c r="N1530" s="2">
        <v>44000</v>
      </c>
      <c r="O1530" s="2">
        <v>4400</v>
      </c>
      <c r="P1530" s="2">
        <v>48400</v>
      </c>
      <c r="Q1530" s="2">
        <f>P1530*8.5%</f>
        <v>4114</v>
      </c>
    </row>
    <row r="1531" spans="1:17" hidden="1" x14ac:dyDescent="0.4">
      <c r="A1531" s="4" t="s">
        <v>58</v>
      </c>
      <c r="B1531" s="4" t="s">
        <v>14</v>
      </c>
      <c r="C1531" s="30" t="s">
        <v>434</v>
      </c>
      <c r="D1531" s="4" t="s">
        <v>36</v>
      </c>
      <c r="E1531" s="4" t="s">
        <v>16</v>
      </c>
      <c r="F1531" s="4" t="s">
        <v>17</v>
      </c>
      <c r="G1531" s="4" t="s">
        <v>18</v>
      </c>
      <c r="H1531" s="4" t="s">
        <v>197</v>
      </c>
      <c r="I1531" s="5" t="str">
        <f t="shared" si="23"/>
        <v>2025-06</v>
      </c>
      <c r="J1531" s="4" t="s">
        <v>34</v>
      </c>
      <c r="K1531" s="5" t="s">
        <v>342</v>
      </c>
      <c r="L1531" s="2">
        <v>120880</v>
      </c>
      <c r="M1531" s="3">
        <v>1</v>
      </c>
      <c r="N1531" s="2">
        <v>120880</v>
      </c>
      <c r="O1531" s="2">
        <v>12088</v>
      </c>
      <c r="P1531" s="2">
        <v>132968</v>
      </c>
      <c r="Q1531" s="2">
        <f>P1531*8.5%</f>
        <v>11302.28</v>
      </c>
    </row>
    <row r="1532" spans="1:17" hidden="1" x14ac:dyDescent="0.4">
      <c r="A1532" s="4" t="s">
        <v>13</v>
      </c>
      <c r="B1532" s="4" t="s">
        <v>14</v>
      </c>
      <c r="C1532" s="30" t="s">
        <v>434</v>
      </c>
      <c r="D1532" s="4" t="s">
        <v>15</v>
      </c>
      <c r="E1532" s="4" t="s">
        <v>16</v>
      </c>
      <c r="F1532" s="4" t="s">
        <v>17</v>
      </c>
      <c r="G1532" s="4" t="s">
        <v>18</v>
      </c>
      <c r="H1532" s="4" t="s">
        <v>197</v>
      </c>
      <c r="I1532" s="5" t="str">
        <f t="shared" si="23"/>
        <v>2025-06</v>
      </c>
      <c r="J1532" s="4" t="s">
        <v>34</v>
      </c>
      <c r="K1532" s="5" t="s">
        <v>342</v>
      </c>
      <c r="L1532" s="2">
        <v>42000</v>
      </c>
      <c r="M1532" s="3">
        <v>6</v>
      </c>
      <c r="N1532" s="2">
        <v>252000</v>
      </c>
      <c r="O1532" s="2">
        <v>25200</v>
      </c>
      <c r="P1532" s="2">
        <v>277200</v>
      </c>
      <c r="Q1532" s="2">
        <f>P1532*8.5%</f>
        <v>23562</v>
      </c>
    </row>
    <row r="1533" spans="1:17" hidden="1" x14ac:dyDescent="0.4">
      <c r="A1533" s="4" t="s">
        <v>21</v>
      </c>
      <c r="B1533" s="4" t="s">
        <v>14</v>
      </c>
      <c r="C1533" s="31" t="s">
        <v>435</v>
      </c>
      <c r="D1533" s="4" t="s">
        <v>22</v>
      </c>
      <c r="E1533" s="4" t="s">
        <v>16</v>
      </c>
      <c r="F1533" s="4" t="s">
        <v>17</v>
      </c>
      <c r="G1533" s="4" t="s">
        <v>18</v>
      </c>
      <c r="H1533" s="4" t="s">
        <v>197</v>
      </c>
      <c r="I1533" s="5" t="str">
        <f t="shared" si="23"/>
        <v>2025-06</v>
      </c>
      <c r="J1533" s="4" t="s">
        <v>34</v>
      </c>
      <c r="K1533" s="5" t="s">
        <v>342</v>
      </c>
      <c r="L1533" s="2">
        <v>54000</v>
      </c>
      <c r="M1533" s="3">
        <v>2</v>
      </c>
      <c r="N1533" s="2">
        <v>108000</v>
      </c>
      <c r="O1533" s="2">
        <v>10800</v>
      </c>
      <c r="P1533" s="2">
        <v>118800</v>
      </c>
      <c r="Q1533" s="2">
        <f>P1533*8.5%</f>
        <v>10098</v>
      </c>
    </row>
    <row r="1534" spans="1:17" hidden="1" x14ac:dyDescent="0.4">
      <c r="A1534" s="4" t="s">
        <v>23</v>
      </c>
      <c r="B1534" s="4" t="s">
        <v>14</v>
      </c>
      <c r="C1534" s="31" t="s">
        <v>435</v>
      </c>
      <c r="D1534" s="4" t="s">
        <v>24</v>
      </c>
      <c r="E1534" s="4" t="s">
        <v>16</v>
      </c>
      <c r="F1534" s="4" t="s">
        <v>17</v>
      </c>
      <c r="G1534" s="4" t="s">
        <v>18</v>
      </c>
      <c r="H1534" s="4" t="s">
        <v>197</v>
      </c>
      <c r="I1534" s="5" t="str">
        <f t="shared" si="23"/>
        <v>2025-06</v>
      </c>
      <c r="J1534" s="4" t="s">
        <v>34</v>
      </c>
      <c r="K1534" s="5" t="s">
        <v>342</v>
      </c>
      <c r="L1534" s="2">
        <v>54000</v>
      </c>
      <c r="M1534" s="3">
        <v>4</v>
      </c>
      <c r="N1534" s="2">
        <v>216000</v>
      </c>
      <c r="O1534" s="2">
        <v>21600</v>
      </c>
      <c r="P1534" s="2">
        <v>237600</v>
      </c>
      <c r="Q1534" s="2">
        <f>P1534*8.5%</f>
        <v>20196</v>
      </c>
    </row>
    <row r="1535" spans="1:17" hidden="1" x14ac:dyDescent="0.4">
      <c r="A1535" s="4" t="s">
        <v>51</v>
      </c>
      <c r="B1535" s="4" t="s">
        <v>14</v>
      </c>
      <c r="C1535" s="30" t="s">
        <v>434</v>
      </c>
      <c r="D1535" s="4" t="s">
        <v>52</v>
      </c>
      <c r="E1535" s="4" t="s">
        <v>16</v>
      </c>
      <c r="F1535" s="4" t="s">
        <v>17</v>
      </c>
      <c r="G1535" s="4" t="s">
        <v>18</v>
      </c>
      <c r="H1535" s="4" t="s">
        <v>197</v>
      </c>
      <c r="I1535" s="5" t="str">
        <f t="shared" si="23"/>
        <v>2025-06</v>
      </c>
      <c r="J1535" s="4" t="s">
        <v>34</v>
      </c>
      <c r="K1535" s="5" t="s">
        <v>342</v>
      </c>
      <c r="L1535" s="2">
        <v>71250</v>
      </c>
      <c r="M1535" s="3">
        <v>1</v>
      </c>
      <c r="N1535" s="2">
        <v>71250</v>
      </c>
      <c r="O1535" s="2">
        <v>7125</v>
      </c>
      <c r="P1535" s="2">
        <v>78375</v>
      </c>
      <c r="Q1535" s="2">
        <f>P1535*8.5%</f>
        <v>6661.8750000000009</v>
      </c>
    </row>
    <row r="1536" spans="1:17" hidden="1" x14ac:dyDescent="0.4">
      <c r="A1536" s="4" t="s">
        <v>123</v>
      </c>
      <c r="B1536" s="4" t="s">
        <v>26</v>
      </c>
      <c r="C1536" s="32" t="s">
        <v>436</v>
      </c>
      <c r="D1536" s="4" t="s">
        <v>124</v>
      </c>
      <c r="E1536" s="4" t="s">
        <v>28</v>
      </c>
      <c r="F1536" s="4" t="s">
        <v>17</v>
      </c>
      <c r="G1536" s="4" t="s">
        <v>18</v>
      </c>
      <c r="H1536" s="4" t="s">
        <v>197</v>
      </c>
      <c r="I1536" s="5" t="str">
        <f t="shared" si="23"/>
        <v>2025-06</v>
      </c>
      <c r="J1536" s="4" t="s">
        <v>34</v>
      </c>
      <c r="K1536" s="5" t="s">
        <v>342</v>
      </c>
      <c r="L1536" s="2">
        <v>454</v>
      </c>
      <c r="M1536" s="3">
        <v>10</v>
      </c>
      <c r="N1536" s="2">
        <v>4540</v>
      </c>
      <c r="O1536" s="2">
        <v>454</v>
      </c>
      <c r="P1536" s="2">
        <v>4994</v>
      </c>
      <c r="Q1536" s="2">
        <f>P1536*8.5%</f>
        <v>424.49</v>
      </c>
    </row>
    <row r="1537" spans="1:17" hidden="1" x14ac:dyDescent="0.4">
      <c r="A1537" s="4" t="s">
        <v>70</v>
      </c>
      <c r="B1537" s="4" t="s">
        <v>26</v>
      </c>
      <c r="C1537" s="32" t="s">
        <v>436</v>
      </c>
      <c r="D1537" s="4" t="s">
        <v>71</v>
      </c>
      <c r="E1537" s="4" t="s">
        <v>28</v>
      </c>
      <c r="F1537" s="4" t="s">
        <v>31</v>
      </c>
      <c r="G1537" s="4" t="s">
        <v>18</v>
      </c>
      <c r="H1537" s="4" t="s">
        <v>197</v>
      </c>
      <c r="I1537" s="5" t="str">
        <f t="shared" si="23"/>
        <v>2025-06</v>
      </c>
      <c r="J1537" s="4" t="s">
        <v>34</v>
      </c>
      <c r="K1537" s="5" t="s">
        <v>342</v>
      </c>
      <c r="L1537" s="2">
        <v>6624</v>
      </c>
      <c r="M1537" s="3">
        <v>2</v>
      </c>
      <c r="N1537" s="2">
        <v>13248</v>
      </c>
      <c r="O1537" s="2">
        <v>0</v>
      </c>
      <c r="P1537" s="2">
        <v>13248</v>
      </c>
      <c r="Q1537" s="2">
        <f>P1537*8.5%</f>
        <v>1126.0800000000002</v>
      </c>
    </row>
    <row r="1538" spans="1:17" hidden="1" x14ac:dyDescent="0.4">
      <c r="A1538" s="4" t="s">
        <v>42</v>
      </c>
      <c r="B1538" s="4" t="s">
        <v>14</v>
      </c>
      <c r="C1538" s="30" t="s">
        <v>434</v>
      </c>
      <c r="D1538" s="4" t="s">
        <v>43</v>
      </c>
      <c r="E1538" s="4" t="s">
        <v>44</v>
      </c>
      <c r="F1538" s="4" t="s">
        <v>31</v>
      </c>
      <c r="G1538" s="4" t="s">
        <v>18</v>
      </c>
      <c r="H1538" s="4" t="s">
        <v>197</v>
      </c>
      <c r="I1538" s="5" t="str">
        <f t="shared" ref="I1538:I1601" si="24">TEXT(H1538,"yyyy-mm")</f>
        <v>2025-06</v>
      </c>
      <c r="J1538" s="4" t="s">
        <v>34</v>
      </c>
      <c r="K1538" s="5" t="s">
        <v>342</v>
      </c>
      <c r="L1538" s="2">
        <v>6800</v>
      </c>
      <c r="M1538" s="3">
        <v>63</v>
      </c>
      <c r="N1538" s="2">
        <v>428400</v>
      </c>
      <c r="O1538" s="2">
        <v>0</v>
      </c>
      <c r="P1538" s="2">
        <v>428400</v>
      </c>
      <c r="Q1538" s="2">
        <f>P1538*8.5%</f>
        <v>36414</v>
      </c>
    </row>
    <row r="1539" spans="1:17" hidden="1" x14ac:dyDescent="0.4">
      <c r="A1539" s="4" t="s">
        <v>13</v>
      </c>
      <c r="B1539" s="4" t="s">
        <v>14</v>
      </c>
      <c r="C1539" s="30" t="s">
        <v>434</v>
      </c>
      <c r="D1539" s="4" t="s">
        <v>15</v>
      </c>
      <c r="E1539" s="4" t="s">
        <v>16</v>
      </c>
      <c r="F1539" s="4" t="s">
        <v>17</v>
      </c>
      <c r="G1539" s="4" t="s">
        <v>18</v>
      </c>
      <c r="H1539" s="4" t="s">
        <v>197</v>
      </c>
      <c r="I1539" s="5" t="str">
        <f t="shared" si="24"/>
        <v>2025-06</v>
      </c>
      <c r="J1539" s="4" t="s">
        <v>59</v>
      </c>
      <c r="K1539" s="5" t="s">
        <v>343</v>
      </c>
      <c r="L1539" s="2">
        <v>42000</v>
      </c>
      <c r="M1539" s="3">
        <v>4</v>
      </c>
      <c r="N1539" s="2">
        <v>168000</v>
      </c>
      <c r="O1539" s="2">
        <v>16800</v>
      </c>
      <c r="P1539" s="2">
        <v>184800</v>
      </c>
      <c r="Q1539" s="2">
        <f>P1539*12%</f>
        <v>22176</v>
      </c>
    </row>
    <row r="1540" spans="1:17" hidden="1" x14ac:dyDescent="0.4">
      <c r="A1540" s="4" t="s">
        <v>23</v>
      </c>
      <c r="B1540" s="4" t="s">
        <v>14</v>
      </c>
      <c r="C1540" s="31" t="s">
        <v>435</v>
      </c>
      <c r="D1540" s="4" t="s">
        <v>24</v>
      </c>
      <c r="E1540" s="4" t="s">
        <v>16</v>
      </c>
      <c r="F1540" s="4" t="s">
        <v>17</v>
      </c>
      <c r="G1540" s="4" t="s">
        <v>18</v>
      </c>
      <c r="H1540" s="4" t="s">
        <v>197</v>
      </c>
      <c r="I1540" s="5" t="str">
        <f t="shared" si="24"/>
        <v>2025-06</v>
      </c>
      <c r="J1540" s="4" t="s">
        <v>59</v>
      </c>
      <c r="K1540" s="5" t="s">
        <v>343</v>
      </c>
      <c r="L1540" s="2">
        <v>54000</v>
      </c>
      <c r="M1540" s="3">
        <v>2</v>
      </c>
      <c r="N1540" s="2">
        <v>108000</v>
      </c>
      <c r="O1540" s="2">
        <v>10800</v>
      </c>
      <c r="P1540" s="2">
        <v>118800</v>
      </c>
      <c r="Q1540" s="2">
        <f>P1540*12%</f>
        <v>14256</v>
      </c>
    </row>
    <row r="1541" spans="1:17" hidden="1" x14ac:dyDescent="0.4">
      <c r="A1541" s="4" t="s">
        <v>32</v>
      </c>
      <c r="B1541" s="4" t="s">
        <v>14</v>
      </c>
      <c r="C1541" s="31" t="s">
        <v>435</v>
      </c>
      <c r="D1541" s="4" t="s">
        <v>33</v>
      </c>
      <c r="E1541" s="4" t="s">
        <v>16</v>
      </c>
      <c r="F1541" s="4" t="s">
        <v>17</v>
      </c>
      <c r="G1541" s="4" t="s">
        <v>18</v>
      </c>
      <c r="H1541" s="4" t="s">
        <v>197</v>
      </c>
      <c r="I1541" s="5" t="str">
        <f t="shared" si="24"/>
        <v>2025-06</v>
      </c>
      <c r="J1541" s="4" t="s">
        <v>49</v>
      </c>
      <c r="K1541" s="5" t="s">
        <v>343</v>
      </c>
      <c r="L1541" s="2">
        <v>44000</v>
      </c>
      <c r="M1541" s="3">
        <v>2</v>
      </c>
      <c r="N1541" s="2">
        <v>88000</v>
      </c>
      <c r="O1541" s="2">
        <v>8800</v>
      </c>
      <c r="P1541" s="2">
        <v>96800</v>
      </c>
      <c r="Q1541" s="2">
        <f>P1541*12%</f>
        <v>11616</v>
      </c>
    </row>
    <row r="1542" spans="1:17" hidden="1" x14ac:dyDescent="0.4">
      <c r="A1542" s="4" t="s">
        <v>13</v>
      </c>
      <c r="B1542" s="4" t="s">
        <v>14</v>
      </c>
      <c r="C1542" s="30" t="s">
        <v>434</v>
      </c>
      <c r="D1542" s="4" t="s">
        <v>15</v>
      </c>
      <c r="E1542" s="4" t="s">
        <v>16</v>
      </c>
      <c r="F1542" s="4" t="s">
        <v>17</v>
      </c>
      <c r="G1542" s="4" t="s">
        <v>18</v>
      </c>
      <c r="H1542" s="4" t="s">
        <v>197</v>
      </c>
      <c r="I1542" s="5" t="str">
        <f t="shared" si="24"/>
        <v>2025-06</v>
      </c>
      <c r="J1542" s="4" t="s">
        <v>49</v>
      </c>
      <c r="K1542" s="5" t="s">
        <v>343</v>
      </c>
      <c r="L1542" s="2">
        <v>42000</v>
      </c>
      <c r="M1542" s="3">
        <v>6</v>
      </c>
      <c r="N1542" s="2">
        <v>252000</v>
      </c>
      <c r="O1542" s="2">
        <v>25200</v>
      </c>
      <c r="P1542" s="2">
        <v>277200</v>
      </c>
      <c r="Q1542" s="2">
        <f>P1542*12%</f>
        <v>33264</v>
      </c>
    </row>
    <row r="1543" spans="1:17" hidden="1" x14ac:dyDescent="0.4">
      <c r="A1543" s="4" t="s">
        <v>35</v>
      </c>
      <c r="B1543" s="4" t="s">
        <v>14</v>
      </c>
      <c r="C1543" s="30" t="s">
        <v>434</v>
      </c>
      <c r="D1543" s="4" t="s">
        <v>36</v>
      </c>
      <c r="E1543" s="4" t="s">
        <v>16</v>
      </c>
      <c r="F1543" s="4" t="s">
        <v>17</v>
      </c>
      <c r="G1543" s="4" t="s">
        <v>18</v>
      </c>
      <c r="H1543" s="4" t="s">
        <v>197</v>
      </c>
      <c r="I1543" s="5" t="str">
        <f t="shared" si="24"/>
        <v>2025-06</v>
      </c>
      <c r="J1543" s="4" t="s">
        <v>49</v>
      </c>
      <c r="K1543" s="5" t="s">
        <v>343</v>
      </c>
      <c r="L1543" s="2">
        <v>116220</v>
      </c>
      <c r="M1543" s="3">
        <v>1</v>
      </c>
      <c r="N1543" s="2">
        <v>116220</v>
      </c>
      <c r="O1543" s="2">
        <v>11622</v>
      </c>
      <c r="P1543" s="2">
        <v>127842</v>
      </c>
      <c r="Q1543" s="2">
        <f>P1543*12%</f>
        <v>15341.039999999999</v>
      </c>
    </row>
    <row r="1544" spans="1:17" hidden="1" x14ac:dyDescent="0.4">
      <c r="A1544" s="4" t="s">
        <v>23</v>
      </c>
      <c r="B1544" s="4" t="s">
        <v>14</v>
      </c>
      <c r="C1544" s="31" t="s">
        <v>435</v>
      </c>
      <c r="D1544" s="4" t="s">
        <v>24</v>
      </c>
      <c r="E1544" s="4" t="s">
        <v>16</v>
      </c>
      <c r="F1544" s="4" t="s">
        <v>17</v>
      </c>
      <c r="G1544" s="4" t="s">
        <v>18</v>
      </c>
      <c r="H1544" s="4" t="s">
        <v>197</v>
      </c>
      <c r="I1544" s="5" t="str">
        <f t="shared" si="24"/>
        <v>2025-06</v>
      </c>
      <c r="J1544" s="4" t="s">
        <v>49</v>
      </c>
      <c r="K1544" s="5" t="s">
        <v>343</v>
      </c>
      <c r="L1544" s="2">
        <v>54000</v>
      </c>
      <c r="M1544" s="3">
        <v>2</v>
      </c>
      <c r="N1544" s="2">
        <v>108000</v>
      </c>
      <c r="O1544" s="2">
        <v>10800</v>
      </c>
      <c r="P1544" s="2">
        <v>118800</v>
      </c>
      <c r="Q1544" s="2">
        <f>P1544*12%</f>
        <v>14256</v>
      </c>
    </row>
    <row r="1545" spans="1:17" hidden="1" x14ac:dyDescent="0.4">
      <c r="A1545" s="4" t="s">
        <v>51</v>
      </c>
      <c r="B1545" s="4" t="s">
        <v>14</v>
      </c>
      <c r="C1545" s="30" t="s">
        <v>434</v>
      </c>
      <c r="D1545" s="4" t="s">
        <v>52</v>
      </c>
      <c r="E1545" s="4" t="s">
        <v>16</v>
      </c>
      <c r="F1545" s="4" t="s">
        <v>17</v>
      </c>
      <c r="G1545" s="4" t="s">
        <v>18</v>
      </c>
      <c r="H1545" s="4" t="s">
        <v>197</v>
      </c>
      <c r="I1545" s="5" t="str">
        <f t="shared" si="24"/>
        <v>2025-06</v>
      </c>
      <c r="J1545" s="4" t="s">
        <v>49</v>
      </c>
      <c r="K1545" s="5" t="s">
        <v>343</v>
      </c>
      <c r="L1545" s="2">
        <v>71250</v>
      </c>
      <c r="M1545" s="3">
        <v>1</v>
      </c>
      <c r="N1545" s="2">
        <v>71250</v>
      </c>
      <c r="O1545" s="2">
        <v>7125</v>
      </c>
      <c r="P1545" s="2">
        <v>78375</v>
      </c>
      <c r="Q1545" s="2">
        <f>P1545*12%</f>
        <v>9405</v>
      </c>
    </row>
    <row r="1546" spans="1:17" hidden="1" x14ac:dyDescent="0.4">
      <c r="A1546" s="4" t="s">
        <v>13</v>
      </c>
      <c r="B1546" s="4" t="s">
        <v>14</v>
      </c>
      <c r="C1546" s="30" t="s">
        <v>434</v>
      </c>
      <c r="D1546" s="4" t="s">
        <v>15</v>
      </c>
      <c r="E1546" s="4" t="s">
        <v>16</v>
      </c>
      <c r="F1546" s="4" t="s">
        <v>17</v>
      </c>
      <c r="G1546" s="4" t="s">
        <v>18</v>
      </c>
      <c r="H1546" s="4" t="s">
        <v>197</v>
      </c>
      <c r="I1546" s="5" t="str">
        <f t="shared" si="24"/>
        <v>2025-06</v>
      </c>
      <c r="J1546" s="4" t="s">
        <v>50</v>
      </c>
      <c r="K1546" s="5" t="s">
        <v>343</v>
      </c>
      <c r="L1546" s="2">
        <v>42000</v>
      </c>
      <c r="M1546" s="3">
        <v>10</v>
      </c>
      <c r="N1546" s="2">
        <v>420000</v>
      </c>
      <c r="O1546" s="2">
        <v>42000</v>
      </c>
      <c r="P1546" s="2">
        <v>462000</v>
      </c>
      <c r="Q1546" s="2">
        <f>P1546*12%</f>
        <v>55440</v>
      </c>
    </row>
    <row r="1547" spans="1:17" hidden="1" x14ac:dyDescent="0.4">
      <c r="A1547" s="4" t="s">
        <v>23</v>
      </c>
      <c r="B1547" s="4" t="s">
        <v>14</v>
      </c>
      <c r="C1547" s="31" t="s">
        <v>435</v>
      </c>
      <c r="D1547" s="4" t="s">
        <v>24</v>
      </c>
      <c r="E1547" s="4" t="s">
        <v>16</v>
      </c>
      <c r="F1547" s="4" t="s">
        <v>17</v>
      </c>
      <c r="G1547" s="4" t="s">
        <v>18</v>
      </c>
      <c r="H1547" s="4" t="s">
        <v>197</v>
      </c>
      <c r="I1547" s="5" t="str">
        <f t="shared" si="24"/>
        <v>2025-06</v>
      </c>
      <c r="J1547" s="4" t="s">
        <v>50</v>
      </c>
      <c r="K1547" s="5" t="s">
        <v>343</v>
      </c>
      <c r="L1547" s="2">
        <v>54000</v>
      </c>
      <c r="M1547" s="3">
        <v>5</v>
      </c>
      <c r="N1547" s="2">
        <v>270000</v>
      </c>
      <c r="O1547" s="2">
        <v>27000</v>
      </c>
      <c r="P1547" s="2">
        <v>297000</v>
      </c>
      <c r="Q1547" s="2">
        <f>P1547*12%</f>
        <v>35640</v>
      </c>
    </row>
    <row r="1548" spans="1:17" x14ac:dyDescent="0.4">
      <c r="A1548" s="4" t="s">
        <v>13</v>
      </c>
      <c r="B1548" s="4" t="s">
        <v>14</v>
      </c>
      <c r="C1548" s="30" t="s">
        <v>434</v>
      </c>
      <c r="D1548" s="4" t="s">
        <v>15</v>
      </c>
      <c r="E1548" s="4" t="s">
        <v>16</v>
      </c>
      <c r="F1548" s="4" t="s">
        <v>17</v>
      </c>
      <c r="G1548" s="4" t="s">
        <v>18</v>
      </c>
      <c r="H1548" s="4" t="s">
        <v>198</v>
      </c>
      <c r="I1548" s="5" t="str">
        <f t="shared" si="24"/>
        <v>2025-06</v>
      </c>
      <c r="J1548" s="4" t="s">
        <v>20</v>
      </c>
      <c r="K1548" s="5" t="s">
        <v>342</v>
      </c>
      <c r="L1548" s="2">
        <v>42000</v>
      </c>
      <c r="M1548" s="3">
        <v>2</v>
      </c>
      <c r="N1548" s="2">
        <v>84000</v>
      </c>
      <c r="O1548" s="2">
        <v>8400</v>
      </c>
      <c r="P1548" s="2">
        <v>92400</v>
      </c>
      <c r="Q1548" s="2">
        <f>P1548*8.5%</f>
        <v>7854.0000000000009</v>
      </c>
    </row>
    <row r="1549" spans="1:17" x14ac:dyDescent="0.4">
      <c r="A1549" s="4" t="s">
        <v>21</v>
      </c>
      <c r="B1549" s="4" t="s">
        <v>14</v>
      </c>
      <c r="C1549" s="31" t="s">
        <v>435</v>
      </c>
      <c r="D1549" s="4" t="s">
        <v>22</v>
      </c>
      <c r="E1549" s="4" t="s">
        <v>16</v>
      </c>
      <c r="F1549" s="4" t="s">
        <v>17</v>
      </c>
      <c r="G1549" s="4" t="s">
        <v>18</v>
      </c>
      <c r="H1549" s="4" t="s">
        <v>198</v>
      </c>
      <c r="I1549" s="5" t="str">
        <f t="shared" si="24"/>
        <v>2025-06</v>
      </c>
      <c r="J1549" s="4" t="s">
        <v>20</v>
      </c>
      <c r="K1549" s="5" t="s">
        <v>342</v>
      </c>
      <c r="L1549" s="2">
        <v>54000</v>
      </c>
      <c r="M1549" s="3">
        <v>1</v>
      </c>
      <c r="N1549" s="2">
        <v>54000</v>
      </c>
      <c r="O1549" s="2">
        <v>5400</v>
      </c>
      <c r="P1549" s="2">
        <v>59400</v>
      </c>
      <c r="Q1549" s="2">
        <f>P1549*8.5%</f>
        <v>5049</v>
      </c>
    </row>
    <row r="1550" spans="1:17" x14ac:dyDescent="0.4">
      <c r="A1550" s="4" t="s">
        <v>23</v>
      </c>
      <c r="B1550" s="4" t="s">
        <v>14</v>
      </c>
      <c r="C1550" s="31" t="s">
        <v>435</v>
      </c>
      <c r="D1550" s="4" t="s">
        <v>24</v>
      </c>
      <c r="E1550" s="4" t="s">
        <v>16</v>
      </c>
      <c r="F1550" s="4" t="s">
        <v>17</v>
      </c>
      <c r="G1550" s="4" t="s">
        <v>18</v>
      </c>
      <c r="H1550" s="4" t="s">
        <v>198</v>
      </c>
      <c r="I1550" s="5" t="str">
        <f t="shared" si="24"/>
        <v>2025-06</v>
      </c>
      <c r="J1550" s="4" t="s">
        <v>20</v>
      </c>
      <c r="K1550" s="5" t="s">
        <v>342</v>
      </c>
      <c r="L1550" s="2">
        <v>54000</v>
      </c>
      <c r="M1550" s="3">
        <v>3</v>
      </c>
      <c r="N1550" s="2">
        <v>162000</v>
      </c>
      <c r="O1550" s="2">
        <v>16200</v>
      </c>
      <c r="P1550" s="2">
        <v>178200</v>
      </c>
      <c r="Q1550" s="2">
        <f>P1550*8.5%</f>
        <v>15147.000000000002</v>
      </c>
    </row>
    <row r="1551" spans="1:17" x14ac:dyDescent="0.4">
      <c r="A1551" s="4" t="s">
        <v>76</v>
      </c>
      <c r="B1551" s="4" t="s">
        <v>65</v>
      </c>
      <c r="C1551" s="32" t="s">
        <v>436</v>
      </c>
      <c r="D1551" s="4" t="s">
        <v>27</v>
      </c>
      <c r="E1551" s="4" t="s">
        <v>28</v>
      </c>
      <c r="F1551" s="4" t="s">
        <v>17</v>
      </c>
      <c r="G1551" s="4" t="s">
        <v>18</v>
      </c>
      <c r="H1551" s="4" t="s">
        <v>198</v>
      </c>
      <c r="I1551" s="5" t="str">
        <f t="shared" si="24"/>
        <v>2025-06</v>
      </c>
      <c r="J1551" s="4" t="s">
        <v>20</v>
      </c>
      <c r="K1551" s="5" t="s">
        <v>342</v>
      </c>
      <c r="L1551" s="2">
        <v>17338</v>
      </c>
      <c r="M1551" s="3">
        <v>1</v>
      </c>
      <c r="N1551" s="2">
        <v>17338</v>
      </c>
      <c r="O1551" s="2">
        <v>1734</v>
      </c>
      <c r="P1551" s="2">
        <v>19072</v>
      </c>
      <c r="Q1551" s="2">
        <f>P1551*8.5%</f>
        <v>1621.1200000000001</v>
      </c>
    </row>
    <row r="1552" spans="1:17" x14ac:dyDescent="0.4">
      <c r="A1552" s="4" t="s">
        <v>54</v>
      </c>
      <c r="B1552" s="4" t="s">
        <v>26</v>
      </c>
      <c r="C1552" s="32" t="s">
        <v>436</v>
      </c>
      <c r="D1552" s="4" t="s">
        <v>55</v>
      </c>
      <c r="E1552" s="4" t="s">
        <v>28</v>
      </c>
      <c r="F1552" s="4" t="s">
        <v>31</v>
      </c>
      <c r="G1552" s="4" t="s">
        <v>18</v>
      </c>
      <c r="H1552" s="4" t="s">
        <v>198</v>
      </c>
      <c r="I1552" s="5" t="str">
        <f t="shared" si="24"/>
        <v>2025-06</v>
      </c>
      <c r="J1552" s="4" t="s">
        <v>20</v>
      </c>
      <c r="K1552" s="5" t="s">
        <v>342</v>
      </c>
      <c r="L1552" s="2">
        <v>5261</v>
      </c>
      <c r="M1552" s="3">
        <v>1</v>
      </c>
      <c r="N1552" s="2">
        <v>5261</v>
      </c>
      <c r="O1552" s="2">
        <v>0</v>
      </c>
      <c r="P1552" s="2">
        <v>5261</v>
      </c>
      <c r="Q1552" s="2">
        <f>P1552*8.5%</f>
        <v>447.18500000000006</v>
      </c>
    </row>
    <row r="1553" spans="1:17" x14ac:dyDescent="0.4">
      <c r="A1553" s="4" t="s">
        <v>127</v>
      </c>
      <c r="B1553" s="4" t="s">
        <v>26</v>
      </c>
      <c r="C1553" s="32" t="s">
        <v>436</v>
      </c>
      <c r="D1553" s="4" t="s">
        <v>128</v>
      </c>
      <c r="E1553" s="4" t="s">
        <v>28</v>
      </c>
      <c r="F1553" s="4" t="s">
        <v>17</v>
      </c>
      <c r="G1553" s="4" t="s">
        <v>18</v>
      </c>
      <c r="H1553" s="4" t="s">
        <v>198</v>
      </c>
      <c r="I1553" s="5" t="str">
        <f t="shared" si="24"/>
        <v>2025-06</v>
      </c>
      <c r="J1553" s="4" t="s">
        <v>20</v>
      </c>
      <c r="K1553" s="5" t="s">
        <v>342</v>
      </c>
      <c r="L1553" s="2">
        <v>2870</v>
      </c>
      <c r="M1553" s="3">
        <v>4</v>
      </c>
      <c r="N1553" s="2">
        <v>11480</v>
      </c>
      <c r="O1553" s="2">
        <v>1148</v>
      </c>
      <c r="P1553" s="2">
        <v>12628</v>
      </c>
      <c r="Q1553" s="2">
        <f>P1553*8.5%</f>
        <v>1073.3800000000001</v>
      </c>
    </row>
    <row r="1554" spans="1:17" x14ac:dyDescent="0.4">
      <c r="A1554" s="4" t="s">
        <v>29</v>
      </c>
      <c r="B1554" s="4" t="s">
        <v>26</v>
      </c>
      <c r="C1554" s="32" t="s">
        <v>436</v>
      </c>
      <c r="D1554" s="4" t="s">
        <v>30</v>
      </c>
      <c r="E1554" s="4" t="s">
        <v>28</v>
      </c>
      <c r="F1554" s="4" t="s">
        <v>31</v>
      </c>
      <c r="G1554" s="4" t="s">
        <v>18</v>
      </c>
      <c r="H1554" s="4" t="s">
        <v>198</v>
      </c>
      <c r="I1554" s="5" t="str">
        <f t="shared" si="24"/>
        <v>2025-06</v>
      </c>
      <c r="J1554" s="4" t="s">
        <v>20</v>
      </c>
      <c r="K1554" s="5" t="s">
        <v>342</v>
      </c>
      <c r="L1554" s="2">
        <v>3719</v>
      </c>
      <c r="M1554" s="3">
        <v>1</v>
      </c>
      <c r="N1554" s="2">
        <v>3719</v>
      </c>
      <c r="O1554" s="2">
        <v>0</v>
      </c>
      <c r="P1554" s="2">
        <v>3719</v>
      </c>
      <c r="Q1554" s="2">
        <f>P1554*8.5%</f>
        <v>316.11500000000001</v>
      </c>
    </row>
    <row r="1555" spans="1:17" hidden="1" x14ac:dyDescent="0.4">
      <c r="A1555" s="4" t="s">
        <v>32</v>
      </c>
      <c r="B1555" s="4" t="s">
        <v>14</v>
      </c>
      <c r="C1555" s="31" t="s">
        <v>435</v>
      </c>
      <c r="D1555" s="4" t="s">
        <v>33</v>
      </c>
      <c r="E1555" s="4" t="s">
        <v>16</v>
      </c>
      <c r="F1555" s="4" t="s">
        <v>17</v>
      </c>
      <c r="G1555" s="4" t="s">
        <v>18</v>
      </c>
      <c r="H1555" s="4" t="s">
        <v>198</v>
      </c>
      <c r="I1555" s="5" t="str">
        <f t="shared" si="24"/>
        <v>2025-06</v>
      </c>
      <c r="J1555" s="4" t="s">
        <v>118</v>
      </c>
      <c r="K1555" s="5" t="s">
        <v>342</v>
      </c>
      <c r="L1555" s="2">
        <v>44000</v>
      </c>
      <c r="M1555" s="3">
        <v>2</v>
      </c>
      <c r="N1555" s="2">
        <v>88000</v>
      </c>
      <c r="O1555" s="2">
        <v>8800</v>
      </c>
      <c r="P1555" s="2">
        <v>96800</v>
      </c>
      <c r="Q1555" s="2">
        <f>P1555*8.5%</f>
        <v>8228</v>
      </c>
    </row>
    <row r="1556" spans="1:17" hidden="1" x14ac:dyDescent="0.4">
      <c r="A1556" s="4" t="s">
        <v>13</v>
      </c>
      <c r="B1556" s="4" t="s">
        <v>14</v>
      </c>
      <c r="C1556" s="30" t="s">
        <v>434</v>
      </c>
      <c r="D1556" s="4" t="s">
        <v>15</v>
      </c>
      <c r="E1556" s="4" t="s">
        <v>16</v>
      </c>
      <c r="F1556" s="4" t="s">
        <v>17</v>
      </c>
      <c r="G1556" s="4" t="s">
        <v>18</v>
      </c>
      <c r="H1556" s="4" t="s">
        <v>198</v>
      </c>
      <c r="I1556" s="5" t="str">
        <f t="shared" si="24"/>
        <v>2025-06</v>
      </c>
      <c r="J1556" s="4" t="s">
        <v>118</v>
      </c>
      <c r="K1556" s="5" t="s">
        <v>342</v>
      </c>
      <c r="L1556" s="2">
        <v>42000</v>
      </c>
      <c r="M1556" s="3">
        <v>10</v>
      </c>
      <c r="N1556" s="2">
        <v>420000</v>
      </c>
      <c r="O1556" s="2">
        <v>42000</v>
      </c>
      <c r="P1556" s="2">
        <v>462000</v>
      </c>
      <c r="Q1556" s="2">
        <f>P1556*8.5%</f>
        <v>39270</v>
      </c>
    </row>
    <row r="1557" spans="1:17" hidden="1" x14ac:dyDescent="0.4">
      <c r="A1557" s="4" t="s">
        <v>23</v>
      </c>
      <c r="B1557" s="4" t="s">
        <v>14</v>
      </c>
      <c r="C1557" s="31" t="s">
        <v>435</v>
      </c>
      <c r="D1557" s="4" t="s">
        <v>24</v>
      </c>
      <c r="E1557" s="4" t="s">
        <v>16</v>
      </c>
      <c r="F1557" s="4" t="s">
        <v>17</v>
      </c>
      <c r="G1557" s="4" t="s">
        <v>18</v>
      </c>
      <c r="H1557" s="4" t="s">
        <v>198</v>
      </c>
      <c r="I1557" s="5" t="str">
        <f t="shared" si="24"/>
        <v>2025-06</v>
      </c>
      <c r="J1557" s="4" t="s">
        <v>118</v>
      </c>
      <c r="K1557" s="5" t="s">
        <v>342</v>
      </c>
      <c r="L1557" s="2">
        <v>54000</v>
      </c>
      <c r="M1557" s="3">
        <v>3</v>
      </c>
      <c r="N1557" s="2">
        <v>162000</v>
      </c>
      <c r="O1557" s="2">
        <v>16200</v>
      </c>
      <c r="P1557" s="2">
        <v>178200</v>
      </c>
      <c r="Q1557" s="2">
        <f>P1557*8.5%</f>
        <v>15147.000000000002</v>
      </c>
    </row>
    <row r="1558" spans="1:17" hidden="1" x14ac:dyDescent="0.4">
      <c r="A1558" s="4" t="s">
        <v>51</v>
      </c>
      <c r="B1558" s="4" t="s">
        <v>14</v>
      </c>
      <c r="C1558" s="30" t="s">
        <v>434</v>
      </c>
      <c r="D1558" s="4" t="s">
        <v>52</v>
      </c>
      <c r="E1558" s="4" t="s">
        <v>16</v>
      </c>
      <c r="F1558" s="4" t="s">
        <v>17</v>
      </c>
      <c r="G1558" s="4" t="s">
        <v>18</v>
      </c>
      <c r="H1558" s="4" t="s">
        <v>198</v>
      </c>
      <c r="I1558" s="5" t="str">
        <f t="shared" si="24"/>
        <v>2025-06</v>
      </c>
      <c r="J1558" s="4" t="s">
        <v>118</v>
      </c>
      <c r="K1558" s="5" t="s">
        <v>342</v>
      </c>
      <c r="L1558" s="2">
        <v>71250</v>
      </c>
      <c r="M1558" s="3">
        <v>1</v>
      </c>
      <c r="N1558" s="2">
        <v>71250</v>
      </c>
      <c r="O1558" s="2">
        <v>7125</v>
      </c>
      <c r="P1558" s="2">
        <v>78375</v>
      </c>
      <c r="Q1558" s="2">
        <f>P1558*8.5%</f>
        <v>6661.8750000000009</v>
      </c>
    </row>
    <row r="1559" spans="1:17" hidden="1" x14ac:dyDescent="0.4">
      <c r="A1559" s="4" t="s">
        <v>32</v>
      </c>
      <c r="B1559" s="4" t="s">
        <v>14</v>
      </c>
      <c r="C1559" s="31" t="s">
        <v>435</v>
      </c>
      <c r="D1559" s="4" t="s">
        <v>33</v>
      </c>
      <c r="E1559" s="4" t="s">
        <v>16</v>
      </c>
      <c r="F1559" s="4" t="s">
        <v>17</v>
      </c>
      <c r="G1559" s="4" t="s">
        <v>18</v>
      </c>
      <c r="H1559" s="4" t="s">
        <v>198</v>
      </c>
      <c r="I1559" s="5" t="str">
        <f t="shared" si="24"/>
        <v>2025-06</v>
      </c>
      <c r="J1559" s="4" t="s">
        <v>34</v>
      </c>
      <c r="K1559" s="5" t="s">
        <v>342</v>
      </c>
      <c r="L1559" s="2">
        <v>44000</v>
      </c>
      <c r="M1559" s="3">
        <v>4</v>
      </c>
      <c r="N1559" s="2">
        <v>176000</v>
      </c>
      <c r="O1559" s="2">
        <v>17600</v>
      </c>
      <c r="P1559" s="2">
        <v>193600</v>
      </c>
      <c r="Q1559" s="2">
        <f>P1559*8.5%</f>
        <v>16456</v>
      </c>
    </row>
    <row r="1560" spans="1:17" hidden="1" x14ac:dyDescent="0.4">
      <c r="A1560" s="4" t="s">
        <v>13</v>
      </c>
      <c r="B1560" s="4" t="s">
        <v>14</v>
      </c>
      <c r="C1560" s="30" t="s">
        <v>434</v>
      </c>
      <c r="D1560" s="4" t="s">
        <v>15</v>
      </c>
      <c r="E1560" s="4" t="s">
        <v>16</v>
      </c>
      <c r="F1560" s="4" t="s">
        <v>17</v>
      </c>
      <c r="G1560" s="4" t="s">
        <v>18</v>
      </c>
      <c r="H1560" s="4" t="s">
        <v>198</v>
      </c>
      <c r="I1560" s="5" t="str">
        <f t="shared" si="24"/>
        <v>2025-06</v>
      </c>
      <c r="J1560" s="4" t="s">
        <v>34</v>
      </c>
      <c r="K1560" s="5" t="s">
        <v>342</v>
      </c>
      <c r="L1560" s="2">
        <v>42000</v>
      </c>
      <c r="M1560" s="3">
        <v>5</v>
      </c>
      <c r="N1560" s="2">
        <v>210000</v>
      </c>
      <c r="O1560" s="2">
        <v>21000</v>
      </c>
      <c r="P1560" s="2">
        <v>231000</v>
      </c>
      <c r="Q1560" s="2">
        <f>P1560*8.5%</f>
        <v>19635</v>
      </c>
    </row>
    <row r="1561" spans="1:17" hidden="1" x14ac:dyDescent="0.4">
      <c r="A1561" s="4" t="s">
        <v>21</v>
      </c>
      <c r="B1561" s="4" t="s">
        <v>14</v>
      </c>
      <c r="C1561" s="31" t="s">
        <v>435</v>
      </c>
      <c r="D1561" s="4" t="s">
        <v>22</v>
      </c>
      <c r="E1561" s="4" t="s">
        <v>16</v>
      </c>
      <c r="F1561" s="4" t="s">
        <v>17</v>
      </c>
      <c r="G1561" s="4" t="s">
        <v>18</v>
      </c>
      <c r="H1561" s="4" t="s">
        <v>198</v>
      </c>
      <c r="I1561" s="5" t="str">
        <f t="shared" si="24"/>
        <v>2025-06</v>
      </c>
      <c r="J1561" s="4" t="s">
        <v>34</v>
      </c>
      <c r="K1561" s="5" t="s">
        <v>342</v>
      </c>
      <c r="L1561" s="2">
        <v>54000</v>
      </c>
      <c r="M1561" s="3">
        <v>2</v>
      </c>
      <c r="N1561" s="2">
        <v>108000</v>
      </c>
      <c r="O1561" s="2">
        <v>10800</v>
      </c>
      <c r="P1561" s="2">
        <v>118800</v>
      </c>
      <c r="Q1561" s="2">
        <f>P1561*8.5%</f>
        <v>10098</v>
      </c>
    </row>
    <row r="1562" spans="1:17" hidden="1" x14ac:dyDescent="0.4">
      <c r="A1562" s="4" t="s">
        <v>35</v>
      </c>
      <c r="B1562" s="4" t="s">
        <v>14</v>
      </c>
      <c r="C1562" s="30" t="s">
        <v>434</v>
      </c>
      <c r="D1562" s="4" t="s">
        <v>36</v>
      </c>
      <c r="E1562" s="4" t="s">
        <v>16</v>
      </c>
      <c r="F1562" s="4" t="s">
        <v>17</v>
      </c>
      <c r="G1562" s="4" t="s">
        <v>18</v>
      </c>
      <c r="H1562" s="4" t="s">
        <v>198</v>
      </c>
      <c r="I1562" s="5" t="str">
        <f t="shared" si="24"/>
        <v>2025-06</v>
      </c>
      <c r="J1562" s="4" t="s">
        <v>34</v>
      </c>
      <c r="K1562" s="5" t="s">
        <v>342</v>
      </c>
      <c r="L1562" s="2">
        <v>116220</v>
      </c>
      <c r="M1562" s="3">
        <v>1</v>
      </c>
      <c r="N1562" s="2">
        <v>116220</v>
      </c>
      <c r="O1562" s="2">
        <v>11622</v>
      </c>
      <c r="P1562" s="2">
        <v>127842</v>
      </c>
      <c r="Q1562" s="2">
        <f>P1562*8.5%</f>
        <v>10866.570000000002</v>
      </c>
    </row>
    <row r="1563" spans="1:17" hidden="1" x14ac:dyDescent="0.4">
      <c r="A1563" s="4" t="s">
        <v>23</v>
      </c>
      <c r="B1563" s="4" t="s">
        <v>14</v>
      </c>
      <c r="C1563" s="31" t="s">
        <v>435</v>
      </c>
      <c r="D1563" s="4" t="s">
        <v>24</v>
      </c>
      <c r="E1563" s="4" t="s">
        <v>16</v>
      </c>
      <c r="F1563" s="4" t="s">
        <v>17</v>
      </c>
      <c r="G1563" s="4" t="s">
        <v>18</v>
      </c>
      <c r="H1563" s="4" t="s">
        <v>198</v>
      </c>
      <c r="I1563" s="5" t="str">
        <f t="shared" si="24"/>
        <v>2025-06</v>
      </c>
      <c r="J1563" s="4" t="s">
        <v>34</v>
      </c>
      <c r="K1563" s="5" t="s">
        <v>342</v>
      </c>
      <c r="L1563" s="2">
        <v>54000</v>
      </c>
      <c r="M1563" s="3">
        <v>7</v>
      </c>
      <c r="N1563" s="2">
        <v>378000</v>
      </c>
      <c r="O1563" s="2">
        <v>37800</v>
      </c>
      <c r="P1563" s="2">
        <v>415800</v>
      </c>
      <c r="Q1563" s="2">
        <f>P1563*8.5%</f>
        <v>35343</v>
      </c>
    </row>
    <row r="1564" spans="1:17" hidden="1" x14ac:dyDescent="0.4">
      <c r="A1564" s="4" t="s">
        <v>37</v>
      </c>
      <c r="B1564" s="4" t="s">
        <v>26</v>
      </c>
      <c r="C1564" s="32" t="s">
        <v>436</v>
      </c>
      <c r="D1564" s="4" t="s">
        <v>38</v>
      </c>
      <c r="E1564" s="4" t="s">
        <v>28</v>
      </c>
      <c r="F1564" s="4" t="s">
        <v>17</v>
      </c>
      <c r="G1564" s="4" t="s">
        <v>18</v>
      </c>
      <c r="H1564" s="4" t="s">
        <v>198</v>
      </c>
      <c r="I1564" s="5" t="str">
        <f t="shared" si="24"/>
        <v>2025-06</v>
      </c>
      <c r="J1564" s="4" t="s">
        <v>34</v>
      </c>
      <c r="K1564" s="5" t="s">
        <v>342</v>
      </c>
      <c r="L1564" s="2">
        <v>395</v>
      </c>
      <c r="M1564" s="3">
        <v>20</v>
      </c>
      <c r="N1564" s="2">
        <v>7900</v>
      </c>
      <c r="O1564" s="2">
        <v>790</v>
      </c>
      <c r="P1564" s="2">
        <v>8690</v>
      </c>
      <c r="Q1564" s="2">
        <f>P1564*8.5%</f>
        <v>738.65000000000009</v>
      </c>
    </row>
    <row r="1565" spans="1:17" hidden="1" x14ac:dyDescent="0.4">
      <c r="A1565" s="4" t="s">
        <v>40</v>
      </c>
      <c r="B1565" s="4" t="s">
        <v>26</v>
      </c>
      <c r="C1565" s="32" t="s">
        <v>436</v>
      </c>
      <c r="D1565" s="4" t="s">
        <v>41</v>
      </c>
      <c r="E1565" s="4" t="s">
        <v>28</v>
      </c>
      <c r="F1565" s="4" t="s">
        <v>17</v>
      </c>
      <c r="G1565" s="4" t="s">
        <v>18</v>
      </c>
      <c r="H1565" s="4" t="s">
        <v>198</v>
      </c>
      <c r="I1565" s="5" t="str">
        <f t="shared" si="24"/>
        <v>2025-06</v>
      </c>
      <c r="J1565" s="4" t="s">
        <v>34</v>
      </c>
      <c r="K1565" s="5" t="s">
        <v>342</v>
      </c>
      <c r="L1565" s="2">
        <v>17936</v>
      </c>
      <c r="M1565" s="3">
        <v>2</v>
      </c>
      <c r="N1565" s="2">
        <v>35872</v>
      </c>
      <c r="O1565" s="2">
        <v>3587</v>
      </c>
      <c r="P1565" s="2">
        <v>39459</v>
      </c>
      <c r="Q1565" s="2">
        <f>P1565*8.5%</f>
        <v>3354.0150000000003</v>
      </c>
    </row>
    <row r="1566" spans="1:17" hidden="1" x14ac:dyDescent="0.4">
      <c r="A1566" s="4" t="s">
        <v>42</v>
      </c>
      <c r="B1566" s="4" t="s">
        <v>14</v>
      </c>
      <c r="C1566" s="30" t="s">
        <v>434</v>
      </c>
      <c r="D1566" s="4" t="s">
        <v>43</v>
      </c>
      <c r="E1566" s="4" t="s">
        <v>44</v>
      </c>
      <c r="F1566" s="4" t="s">
        <v>31</v>
      </c>
      <c r="G1566" s="4" t="s">
        <v>18</v>
      </c>
      <c r="H1566" s="4" t="s">
        <v>198</v>
      </c>
      <c r="I1566" s="5" t="str">
        <f t="shared" si="24"/>
        <v>2025-06</v>
      </c>
      <c r="J1566" s="4" t="s">
        <v>34</v>
      </c>
      <c r="K1566" s="5" t="s">
        <v>342</v>
      </c>
      <c r="L1566" s="2">
        <v>6800</v>
      </c>
      <c r="M1566" s="3">
        <v>31.6</v>
      </c>
      <c r="N1566" s="2">
        <v>214880</v>
      </c>
      <c r="O1566" s="2">
        <v>0</v>
      </c>
      <c r="P1566" s="2">
        <v>214880</v>
      </c>
      <c r="Q1566" s="2">
        <f>P1566*8.5%</f>
        <v>18264.800000000003</v>
      </c>
    </row>
    <row r="1567" spans="1:17" hidden="1" x14ac:dyDescent="0.4">
      <c r="A1567" s="4" t="s">
        <v>13</v>
      </c>
      <c r="B1567" s="4" t="s">
        <v>14</v>
      </c>
      <c r="C1567" s="30" t="s">
        <v>434</v>
      </c>
      <c r="D1567" s="4" t="s">
        <v>15</v>
      </c>
      <c r="E1567" s="4" t="s">
        <v>16</v>
      </c>
      <c r="F1567" s="4" t="s">
        <v>17</v>
      </c>
      <c r="G1567" s="4" t="s">
        <v>18</v>
      </c>
      <c r="H1567" s="4" t="s">
        <v>198</v>
      </c>
      <c r="I1567" s="5" t="str">
        <f t="shared" si="24"/>
        <v>2025-06</v>
      </c>
      <c r="J1567" s="4" t="s">
        <v>59</v>
      </c>
      <c r="K1567" s="5" t="s">
        <v>343</v>
      </c>
      <c r="L1567" s="2">
        <v>42000</v>
      </c>
      <c r="M1567" s="3">
        <v>3</v>
      </c>
      <c r="N1567" s="2">
        <v>126000</v>
      </c>
      <c r="O1567" s="2">
        <v>12600</v>
      </c>
      <c r="P1567" s="2">
        <v>138600</v>
      </c>
      <c r="Q1567" s="2">
        <f>P1567*12%</f>
        <v>16632</v>
      </c>
    </row>
    <row r="1568" spans="1:17" hidden="1" x14ac:dyDescent="0.4">
      <c r="A1568" s="4" t="s">
        <v>23</v>
      </c>
      <c r="B1568" s="4" t="s">
        <v>14</v>
      </c>
      <c r="C1568" s="31" t="s">
        <v>435</v>
      </c>
      <c r="D1568" s="4" t="s">
        <v>24</v>
      </c>
      <c r="E1568" s="4" t="s">
        <v>16</v>
      </c>
      <c r="F1568" s="4" t="s">
        <v>17</v>
      </c>
      <c r="G1568" s="4" t="s">
        <v>18</v>
      </c>
      <c r="H1568" s="4" t="s">
        <v>198</v>
      </c>
      <c r="I1568" s="5" t="str">
        <f t="shared" si="24"/>
        <v>2025-06</v>
      </c>
      <c r="J1568" s="4" t="s">
        <v>59</v>
      </c>
      <c r="K1568" s="5" t="s">
        <v>343</v>
      </c>
      <c r="L1568" s="2">
        <v>54000</v>
      </c>
      <c r="M1568" s="3">
        <v>2</v>
      </c>
      <c r="N1568" s="2">
        <v>108000</v>
      </c>
      <c r="O1568" s="2">
        <v>10800</v>
      </c>
      <c r="P1568" s="2">
        <v>118800</v>
      </c>
      <c r="Q1568" s="2">
        <f>P1568*12%</f>
        <v>14256</v>
      </c>
    </row>
    <row r="1569" spans="1:17" hidden="1" x14ac:dyDescent="0.4">
      <c r="A1569" s="4" t="s">
        <v>51</v>
      </c>
      <c r="B1569" s="4" t="s">
        <v>14</v>
      </c>
      <c r="C1569" s="30" t="s">
        <v>434</v>
      </c>
      <c r="D1569" s="4" t="s">
        <v>52</v>
      </c>
      <c r="E1569" s="4" t="s">
        <v>16</v>
      </c>
      <c r="F1569" s="4" t="s">
        <v>17</v>
      </c>
      <c r="G1569" s="4" t="s">
        <v>18</v>
      </c>
      <c r="H1569" s="4" t="s">
        <v>198</v>
      </c>
      <c r="I1569" s="5" t="str">
        <f t="shared" si="24"/>
        <v>2025-06</v>
      </c>
      <c r="J1569" s="4" t="s">
        <v>59</v>
      </c>
      <c r="K1569" s="5" t="s">
        <v>343</v>
      </c>
      <c r="L1569" s="2">
        <v>71250</v>
      </c>
      <c r="M1569" s="3">
        <v>1</v>
      </c>
      <c r="N1569" s="2">
        <v>71250</v>
      </c>
      <c r="O1569" s="2">
        <v>7125</v>
      </c>
      <c r="P1569" s="2">
        <v>78375</v>
      </c>
      <c r="Q1569" s="2">
        <f>P1569*12%</f>
        <v>9405</v>
      </c>
    </row>
    <row r="1570" spans="1:17" hidden="1" x14ac:dyDescent="0.4">
      <c r="A1570" s="4" t="s">
        <v>23</v>
      </c>
      <c r="B1570" s="4" t="s">
        <v>14</v>
      </c>
      <c r="C1570" s="31" t="s">
        <v>435</v>
      </c>
      <c r="D1570" s="4" t="s">
        <v>24</v>
      </c>
      <c r="E1570" s="4" t="s">
        <v>16</v>
      </c>
      <c r="F1570" s="4" t="s">
        <v>17</v>
      </c>
      <c r="G1570" s="4" t="s">
        <v>18</v>
      </c>
      <c r="H1570" s="4" t="s">
        <v>198</v>
      </c>
      <c r="I1570" s="5" t="str">
        <f t="shared" si="24"/>
        <v>2025-06</v>
      </c>
      <c r="J1570" s="4" t="s">
        <v>60</v>
      </c>
      <c r="K1570" s="5" t="s">
        <v>343</v>
      </c>
      <c r="L1570" s="2">
        <v>54000</v>
      </c>
      <c r="M1570" s="3">
        <v>10</v>
      </c>
      <c r="N1570" s="2">
        <v>540000</v>
      </c>
      <c r="O1570" s="2">
        <v>54000</v>
      </c>
      <c r="P1570" s="2">
        <v>594000</v>
      </c>
      <c r="Q1570" s="2">
        <f>P1570*12%</f>
        <v>71280</v>
      </c>
    </row>
    <row r="1571" spans="1:17" hidden="1" x14ac:dyDescent="0.4">
      <c r="A1571" s="4" t="s">
        <v>32</v>
      </c>
      <c r="B1571" s="4" t="s">
        <v>14</v>
      </c>
      <c r="C1571" s="31" t="s">
        <v>435</v>
      </c>
      <c r="D1571" s="4" t="s">
        <v>33</v>
      </c>
      <c r="E1571" s="4" t="s">
        <v>16</v>
      </c>
      <c r="F1571" s="4" t="s">
        <v>17</v>
      </c>
      <c r="G1571" s="4" t="s">
        <v>18</v>
      </c>
      <c r="H1571" s="4" t="s">
        <v>198</v>
      </c>
      <c r="I1571" s="5" t="str">
        <f t="shared" si="24"/>
        <v>2025-06</v>
      </c>
      <c r="J1571" s="4" t="s">
        <v>49</v>
      </c>
      <c r="K1571" s="5" t="s">
        <v>343</v>
      </c>
      <c r="L1571" s="2">
        <v>44000</v>
      </c>
      <c r="M1571" s="3">
        <v>4</v>
      </c>
      <c r="N1571" s="2">
        <v>176000</v>
      </c>
      <c r="O1571" s="2">
        <v>17600</v>
      </c>
      <c r="P1571" s="2">
        <v>193600</v>
      </c>
      <c r="Q1571" s="2">
        <f>P1571*12%</f>
        <v>23232</v>
      </c>
    </row>
    <row r="1572" spans="1:17" hidden="1" x14ac:dyDescent="0.4">
      <c r="A1572" s="4" t="s">
        <v>13</v>
      </c>
      <c r="B1572" s="4" t="s">
        <v>14</v>
      </c>
      <c r="C1572" s="30" t="s">
        <v>434</v>
      </c>
      <c r="D1572" s="4" t="s">
        <v>15</v>
      </c>
      <c r="E1572" s="4" t="s">
        <v>16</v>
      </c>
      <c r="F1572" s="4" t="s">
        <v>17</v>
      </c>
      <c r="G1572" s="4" t="s">
        <v>18</v>
      </c>
      <c r="H1572" s="4" t="s">
        <v>198</v>
      </c>
      <c r="I1572" s="5" t="str">
        <f t="shared" si="24"/>
        <v>2025-06</v>
      </c>
      <c r="J1572" s="4" t="s">
        <v>49</v>
      </c>
      <c r="K1572" s="5" t="s">
        <v>343</v>
      </c>
      <c r="L1572" s="2">
        <v>42000</v>
      </c>
      <c r="M1572" s="3">
        <v>9</v>
      </c>
      <c r="N1572" s="2">
        <v>378000</v>
      </c>
      <c r="O1572" s="2">
        <v>37800</v>
      </c>
      <c r="P1572" s="2">
        <v>415800</v>
      </c>
      <c r="Q1572" s="2">
        <f>P1572*12%</f>
        <v>49896</v>
      </c>
    </row>
    <row r="1573" spans="1:17" hidden="1" x14ac:dyDescent="0.4">
      <c r="A1573" s="4" t="s">
        <v>35</v>
      </c>
      <c r="B1573" s="4" t="s">
        <v>14</v>
      </c>
      <c r="C1573" s="30" t="s">
        <v>434</v>
      </c>
      <c r="D1573" s="4" t="s">
        <v>36</v>
      </c>
      <c r="E1573" s="4" t="s">
        <v>16</v>
      </c>
      <c r="F1573" s="4" t="s">
        <v>17</v>
      </c>
      <c r="G1573" s="4" t="s">
        <v>18</v>
      </c>
      <c r="H1573" s="4" t="s">
        <v>198</v>
      </c>
      <c r="I1573" s="5" t="str">
        <f t="shared" si="24"/>
        <v>2025-06</v>
      </c>
      <c r="J1573" s="4" t="s">
        <v>49</v>
      </c>
      <c r="K1573" s="5" t="s">
        <v>343</v>
      </c>
      <c r="L1573" s="2">
        <v>116220</v>
      </c>
      <c r="M1573" s="3">
        <v>2</v>
      </c>
      <c r="N1573" s="2">
        <v>232440</v>
      </c>
      <c r="O1573" s="2">
        <v>23244</v>
      </c>
      <c r="P1573" s="2">
        <v>255684</v>
      </c>
      <c r="Q1573" s="2">
        <f>P1573*12%</f>
        <v>30682.079999999998</v>
      </c>
    </row>
    <row r="1574" spans="1:17" hidden="1" x14ac:dyDescent="0.4">
      <c r="A1574" s="4" t="s">
        <v>23</v>
      </c>
      <c r="B1574" s="4" t="s">
        <v>14</v>
      </c>
      <c r="C1574" s="31" t="s">
        <v>435</v>
      </c>
      <c r="D1574" s="4" t="s">
        <v>24</v>
      </c>
      <c r="E1574" s="4" t="s">
        <v>16</v>
      </c>
      <c r="F1574" s="4" t="s">
        <v>17</v>
      </c>
      <c r="G1574" s="4" t="s">
        <v>18</v>
      </c>
      <c r="H1574" s="4" t="s">
        <v>198</v>
      </c>
      <c r="I1574" s="5" t="str">
        <f t="shared" si="24"/>
        <v>2025-06</v>
      </c>
      <c r="J1574" s="4" t="s">
        <v>49</v>
      </c>
      <c r="K1574" s="5" t="s">
        <v>343</v>
      </c>
      <c r="L1574" s="2">
        <v>54000</v>
      </c>
      <c r="M1574" s="3">
        <v>4</v>
      </c>
      <c r="N1574" s="2">
        <v>216000</v>
      </c>
      <c r="O1574" s="2">
        <v>21600</v>
      </c>
      <c r="P1574" s="2">
        <v>237600</v>
      </c>
      <c r="Q1574" s="2">
        <f>P1574*12%</f>
        <v>28512</v>
      </c>
    </row>
    <row r="1575" spans="1:17" hidden="1" x14ac:dyDescent="0.4">
      <c r="A1575" s="4" t="s">
        <v>51</v>
      </c>
      <c r="B1575" s="4" t="s">
        <v>14</v>
      </c>
      <c r="C1575" s="30" t="s">
        <v>434</v>
      </c>
      <c r="D1575" s="4" t="s">
        <v>52</v>
      </c>
      <c r="E1575" s="4" t="s">
        <v>16</v>
      </c>
      <c r="F1575" s="4" t="s">
        <v>17</v>
      </c>
      <c r="G1575" s="4" t="s">
        <v>18</v>
      </c>
      <c r="H1575" s="4" t="s">
        <v>198</v>
      </c>
      <c r="I1575" s="5" t="str">
        <f t="shared" si="24"/>
        <v>2025-06</v>
      </c>
      <c r="J1575" s="4" t="s">
        <v>49</v>
      </c>
      <c r="K1575" s="5" t="s">
        <v>343</v>
      </c>
      <c r="L1575" s="2">
        <v>71250</v>
      </c>
      <c r="M1575" s="3">
        <v>1</v>
      </c>
      <c r="N1575" s="2">
        <v>71250</v>
      </c>
      <c r="O1575" s="2">
        <v>7125</v>
      </c>
      <c r="P1575" s="2">
        <v>78375</v>
      </c>
      <c r="Q1575" s="2">
        <f>P1575*12%</f>
        <v>9405</v>
      </c>
    </row>
    <row r="1576" spans="1:17" x14ac:dyDescent="0.4">
      <c r="A1576" s="4" t="s">
        <v>58</v>
      </c>
      <c r="B1576" s="4" t="s">
        <v>14</v>
      </c>
      <c r="C1576" s="30" t="s">
        <v>434</v>
      </c>
      <c r="D1576" s="4" t="s">
        <v>36</v>
      </c>
      <c r="E1576" s="4" t="s">
        <v>16</v>
      </c>
      <c r="F1576" s="4" t="s">
        <v>17</v>
      </c>
      <c r="G1576" s="4" t="s">
        <v>18</v>
      </c>
      <c r="H1576" s="4" t="s">
        <v>199</v>
      </c>
      <c r="I1576" s="5" t="str">
        <f t="shared" si="24"/>
        <v>2025-06</v>
      </c>
      <c r="J1576" s="4" t="s">
        <v>20</v>
      </c>
      <c r="K1576" s="5" t="s">
        <v>342</v>
      </c>
      <c r="L1576" s="2">
        <v>120880</v>
      </c>
      <c r="M1576" s="3">
        <v>1</v>
      </c>
      <c r="N1576" s="2">
        <v>120880</v>
      </c>
      <c r="O1576" s="2">
        <v>12088</v>
      </c>
      <c r="P1576" s="2">
        <v>132968</v>
      </c>
      <c r="Q1576" s="2">
        <f>P1576*8.5%</f>
        <v>11302.28</v>
      </c>
    </row>
    <row r="1577" spans="1:17" x14ac:dyDescent="0.4">
      <c r="A1577" s="4" t="s">
        <v>13</v>
      </c>
      <c r="B1577" s="4" t="s">
        <v>14</v>
      </c>
      <c r="C1577" s="30" t="s">
        <v>434</v>
      </c>
      <c r="D1577" s="4" t="s">
        <v>15</v>
      </c>
      <c r="E1577" s="4" t="s">
        <v>16</v>
      </c>
      <c r="F1577" s="4" t="s">
        <v>17</v>
      </c>
      <c r="G1577" s="4" t="s">
        <v>18</v>
      </c>
      <c r="H1577" s="4" t="s">
        <v>199</v>
      </c>
      <c r="I1577" s="5" t="str">
        <f t="shared" si="24"/>
        <v>2025-06</v>
      </c>
      <c r="J1577" s="4" t="s">
        <v>20</v>
      </c>
      <c r="K1577" s="5" t="s">
        <v>342</v>
      </c>
      <c r="L1577" s="2">
        <v>42000</v>
      </c>
      <c r="M1577" s="3">
        <v>2</v>
      </c>
      <c r="N1577" s="2">
        <v>84000</v>
      </c>
      <c r="O1577" s="2">
        <v>8400</v>
      </c>
      <c r="P1577" s="2">
        <v>92400</v>
      </c>
      <c r="Q1577" s="2">
        <f>P1577*8.5%</f>
        <v>7854.0000000000009</v>
      </c>
    </row>
    <row r="1578" spans="1:17" x14ac:dyDescent="0.4">
      <c r="A1578" s="4" t="s">
        <v>21</v>
      </c>
      <c r="B1578" s="4" t="s">
        <v>14</v>
      </c>
      <c r="C1578" s="31" t="s">
        <v>435</v>
      </c>
      <c r="D1578" s="4" t="s">
        <v>22</v>
      </c>
      <c r="E1578" s="4" t="s">
        <v>16</v>
      </c>
      <c r="F1578" s="4" t="s">
        <v>17</v>
      </c>
      <c r="G1578" s="4" t="s">
        <v>18</v>
      </c>
      <c r="H1578" s="4" t="s">
        <v>199</v>
      </c>
      <c r="I1578" s="5" t="str">
        <f t="shared" si="24"/>
        <v>2025-06</v>
      </c>
      <c r="J1578" s="4" t="s">
        <v>20</v>
      </c>
      <c r="K1578" s="5" t="s">
        <v>342</v>
      </c>
      <c r="L1578" s="2">
        <v>54000</v>
      </c>
      <c r="M1578" s="3">
        <v>1</v>
      </c>
      <c r="N1578" s="2">
        <v>54000</v>
      </c>
      <c r="O1578" s="2">
        <v>5400</v>
      </c>
      <c r="P1578" s="2">
        <v>59400</v>
      </c>
      <c r="Q1578" s="2">
        <f>P1578*8.5%</f>
        <v>5049</v>
      </c>
    </row>
    <row r="1579" spans="1:17" x14ac:dyDescent="0.4">
      <c r="A1579" s="4" t="s">
        <v>23</v>
      </c>
      <c r="B1579" s="4" t="s">
        <v>14</v>
      </c>
      <c r="C1579" s="31" t="s">
        <v>435</v>
      </c>
      <c r="D1579" s="4" t="s">
        <v>24</v>
      </c>
      <c r="E1579" s="4" t="s">
        <v>16</v>
      </c>
      <c r="F1579" s="4" t="s">
        <v>17</v>
      </c>
      <c r="G1579" s="4" t="s">
        <v>18</v>
      </c>
      <c r="H1579" s="4" t="s">
        <v>199</v>
      </c>
      <c r="I1579" s="5" t="str">
        <f t="shared" si="24"/>
        <v>2025-06</v>
      </c>
      <c r="J1579" s="4" t="s">
        <v>20</v>
      </c>
      <c r="K1579" s="5" t="s">
        <v>342</v>
      </c>
      <c r="L1579" s="2">
        <v>54000</v>
      </c>
      <c r="M1579" s="3">
        <v>3</v>
      </c>
      <c r="N1579" s="2">
        <v>162000</v>
      </c>
      <c r="O1579" s="2">
        <v>16200</v>
      </c>
      <c r="P1579" s="2">
        <v>178200</v>
      </c>
      <c r="Q1579" s="2">
        <f>P1579*8.5%</f>
        <v>15147.000000000002</v>
      </c>
    </row>
    <row r="1580" spans="1:17" x14ac:dyDescent="0.4">
      <c r="A1580" s="4" t="s">
        <v>100</v>
      </c>
      <c r="B1580" s="4" t="s">
        <v>26</v>
      </c>
      <c r="C1580" s="32" t="s">
        <v>436</v>
      </c>
      <c r="D1580" s="4" t="s">
        <v>101</v>
      </c>
      <c r="E1580" s="4" t="s">
        <v>28</v>
      </c>
      <c r="F1580" s="4" t="s">
        <v>17</v>
      </c>
      <c r="G1580" s="4" t="s">
        <v>18</v>
      </c>
      <c r="H1580" s="4" t="s">
        <v>199</v>
      </c>
      <c r="I1580" s="5" t="str">
        <f t="shared" si="24"/>
        <v>2025-06</v>
      </c>
      <c r="J1580" s="4" t="s">
        <v>20</v>
      </c>
      <c r="K1580" s="5" t="s">
        <v>342</v>
      </c>
      <c r="L1580" s="2">
        <v>5620</v>
      </c>
      <c r="M1580" s="3">
        <v>4</v>
      </c>
      <c r="N1580" s="2">
        <v>22480</v>
      </c>
      <c r="O1580" s="2">
        <v>2248</v>
      </c>
      <c r="P1580" s="2">
        <v>24728</v>
      </c>
      <c r="Q1580" s="2">
        <f>P1580*8.5%</f>
        <v>2101.88</v>
      </c>
    </row>
    <row r="1581" spans="1:17" hidden="1" x14ac:dyDescent="0.4">
      <c r="A1581" s="4" t="s">
        <v>32</v>
      </c>
      <c r="B1581" s="4" t="s">
        <v>14</v>
      </c>
      <c r="C1581" s="31" t="s">
        <v>435</v>
      </c>
      <c r="D1581" s="4" t="s">
        <v>33</v>
      </c>
      <c r="E1581" s="4" t="s">
        <v>16</v>
      </c>
      <c r="F1581" s="4" t="s">
        <v>17</v>
      </c>
      <c r="G1581" s="4" t="s">
        <v>18</v>
      </c>
      <c r="H1581" s="4" t="s">
        <v>199</v>
      </c>
      <c r="I1581" s="5" t="str">
        <f t="shared" si="24"/>
        <v>2025-06</v>
      </c>
      <c r="J1581" s="4" t="s">
        <v>118</v>
      </c>
      <c r="K1581" s="5" t="s">
        <v>342</v>
      </c>
      <c r="L1581" s="2">
        <v>44000</v>
      </c>
      <c r="M1581" s="3">
        <v>1</v>
      </c>
      <c r="N1581" s="2">
        <v>44000</v>
      </c>
      <c r="O1581" s="2">
        <v>4400</v>
      </c>
      <c r="P1581" s="2">
        <v>48400</v>
      </c>
      <c r="Q1581" s="2">
        <f>P1581*8.5%</f>
        <v>4114</v>
      </c>
    </row>
    <row r="1582" spans="1:17" hidden="1" x14ac:dyDescent="0.4">
      <c r="A1582" s="4" t="s">
        <v>23</v>
      </c>
      <c r="B1582" s="4" t="s">
        <v>14</v>
      </c>
      <c r="C1582" s="31" t="s">
        <v>435</v>
      </c>
      <c r="D1582" s="4" t="s">
        <v>24</v>
      </c>
      <c r="E1582" s="4" t="s">
        <v>16</v>
      </c>
      <c r="F1582" s="4" t="s">
        <v>17</v>
      </c>
      <c r="G1582" s="4" t="s">
        <v>18</v>
      </c>
      <c r="H1582" s="4" t="s">
        <v>199</v>
      </c>
      <c r="I1582" s="5" t="str">
        <f t="shared" si="24"/>
        <v>2025-06</v>
      </c>
      <c r="J1582" s="4" t="s">
        <v>118</v>
      </c>
      <c r="K1582" s="5" t="s">
        <v>342</v>
      </c>
      <c r="L1582" s="2">
        <v>54000</v>
      </c>
      <c r="M1582" s="3">
        <v>1</v>
      </c>
      <c r="N1582" s="2">
        <v>54000</v>
      </c>
      <c r="O1582" s="2">
        <v>5400</v>
      </c>
      <c r="P1582" s="2">
        <v>59400</v>
      </c>
      <c r="Q1582" s="2">
        <f>P1582*8.5%</f>
        <v>5049</v>
      </c>
    </row>
    <row r="1583" spans="1:17" hidden="1" x14ac:dyDescent="0.4">
      <c r="A1583" s="4" t="s">
        <v>51</v>
      </c>
      <c r="B1583" s="4" t="s">
        <v>14</v>
      </c>
      <c r="C1583" s="30" t="s">
        <v>434</v>
      </c>
      <c r="D1583" s="4" t="s">
        <v>52</v>
      </c>
      <c r="E1583" s="4" t="s">
        <v>16</v>
      </c>
      <c r="F1583" s="4" t="s">
        <v>17</v>
      </c>
      <c r="G1583" s="4" t="s">
        <v>18</v>
      </c>
      <c r="H1583" s="4" t="s">
        <v>199</v>
      </c>
      <c r="I1583" s="5" t="str">
        <f t="shared" si="24"/>
        <v>2025-06</v>
      </c>
      <c r="J1583" s="4" t="s">
        <v>118</v>
      </c>
      <c r="K1583" s="5" t="s">
        <v>342</v>
      </c>
      <c r="L1583" s="2">
        <v>71250</v>
      </c>
      <c r="M1583" s="3">
        <v>1</v>
      </c>
      <c r="N1583" s="2">
        <v>71250</v>
      </c>
      <c r="O1583" s="2">
        <v>7125</v>
      </c>
      <c r="P1583" s="2">
        <v>78375</v>
      </c>
      <c r="Q1583" s="2">
        <f>P1583*8.5%</f>
        <v>6661.8750000000009</v>
      </c>
    </row>
    <row r="1584" spans="1:17" hidden="1" x14ac:dyDescent="0.4">
      <c r="A1584" s="4" t="s">
        <v>58</v>
      </c>
      <c r="B1584" s="4" t="s">
        <v>14</v>
      </c>
      <c r="C1584" s="30" t="s">
        <v>434</v>
      </c>
      <c r="D1584" s="4" t="s">
        <v>36</v>
      </c>
      <c r="E1584" s="4" t="s">
        <v>16</v>
      </c>
      <c r="F1584" s="4" t="s">
        <v>17</v>
      </c>
      <c r="G1584" s="4" t="s">
        <v>18</v>
      </c>
      <c r="H1584" s="4" t="s">
        <v>199</v>
      </c>
      <c r="I1584" s="5" t="str">
        <f t="shared" si="24"/>
        <v>2025-06</v>
      </c>
      <c r="J1584" s="4" t="s">
        <v>34</v>
      </c>
      <c r="K1584" s="5" t="s">
        <v>342</v>
      </c>
      <c r="L1584" s="2">
        <v>120880</v>
      </c>
      <c r="M1584" s="3">
        <v>1</v>
      </c>
      <c r="N1584" s="2">
        <v>120880</v>
      </c>
      <c r="O1584" s="2">
        <v>12088</v>
      </c>
      <c r="P1584" s="2">
        <v>132968</v>
      </c>
      <c r="Q1584" s="2">
        <f>P1584*8.5%</f>
        <v>11302.28</v>
      </c>
    </row>
    <row r="1585" spans="1:17" hidden="1" x14ac:dyDescent="0.4">
      <c r="A1585" s="4" t="s">
        <v>13</v>
      </c>
      <c r="B1585" s="4" t="s">
        <v>14</v>
      </c>
      <c r="C1585" s="30" t="s">
        <v>434</v>
      </c>
      <c r="D1585" s="4" t="s">
        <v>15</v>
      </c>
      <c r="E1585" s="4" t="s">
        <v>16</v>
      </c>
      <c r="F1585" s="4" t="s">
        <v>17</v>
      </c>
      <c r="G1585" s="4" t="s">
        <v>18</v>
      </c>
      <c r="H1585" s="4" t="s">
        <v>199</v>
      </c>
      <c r="I1585" s="5" t="str">
        <f t="shared" si="24"/>
        <v>2025-06</v>
      </c>
      <c r="J1585" s="4" t="s">
        <v>34</v>
      </c>
      <c r="K1585" s="5" t="s">
        <v>342</v>
      </c>
      <c r="L1585" s="2">
        <v>42000</v>
      </c>
      <c r="M1585" s="3">
        <v>4</v>
      </c>
      <c r="N1585" s="2">
        <v>168000</v>
      </c>
      <c r="O1585" s="2">
        <v>16800</v>
      </c>
      <c r="P1585" s="2">
        <v>184800</v>
      </c>
      <c r="Q1585" s="2">
        <f>P1585*8.5%</f>
        <v>15708.000000000002</v>
      </c>
    </row>
    <row r="1586" spans="1:17" hidden="1" x14ac:dyDescent="0.4">
      <c r="A1586" s="4" t="s">
        <v>21</v>
      </c>
      <c r="B1586" s="4" t="s">
        <v>14</v>
      </c>
      <c r="C1586" s="31" t="s">
        <v>435</v>
      </c>
      <c r="D1586" s="4" t="s">
        <v>22</v>
      </c>
      <c r="E1586" s="4" t="s">
        <v>16</v>
      </c>
      <c r="F1586" s="4" t="s">
        <v>17</v>
      </c>
      <c r="G1586" s="4" t="s">
        <v>18</v>
      </c>
      <c r="H1586" s="4" t="s">
        <v>199</v>
      </c>
      <c r="I1586" s="5" t="str">
        <f t="shared" si="24"/>
        <v>2025-06</v>
      </c>
      <c r="J1586" s="4" t="s">
        <v>34</v>
      </c>
      <c r="K1586" s="5" t="s">
        <v>342</v>
      </c>
      <c r="L1586" s="2">
        <v>54000</v>
      </c>
      <c r="M1586" s="3">
        <v>1</v>
      </c>
      <c r="N1586" s="2">
        <v>54000</v>
      </c>
      <c r="O1586" s="2">
        <v>5400</v>
      </c>
      <c r="P1586" s="2">
        <v>59400</v>
      </c>
      <c r="Q1586" s="2">
        <f>P1586*8.5%</f>
        <v>5049</v>
      </c>
    </row>
    <row r="1587" spans="1:17" hidden="1" x14ac:dyDescent="0.4">
      <c r="A1587" s="4" t="s">
        <v>23</v>
      </c>
      <c r="B1587" s="4" t="s">
        <v>14</v>
      </c>
      <c r="C1587" s="31" t="s">
        <v>435</v>
      </c>
      <c r="D1587" s="4" t="s">
        <v>24</v>
      </c>
      <c r="E1587" s="4" t="s">
        <v>16</v>
      </c>
      <c r="F1587" s="4" t="s">
        <v>17</v>
      </c>
      <c r="G1587" s="4" t="s">
        <v>18</v>
      </c>
      <c r="H1587" s="4" t="s">
        <v>199</v>
      </c>
      <c r="I1587" s="5" t="str">
        <f t="shared" si="24"/>
        <v>2025-06</v>
      </c>
      <c r="J1587" s="4" t="s">
        <v>34</v>
      </c>
      <c r="K1587" s="5" t="s">
        <v>342</v>
      </c>
      <c r="L1587" s="2">
        <v>54000</v>
      </c>
      <c r="M1587" s="3">
        <v>2</v>
      </c>
      <c r="N1587" s="2">
        <v>108000</v>
      </c>
      <c r="O1587" s="2">
        <v>10800</v>
      </c>
      <c r="P1587" s="2">
        <v>118800</v>
      </c>
      <c r="Q1587" s="2">
        <f>P1587*8.5%</f>
        <v>10098</v>
      </c>
    </row>
    <row r="1588" spans="1:17" hidden="1" x14ac:dyDescent="0.4">
      <c r="A1588" s="4" t="s">
        <v>51</v>
      </c>
      <c r="B1588" s="4" t="s">
        <v>14</v>
      </c>
      <c r="C1588" s="30" t="s">
        <v>434</v>
      </c>
      <c r="D1588" s="4" t="s">
        <v>52</v>
      </c>
      <c r="E1588" s="4" t="s">
        <v>16</v>
      </c>
      <c r="F1588" s="4" t="s">
        <v>17</v>
      </c>
      <c r="G1588" s="4" t="s">
        <v>18</v>
      </c>
      <c r="H1588" s="4" t="s">
        <v>199</v>
      </c>
      <c r="I1588" s="5" t="str">
        <f t="shared" si="24"/>
        <v>2025-06</v>
      </c>
      <c r="J1588" s="4" t="s">
        <v>34</v>
      </c>
      <c r="K1588" s="5" t="s">
        <v>342</v>
      </c>
      <c r="L1588" s="2">
        <v>71250</v>
      </c>
      <c r="M1588" s="3">
        <v>1</v>
      </c>
      <c r="N1588" s="2">
        <v>71250</v>
      </c>
      <c r="O1588" s="2">
        <v>7125</v>
      </c>
      <c r="P1588" s="2">
        <v>78375</v>
      </c>
      <c r="Q1588" s="2">
        <f>P1588*8.5%</f>
        <v>6661.8750000000009</v>
      </c>
    </row>
    <row r="1589" spans="1:17" hidden="1" x14ac:dyDescent="0.4">
      <c r="A1589" s="4" t="s">
        <v>84</v>
      </c>
      <c r="B1589" s="4" t="s">
        <v>26</v>
      </c>
      <c r="C1589" s="32" t="s">
        <v>436</v>
      </c>
      <c r="D1589" s="4" t="s">
        <v>85</v>
      </c>
      <c r="E1589" s="4" t="s">
        <v>28</v>
      </c>
      <c r="F1589" s="4" t="s">
        <v>17</v>
      </c>
      <c r="G1589" s="4" t="s">
        <v>18</v>
      </c>
      <c r="H1589" s="4" t="s">
        <v>199</v>
      </c>
      <c r="I1589" s="5" t="str">
        <f t="shared" si="24"/>
        <v>2025-06</v>
      </c>
      <c r="J1589" s="4" t="s">
        <v>34</v>
      </c>
      <c r="K1589" s="5" t="s">
        <v>342</v>
      </c>
      <c r="L1589" s="2">
        <v>5032</v>
      </c>
      <c r="M1589" s="3">
        <v>1</v>
      </c>
      <c r="N1589" s="2">
        <v>5032</v>
      </c>
      <c r="O1589" s="2">
        <v>503</v>
      </c>
      <c r="P1589" s="2">
        <v>5535</v>
      </c>
      <c r="Q1589" s="2">
        <f>P1589*8.5%</f>
        <v>470.47500000000002</v>
      </c>
    </row>
    <row r="1590" spans="1:17" hidden="1" x14ac:dyDescent="0.4">
      <c r="A1590" s="4" t="s">
        <v>42</v>
      </c>
      <c r="B1590" s="4" t="s">
        <v>14</v>
      </c>
      <c r="C1590" s="30" t="s">
        <v>434</v>
      </c>
      <c r="D1590" s="4" t="s">
        <v>43</v>
      </c>
      <c r="E1590" s="4" t="s">
        <v>44</v>
      </c>
      <c r="F1590" s="4" t="s">
        <v>31</v>
      </c>
      <c r="G1590" s="4" t="s">
        <v>18</v>
      </c>
      <c r="H1590" s="4" t="s">
        <v>199</v>
      </c>
      <c r="I1590" s="5" t="str">
        <f t="shared" si="24"/>
        <v>2025-06</v>
      </c>
      <c r="J1590" s="4" t="s">
        <v>34</v>
      </c>
      <c r="K1590" s="5" t="s">
        <v>342</v>
      </c>
      <c r="L1590" s="2">
        <v>6800</v>
      </c>
      <c r="M1590" s="3">
        <v>75</v>
      </c>
      <c r="N1590" s="2">
        <v>510000</v>
      </c>
      <c r="O1590" s="2">
        <v>0</v>
      </c>
      <c r="P1590" s="2">
        <v>510000</v>
      </c>
      <c r="Q1590" s="2">
        <f>P1590*8.5%</f>
        <v>43350</v>
      </c>
    </row>
    <row r="1591" spans="1:17" hidden="1" x14ac:dyDescent="0.4">
      <c r="A1591" s="4" t="s">
        <v>13</v>
      </c>
      <c r="B1591" s="4" t="s">
        <v>14</v>
      </c>
      <c r="C1591" s="30" t="s">
        <v>434</v>
      </c>
      <c r="D1591" s="4" t="s">
        <v>15</v>
      </c>
      <c r="E1591" s="4" t="s">
        <v>16</v>
      </c>
      <c r="F1591" s="4" t="s">
        <v>17</v>
      </c>
      <c r="G1591" s="4" t="s">
        <v>18</v>
      </c>
      <c r="H1591" s="4" t="s">
        <v>199</v>
      </c>
      <c r="I1591" s="5" t="str">
        <f t="shared" si="24"/>
        <v>2025-06</v>
      </c>
      <c r="J1591" s="4" t="s">
        <v>59</v>
      </c>
      <c r="K1591" s="5" t="s">
        <v>343</v>
      </c>
      <c r="L1591" s="2">
        <v>42000</v>
      </c>
      <c r="M1591" s="3">
        <v>4</v>
      </c>
      <c r="N1591" s="2">
        <v>168000</v>
      </c>
      <c r="O1591" s="2">
        <v>16800</v>
      </c>
      <c r="P1591" s="2">
        <v>184800</v>
      </c>
      <c r="Q1591" s="2">
        <f>P1591*12%</f>
        <v>22176</v>
      </c>
    </row>
    <row r="1592" spans="1:17" hidden="1" x14ac:dyDescent="0.4">
      <c r="A1592" s="4" t="s">
        <v>35</v>
      </c>
      <c r="B1592" s="4" t="s">
        <v>14</v>
      </c>
      <c r="C1592" s="30" t="s">
        <v>434</v>
      </c>
      <c r="D1592" s="4" t="s">
        <v>36</v>
      </c>
      <c r="E1592" s="4" t="s">
        <v>16</v>
      </c>
      <c r="F1592" s="4" t="s">
        <v>17</v>
      </c>
      <c r="G1592" s="4" t="s">
        <v>18</v>
      </c>
      <c r="H1592" s="4" t="s">
        <v>199</v>
      </c>
      <c r="I1592" s="5" t="str">
        <f t="shared" si="24"/>
        <v>2025-06</v>
      </c>
      <c r="J1592" s="4" t="s">
        <v>59</v>
      </c>
      <c r="K1592" s="5" t="s">
        <v>343</v>
      </c>
      <c r="L1592" s="2">
        <v>116220</v>
      </c>
      <c r="M1592" s="3">
        <v>1</v>
      </c>
      <c r="N1592" s="2">
        <v>116220</v>
      </c>
      <c r="O1592" s="2">
        <v>11622</v>
      </c>
      <c r="P1592" s="2">
        <v>127842</v>
      </c>
      <c r="Q1592" s="2">
        <f>P1592*12%</f>
        <v>15341.039999999999</v>
      </c>
    </row>
    <row r="1593" spans="1:17" hidden="1" x14ac:dyDescent="0.4">
      <c r="A1593" s="4" t="s">
        <v>23</v>
      </c>
      <c r="B1593" s="4" t="s">
        <v>14</v>
      </c>
      <c r="C1593" s="31" t="s">
        <v>435</v>
      </c>
      <c r="D1593" s="4" t="s">
        <v>24</v>
      </c>
      <c r="E1593" s="4" t="s">
        <v>16</v>
      </c>
      <c r="F1593" s="4" t="s">
        <v>17</v>
      </c>
      <c r="G1593" s="4" t="s">
        <v>18</v>
      </c>
      <c r="H1593" s="4" t="s">
        <v>199</v>
      </c>
      <c r="I1593" s="5" t="str">
        <f t="shared" si="24"/>
        <v>2025-06</v>
      </c>
      <c r="J1593" s="4" t="s">
        <v>59</v>
      </c>
      <c r="K1593" s="5" t="s">
        <v>343</v>
      </c>
      <c r="L1593" s="2">
        <v>54000</v>
      </c>
      <c r="M1593" s="3">
        <v>2</v>
      </c>
      <c r="N1593" s="2">
        <v>108000</v>
      </c>
      <c r="O1593" s="2">
        <v>10800</v>
      </c>
      <c r="P1593" s="2">
        <v>118800</v>
      </c>
      <c r="Q1593" s="2">
        <f>P1593*12%</f>
        <v>14256</v>
      </c>
    </row>
    <row r="1594" spans="1:17" hidden="1" x14ac:dyDescent="0.4">
      <c r="A1594" s="4" t="s">
        <v>51</v>
      </c>
      <c r="B1594" s="4" t="s">
        <v>14</v>
      </c>
      <c r="C1594" s="30" t="s">
        <v>434</v>
      </c>
      <c r="D1594" s="4" t="s">
        <v>52</v>
      </c>
      <c r="E1594" s="4" t="s">
        <v>16</v>
      </c>
      <c r="F1594" s="4" t="s">
        <v>17</v>
      </c>
      <c r="G1594" s="4" t="s">
        <v>18</v>
      </c>
      <c r="H1594" s="4" t="s">
        <v>199</v>
      </c>
      <c r="I1594" s="5" t="str">
        <f t="shared" si="24"/>
        <v>2025-06</v>
      </c>
      <c r="J1594" s="4" t="s">
        <v>59</v>
      </c>
      <c r="K1594" s="5" t="s">
        <v>343</v>
      </c>
      <c r="L1594" s="2">
        <v>71250</v>
      </c>
      <c r="M1594" s="3">
        <v>2</v>
      </c>
      <c r="N1594" s="2">
        <v>142500</v>
      </c>
      <c r="O1594" s="2">
        <v>14250</v>
      </c>
      <c r="P1594" s="2">
        <v>156750</v>
      </c>
      <c r="Q1594" s="2">
        <f>P1594*12%</f>
        <v>18810</v>
      </c>
    </row>
    <row r="1595" spans="1:17" hidden="1" x14ac:dyDescent="0.4">
      <c r="A1595" s="4" t="s">
        <v>112</v>
      </c>
      <c r="B1595" s="4" t="s">
        <v>26</v>
      </c>
      <c r="C1595" s="32" t="s">
        <v>436</v>
      </c>
      <c r="D1595" s="4" t="s">
        <v>113</v>
      </c>
      <c r="E1595" s="4" t="s">
        <v>28</v>
      </c>
      <c r="F1595" s="4" t="s">
        <v>17</v>
      </c>
      <c r="G1595" s="4" t="s">
        <v>18</v>
      </c>
      <c r="H1595" s="4" t="s">
        <v>199</v>
      </c>
      <c r="I1595" s="5" t="str">
        <f t="shared" si="24"/>
        <v>2025-06</v>
      </c>
      <c r="J1595" s="4" t="s">
        <v>59</v>
      </c>
      <c r="K1595" s="5" t="s">
        <v>343</v>
      </c>
      <c r="L1595" s="2">
        <v>375</v>
      </c>
      <c r="M1595" s="3">
        <v>20</v>
      </c>
      <c r="N1595" s="2">
        <v>7500</v>
      </c>
      <c r="O1595" s="2">
        <v>750</v>
      </c>
      <c r="P1595" s="2">
        <v>8250</v>
      </c>
      <c r="Q1595" s="2">
        <f>P1595*12%</f>
        <v>990</v>
      </c>
    </row>
    <row r="1596" spans="1:17" hidden="1" x14ac:dyDescent="0.4">
      <c r="A1596" s="4" t="s">
        <v>23</v>
      </c>
      <c r="B1596" s="4" t="s">
        <v>14</v>
      </c>
      <c r="C1596" s="31" t="s">
        <v>435</v>
      </c>
      <c r="D1596" s="4" t="s">
        <v>24</v>
      </c>
      <c r="E1596" s="4" t="s">
        <v>16</v>
      </c>
      <c r="F1596" s="4" t="s">
        <v>17</v>
      </c>
      <c r="G1596" s="4" t="s">
        <v>18</v>
      </c>
      <c r="H1596" s="4" t="s">
        <v>199</v>
      </c>
      <c r="I1596" s="5" t="str">
        <f t="shared" si="24"/>
        <v>2025-06</v>
      </c>
      <c r="J1596" s="4" t="s">
        <v>153</v>
      </c>
      <c r="K1596" s="5" t="s">
        <v>343</v>
      </c>
      <c r="L1596" s="2">
        <v>54000</v>
      </c>
      <c r="M1596" s="3">
        <v>6</v>
      </c>
      <c r="N1596" s="2">
        <v>324000</v>
      </c>
      <c r="O1596" s="2">
        <v>32400</v>
      </c>
      <c r="P1596" s="2">
        <v>356400</v>
      </c>
      <c r="Q1596" s="2">
        <f>P1596*12%</f>
        <v>42768</v>
      </c>
    </row>
    <row r="1597" spans="1:17" hidden="1" x14ac:dyDescent="0.4">
      <c r="A1597" s="4" t="s">
        <v>51</v>
      </c>
      <c r="B1597" s="4" t="s">
        <v>14</v>
      </c>
      <c r="C1597" s="30" t="s">
        <v>434</v>
      </c>
      <c r="D1597" s="4" t="s">
        <v>52</v>
      </c>
      <c r="E1597" s="4" t="s">
        <v>16</v>
      </c>
      <c r="F1597" s="4" t="s">
        <v>17</v>
      </c>
      <c r="G1597" s="4" t="s">
        <v>18</v>
      </c>
      <c r="H1597" s="4" t="s">
        <v>199</v>
      </c>
      <c r="I1597" s="5" t="str">
        <f t="shared" si="24"/>
        <v>2025-06</v>
      </c>
      <c r="J1597" s="4" t="s">
        <v>153</v>
      </c>
      <c r="K1597" s="5" t="s">
        <v>343</v>
      </c>
      <c r="L1597" s="2">
        <v>71250</v>
      </c>
      <c r="M1597" s="3">
        <v>3</v>
      </c>
      <c r="N1597" s="2">
        <v>213750</v>
      </c>
      <c r="O1597" s="2">
        <v>21375</v>
      </c>
      <c r="P1597" s="2">
        <v>235125</v>
      </c>
      <c r="Q1597" s="2">
        <f>P1597*12%</f>
        <v>28215</v>
      </c>
    </row>
    <row r="1598" spans="1:17" hidden="1" x14ac:dyDescent="0.4">
      <c r="A1598" s="4" t="s">
        <v>32</v>
      </c>
      <c r="B1598" s="4" t="s">
        <v>14</v>
      </c>
      <c r="C1598" s="31" t="s">
        <v>435</v>
      </c>
      <c r="D1598" s="4" t="s">
        <v>33</v>
      </c>
      <c r="E1598" s="4" t="s">
        <v>16</v>
      </c>
      <c r="F1598" s="4" t="s">
        <v>17</v>
      </c>
      <c r="G1598" s="4" t="s">
        <v>18</v>
      </c>
      <c r="H1598" s="4" t="s">
        <v>199</v>
      </c>
      <c r="I1598" s="5" t="str">
        <f t="shared" si="24"/>
        <v>2025-06</v>
      </c>
      <c r="J1598" s="4" t="s">
        <v>49</v>
      </c>
      <c r="K1598" s="5" t="s">
        <v>343</v>
      </c>
      <c r="L1598" s="2">
        <v>44000</v>
      </c>
      <c r="M1598" s="3">
        <v>4</v>
      </c>
      <c r="N1598" s="2">
        <v>176000</v>
      </c>
      <c r="O1598" s="2">
        <v>17600</v>
      </c>
      <c r="P1598" s="2">
        <v>193600</v>
      </c>
      <c r="Q1598" s="2">
        <f>P1598*12%</f>
        <v>23232</v>
      </c>
    </row>
    <row r="1599" spans="1:17" hidden="1" x14ac:dyDescent="0.4">
      <c r="A1599" s="4" t="s">
        <v>13</v>
      </c>
      <c r="B1599" s="4" t="s">
        <v>14</v>
      </c>
      <c r="C1599" s="30" t="s">
        <v>434</v>
      </c>
      <c r="D1599" s="4" t="s">
        <v>15</v>
      </c>
      <c r="E1599" s="4" t="s">
        <v>16</v>
      </c>
      <c r="F1599" s="4" t="s">
        <v>17</v>
      </c>
      <c r="G1599" s="4" t="s">
        <v>18</v>
      </c>
      <c r="H1599" s="4" t="s">
        <v>199</v>
      </c>
      <c r="I1599" s="5" t="str">
        <f t="shared" si="24"/>
        <v>2025-06</v>
      </c>
      <c r="J1599" s="4" t="s">
        <v>49</v>
      </c>
      <c r="K1599" s="5" t="s">
        <v>343</v>
      </c>
      <c r="L1599" s="2">
        <v>42000</v>
      </c>
      <c r="M1599" s="3">
        <v>9</v>
      </c>
      <c r="N1599" s="2">
        <v>378000</v>
      </c>
      <c r="O1599" s="2">
        <v>37800</v>
      </c>
      <c r="P1599" s="2">
        <v>415800</v>
      </c>
      <c r="Q1599" s="2">
        <f>P1599*12%</f>
        <v>49896</v>
      </c>
    </row>
    <row r="1600" spans="1:17" hidden="1" x14ac:dyDescent="0.4">
      <c r="A1600" s="4" t="s">
        <v>35</v>
      </c>
      <c r="B1600" s="4" t="s">
        <v>14</v>
      </c>
      <c r="C1600" s="30" t="s">
        <v>434</v>
      </c>
      <c r="D1600" s="4" t="s">
        <v>36</v>
      </c>
      <c r="E1600" s="4" t="s">
        <v>16</v>
      </c>
      <c r="F1600" s="4" t="s">
        <v>17</v>
      </c>
      <c r="G1600" s="4" t="s">
        <v>18</v>
      </c>
      <c r="H1600" s="4" t="s">
        <v>199</v>
      </c>
      <c r="I1600" s="5" t="str">
        <f t="shared" si="24"/>
        <v>2025-06</v>
      </c>
      <c r="J1600" s="4" t="s">
        <v>49</v>
      </c>
      <c r="K1600" s="5" t="s">
        <v>343</v>
      </c>
      <c r="L1600" s="2">
        <v>116220</v>
      </c>
      <c r="M1600" s="3">
        <v>2</v>
      </c>
      <c r="N1600" s="2">
        <v>232440</v>
      </c>
      <c r="O1600" s="2">
        <v>23244</v>
      </c>
      <c r="P1600" s="2">
        <v>255684</v>
      </c>
      <c r="Q1600" s="2">
        <f>P1600*12%</f>
        <v>30682.079999999998</v>
      </c>
    </row>
    <row r="1601" spans="1:17" hidden="1" x14ac:dyDescent="0.4">
      <c r="A1601" s="4" t="s">
        <v>23</v>
      </c>
      <c r="B1601" s="4" t="s">
        <v>14</v>
      </c>
      <c r="C1601" s="31" t="s">
        <v>435</v>
      </c>
      <c r="D1601" s="4" t="s">
        <v>24</v>
      </c>
      <c r="E1601" s="4" t="s">
        <v>16</v>
      </c>
      <c r="F1601" s="4" t="s">
        <v>17</v>
      </c>
      <c r="G1601" s="4" t="s">
        <v>18</v>
      </c>
      <c r="H1601" s="4" t="s">
        <v>199</v>
      </c>
      <c r="I1601" s="5" t="str">
        <f t="shared" si="24"/>
        <v>2025-06</v>
      </c>
      <c r="J1601" s="4" t="s">
        <v>49</v>
      </c>
      <c r="K1601" s="5" t="s">
        <v>343</v>
      </c>
      <c r="L1601" s="2">
        <v>54000</v>
      </c>
      <c r="M1601" s="3">
        <v>3</v>
      </c>
      <c r="N1601" s="2">
        <v>162000</v>
      </c>
      <c r="O1601" s="2">
        <v>16200</v>
      </c>
      <c r="P1601" s="2">
        <v>178200</v>
      </c>
      <c r="Q1601" s="2">
        <f>P1601*12%</f>
        <v>21384</v>
      </c>
    </row>
    <row r="1602" spans="1:17" hidden="1" x14ac:dyDescent="0.4">
      <c r="A1602" s="4" t="s">
        <v>51</v>
      </c>
      <c r="B1602" s="4" t="s">
        <v>14</v>
      </c>
      <c r="C1602" s="30" t="s">
        <v>434</v>
      </c>
      <c r="D1602" s="4" t="s">
        <v>52</v>
      </c>
      <c r="E1602" s="4" t="s">
        <v>16</v>
      </c>
      <c r="F1602" s="4" t="s">
        <v>17</v>
      </c>
      <c r="G1602" s="4" t="s">
        <v>18</v>
      </c>
      <c r="H1602" s="4" t="s">
        <v>199</v>
      </c>
      <c r="I1602" s="5" t="str">
        <f t="shared" ref="I1602:I1665" si="25">TEXT(H1602,"yyyy-mm")</f>
        <v>2025-06</v>
      </c>
      <c r="J1602" s="4" t="s">
        <v>49</v>
      </c>
      <c r="K1602" s="5" t="s">
        <v>343</v>
      </c>
      <c r="L1602" s="2">
        <v>71250</v>
      </c>
      <c r="M1602" s="3">
        <v>1</v>
      </c>
      <c r="N1602" s="2">
        <v>71250</v>
      </c>
      <c r="O1602" s="2">
        <v>7125</v>
      </c>
      <c r="P1602" s="2">
        <v>78375</v>
      </c>
      <c r="Q1602" s="2">
        <f>P1602*12%</f>
        <v>9405</v>
      </c>
    </row>
    <row r="1603" spans="1:17" hidden="1" x14ac:dyDescent="0.4">
      <c r="A1603" s="4" t="s">
        <v>32</v>
      </c>
      <c r="B1603" s="4" t="s">
        <v>14</v>
      </c>
      <c r="C1603" s="31" t="s">
        <v>435</v>
      </c>
      <c r="D1603" s="4" t="s">
        <v>33</v>
      </c>
      <c r="E1603" s="4" t="s">
        <v>16</v>
      </c>
      <c r="F1603" s="4" t="s">
        <v>17</v>
      </c>
      <c r="G1603" s="4" t="s">
        <v>18</v>
      </c>
      <c r="H1603" s="4" t="s">
        <v>199</v>
      </c>
      <c r="I1603" s="5" t="str">
        <f t="shared" si="25"/>
        <v>2025-06</v>
      </c>
      <c r="J1603" s="4" t="s">
        <v>50</v>
      </c>
      <c r="K1603" s="5" t="s">
        <v>343</v>
      </c>
      <c r="L1603" s="2">
        <v>44000</v>
      </c>
      <c r="M1603" s="3">
        <v>1</v>
      </c>
      <c r="N1603" s="2">
        <v>44000</v>
      </c>
      <c r="O1603" s="2">
        <v>4400</v>
      </c>
      <c r="P1603" s="2">
        <v>48400</v>
      </c>
      <c r="Q1603" s="2">
        <f>P1603*12%</f>
        <v>5808</v>
      </c>
    </row>
    <row r="1604" spans="1:17" hidden="1" x14ac:dyDescent="0.4">
      <c r="A1604" s="4" t="s">
        <v>13</v>
      </c>
      <c r="B1604" s="4" t="s">
        <v>14</v>
      </c>
      <c r="C1604" s="30" t="s">
        <v>434</v>
      </c>
      <c r="D1604" s="4" t="s">
        <v>15</v>
      </c>
      <c r="E1604" s="4" t="s">
        <v>16</v>
      </c>
      <c r="F1604" s="4" t="s">
        <v>17</v>
      </c>
      <c r="G1604" s="4" t="s">
        <v>18</v>
      </c>
      <c r="H1604" s="4" t="s">
        <v>199</v>
      </c>
      <c r="I1604" s="5" t="str">
        <f t="shared" si="25"/>
        <v>2025-06</v>
      </c>
      <c r="J1604" s="4" t="s">
        <v>50</v>
      </c>
      <c r="K1604" s="5" t="s">
        <v>343</v>
      </c>
      <c r="L1604" s="2">
        <v>42000</v>
      </c>
      <c r="M1604" s="3">
        <v>20</v>
      </c>
      <c r="N1604" s="2">
        <v>840000</v>
      </c>
      <c r="O1604" s="2">
        <v>84000</v>
      </c>
      <c r="P1604" s="2">
        <v>924000</v>
      </c>
      <c r="Q1604" s="2">
        <f>P1604*12%</f>
        <v>110880</v>
      </c>
    </row>
    <row r="1605" spans="1:17" hidden="1" x14ac:dyDescent="0.4">
      <c r="A1605" s="4" t="s">
        <v>23</v>
      </c>
      <c r="B1605" s="4" t="s">
        <v>14</v>
      </c>
      <c r="C1605" s="31" t="s">
        <v>435</v>
      </c>
      <c r="D1605" s="4" t="s">
        <v>24</v>
      </c>
      <c r="E1605" s="4" t="s">
        <v>16</v>
      </c>
      <c r="F1605" s="4" t="s">
        <v>17</v>
      </c>
      <c r="G1605" s="4" t="s">
        <v>18</v>
      </c>
      <c r="H1605" s="4" t="s">
        <v>199</v>
      </c>
      <c r="I1605" s="5" t="str">
        <f t="shared" si="25"/>
        <v>2025-06</v>
      </c>
      <c r="J1605" s="4" t="s">
        <v>50</v>
      </c>
      <c r="K1605" s="5" t="s">
        <v>343</v>
      </c>
      <c r="L1605" s="2">
        <v>54000</v>
      </c>
      <c r="M1605" s="3">
        <v>10</v>
      </c>
      <c r="N1605" s="2">
        <v>540000</v>
      </c>
      <c r="O1605" s="2">
        <v>54000</v>
      </c>
      <c r="P1605" s="2">
        <v>594000</v>
      </c>
      <c r="Q1605" s="2">
        <f>P1605*12%</f>
        <v>71280</v>
      </c>
    </row>
    <row r="1606" spans="1:17" hidden="1" x14ac:dyDescent="0.4">
      <c r="A1606" s="4" t="s">
        <v>51</v>
      </c>
      <c r="B1606" s="4" t="s">
        <v>14</v>
      </c>
      <c r="C1606" s="30" t="s">
        <v>434</v>
      </c>
      <c r="D1606" s="4" t="s">
        <v>52</v>
      </c>
      <c r="E1606" s="4" t="s">
        <v>16</v>
      </c>
      <c r="F1606" s="4" t="s">
        <v>17</v>
      </c>
      <c r="G1606" s="4" t="s">
        <v>18</v>
      </c>
      <c r="H1606" s="4" t="s">
        <v>199</v>
      </c>
      <c r="I1606" s="5" t="str">
        <f t="shared" si="25"/>
        <v>2025-06</v>
      </c>
      <c r="J1606" s="4" t="s">
        <v>50</v>
      </c>
      <c r="K1606" s="5" t="s">
        <v>343</v>
      </c>
      <c r="L1606" s="2">
        <v>71250</v>
      </c>
      <c r="M1606" s="3">
        <v>3</v>
      </c>
      <c r="N1606" s="2">
        <v>213750</v>
      </c>
      <c r="O1606" s="2">
        <v>21375</v>
      </c>
      <c r="P1606" s="2">
        <v>235125</v>
      </c>
      <c r="Q1606" s="2">
        <f>P1606*12%</f>
        <v>28215</v>
      </c>
    </row>
    <row r="1607" spans="1:17" x14ac:dyDescent="0.4">
      <c r="A1607" s="4" t="s">
        <v>13</v>
      </c>
      <c r="B1607" s="4" t="s">
        <v>14</v>
      </c>
      <c r="C1607" s="30" t="s">
        <v>434</v>
      </c>
      <c r="D1607" s="4" t="s">
        <v>15</v>
      </c>
      <c r="E1607" s="4" t="s">
        <v>16</v>
      </c>
      <c r="F1607" s="4" t="s">
        <v>17</v>
      </c>
      <c r="G1607" s="4" t="s">
        <v>18</v>
      </c>
      <c r="H1607" s="4" t="s">
        <v>200</v>
      </c>
      <c r="I1607" s="5" t="str">
        <f t="shared" si="25"/>
        <v>2025-07</v>
      </c>
      <c r="J1607" s="4" t="s">
        <v>20</v>
      </c>
      <c r="K1607" s="5" t="s">
        <v>342</v>
      </c>
      <c r="L1607" s="2">
        <v>42000</v>
      </c>
      <c r="M1607" s="3">
        <v>3</v>
      </c>
      <c r="N1607" s="2">
        <v>126000</v>
      </c>
      <c r="O1607" s="2">
        <v>12600</v>
      </c>
      <c r="P1607" s="2">
        <v>138600</v>
      </c>
      <c r="Q1607" s="2">
        <f>P1607*8.5%</f>
        <v>11781</v>
      </c>
    </row>
    <row r="1608" spans="1:17" x14ac:dyDescent="0.4">
      <c r="A1608" s="4" t="s">
        <v>21</v>
      </c>
      <c r="B1608" s="4" t="s">
        <v>14</v>
      </c>
      <c r="C1608" s="31" t="s">
        <v>435</v>
      </c>
      <c r="D1608" s="4" t="s">
        <v>22</v>
      </c>
      <c r="E1608" s="4" t="s">
        <v>16</v>
      </c>
      <c r="F1608" s="4" t="s">
        <v>17</v>
      </c>
      <c r="G1608" s="4" t="s">
        <v>18</v>
      </c>
      <c r="H1608" s="4" t="s">
        <v>200</v>
      </c>
      <c r="I1608" s="5" t="str">
        <f t="shared" si="25"/>
        <v>2025-07</v>
      </c>
      <c r="J1608" s="4" t="s">
        <v>20</v>
      </c>
      <c r="K1608" s="5" t="s">
        <v>342</v>
      </c>
      <c r="L1608" s="2">
        <v>55500</v>
      </c>
      <c r="M1608" s="3">
        <v>1</v>
      </c>
      <c r="N1608" s="2">
        <v>55500</v>
      </c>
      <c r="O1608" s="2">
        <v>5550</v>
      </c>
      <c r="P1608" s="2">
        <v>61050</v>
      </c>
      <c r="Q1608" s="2">
        <f>P1608*8.5%</f>
        <v>5189.25</v>
      </c>
    </row>
    <row r="1609" spans="1:17" x14ac:dyDescent="0.4">
      <c r="A1609" s="4" t="s">
        <v>23</v>
      </c>
      <c r="B1609" s="4" t="s">
        <v>14</v>
      </c>
      <c r="C1609" s="31" t="s">
        <v>435</v>
      </c>
      <c r="D1609" s="4" t="s">
        <v>24</v>
      </c>
      <c r="E1609" s="4" t="s">
        <v>16</v>
      </c>
      <c r="F1609" s="4" t="s">
        <v>17</v>
      </c>
      <c r="G1609" s="4" t="s">
        <v>18</v>
      </c>
      <c r="H1609" s="4" t="s">
        <v>200</v>
      </c>
      <c r="I1609" s="5" t="str">
        <f t="shared" si="25"/>
        <v>2025-07</v>
      </c>
      <c r="J1609" s="4" t="s">
        <v>20</v>
      </c>
      <c r="K1609" s="5" t="s">
        <v>342</v>
      </c>
      <c r="L1609" s="2">
        <v>55500</v>
      </c>
      <c r="M1609" s="3">
        <v>3</v>
      </c>
      <c r="N1609" s="2">
        <v>166500</v>
      </c>
      <c r="O1609" s="2">
        <v>16650</v>
      </c>
      <c r="P1609" s="2">
        <v>183150</v>
      </c>
      <c r="Q1609" s="2">
        <f>P1609*8.5%</f>
        <v>15567.750000000002</v>
      </c>
    </row>
    <row r="1610" spans="1:17" x14ac:dyDescent="0.4">
      <c r="A1610" s="4" t="s">
        <v>25</v>
      </c>
      <c r="B1610" s="4" t="s">
        <v>26</v>
      </c>
      <c r="C1610" s="32" t="s">
        <v>436</v>
      </c>
      <c r="D1610" s="4" t="s">
        <v>27</v>
      </c>
      <c r="E1610" s="4" t="s">
        <v>28</v>
      </c>
      <c r="F1610" s="4" t="s">
        <v>17</v>
      </c>
      <c r="G1610" s="4" t="s">
        <v>18</v>
      </c>
      <c r="H1610" s="4" t="s">
        <v>200</v>
      </c>
      <c r="I1610" s="5" t="str">
        <f t="shared" si="25"/>
        <v>2025-07</v>
      </c>
      <c r="J1610" s="4" t="s">
        <v>20</v>
      </c>
      <c r="K1610" s="5" t="s">
        <v>342</v>
      </c>
      <c r="L1610" s="2">
        <v>2631</v>
      </c>
      <c r="M1610" s="3">
        <v>1</v>
      </c>
      <c r="N1610" s="2">
        <v>2631</v>
      </c>
      <c r="O1610" s="2">
        <v>263</v>
      </c>
      <c r="P1610" s="2">
        <v>2894</v>
      </c>
      <c r="Q1610" s="2">
        <f>P1610*8.5%</f>
        <v>245.99</v>
      </c>
    </row>
    <row r="1611" spans="1:17" x14ac:dyDescent="0.4">
      <c r="A1611" s="4" t="s">
        <v>56</v>
      </c>
      <c r="B1611" s="4" t="s">
        <v>26</v>
      </c>
      <c r="C1611" s="32" t="s">
        <v>436</v>
      </c>
      <c r="D1611" s="4" t="s">
        <v>57</v>
      </c>
      <c r="E1611" s="4" t="s">
        <v>44</v>
      </c>
      <c r="F1611" s="4" t="s">
        <v>31</v>
      </c>
      <c r="G1611" s="4" t="s">
        <v>18</v>
      </c>
      <c r="H1611" s="4" t="s">
        <v>200</v>
      </c>
      <c r="I1611" s="5" t="str">
        <f t="shared" si="25"/>
        <v>2025-07</v>
      </c>
      <c r="J1611" s="4" t="s">
        <v>20</v>
      </c>
      <c r="K1611" s="5" t="s">
        <v>342</v>
      </c>
      <c r="L1611" s="2">
        <v>1925</v>
      </c>
      <c r="M1611" s="3">
        <v>30</v>
      </c>
      <c r="N1611" s="2">
        <v>57750</v>
      </c>
      <c r="O1611" s="2">
        <v>0</v>
      </c>
      <c r="P1611" s="2">
        <v>57750</v>
      </c>
      <c r="Q1611" s="2">
        <f>P1611*8.5%</f>
        <v>4908.75</v>
      </c>
    </row>
    <row r="1612" spans="1:17" hidden="1" x14ac:dyDescent="0.4">
      <c r="A1612" s="4" t="s">
        <v>13</v>
      </c>
      <c r="B1612" s="4" t="s">
        <v>14</v>
      </c>
      <c r="C1612" s="30" t="s">
        <v>434</v>
      </c>
      <c r="D1612" s="4" t="s">
        <v>15</v>
      </c>
      <c r="E1612" s="4" t="s">
        <v>16</v>
      </c>
      <c r="F1612" s="4" t="s">
        <v>17</v>
      </c>
      <c r="G1612" s="4" t="s">
        <v>18</v>
      </c>
      <c r="H1612" s="4" t="s">
        <v>200</v>
      </c>
      <c r="I1612" s="5" t="str">
        <f t="shared" si="25"/>
        <v>2025-07</v>
      </c>
      <c r="J1612" s="4" t="s">
        <v>118</v>
      </c>
      <c r="K1612" s="5" t="s">
        <v>342</v>
      </c>
      <c r="L1612" s="2">
        <v>42000</v>
      </c>
      <c r="M1612" s="3">
        <v>4</v>
      </c>
      <c r="N1612" s="2">
        <v>168000</v>
      </c>
      <c r="O1612" s="2">
        <v>16800</v>
      </c>
      <c r="P1612" s="2">
        <v>184800</v>
      </c>
      <c r="Q1612" s="2">
        <f>P1612*8.5%</f>
        <v>15708.000000000002</v>
      </c>
    </row>
    <row r="1613" spans="1:17" hidden="1" x14ac:dyDescent="0.4">
      <c r="A1613" s="4" t="s">
        <v>23</v>
      </c>
      <c r="B1613" s="4" t="s">
        <v>14</v>
      </c>
      <c r="C1613" s="31" t="s">
        <v>435</v>
      </c>
      <c r="D1613" s="4" t="s">
        <v>24</v>
      </c>
      <c r="E1613" s="4" t="s">
        <v>16</v>
      </c>
      <c r="F1613" s="4" t="s">
        <v>17</v>
      </c>
      <c r="G1613" s="4" t="s">
        <v>18</v>
      </c>
      <c r="H1613" s="4" t="s">
        <v>200</v>
      </c>
      <c r="I1613" s="5" t="str">
        <f t="shared" si="25"/>
        <v>2025-07</v>
      </c>
      <c r="J1613" s="4" t="s">
        <v>118</v>
      </c>
      <c r="K1613" s="5" t="s">
        <v>342</v>
      </c>
      <c r="L1613" s="2">
        <v>55500</v>
      </c>
      <c r="M1613" s="3">
        <v>2</v>
      </c>
      <c r="N1613" s="2">
        <v>111000</v>
      </c>
      <c r="O1613" s="2">
        <v>11100</v>
      </c>
      <c r="P1613" s="2">
        <v>122100</v>
      </c>
      <c r="Q1613" s="2">
        <f>P1613*8.5%</f>
        <v>10378.5</v>
      </c>
    </row>
    <row r="1614" spans="1:17" hidden="1" x14ac:dyDescent="0.4">
      <c r="A1614" s="4" t="s">
        <v>82</v>
      </c>
      <c r="B1614" s="4" t="s">
        <v>26</v>
      </c>
      <c r="C1614" s="32" t="s">
        <v>436</v>
      </c>
      <c r="D1614" s="4" t="s">
        <v>81</v>
      </c>
      <c r="E1614" s="4" t="s">
        <v>16</v>
      </c>
      <c r="F1614" s="4" t="s">
        <v>17</v>
      </c>
      <c r="G1614" s="4" t="s">
        <v>18</v>
      </c>
      <c r="H1614" s="4" t="s">
        <v>200</v>
      </c>
      <c r="I1614" s="5" t="str">
        <f t="shared" si="25"/>
        <v>2025-07</v>
      </c>
      <c r="J1614" s="4" t="s">
        <v>34</v>
      </c>
      <c r="K1614" s="5" t="s">
        <v>342</v>
      </c>
      <c r="L1614" s="2">
        <v>20925</v>
      </c>
      <c r="M1614" s="3">
        <v>1</v>
      </c>
      <c r="N1614" s="2">
        <v>20925</v>
      </c>
      <c r="O1614" s="2">
        <v>2093</v>
      </c>
      <c r="P1614" s="2">
        <v>23018</v>
      </c>
      <c r="Q1614" s="2">
        <f>P1614*8.5%</f>
        <v>1956.5300000000002</v>
      </c>
    </row>
    <row r="1615" spans="1:17" hidden="1" x14ac:dyDescent="0.4">
      <c r="A1615" s="4" t="s">
        <v>64</v>
      </c>
      <c r="B1615" s="4" t="s">
        <v>65</v>
      </c>
      <c r="C1615" s="32" t="s">
        <v>436</v>
      </c>
      <c r="D1615" s="4" t="s">
        <v>66</v>
      </c>
      <c r="E1615" s="4" t="s">
        <v>16</v>
      </c>
      <c r="F1615" s="4" t="s">
        <v>17</v>
      </c>
      <c r="G1615" s="4" t="s">
        <v>18</v>
      </c>
      <c r="H1615" s="4" t="s">
        <v>200</v>
      </c>
      <c r="I1615" s="5" t="str">
        <f t="shared" si="25"/>
        <v>2025-07</v>
      </c>
      <c r="J1615" s="4" t="s">
        <v>34</v>
      </c>
      <c r="K1615" s="5" t="s">
        <v>342</v>
      </c>
      <c r="L1615" s="2">
        <v>10283</v>
      </c>
      <c r="M1615" s="3">
        <v>1</v>
      </c>
      <c r="N1615" s="2">
        <v>10283</v>
      </c>
      <c r="O1615" s="2">
        <v>1028</v>
      </c>
      <c r="P1615" s="2">
        <v>11311</v>
      </c>
      <c r="Q1615" s="2">
        <f>P1615*8.5%</f>
        <v>961.43500000000006</v>
      </c>
    </row>
    <row r="1616" spans="1:17" hidden="1" x14ac:dyDescent="0.4">
      <c r="A1616" s="4" t="s">
        <v>32</v>
      </c>
      <c r="B1616" s="4" t="s">
        <v>14</v>
      </c>
      <c r="C1616" s="31" t="s">
        <v>435</v>
      </c>
      <c r="D1616" s="4" t="s">
        <v>33</v>
      </c>
      <c r="E1616" s="4" t="s">
        <v>16</v>
      </c>
      <c r="F1616" s="4" t="s">
        <v>17</v>
      </c>
      <c r="G1616" s="4" t="s">
        <v>18</v>
      </c>
      <c r="H1616" s="4" t="s">
        <v>200</v>
      </c>
      <c r="I1616" s="5" t="str">
        <f t="shared" si="25"/>
        <v>2025-07</v>
      </c>
      <c r="J1616" s="4" t="s">
        <v>34</v>
      </c>
      <c r="K1616" s="5" t="s">
        <v>342</v>
      </c>
      <c r="L1616" s="2">
        <v>44000</v>
      </c>
      <c r="M1616" s="3">
        <v>3</v>
      </c>
      <c r="N1616" s="2">
        <v>132000</v>
      </c>
      <c r="O1616" s="2">
        <v>13200</v>
      </c>
      <c r="P1616" s="2">
        <v>145200</v>
      </c>
      <c r="Q1616" s="2">
        <f>P1616*8.5%</f>
        <v>12342</v>
      </c>
    </row>
    <row r="1617" spans="1:17" hidden="1" x14ac:dyDescent="0.4">
      <c r="A1617" s="4" t="s">
        <v>58</v>
      </c>
      <c r="B1617" s="4" t="s">
        <v>14</v>
      </c>
      <c r="C1617" s="30" t="s">
        <v>434</v>
      </c>
      <c r="D1617" s="4" t="s">
        <v>36</v>
      </c>
      <c r="E1617" s="4" t="s">
        <v>16</v>
      </c>
      <c r="F1617" s="4" t="s">
        <v>17</v>
      </c>
      <c r="G1617" s="4" t="s">
        <v>18</v>
      </c>
      <c r="H1617" s="4" t="s">
        <v>200</v>
      </c>
      <c r="I1617" s="5" t="str">
        <f t="shared" si="25"/>
        <v>2025-07</v>
      </c>
      <c r="J1617" s="4" t="s">
        <v>34</v>
      </c>
      <c r="K1617" s="5" t="s">
        <v>342</v>
      </c>
      <c r="L1617" s="2">
        <v>120880</v>
      </c>
      <c r="M1617" s="3">
        <v>1</v>
      </c>
      <c r="N1617" s="2">
        <v>120880</v>
      </c>
      <c r="O1617" s="2">
        <v>12088</v>
      </c>
      <c r="P1617" s="2">
        <v>132968</v>
      </c>
      <c r="Q1617" s="2">
        <f>P1617*8.5%</f>
        <v>11302.28</v>
      </c>
    </row>
    <row r="1618" spans="1:17" hidden="1" x14ac:dyDescent="0.4">
      <c r="A1618" s="4" t="s">
        <v>13</v>
      </c>
      <c r="B1618" s="4" t="s">
        <v>14</v>
      </c>
      <c r="C1618" s="30" t="s">
        <v>434</v>
      </c>
      <c r="D1618" s="4" t="s">
        <v>15</v>
      </c>
      <c r="E1618" s="4" t="s">
        <v>16</v>
      </c>
      <c r="F1618" s="4" t="s">
        <v>17</v>
      </c>
      <c r="G1618" s="4" t="s">
        <v>18</v>
      </c>
      <c r="H1618" s="4" t="s">
        <v>200</v>
      </c>
      <c r="I1618" s="5" t="str">
        <f t="shared" si="25"/>
        <v>2025-07</v>
      </c>
      <c r="J1618" s="4" t="s">
        <v>34</v>
      </c>
      <c r="K1618" s="5" t="s">
        <v>342</v>
      </c>
      <c r="L1618" s="2">
        <v>42000</v>
      </c>
      <c r="M1618" s="3">
        <v>9</v>
      </c>
      <c r="N1618" s="2">
        <v>378000</v>
      </c>
      <c r="O1618" s="2">
        <v>37800</v>
      </c>
      <c r="P1618" s="2">
        <v>415800</v>
      </c>
      <c r="Q1618" s="2">
        <f>P1618*8.5%</f>
        <v>35343</v>
      </c>
    </row>
    <row r="1619" spans="1:17" hidden="1" x14ac:dyDescent="0.4">
      <c r="A1619" s="4" t="s">
        <v>21</v>
      </c>
      <c r="B1619" s="4" t="s">
        <v>14</v>
      </c>
      <c r="C1619" s="31" t="s">
        <v>435</v>
      </c>
      <c r="D1619" s="4" t="s">
        <v>22</v>
      </c>
      <c r="E1619" s="4" t="s">
        <v>16</v>
      </c>
      <c r="F1619" s="4" t="s">
        <v>17</v>
      </c>
      <c r="G1619" s="4" t="s">
        <v>18</v>
      </c>
      <c r="H1619" s="4" t="s">
        <v>200</v>
      </c>
      <c r="I1619" s="5" t="str">
        <f t="shared" si="25"/>
        <v>2025-07</v>
      </c>
      <c r="J1619" s="4" t="s">
        <v>34</v>
      </c>
      <c r="K1619" s="5" t="s">
        <v>342</v>
      </c>
      <c r="L1619" s="2">
        <v>55500</v>
      </c>
      <c r="M1619" s="3">
        <v>1</v>
      </c>
      <c r="N1619" s="2">
        <v>55500</v>
      </c>
      <c r="O1619" s="2">
        <v>5550</v>
      </c>
      <c r="P1619" s="2">
        <v>61050</v>
      </c>
      <c r="Q1619" s="2">
        <f>P1619*8.5%</f>
        <v>5189.25</v>
      </c>
    </row>
    <row r="1620" spans="1:17" hidden="1" x14ac:dyDescent="0.4">
      <c r="A1620" s="4" t="s">
        <v>23</v>
      </c>
      <c r="B1620" s="4" t="s">
        <v>14</v>
      </c>
      <c r="C1620" s="31" t="s">
        <v>435</v>
      </c>
      <c r="D1620" s="4" t="s">
        <v>24</v>
      </c>
      <c r="E1620" s="4" t="s">
        <v>16</v>
      </c>
      <c r="F1620" s="4" t="s">
        <v>17</v>
      </c>
      <c r="G1620" s="4" t="s">
        <v>18</v>
      </c>
      <c r="H1620" s="4" t="s">
        <v>200</v>
      </c>
      <c r="I1620" s="5" t="str">
        <f t="shared" si="25"/>
        <v>2025-07</v>
      </c>
      <c r="J1620" s="4" t="s">
        <v>34</v>
      </c>
      <c r="K1620" s="5" t="s">
        <v>342</v>
      </c>
      <c r="L1620" s="2">
        <v>55500</v>
      </c>
      <c r="M1620" s="3">
        <v>4</v>
      </c>
      <c r="N1620" s="2">
        <v>222000</v>
      </c>
      <c r="O1620" s="2">
        <v>22200</v>
      </c>
      <c r="P1620" s="2">
        <v>244200</v>
      </c>
      <c r="Q1620" s="2">
        <f>P1620*8.5%</f>
        <v>20757</v>
      </c>
    </row>
    <row r="1621" spans="1:17" hidden="1" x14ac:dyDescent="0.4">
      <c r="A1621" s="4" t="s">
        <v>51</v>
      </c>
      <c r="B1621" s="4" t="s">
        <v>14</v>
      </c>
      <c r="C1621" s="30" t="s">
        <v>434</v>
      </c>
      <c r="D1621" s="4" t="s">
        <v>52</v>
      </c>
      <c r="E1621" s="4" t="s">
        <v>16</v>
      </c>
      <c r="F1621" s="4" t="s">
        <v>17</v>
      </c>
      <c r="G1621" s="4" t="s">
        <v>18</v>
      </c>
      <c r="H1621" s="4" t="s">
        <v>200</v>
      </c>
      <c r="I1621" s="5" t="str">
        <f t="shared" si="25"/>
        <v>2025-07</v>
      </c>
      <c r="J1621" s="4" t="s">
        <v>34</v>
      </c>
      <c r="K1621" s="5" t="s">
        <v>342</v>
      </c>
      <c r="L1621" s="2">
        <v>73000</v>
      </c>
      <c r="M1621" s="3">
        <v>2</v>
      </c>
      <c r="N1621" s="2">
        <v>146000</v>
      </c>
      <c r="O1621" s="2">
        <v>14600</v>
      </c>
      <c r="P1621" s="2">
        <v>160600</v>
      </c>
      <c r="Q1621" s="2">
        <f>P1621*8.5%</f>
        <v>13651.000000000002</v>
      </c>
    </row>
    <row r="1622" spans="1:17" hidden="1" x14ac:dyDescent="0.4">
      <c r="A1622" s="4" t="s">
        <v>42</v>
      </c>
      <c r="B1622" s="4" t="s">
        <v>14</v>
      </c>
      <c r="C1622" s="30" t="s">
        <v>434</v>
      </c>
      <c r="D1622" s="4" t="s">
        <v>43</v>
      </c>
      <c r="E1622" s="4" t="s">
        <v>44</v>
      </c>
      <c r="F1622" s="4" t="s">
        <v>31</v>
      </c>
      <c r="G1622" s="4" t="s">
        <v>18</v>
      </c>
      <c r="H1622" s="4" t="s">
        <v>200</v>
      </c>
      <c r="I1622" s="5" t="str">
        <f t="shared" si="25"/>
        <v>2025-07</v>
      </c>
      <c r="J1622" s="4" t="s">
        <v>34</v>
      </c>
      <c r="K1622" s="5" t="s">
        <v>342</v>
      </c>
      <c r="L1622" s="2">
        <v>7300</v>
      </c>
      <c r="M1622" s="3">
        <v>76.7</v>
      </c>
      <c r="N1622" s="2">
        <v>559910</v>
      </c>
      <c r="O1622" s="2">
        <v>0</v>
      </c>
      <c r="P1622" s="2">
        <v>559910</v>
      </c>
      <c r="Q1622" s="2">
        <f>P1622*8.5%</f>
        <v>47592.350000000006</v>
      </c>
    </row>
    <row r="1623" spans="1:17" hidden="1" x14ac:dyDescent="0.4">
      <c r="A1623" s="4" t="s">
        <v>13</v>
      </c>
      <c r="B1623" s="4" t="s">
        <v>14</v>
      </c>
      <c r="C1623" s="30" t="s">
        <v>434</v>
      </c>
      <c r="D1623" s="4" t="s">
        <v>15</v>
      </c>
      <c r="E1623" s="4" t="s">
        <v>16</v>
      </c>
      <c r="F1623" s="4" t="s">
        <v>17</v>
      </c>
      <c r="G1623" s="4" t="s">
        <v>18</v>
      </c>
      <c r="H1623" s="4" t="s">
        <v>200</v>
      </c>
      <c r="I1623" s="5" t="str">
        <f t="shared" si="25"/>
        <v>2025-07</v>
      </c>
      <c r="J1623" s="4" t="s">
        <v>59</v>
      </c>
      <c r="K1623" s="5" t="s">
        <v>343</v>
      </c>
      <c r="L1623" s="2">
        <v>42000</v>
      </c>
      <c r="M1623" s="3">
        <v>4</v>
      </c>
      <c r="N1623" s="2">
        <v>168000</v>
      </c>
      <c r="O1623" s="2">
        <v>16800</v>
      </c>
      <c r="P1623" s="2">
        <v>184800</v>
      </c>
      <c r="Q1623" s="2">
        <f>P1623*12%</f>
        <v>22176</v>
      </c>
    </row>
    <row r="1624" spans="1:17" hidden="1" x14ac:dyDescent="0.4">
      <c r="A1624" s="4" t="s">
        <v>35</v>
      </c>
      <c r="B1624" s="4" t="s">
        <v>14</v>
      </c>
      <c r="C1624" s="30" t="s">
        <v>434</v>
      </c>
      <c r="D1624" s="4" t="s">
        <v>36</v>
      </c>
      <c r="E1624" s="4" t="s">
        <v>16</v>
      </c>
      <c r="F1624" s="4" t="s">
        <v>17</v>
      </c>
      <c r="G1624" s="4" t="s">
        <v>18</v>
      </c>
      <c r="H1624" s="4" t="s">
        <v>200</v>
      </c>
      <c r="I1624" s="5" t="str">
        <f t="shared" si="25"/>
        <v>2025-07</v>
      </c>
      <c r="J1624" s="4" t="s">
        <v>59</v>
      </c>
      <c r="K1624" s="5" t="s">
        <v>343</v>
      </c>
      <c r="L1624" s="2">
        <v>116220</v>
      </c>
      <c r="M1624" s="3">
        <v>1</v>
      </c>
      <c r="N1624" s="2">
        <v>116220</v>
      </c>
      <c r="O1624" s="2">
        <v>11622</v>
      </c>
      <c r="P1624" s="2">
        <v>127842</v>
      </c>
      <c r="Q1624" s="2">
        <f>P1624*12%</f>
        <v>15341.039999999999</v>
      </c>
    </row>
    <row r="1625" spans="1:17" hidden="1" x14ac:dyDescent="0.4">
      <c r="A1625" s="4" t="s">
        <v>23</v>
      </c>
      <c r="B1625" s="4" t="s">
        <v>14</v>
      </c>
      <c r="C1625" s="31" t="s">
        <v>435</v>
      </c>
      <c r="D1625" s="4" t="s">
        <v>24</v>
      </c>
      <c r="E1625" s="4" t="s">
        <v>16</v>
      </c>
      <c r="F1625" s="4" t="s">
        <v>17</v>
      </c>
      <c r="G1625" s="4" t="s">
        <v>18</v>
      </c>
      <c r="H1625" s="4" t="s">
        <v>200</v>
      </c>
      <c r="I1625" s="5" t="str">
        <f t="shared" si="25"/>
        <v>2025-07</v>
      </c>
      <c r="J1625" s="4" t="s">
        <v>59</v>
      </c>
      <c r="K1625" s="5" t="s">
        <v>343</v>
      </c>
      <c r="L1625" s="2">
        <v>55500</v>
      </c>
      <c r="M1625" s="3">
        <v>3</v>
      </c>
      <c r="N1625" s="2">
        <v>166500</v>
      </c>
      <c r="O1625" s="2">
        <v>16650</v>
      </c>
      <c r="P1625" s="2">
        <v>183150</v>
      </c>
      <c r="Q1625" s="2">
        <f>P1625*12%</f>
        <v>21978</v>
      </c>
    </row>
    <row r="1626" spans="1:17" hidden="1" x14ac:dyDescent="0.4">
      <c r="A1626" s="4" t="s">
        <v>39</v>
      </c>
      <c r="B1626" s="4" t="s">
        <v>26</v>
      </c>
      <c r="C1626" s="32" t="s">
        <v>436</v>
      </c>
      <c r="D1626" s="4" t="s">
        <v>27</v>
      </c>
      <c r="E1626" s="4" t="s">
        <v>28</v>
      </c>
      <c r="F1626" s="4" t="s">
        <v>17</v>
      </c>
      <c r="G1626" s="4" t="s">
        <v>18</v>
      </c>
      <c r="H1626" s="4" t="s">
        <v>200</v>
      </c>
      <c r="I1626" s="5" t="str">
        <f t="shared" si="25"/>
        <v>2025-07</v>
      </c>
      <c r="J1626" s="4" t="s">
        <v>59</v>
      </c>
      <c r="K1626" s="5" t="s">
        <v>343</v>
      </c>
      <c r="L1626" s="2">
        <v>4018</v>
      </c>
      <c r="M1626" s="3">
        <v>6</v>
      </c>
      <c r="N1626" s="2">
        <v>24108</v>
      </c>
      <c r="O1626" s="2">
        <v>2411</v>
      </c>
      <c r="P1626" s="2">
        <v>26519</v>
      </c>
      <c r="Q1626" s="2">
        <f>P1626*12%</f>
        <v>3182.2799999999997</v>
      </c>
    </row>
    <row r="1627" spans="1:17" hidden="1" x14ac:dyDescent="0.4">
      <c r="A1627" s="4" t="s">
        <v>13</v>
      </c>
      <c r="B1627" s="4" t="s">
        <v>14</v>
      </c>
      <c r="C1627" s="30" t="s">
        <v>434</v>
      </c>
      <c r="D1627" s="4" t="s">
        <v>15</v>
      </c>
      <c r="E1627" s="4" t="s">
        <v>16</v>
      </c>
      <c r="F1627" s="4" t="s">
        <v>17</v>
      </c>
      <c r="G1627" s="4" t="s">
        <v>18</v>
      </c>
      <c r="H1627" s="4" t="s">
        <v>200</v>
      </c>
      <c r="I1627" s="5" t="str">
        <f t="shared" si="25"/>
        <v>2025-07</v>
      </c>
      <c r="J1627" s="4" t="s">
        <v>49</v>
      </c>
      <c r="K1627" s="5" t="s">
        <v>343</v>
      </c>
      <c r="L1627" s="2">
        <v>42000</v>
      </c>
      <c r="M1627" s="3">
        <v>7</v>
      </c>
      <c r="N1627" s="2">
        <v>294000</v>
      </c>
      <c r="O1627" s="2">
        <v>29400</v>
      </c>
      <c r="P1627" s="2">
        <v>323400</v>
      </c>
      <c r="Q1627" s="2">
        <f>P1627*12%</f>
        <v>38808</v>
      </c>
    </row>
    <row r="1628" spans="1:17" hidden="1" x14ac:dyDescent="0.4">
      <c r="A1628" s="4" t="s">
        <v>35</v>
      </c>
      <c r="B1628" s="4" t="s">
        <v>14</v>
      </c>
      <c r="C1628" s="30" t="s">
        <v>434</v>
      </c>
      <c r="D1628" s="4" t="s">
        <v>36</v>
      </c>
      <c r="E1628" s="4" t="s">
        <v>16</v>
      </c>
      <c r="F1628" s="4" t="s">
        <v>17</v>
      </c>
      <c r="G1628" s="4" t="s">
        <v>18</v>
      </c>
      <c r="H1628" s="4" t="s">
        <v>200</v>
      </c>
      <c r="I1628" s="5" t="str">
        <f t="shared" si="25"/>
        <v>2025-07</v>
      </c>
      <c r="J1628" s="4" t="s">
        <v>49</v>
      </c>
      <c r="K1628" s="5" t="s">
        <v>343</v>
      </c>
      <c r="L1628" s="2">
        <v>116220</v>
      </c>
      <c r="M1628" s="3">
        <v>1</v>
      </c>
      <c r="N1628" s="2">
        <v>116220</v>
      </c>
      <c r="O1628" s="2">
        <v>11622</v>
      </c>
      <c r="P1628" s="2">
        <v>127842</v>
      </c>
      <c r="Q1628" s="2">
        <f>P1628*12%</f>
        <v>15341.039999999999</v>
      </c>
    </row>
    <row r="1629" spans="1:17" hidden="1" x14ac:dyDescent="0.4">
      <c r="A1629" s="4" t="s">
        <v>23</v>
      </c>
      <c r="B1629" s="4" t="s">
        <v>14</v>
      </c>
      <c r="C1629" s="31" t="s">
        <v>435</v>
      </c>
      <c r="D1629" s="4" t="s">
        <v>24</v>
      </c>
      <c r="E1629" s="4" t="s">
        <v>16</v>
      </c>
      <c r="F1629" s="4" t="s">
        <v>17</v>
      </c>
      <c r="G1629" s="4" t="s">
        <v>18</v>
      </c>
      <c r="H1629" s="4" t="s">
        <v>200</v>
      </c>
      <c r="I1629" s="5" t="str">
        <f t="shared" si="25"/>
        <v>2025-07</v>
      </c>
      <c r="J1629" s="4" t="s">
        <v>49</v>
      </c>
      <c r="K1629" s="5" t="s">
        <v>343</v>
      </c>
      <c r="L1629" s="2">
        <v>55500</v>
      </c>
      <c r="M1629" s="3">
        <v>3</v>
      </c>
      <c r="N1629" s="2">
        <v>166500</v>
      </c>
      <c r="O1629" s="2">
        <v>16650</v>
      </c>
      <c r="P1629" s="2">
        <v>183150</v>
      </c>
      <c r="Q1629" s="2">
        <f>P1629*12%</f>
        <v>21978</v>
      </c>
    </row>
    <row r="1630" spans="1:17" hidden="1" x14ac:dyDescent="0.4">
      <c r="A1630" s="4" t="s">
        <v>51</v>
      </c>
      <c r="B1630" s="4" t="s">
        <v>14</v>
      </c>
      <c r="C1630" s="30" t="s">
        <v>434</v>
      </c>
      <c r="D1630" s="4" t="s">
        <v>52</v>
      </c>
      <c r="E1630" s="4" t="s">
        <v>16</v>
      </c>
      <c r="F1630" s="4" t="s">
        <v>17</v>
      </c>
      <c r="G1630" s="4" t="s">
        <v>18</v>
      </c>
      <c r="H1630" s="4" t="s">
        <v>200</v>
      </c>
      <c r="I1630" s="5" t="str">
        <f t="shared" si="25"/>
        <v>2025-07</v>
      </c>
      <c r="J1630" s="4" t="s">
        <v>49</v>
      </c>
      <c r="K1630" s="5" t="s">
        <v>343</v>
      </c>
      <c r="L1630" s="2">
        <v>73000</v>
      </c>
      <c r="M1630" s="3">
        <v>1</v>
      </c>
      <c r="N1630" s="2">
        <v>73000</v>
      </c>
      <c r="O1630" s="2">
        <v>7300</v>
      </c>
      <c r="P1630" s="2">
        <v>80300</v>
      </c>
      <c r="Q1630" s="2">
        <f>P1630*12%</f>
        <v>9636</v>
      </c>
    </row>
    <row r="1631" spans="1:17" x14ac:dyDescent="0.4">
      <c r="A1631" s="4" t="s">
        <v>13</v>
      </c>
      <c r="B1631" s="4" t="s">
        <v>14</v>
      </c>
      <c r="C1631" s="30" t="s">
        <v>434</v>
      </c>
      <c r="D1631" s="4" t="s">
        <v>15</v>
      </c>
      <c r="E1631" s="4" t="s">
        <v>16</v>
      </c>
      <c r="F1631" s="4" t="s">
        <v>17</v>
      </c>
      <c r="G1631" s="4" t="s">
        <v>18</v>
      </c>
      <c r="H1631" s="4" t="s">
        <v>201</v>
      </c>
      <c r="I1631" s="5" t="str">
        <f t="shared" si="25"/>
        <v>2025-07</v>
      </c>
      <c r="J1631" s="4" t="s">
        <v>20</v>
      </c>
      <c r="K1631" s="5" t="s">
        <v>342</v>
      </c>
      <c r="L1631" s="2">
        <v>42000</v>
      </c>
      <c r="M1631" s="3">
        <v>3</v>
      </c>
      <c r="N1631" s="2">
        <v>126000</v>
      </c>
      <c r="O1631" s="2">
        <v>12600</v>
      </c>
      <c r="P1631" s="2">
        <v>138600</v>
      </c>
      <c r="Q1631" s="2">
        <f>P1631*8.5%</f>
        <v>11781</v>
      </c>
    </row>
    <row r="1632" spans="1:17" x14ac:dyDescent="0.4">
      <c r="A1632" s="4" t="s">
        <v>21</v>
      </c>
      <c r="B1632" s="4" t="s">
        <v>14</v>
      </c>
      <c r="C1632" s="31" t="s">
        <v>435</v>
      </c>
      <c r="D1632" s="4" t="s">
        <v>22</v>
      </c>
      <c r="E1632" s="4" t="s">
        <v>16</v>
      </c>
      <c r="F1632" s="4" t="s">
        <v>17</v>
      </c>
      <c r="G1632" s="4" t="s">
        <v>18</v>
      </c>
      <c r="H1632" s="4" t="s">
        <v>201</v>
      </c>
      <c r="I1632" s="5" t="str">
        <f t="shared" si="25"/>
        <v>2025-07</v>
      </c>
      <c r="J1632" s="4" t="s">
        <v>20</v>
      </c>
      <c r="K1632" s="5" t="s">
        <v>342</v>
      </c>
      <c r="L1632" s="2">
        <v>55500</v>
      </c>
      <c r="M1632" s="3">
        <v>2</v>
      </c>
      <c r="N1632" s="2">
        <v>111000</v>
      </c>
      <c r="O1632" s="2">
        <v>11100</v>
      </c>
      <c r="P1632" s="2">
        <v>122100</v>
      </c>
      <c r="Q1632" s="2">
        <f>P1632*8.5%</f>
        <v>10378.5</v>
      </c>
    </row>
    <row r="1633" spans="1:17" x14ac:dyDescent="0.4">
      <c r="A1633" s="4" t="s">
        <v>23</v>
      </c>
      <c r="B1633" s="4" t="s">
        <v>14</v>
      </c>
      <c r="C1633" s="31" t="s">
        <v>435</v>
      </c>
      <c r="D1633" s="4" t="s">
        <v>24</v>
      </c>
      <c r="E1633" s="4" t="s">
        <v>16</v>
      </c>
      <c r="F1633" s="4" t="s">
        <v>17</v>
      </c>
      <c r="G1633" s="4" t="s">
        <v>18</v>
      </c>
      <c r="H1633" s="4" t="s">
        <v>201</v>
      </c>
      <c r="I1633" s="5" t="str">
        <f t="shared" si="25"/>
        <v>2025-07</v>
      </c>
      <c r="J1633" s="4" t="s">
        <v>20</v>
      </c>
      <c r="K1633" s="5" t="s">
        <v>342</v>
      </c>
      <c r="L1633" s="2">
        <v>55500</v>
      </c>
      <c r="M1633" s="3">
        <v>2</v>
      </c>
      <c r="N1633" s="2">
        <v>111000</v>
      </c>
      <c r="O1633" s="2">
        <v>11100</v>
      </c>
      <c r="P1633" s="2">
        <v>122100</v>
      </c>
      <c r="Q1633" s="2">
        <f>P1633*8.5%</f>
        <v>10378.5</v>
      </c>
    </row>
    <row r="1634" spans="1:17" hidden="1" x14ac:dyDescent="0.4">
      <c r="A1634" s="4" t="s">
        <v>13</v>
      </c>
      <c r="B1634" s="4" t="s">
        <v>14</v>
      </c>
      <c r="C1634" s="30" t="s">
        <v>434</v>
      </c>
      <c r="D1634" s="4" t="s">
        <v>15</v>
      </c>
      <c r="E1634" s="4" t="s">
        <v>16</v>
      </c>
      <c r="F1634" s="4" t="s">
        <v>17</v>
      </c>
      <c r="G1634" s="4" t="s">
        <v>18</v>
      </c>
      <c r="H1634" s="4" t="s">
        <v>201</v>
      </c>
      <c r="I1634" s="5" t="str">
        <f t="shared" si="25"/>
        <v>2025-07</v>
      </c>
      <c r="J1634" s="4" t="s">
        <v>118</v>
      </c>
      <c r="K1634" s="5" t="s">
        <v>342</v>
      </c>
      <c r="L1634" s="2">
        <v>42000</v>
      </c>
      <c r="M1634" s="3">
        <v>5</v>
      </c>
      <c r="N1634" s="2">
        <v>210000</v>
      </c>
      <c r="O1634" s="2">
        <v>21000</v>
      </c>
      <c r="P1634" s="2">
        <v>231000</v>
      </c>
      <c r="Q1634" s="2">
        <f>P1634*8.5%</f>
        <v>19635</v>
      </c>
    </row>
    <row r="1635" spans="1:17" hidden="1" x14ac:dyDescent="0.4">
      <c r="A1635" s="4" t="s">
        <v>35</v>
      </c>
      <c r="B1635" s="4" t="s">
        <v>14</v>
      </c>
      <c r="C1635" s="30" t="s">
        <v>434</v>
      </c>
      <c r="D1635" s="4" t="s">
        <v>36</v>
      </c>
      <c r="E1635" s="4" t="s">
        <v>16</v>
      </c>
      <c r="F1635" s="4" t="s">
        <v>17</v>
      </c>
      <c r="G1635" s="4" t="s">
        <v>18</v>
      </c>
      <c r="H1635" s="4" t="s">
        <v>201</v>
      </c>
      <c r="I1635" s="5" t="str">
        <f t="shared" si="25"/>
        <v>2025-07</v>
      </c>
      <c r="J1635" s="4" t="s">
        <v>118</v>
      </c>
      <c r="K1635" s="5" t="s">
        <v>342</v>
      </c>
      <c r="L1635" s="2">
        <v>116220</v>
      </c>
      <c r="M1635" s="3">
        <v>1</v>
      </c>
      <c r="N1635" s="2">
        <v>116220</v>
      </c>
      <c r="O1635" s="2">
        <v>11622</v>
      </c>
      <c r="P1635" s="2">
        <v>127842</v>
      </c>
      <c r="Q1635" s="2">
        <f>P1635*8.5%</f>
        <v>10866.570000000002</v>
      </c>
    </row>
    <row r="1636" spans="1:17" hidden="1" x14ac:dyDescent="0.4">
      <c r="A1636" s="4" t="s">
        <v>23</v>
      </c>
      <c r="B1636" s="4" t="s">
        <v>14</v>
      </c>
      <c r="C1636" s="31" t="s">
        <v>435</v>
      </c>
      <c r="D1636" s="4" t="s">
        <v>24</v>
      </c>
      <c r="E1636" s="4" t="s">
        <v>16</v>
      </c>
      <c r="F1636" s="4" t="s">
        <v>17</v>
      </c>
      <c r="G1636" s="4" t="s">
        <v>18</v>
      </c>
      <c r="H1636" s="4" t="s">
        <v>201</v>
      </c>
      <c r="I1636" s="5" t="str">
        <f t="shared" si="25"/>
        <v>2025-07</v>
      </c>
      <c r="J1636" s="4" t="s">
        <v>118</v>
      </c>
      <c r="K1636" s="5" t="s">
        <v>342</v>
      </c>
      <c r="L1636" s="2">
        <v>55500</v>
      </c>
      <c r="M1636" s="3">
        <v>3</v>
      </c>
      <c r="N1636" s="2">
        <v>166500</v>
      </c>
      <c r="O1636" s="2">
        <v>16650</v>
      </c>
      <c r="P1636" s="2">
        <v>183150</v>
      </c>
      <c r="Q1636" s="2">
        <f>P1636*8.5%</f>
        <v>15567.750000000002</v>
      </c>
    </row>
    <row r="1637" spans="1:17" hidden="1" x14ac:dyDescent="0.4">
      <c r="A1637" s="4" t="s">
        <v>51</v>
      </c>
      <c r="B1637" s="4" t="s">
        <v>14</v>
      </c>
      <c r="C1637" s="30" t="s">
        <v>434</v>
      </c>
      <c r="D1637" s="4" t="s">
        <v>52</v>
      </c>
      <c r="E1637" s="4" t="s">
        <v>16</v>
      </c>
      <c r="F1637" s="4" t="s">
        <v>17</v>
      </c>
      <c r="G1637" s="4" t="s">
        <v>18</v>
      </c>
      <c r="H1637" s="4" t="s">
        <v>201</v>
      </c>
      <c r="I1637" s="5" t="str">
        <f t="shared" si="25"/>
        <v>2025-07</v>
      </c>
      <c r="J1637" s="4" t="s">
        <v>118</v>
      </c>
      <c r="K1637" s="5" t="s">
        <v>342</v>
      </c>
      <c r="L1637" s="2">
        <v>73000</v>
      </c>
      <c r="M1637" s="3">
        <v>1</v>
      </c>
      <c r="N1637" s="2">
        <v>73000</v>
      </c>
      <c r="O1637" s="2">
        <v>7300</v>
      </c>
      <c r="P1637" s="2">
        <v>80300</v>
      </c>
      <c r="Q1637" s="2">
        <f>P1637*8.5%</f>
        <v>6825.5000000000009</v>
      </c>
    </row>
    <row r="1638" spans="1:17" hidden="1" x14ac:dyDescent="0.4">
      <c r="A1638" s="4" t="s">
        <v>32</v>
      </c>
      <c r="B1638" s="4" t="s">
        <v>14</v>
      </c>
      <c r="C1638" s="31" t="s">
        <v>435</v>
      </c>
      <c r="D1638" s="4" t="s">
        <v>33</v>
      </c>
      <c r="E1638" s="4" t="s">
        <v>16</v>
      </c>
      <c r="F1638" s="4" t="s">
        <v>17</v>
      </c>
      <c r="G1638" s="4" t="s">
        <v>18</v>
      </c>
      <c r="H1638" s="4" t="s">
        <v>201</v>
      </c>
      <c r="I1638" s="5" t="str">
        <f t="shared" si="25"/>
        <v>2025-07</v>
      </c>
      <c r="J1638" s="4" t="s">
        <v>34</v>
      </c>
      <c r="K1638" s="5" t="s">
        <v>342</v>
      </c>
      <c r="L1638" s="2">
        <v>44000</v>
      </c>
      <c r="M1638" s="3">
        <v>3</v>
      </c>
      <c r="N1638" s="2">
        <v>132000</v>
      </c>
      <c r="O1638" s="2">
        <v>13200</v>
      </c>
      <c r="P1638" s="2">
        <v>145200</v>
      </c>
      <c r="Q1638" s="2">
        <f>P1638*8.5%</f>
        <v>12342</v>
      </c>
    </row>
    <row r="1639" spans="1:17" hidden="1" x14ac:dyDescent="0.4">
      <c r="A1639" s="4" t="s">
        <v>58</v>
      </c>
      <c r="B1639" s="4" t="s">
        <v>14</v>
      </c>
      <c r="C1639" s="30" t="s">
        <v>434</v>
      </c>
      <c r="D1639" s="4" t="s">
        <v>36</v>
      </c>
      <c r="E1639" s="4" t="s">
        <v>16</v>
      </c>
      <c r="F1639" s="4" t="s">
        <v>17</v>
      </c>
      <c r="G1639" s="4" t="s">
        <v>18</v>
      </c>
      <c r="H1639" s="4" t="s">
        <v>201</v>
      </c>
      <c r="I1639" s="5" t="str">
        <f t="shared" si="25"/>
        <v>2025-07</v>
      </c>
      <c r="J1639" s="4" t="s">
        <v>34</v>
      </c>
      <c r="K1639" s="5" t="s">
        <v>342</v>
      </c>
      <c r="L1639" s="2">
        <v>120880</v>
      </c>
      <c r="M1639" s="3">
        <v>1</v>
      </c>
      <c r="N1639" s="2">
        <v>120880</v>
      </c>
      <c r="O1639" s="2">
        <v>12088</v>
      </c>
      <c r="P1639" s="2">
        <v>132968</v>
      </c>
      <c r="Q1639" s="2">
        <f>P1639*8.5%</f>
        <v>11302.28</v>
      </c>
    </row>
    <row r="1640" spans="1:17" hidden="1" x14ac:dyDescent="0.4">
      <c r="A1640" s="4" t="s">
        <v>13</v>
      </c>
      <c r="B1640" s="4" t="s">
        <v>14</v>
      </c>
      <c r="C1640" s="30" t="s">
        <v>434</v>
      </c>
      <c r="D1640" s="4" t="s">
        <v>15</v>
      </c>
      <c r="E1640" s="4" t="s">
        <v>16</v>
      </c>
      <c r="F1640" s="4" t="s">
        <v>17</v>
      </c>
      <c r="G1640" s="4" t="s">
        <v>18</v>
      </c>
      <c r="H1640" s="4" t="s">
        <v>201</v>
      </c>
      <c r="I1640" s="5" t="str">
        <f t="shared" si="25"/>
        <v>2025-07</v>
      </c>
      <c r="J1640" s="4" t="s">
        <v>34</v>
      </c>
      <c r="K1640" s="5" t="s">
        <v>342</v>
      </c>
      <c r="L1640" s="2">
        <v>42000</v>
      </c>
      <c r="M1640" s="3">
        <v>5</v>
      </c>
      <c r="N1640" s="2">
        <v>210000</v>
      </c>
      <c r="O1640" s="2">
        <v>21000</v>
      </c>
      <c r="P1640" s="2">
        <v>231000</v>
      </c>
      <c r="Q1640" s="2">
        <f>P1640*8.5%</f>
        <v>19635</v>
      </c>
    </row>
    <row r="1641" spans="1:17" hidden="1" x14ac:dyDescent="0.4">
      <c r="A1641" s="4" t="s">
        <v>21</v>
      </c>
      <c r="B1641" s="4" t="s">
        <v>14</v>
      </c>
      <c r="C1641" s="31" t="s">
        <v>435</v>
      </c>
      <c r="D1641" s="4" t="s">
        <v>22</v>
      </c>
      <c r="E1641" s="4" t="s">
        <v>16</v>
      </c>
      <c r="F1641" s="4" t="s">
        <v>17</v>
      </c>
      <c r="G1641" s="4" t="s">
        <v>18</v>
      </c>
      <c r="H1641" s="4" t="s">
        <v>201</v>
      </c>
      <c r="I1641" s="5" t="str">
        <f t="shared" si="25"/>
        <v>2025-07</v>
      </c>
      <c r="J1641" s="4" t="s">
        <v>34</v>
      </c>
      <c r="K1641" s="5" t="s">
        <v>342</v>
      </c>
      <c r="L1641" s="2">
        <v>55500</v>
      </c>
      <c r="M1641" s="3">
        <v>2</v>
      </c>
      <c r="N1641" s="2">
        <v>111000</v>
      </c>
      <c r="O1641" s="2">
        <v>11100</v>
      </c>
      <c r="P1641" s="2">
        <v>122100</v>
      </c>
      <c r="Q1641" s="2">
        <f>P1641*8.5%</f>
        <v>10378.5</v>
      </c>
    </row>
    <row r="1642" spans="1:17" hidden="1" x14ac:dyDescent="0.4">
      <c r="A1642" s="4" t="s">
        <v>35</v>
      </c>
      <c r="B1642" s="4" t="s">
        <v>14</v>
      </c>
      <c r="C1642" s="30" t="s">
        <v>434</v>
      </c>
      <c r="D1642" s="4" t="s">
        <v>36</v>
      </c>
      <c r="E1642" s="4" t="s">
        <v>16</v>
      </c>
      <c r="F1642" s="4" t="s">
        <v>17</v>
      </c>
      <c r="G1642" s="4" t="s">
        <v>18</v>
      </c>
      <c r="H1642" s="4" t="s">
        <v>201</v>
      </c>
      <c r="I1642" s="5" t="str">
        <f t="shared" si="25"/>
        <v>2025-07</v>
      </c>
      <c r="J1642" s="4" t="s">
        <v>34</v>
      </c>
      <c r="K1642" s="5" t="s">
        <v>342</v>
      </c>
      <c r="L1642" s="2">
        <v>116220</v>
      </c>
      <c r="M1642" s="3">
        <v>1</v>
      </c>
      <c r="N1642" s="2">
        <v>116220</v>
      </c>
      <c r="O1642" s="2">
        <v>11622</v>
      </c>
      <c r="P1642" s="2">
        <v>127842</v>
      </c>
      <c r="Q1642" s="2">
        <f>P1642*8.5%</f>
        <v>10866.570000000002</v>
      </c>
    </row>
    <row r="1643" spans="1:17" hidden="1" x14ac:dyDescent="0.4">
      <c r="A1643" s="4" t="s">
        <v>23</v>
      </c>
      <c r="B1643" s="4" t="s">
        <v>14</v>
      </c>
      <c r="C1643" s="31" t="s">
        <v>435</v>
      </c>
      <c r="D1643" s="4" t="s">
        <v>24</v>
      </c>
      <c r="E1643" s="4" t="s">
        <v>16</v>
      </c>
      <c r="F1643" s="4" t="s">
        <v>17</v>
      </c>
      <c r="G1643" s="4" t="s">
        <v>18</v>
      </c>
      <c r="H1643" s="4" t="s">
        <v>201</v>
      </c>
      <c r="I1643" s="5" t="str">
        <f t="shared" si="25"/>
        <v>2025-07</v>
      </c>
      <c r="J1643" s="4" t="s">
        <v>34</v>
      </c>
      <c r="K1643" s="5" t="s">
        <v>342</v>
      </c>
      <c r="L1643" s="2">
        <v>55500</v>
      </c>
      <c r="M1643" s="3">
        <v>7</v>
      </c>
      <c r="N1643" s="2">
        <v>388500</v>
      </c>
      <c r="O1643" s="2">
        <v>38850</v>
      </c>
      <c r="P1643" s="2">
        <v>427350</v>
      </c>
      <c r="Q1643" s="2">
        <f>P1643*8.5%</f>
        <v>36324.75</v>
      </c>
    </row>
    <row r="1644" spans="1:17" hidden="1" x14ac:dyDescent="0.4">
      <c r="A1644" s="4" t="s">
        <v>51</v>
      </c>
      <c r="B1644" s="4" t="s">
        <v>14</v>
      </c>
      <c r="C1644" s="30" t="s">
        <v>434</v>
      </c>
      <c r="D1644" s="4" t="s">
        <v>52</v>
      </c>
      <c r="E1644" s="4" t="s">
        <v>16</v>
      </c>
      <c r="F1644" s="4" t="s">
        <v>17</v>
      </c>
      <c r="G1644" s="4" t="s">
        <v>18</v>
      </c>
      <c r="H1644" s="4" t="s">
        <v>201</v>
      </c>
      <c r="I1644" s="5" t="str">
        <f t="shared" si="25"/>
        <v>2025-07</v>
      </c>
      <c r="J1644" s="4" t="s">
        <v>34</v>
      </c>
      <c r="K1644" s="5" t="s">
        <v>342</v>
      </c>
      <c r="L1644" s="2">
        <v>73000</v>
      </c>
      <c r="M1644" s="3">
        <v>1</v>
      </c>
      <c r="N1644" s="2">
        <v>73000</v>
      </c>
      <c r="O1644" s="2">
        <v>7300</v>
      </c>
      <c r="P1644" s="2">
        <v>80300</v>
      </c>
      <c r="Q1644" s="2">
        <f>P1644*8.5%</f>
        <v>6825.5000000000009</v>
      </c>
    </row>
    <row r="1645" spans="1:17" hidden="1" x14ac:dyDescent="0.4">
      <c r="A1645" s="4" t="s">
        <v>73</v>
      </c>
      <c r="B1645" s="4" t="s">
        <v>26</v>
      </c>
      <c r="C1645" s="32" t="s">
        <v>436</v>
      </c>
      <c r="D1645" s="4" t="s">
        <v>57</v>
      </c>
      <c r="E1645" s="4" t="s">
        <v>28</v>
      </c>
      <c r="F1645" s="4" t="s">
        <v>17</v>
      </c>
      <c r="G1645" s="4" t="s">
        <v>18</v>
      </c>
      <c r="H1645" s="4" t="s">
        <v>201</v>
      </c>
      <c r="I1645" s="5" t="str">
        <f t="shared" si="25"/>
        <v>2025-07</v>
      </c>
      <c r="J1645" s="4" t="s">
        <v>34</v>
      </c>
      <c r="K1645" s="5" t="s">
        <v>342</v>
      </c>
      <c r="L1645" s="2">
        <v>7055</v>
      </c>
      <c r="M1645" s="3">
        <v>2</v>
      </c>
      <c r="N1645" s="2">
        <v>14110</v>
      </c>
      <c r="O1645" s="2">
        <v>1411</v>
      </c>
      <c r="P1645" s="2">
        <v>15521</v>
      </c>
      <c r="Q1645" s="2">
        <f>P1645*8.5%</f>
        <v>1319.2850000000001</v>
      </c>
    </row>
    <row r="1646" spans="1:17" hidden="1" x14ac:dyDescent="0.4">
      <c r="A1646" s="4" t="s">
        <v>42</v>
      </c>
      <c r="B1646" s="4" t="s">
        <v>14</v>
      </c>
      <c r="C1646" s="30" t="s">
        <v>434</v>
      </c>
      <c r="D1646" s="4" t="s">
        <v>43</v>
      </c>
      <c r="E1646" s="4" t="s">
        <v>44</v>
      </c>
      <c r="F1646" s="4" t="s">
        <v>31</v>
      </c>
      <c r="G1646" s="4" t="s">
        <v>18</v>
      </c>
      <c r="H1646" s="4" t="s">
        <v>201</v>
      </c>
      <c r="I1646" s="5" t="str">
        <f t="shared" si="25"/>
        <v>2025-07</v>
      </c>
      <c r="J1646" s="4" t="s">
        <v>34</v>
      </c>
      <c r="K1646" s="5" t="s">
        <v>342</v>
      </c>
      <c r="L1646" s="2">
        <v>7300</v>
      </c>
      <c r="M1646" s="3">
        <v>65.400000000000006</v>
      </c>
      <c r="N1646" s="2">
        <v>477420</v>
      </c>
      <c r="O1646" s="2">
        <v>0</v>
      </c>
      <c r="P1646" s="2">
        <v>477420</v>
      </c>
      <c r="Q1646" s="2">
        <f>P1646*8.5%</f>
        <v>40580.700000000004</v>
      </c>
    </row>
    <row r="1647" spans="1:17" hidden="1" x14ac:dyDescent="0.4">
      <c r="A1647" s="4" t="s">
        <v>202</v>
      </c>
      <c r="B1647" s="4" t="s">
        <v>26</v>
      </c>
      <c r="C1647" s="32" t="s">
        <v>436</v>
      </c>
      <c r="D1647" s="4" t="s">
        <v>203</v>
      </c>
      <c r="E1647" s="4" t="s">
        <v>47</v>
      </c>
      <c r="F1647" s="4" t="s">
        <v>17</v>
      </c>
      <c r="G1647" s="4" t="s">
        <v>18</v>
      </c>
      <c r="H1647" s="4" t="s">
        <v>201</v>
      </c>
      <c r="I1647" s="5" t="str">
        <f t="shared" si="25"/>
        <v>2025-07</v>
      </c>
      <c r="J1647" s="4" t="s">
        <v>34</v>
      </c>
      <c r="K1647" s="5" t="s">
        <v>342</v>
      </c>
      <c r="L1647" s="2">
        <v>13153</v>
      </c>
      <c r="M1647" s="3">
        <v>1</v>
      </c>
      <c r="N1647" s="2">
        <v>13153</v>
      </c>
      <c r="O1647" s="2">
        <v>1315</v>
      </c>
      <c r="P1647" s="2">
        <v>14468</v>
      </c>
      <c r="Q1647" s="2">
        <f>P1647*8.5%</f>
        <v>1229.7800000000002</v>
      </c>
    </row>
    <row r="1648" spans="1:17" hidden="1" x14ac:dyDescent="0.4">
      <c r="A1648" s="4" t="s">
        <v>13</v>
      </c>
      <c r="B1648" s="4" t="s">
        <v>14</v>
      </c>
      <c r="C1648" s="30" t="s">
        <v>434</v>
      </c>
      <c r="D1648" s="4" t="s">
        <v>15</v>
      </c>
      <c r="E1648" s="4" t="s">
        <v>16</v>
      </c>
      <c r="F1648" s="4" t="s">
        <v>17</v>
      </c>
      <c r="G1648" s="4" t="s">
        <v>18</v>
      </c>
      <c r="H1648" s="4" t="s">
        <v>201</v>
      </c>
      <c r="I1648" s="5" t="str">
        <f t="shared" si="25"/>
        <v>2025-07</v>
      </c>
      <c r="J1648" s="4" t="s">
        <v>59</v>
      </c>
      <c r="K1648" s="5" t="s">
        <v>343</v>
      </c>
      <c r="L1648" s="2">
        <v>42000</v>
      </c>
      <c r="M1648" s="3">
        <v>6</v>
      </c>
      <c r="N1648" s="2">
        <v>252000</v>
      </c>
      <c r="O1648" s="2">
        <v>25200</v>
      </c>
      <c r="P1648" s="2">
        <v>277200</v>
      </c>
      <c r="Q1648" s="2">
        <f>P1648*12%</f>
        <v>33264</v>
      </c>
    </row>
    <row r="1649" spans="1:17" hidden="1" x14ac:dyDescent="0.4">
      <c r="A1649" s="4" t="s">
        <v>35</v>
      </c>
      <c r="B1649" s="4" t="s">
        <v>14</v>
      </c>
      <c r="C1649" s="30" t="s">
        <v>434</v>
      </c>
      <c r="D1649" s="4" t="s">
        <v>36</v>
      </c>
      <c r="E1649" s="4" t="s">
        <v>16</v>
      </c>
      <c r="F1649" s="4" t="s">
        <v>17</v>
      </c>
      <c r="G1649" s="4" t="s">
        <v>18</v>
      </c>
      <c r="H1649" s="4" t="s">
        <v>201</v>
      </c>
      <c r="I1649" s="5" t="str">
        <f t="shared" si="25"/>
        <v>2025-07</v>
      </c>
      <c r="J1649" s="4" t="s">
        <v>59</v>
      </c>
      <c r="K1649" s="5" t="s">
        <v>343</v>
      </c>
      <c r="L1649" s="2">
        <v>116220</v>
      </c>
      <c r="M1649" s="3">
        <v>1</v>
      </c>
      <c r="N1649" s="2">
        <v>116220</v>
      </c>
      <c r="O1649" s="2">
        <v>11622</v>
      </c>
      <c r="P1649" s="2">
        <v>127842</v>
      </c>
      <c r="Q1649" s="2">
        <f>P1649*12%</f>
        <v>15341.039999999999</v>
      </c>
    </row>
    <row r="1650" spans="1:17" hidden="1" x14ac:dyDescent="0.4">
      <c r="A1650" s="4" t="s">
        <v>23</v>
      </c>
      <c r="B1650" s="4" t="s">
        <v>14</v>
      </c>
      <c r="C1650" s="31" t="s">
        <v>435</v>
      </c>
      <c r="D1650" s="4" t="s">
        <v>24</v>
      </c>
      <c r="E1650" s="4" t="s">
        <v>16</v>
      </c>
      <c r="F1650" s="4" t="s">
        <v>17</v>
      </c>
      <c r="G1650" s="4" t="s">
        <v>18</v>
      </c>
      <c r="H1650" s="4" t="s">
        <v>201</v>
      </c>
      <c r="I1650" s="5" t="str">
        <f t="shared" si="25"/>
        <v>2025-07</v>
      </c>
      <c r="J1650" s="4" t="s">
        <v>59</v>
      </c>
      <c r="K1650" s="5" t="s">
        <v>343</v>
      </c>
      <c r="L1650" s="2">
        <v>55500</v>
      </c>
      <c r="M1650" s="3">
        <v>3</v>
      </c>
      <c r="N1650" s="2">
        <v>166500</v>
      </c>
      <c r="O1650" s="2">
        <v>16650</v>
      </c>
      <c r="P1650" s="2">
        <v>183150</v>
      </c>
      <c r="Q1650" s="2">
        <f>P1650*12%</f>
        <v>21978</v>
      </c>
    </row>
    <row r="1651" spans="1:17" hidden="1" x14ac:dyDescent="0.4">
      <c r="A1651" s="4" t="s">
        <v>51</v>
      </c>
      <c r="B1651" s="4" t="s">
        <v>14</v>
      </c>
      <c r="C1651" s="30" t="s">
        <v>434</v>
      </c>
      <c r="D1651" s="4" t="s">
        <v>52</v>
      </c>
      <c r="E1651" s="4" t="s">
        <v>16</v>
      </c>
      <c r="F1651" s="4" t="s">
        <v>17</v>
      </c>
      <c r="G1651" s="4" t="s">
        <v>18</v>
      </c>
      <c r="H1651" s="4" t="s">
        <v>201</v>
      </c>
      <c r="I1651" s="5" t="str">
        <f t="shared" si="25"/>
        <v>2025-07</v>
      </c>
      <c r="J1651" s="4" t="s">
        <v>59</v>
      </c>
      <c r="K1651" s="5" t="s">
        <v>343</v>
      </c>
      <c r="L1651" s="2">
        <v>73000</v>
      </c>
      <c r="M1651" s="3">
        <v>2</v>
      </c>
      <c r="N1651" s="2">
        <v>146000</v>
      </c>
      <c r="O1651" s="2">
        <v>14600</v>
      </c>
      <c r="P1651" s="2">
        <v>160600</v>
      </c>
      <c r="Q1651" s="2">
        <f>P1651*12%</f>
        <v>19272</v>
      </c>
    </row>
    <row r="1652" spans="1:17" hidden="1" x14ac:dyDescent="0.4">
      <c r="A1652" s="4" t="s">
        <v>35</v>
      </c>
      <c r="B1652" s="4" t="s">
        <v>14</v>
      </c>
      <c r="C1652" s="30" t="s">
        <v>434</v>
      </c>
      <c r="D1652" s="4" t="s">
        <v>36</v>
      </c>
      <c r="E1652" s="4" t="s">
        <v>16</v>
      </c>
      <c r="F1652" s="4" t="s">
        <v>17</v>
      </c>
      <c r="G1652" s="4" t="s">
        <v>18</v>
      </c>
      <c r="H1652" s="4" t="s">
        <v>201</v>
      </c>
      <c r="I1652" s="5" t="str">
        <f t="shared" si="25"/>
        <v>2025-07</v>
      </c>
      <c r="J1652" s="4" t="s">
        <v>60</v>
      </c>
      <c r="K1652" s="5" t="s">
        <v>343</v>
      </c>
      <c r="L1652" s="2">
        <v>116220</v>
      </c>
      <c r="M1652" s="3">
        <v>6</v>
      </c>
      <c r="N1652" s="2">
        <v>697320</v>
      </c>
      <c r="O1652" s="2">
        <v>69732</v>
      </c>
      <c r="P1652" s="2">
        <v>767052</v>
      </c>
      <c r="Q1652" s="2">
        <f>P1652*12%</f>
        <v>92046.239999999991</v>
      </c>
    </row>
    <row r="1653" spans="1:17" hidden="1" x14ac:dyDescent="0.4">
      <c r="A1653" s="4" t="s">
        <v>23</v>
      </c>
      <c r="B1653" s="4" t="s">
        <v>14</v>
      </c>
      <c r="C1653" s="31" t="s">
        <v>435</v>
      </c>
      <c r="D1653" s="4" t="s">
        <v>24</v>
      </c>
      <c r="E1653" s="4" t="s">
        <v>16</v>
      </c>
      <c r="F1653" s="4" t="s">
        <v>17</v>
      </c>
      <c r="G1653" s="4" t="s">
        <v>18</v>
      </c>
      <c r="H1653" s="4" t="s">
        <v>201</v>
      </c>
      <c r="I1653" s="5" t="str">
        <f t="shared" si="25"/>
        <v>2025-07</v>
      </c>
      <c r="J1653" s="4" t="s">
        <v>60</v>
      </c>
      <c r="K1653" s="5" t="s">
        <v>343</v>
      </c>
      <c r="L1653" s="2">
        <v>55500</v>
      </c>
      <c r="M1653" s="3">
        <v>8</v>
      </c>
      <c r="N1653" s="2">
        <v>444000</v>
      </c>
      <c r="O1653" s="2">
        <v>44400</v>
      </c>
      <c r="P1653" s="2">
        <v>488400</v>
      </c>
      <c r="Q1653" s="2">
        <f>P1653*12%</f>
        <v>58608</v>
      </c>
    </row>
    <row r="1654" spans="1:17" hidden="1" x14ac:dyDescent="0.4">
      <c r="A1654" s="4" t="s">
        <v>32</v>
      </c>
      <c r="B1654" s="4" t="s">
        <v>14</v>
      </c>
      <c r="C1654" s="31" t="s">
        <v>435</v>
      </c>
      <c r="D1654" s="4" t="s">
        <v>33</v>
      </c>
      <c r="E1654" s="4" t="s">
        <v>16</v>
      </c>
      <c r="F1654" s="4" t="s">
        <v>17</v>
      </c>
      <c r="G1654" s="4" t="s">
        <v>18</v>
      </c>
      <c r="H1654" s="4" t="s">
        <v>201</v>
      </c>
      <c r="I1654" s="5" t="str">
        <f t="shared" si="25"/>
        <v>2025-07</v>
      </c>
      <c r="J1654" s="4" t="s">
        <v>49</v>
      </c>
      <c r="K1654" s="5" t="s">
        <v>343</v>
      </c>
      <c r="L1654" s="2">
        <v>44000</v>
      </c>
      <c r="M1654" s="3">
        <v>4</v>
      </c>
      <c r="N1654" s="2">
        <v>176000</v>
      </c>
      <c r="O1654" s="2">
        <v>17600</v>
      </c>
      <c r="P1654" s="2">
        <v>193600</v>
      </c>
      <c r="Q1654" s="2">
        <f>P1654*12%</f>
        <v>23232</v>
      </c>
    </row>
    <row r="1655" spans="1:17" hidden="1" x14ac:dyDescent="0.4">
      <c r="A1655" s="4" t="s">
        <v>13</v>
      </c>
      <c r="B1655" s="4" t="s">
        <v>14</v>
      </c>
      <c r="C1655" s="30" t="s">
        <v>434</v>
      </c>
      <c r="D1655" s="4" t="s">
        <v>15</v>
      </c>
      <c r="E1655" s="4" t="s">
        <v>16</v>
      </c>
      <c r="F1655" s="4" t="s">
        <v>17</v>
      </c>
      <c r="G1655" s="4" t="s">
        <v>18</v>
      </c>
      <c r="H1655" s="4" t="s">
        <v>201</v>
      </c>
      <c r="I1655" s="5" t="str">
        <f t="shared" si="25"/>
        <v>2025-07</v>
      </c>
      <c r="J1655" s="4" t="s">
        <v>49</v>
      </c>
      <c r="K1655" s="5" t="s">
        <v>343</v>
      </c>
      <c r="L1655" s="2">
        <v>42000</v>
      </c>
      <c r="M1655" s="3">
        <v>9</v>
      </c>
      <c r="N1655" s="2">
        <v>378000</v>
      </c>
      <c r="O1655" s="2">
        <v>37800</v>
      </c>
      <c r="P1655" s="2">
        <v>415800</v>
      </c>
      <c r="Q1655" s="2">
        <f>P1655*12%</f>
        <v>49896</v>
      </c>
    </row>
    <row r="1656" spans="1:17" hidden="1" x14ac:dyDescent="0.4">
      <c r="A1656" s="4" t="s">
        <v>35</v>
      </c>
      <c r="B1656" s="4" t="s">
        <v>14</v>
      </c>
      <c r="C1656" s="30" t="s">
        <v>434</v>
      </c>
      <c r="D1656" s="4" t="s">
        <v>36</v>
      </c>
      <c r="E1656" s="4" t="s">
        <v>16</v>
      </c>
      <c r="F1656" s="4" t="s">
        <v>17</v>
      </c>
      <c r="G1656" s="4" t="s">
        <v>18</v>
      </c>
      <c r="H1656" s="4" t="s">
        <v>201</v>
      </c>
      <c r="I1656" s="5" t="str">
        <f t="shared" si="25"/>
        <v>2025-07</v>
      </c>
      <c r="J1656" s="4" t="s">
        <v>49</v>
      </c>
      <c r="K1656" s="5" t="s">
        <v>343</v>
      </c>
      <c r="L1656" s="2">
        <v>116220</v>
      </c>
      <c r="M1656" s="3">
        <v>1</v>
      </c>
      <c r="N1656" s="2">
        <v>116220</v>
      </c>
      <c r="O1656" s="2">
        <v>11622</v>
      </c>
      <c r="P1656" s="2">
        <v>127842</v>
      </c>
      <c r="Q1656" s="2">
        <f>P1656*12%</f>
        <v>15341.039999999999</v>
      </c>
    </row>
    <row r="1657" spans="1:17" hidden="1" x14ac:dyDescent="0.4">
      <c r="A1657" s="4" t="s">
        <v>23</v>
      </c>
      <c r="B1657" s="4" t="s">
        <v>14</v>
      </c>
      <c r="C1657" s="31" t="s">
        <v>435</v>
      </c>
      <c r="D1657" s="4" t="s">
        <v>24</v>
      </c>
      <c r="E1657" s="4" t="s">
        <v>16</v>
      </c>
      <c r="F1657" s="4" t="s">
        <v>17</v>
      </c>
      <c r="G1657" s="4" t="s">
        <v>18</v>
      </c>
      <c r="H1657" s="4" t="s">
        <v>201</v>
      </c>
      <c r="I1657" s="5" t="str">
        <f t="shared" si="25"/>
        <v>2025-07</v>
      </c>
      <c r="J1657" s="4" t="s">
        <v>49</v>
      </c>
      <c r="K1657" s="5" t="s">
        <v>343</v>
      </c>
      <c r="L1657" s="2">
        <v>55500</v>
      </c>
      <c r="M1657" s="3">
        <v>2</v>
      </c>
      <c r="N1657" s="2">
        <v>111000</v>
      </c>
      <c r="O1657" s="2">
        <v>11100</v>
      </c>
      <c r="P1657" s="2">
        <v>122100</v>
      </c>
      <c r="Q1657" s="2">
        <f>P1657*12%</f>
        <v>14652</v>
      </c>
    </row>
    <row r="1658" spans="1:17" hidden="1" x14ac:dyDescent="0.4">
      <c r="A1658" s="4" t="s">
        <v>51</v>
      </c>
      <c r="B1658" s="4" t="s">
        <v>14</v>
      </c>
      <c r="C1658" s="30" t="s">
        <v>434</v>
      </c>
      <c r="D1658" s="4" t="s">
        <v>52</v>
      </c>
      <c r="E1658" s="4" t="s">
        <v>16</v>
      </c>
      <c r="F1658" s="4" t="s">
        <v>17</v>
      </c>
      <c r="G1658" s="4" t="s">
        <v>18</v>
      </c>
      <c r="H1658" s="4" t="s">
        <v>201</v>
      </c>
      <c r="I1658" s="5" t="str">
        <f t="shared" si="25"/>
        <v>2025-07</v>
      </c>
      <c r="J1658" s="4" t="s">
        <v>49</v>
      </c>
      <c r="K1658" s="5" t="s">
        <v>343</v>
      </c>
      <c r="L1658" s="2">
        <v>73000</v>
      </c>
      <c r="M1658" s="3">
        <v>2</v>
      </c>
      <c r="N1658" s="2">
        <v>146000</v>
      </c>
      <c r="O1658" s="2">
        <v>14600</v>
      </c>
      <c r="P1658" s="2">
        <v>160600</v>
      </c>
      <c r="Q1658" s="2">
        <f>P1658*12%</f>
        <v>19272</v>
      </c>
    </row>
    <row r="1659" spans="1:17" hidden="1" x14ac:dyDescent="0.4">
      <c r="A1659" s="4" t="s">
        <v>13</v>
      </c>
      <c r="B1659" s="4" t="s">
        <v>14</v>
      </c>
      <c r="C1659" s="30" t="s">
        <v>434</v>
      </c>
      <c r="D1659" s="4" t="s">
        <v>15</v>
      </c>
      <c r="E1659" s="4" t="s">
        <v>16</v>
      </c>
      <c r="F1659" s="4" t="s">
        <v>17</v>
      </c>
      <c r="G1659" s="4" t="s">
        <v>18</v>
      </c>
      <c r="H1659" s="4" t="s">
        <v>201</v>
      </c>
      <c r="I1659" s="5" t="str">
        <f t="shared" si="25"/>
        <v>2025-07</v>
      </c>
      <c r="J1659" s="4" t="s">
        <v>50</v>
      </c>
      <c r="K1659" s="5" t="s">
        <v>343</v>
      </c>
      <c r="L1659" s="2">
        <v>42000</v>
      </c>
      <c r="M1659" s="3">
        <v>10</v>
      </c>
      <c r="N1659" s="2">
        <v>420000</v>
      </c>
      <c r="O1659" s="2">
        <v>42000</v>
      </c>
      <c r="P1659" s="2">
        <v>462000</v>
      </c>
      <c r="Q1659" s="2">
        <f>P1659*12%</f>
        <v>55440</v>
      </c>
    </row>
    <row r="1660" spans="1:17" hidden="1" x14ac:dyDescent="0.4">
      <c r="A1660" s="4" t="s">
        <v>23</v>
      </c>
      <c r="B1660" s="4" t="s">
        <v>14</v>
      </c>
      <c r="C1660" s="31" t="s">
        <v>435</v>
      </c>
      <c r="D1660" s="4" t="s">
        <v>24</v>
      </c>
      <c r="E1660" s="4" t="s">
        <v>16</v>
      </c>
      <c r="F1660" s="4" t="s">
        <v>17</v>
      </c>
      <c r="G1660" s="4" t="s">
        <v>18</v>
      </c>
      <c r="H1660" s="4" t="s">
        <v>201</v>
      </c>
      <c r="I1660" s="5" t="str">
        <f t="shared" si="25"/>
        <v>2025-07</v>
      </c>
      <c r="J1660" s="4" t="s">
        <v>50</v>
      </c>
      <c r="K1660" s="5" t="s">
        <v>343</v>
      </c>
      <c r="L1660" s="2">
        <v>55500</v>
      </c>
      <c r="M1660" s="3">
        <v>5</v>
      </c>
      <c r="N1660" s="2">
        <v>277500</v>
      </c>
      <c r="O1660" s="2">
        <v>27750</v>
      </c>
      <c r="P1660" s="2">
        <v>305250</v>
      </c>
      <c r="Q1660" s="2">
        <f>P1660*12%</f>
        <v>36630</v>
      </c>
    </row>
    <row r="1661" spans="1:17" hidden="1" x14ac:dyDescent="0.4">
      <c r="A1661" s="4" t="s">
        <v>51</v>
      </c>
      <c r="B1661" s="4" t="s">
        <v>14</v>
      </c>
      <c r="C1661" s="30" t="s">
        <v>434</v>
      </c>
      <c r="D1661" s="4" t="s">
        <v>52</v>
      </c>
      <c r="E1661" s="4" t="s">
        <v>16</v>
      </c>
      <c r="F1661" s="4" t="s">
        <v>17</v>
      </c>
      <c r="G1661" s="4" t="s">
        <v>18</v>
      </c>
      <c r="H1661" s="4" t="s">
        <v>201</v>
      </c>
      <c r="I1661" s="5" t="str">
        <f t="shared" si="25"/>
        <v>2025-07</v>
      </c>
      <c r="J1661" s="4" t="s">
        <v>50</v>
      </c>
      <c r="K1661" s="5" t="s">
        <v>343</v>
      </c>
      <c r="L1661" s="2">
        <v>73000</v>
      </c>
      <c r="M1661" s="3">
        <v>2</v>
      </c>
      <c r="N1661" s="2">
        <v>146000</v>
      </c>
      <c r="O1661" s="2">
        <v>14600</v>
      </c>
      <c r="P1661" s="2">
        <v>160600</v>
      </c>
      <c r="Q1661" s="2">
        <f>P1661*12%</f>
        <v>19272</v>
      </c>
    </row>
    <row r="1662" spans="1:17" hidden="1" x14ac:dyDescent="0.4">
      <c r="A1662" s="4" t="s">
        <v>13</v>
      </c>
      <c r="B1662" s="4" t="s">
        <v>14</v>
      </c>
      <c r="C1662" s="30" t="s">
        <v>434</v>
      </c>
      <c r="D1662" s="4" t="s">
        <v>15</v>
      </c>
      <c r="E1662" s="4" t="s">
        <v>16</v>
      </c>
      <c r="F1662" s="4" t="s">
        <v>17</v>
      </c>
      <c r="G1662" s="4" t="s">
        <v>18</v>
      </c>
      <c r="H1662" s="4" t="s">
        <v>201</v>
      </c>
      <c r="I1662" s="5" t="str">
        <f t="shared" si="25"/>
        <v>2025-07</v>
      </c>
      <c r="J1662" s="4" t="s">
        <v>159</v>
      </c>
      <c r="K1662" s="5" t="s">
        <v>342</v>
      </c>
      <c r="L1662" s="2">
        <v>42000</v>
      </c>
      <c r="M1662" s="3">
        <v>2</v>
      </c>
      <c r="N1662" s="2">
        <v>84000</v>
      </c>
      <c r="O1662" s="2">
        <v>8400</v>
      </c>
      <c r="P1662" s="2">
        <v>92400</v>
      </c>
      <c r="Q1662" s="2">
        <f>P1662*8.5%</f>
        <v>7854.0000000000009</v>
      </c>
    </row>
    <row r="1663" spans="1:17" hidden="1" x14ac:dyDescent="0.4">
      <c r="A1663" s="4" t="s">
        <v>23</v>
      </c>
      <c r="B1663" s="4" t="s">
        <v>14</v>
      </c>
      <c r="C1663" s="31" t="s">
        <v>435</v>
      </c>
      <c r="D1663" s="4" t="s">
        <v>24</v>
      </c>
      <c r="E1663" s="4" t="s">
        <v>16</v>
      </c>
      <c r="F1663" s="4" t="s">
        <v>17</v>
      </c>
      <c r="G1663" s="4" t="s">
        <v>18</v>
      </c>
      <c r="H1663" s="4" t="s">
        <v>201</v>
      </c>
      <c r="I1663" s="5" t="str">
        <f t="shared" si="25"/>
        <v>2025-07</v>
      </c>
      <c r="J1663" s="4" t="s">
        <v>159</v>
      </c>
      <c r="K1663" s="5" t="s">
        <v>342</v>
      </c>
      <c r="L1663" s="2">
        <v>55500</v>
      </c>
      <c r="M1663" s="3">
        <v>1</v>
      </c>
      <c r="N1663" s="2">
        <v>55500</v>
      </c>
      <c r="O1663" s="2">
        <v>5550</v>
      </c>
      <c r="P1663" s="2">
        <v>61050</v>
      </c>
      <c r="Q1663" s="2">
        <f>P1663*8.5%</f>
        <v>5189.25</v>
      </c>
    </row>
    <row r="1664" spans="1:17" x14ac:dyDescent="0.4">
      <c r="A1664" s="4" t="s">
        <v>58</v>
      </c>
      <c r="B1664" s="4" t="s">
        <v>14</v>
      </c>
      <c r="C1664" s="30" t="s">
        <v>434</v>
      </c>
      <c r="D1664" s="4" t="s">
        <v>36</v>
      </c>
      <c r="E1664" s="4" t="s">
        <v>16</v>
      </c>
      <c r="F1664" s="4" t="s">
        <v>17</v>
      </c>
      <c r="G1664" s="4" t="s">
        <v>18</v>
      </c>
      <c r="H1664" s="4" t="s">
        <v>204</v>
      </c>
      <c r="I1664" s="5" t="str">
        <f t="shared" si="25"/>
        <v>2025-07</v>
      </c>
      <c r="J1664" s="4" t="s">
        <v>20</v>
      </c>
      <c r="K1664" s="5" t="s">
        <v>342</v>
      </c>
      <c r="L1664" s="2">
        <v>120880</v>
      </c>
      <c r="M1664" s="3">
        <v>1</v>
      </c>
      <c r="N1664" s="2">
        <v>120880</v>
      </c>
      <c r="O1664" s="2">
        <v>12088</v>
      </c>
      <c r="P1664" s="2">
        <v>132968</v>
      </c>
      <c r="Q1664" s="2">
        <f>P1664*8.5%</f>
        <v>11302.28</v>
      </c>
    </row>
    <row r="1665" spans="1:17" x14ac:dyDescent="0.4">
      <c r="A1665" s="4" t="s">
        <v>13</v>
      </c>
      <c r="B1665" s="4" t="s">
        <v>14</v>
      </c>
      <c r="C1665" s="30" t="s">
        <v>434</v>
      </c>
      <c r="D1665" s="4" t="s">
        <v>15</v>
      </c>
      <c r="E1665" s="4" t="s">
        <v>16</v>
      </c>
      <c r="F1665" s="4" t="s">
        <v>17</v>
      </c>
      <c r="G1665" s="4" t="s">
        <v>18</v>
      </c>
      <c r="H1665" s="4" t="s">
        <v>204</v>
      </c>
      <c r="I1665" s="5" t="str">
        <f t="shared" si="25"/>
        <v>2025-07</v>
      </c>
      <c r="J1665" s="4" t="s">
        <v>20</v>
      </c>
      <c r="K1665" s="5" t="s">
        <v>342</v>
      </c>
      <c r="L1665" s="2">
        <v>42000</v>
      </c>
      <c r="M1665" s="3">
        <v>2</v>
      </c>
      <c r="N1665" s="2">
        <v>84000</v>
      </c>
      <c r="O1665" s="2">
        <v>8400</v>
      </c>
      <c r="P1665" s="2">
        <v>92400</v>
      </c>
      <c r="Q1665" s="2">
        <f>P1665*8.5%</f>
        <v>7854.0000000000009</v>
      </c>
    </row>
    <row r="1666" spans="1:17" x14ac:dyDescent="0.4">
      <c r="A1666" s="4" t="s">
        <v>23</v>
      </c>
      <c r="B1666" s="4" t="s">
        <v>14</v>
      </c>
      <c r="C1666" s="31" t="s">
        <v>435</v>
      </c>
      <c r="D1666" s="4" t="s">
        <v>24</v>
      </c>
      <c r="E1666" s="4" t="s">
        <v>16</v>
      </c>
      <c r="F1666" s="4" t="s">
        <v>17</v>
      </c>
      <c r="G1666" s="4" t="s">
        <v>18</v>
      </c>
      <c r="H1666" s="4" t="s">
        <v>204</v>
      </c>
      <c r="I1666" s="5" t="str">
        <f t="shared" ref="I1666:I1729" si="26">TEXT(H1666,"yyyy-mm")</f>
        <v>2025-07</v>
      </c>
      <c r="J1666" s="4" t="s">
        <v>20</v>
      </c>
      <c r="K1666" s="5" t="s">
        <v>342</v>
      </c>
      <c r="L1666" s="2">
        <v>55500</v>
      </c>
      <c r="M1666" s="3">
        <v>3</v>
      </c>
      <c r="N1666" s="2">
        <v>166500</v>
      </c>
      <c r="O1666" s="2">
        <v>16650</v>
      </c>
      <c r="P1666" s="2">
        <v>183150</v>
      </c>
      <c r="Q1666" s="2">
        <f>P1666*8.5%</f>
        <v>15567.750000000002</v>
      </c>
    </row>
    <row r="1667" spans="1:17" x14ac:dyDescent="0.4">
      <c r="A1667" s="4" t="s">
        <v>51</v>
      </c>
      <c r="B1667" s="4" t="s">
        <v>14</v>
      </c>
      <c r="C1667" s="30" t="s">
        <v>434</v>
      </c>
      <c r="D1667" s="4" t="s">
        <v>52</v>
      </c>
      <c r="E1667" s="4" t="s">
        <v>16</v>
      </c>
      <c r="F1667" s="4" t="s">
        <v>17</v>
      </c>
      <c r="G1667" s="4" t="s">
        <v>18</v>
      </c>
      <c r="H1667" s="4" t="s">
        <v>204</v>
      </c>
      <c r="I1667" s="5" t="str">
        <f t="shared" si="26"/>
        <v>2025-07</v>
      </c>
      <c r="J1667" s="4" t="s">
        <v>20</v>
      </c>
      <c r="K1667" s="5" t="s">
        <v>342</v>
      </c>
      <c r="L1667" s="2">
        <v>73000</v>
      </c>
      <c r="M1667" s="3">
        <v>1</v>
      </c>
      <c r="N1667" s="2">
        <v>73000</v>
      </c>
      <c r="O1667" s="2">
        <v>7300</v>
      </c>
      <c r="P1667" s="2">
        <v>80300</v>
      </c>
      <c r="Q1667" s="2">
        <f>P1667*8.5%</f>
        <v>6825.5000000000009</v>
      </c>
    </row>
    <row r="1668" spans="1:17" x14ac:dyDescent="0.4">
      <c r="A1668" s="4" t="s">
        <v>56</v>
      </c>
      <c r="B1668" s="4" t="s">
        <v>26</v>
      </c>
      <c r="C1668" s="32" t="s">
        <v>436</v>
      </c>
      <c r="D1668" s="4" t="s">
        <v>57</v>
      </c>
      <c r="E1668" s="4" t="s">
        <v>44</v>
      </c>
      <c r="F1668" s="4" t="s">
        <v>31</v>
      </c>
      <c r="G1668" s="4" t="s">
        <v>18</v>
      </c>
      <c r="H1668" s="4" t="s">
        <v>204</v>
      </c>
      <c r="I1668" s="5" t="str">
        <f t="shared" si="26"/>
        <v>2025-07</v>
      </c>
      <c r="J1668" s="4" t="s">
        <v>20</v>
      </c>
      <c r="K1668" s="5" t="s">
        <v>342</v>
      </c>
      <c r="L1668" s="2">
        <v>1925</v>
      </c>
      <c r="M1668" s="3">
        <v>25</v>
      </c>
      <c r="N1668" s="2">
        <v>48125</v>
      </c>
      <c r="O1668" s="2">
        <v>0</v>
      </c>
      <c r="P1668" s="2">
        <v>48125</v>
      </c>
      <c r="Q1668" s="2">
        <f>P1668*8.5%</f>
        <v>4090.6250000000005</v>
      </c>
    </row>
    <row r="1669" spans="1:17" hidden="1" x14ac:dyDescent="0.4">
      <c r="A1669" s="4" t="s">
        <v>32</v>
      </c>
      <c r="B1669" s="4" t="s">
        <v>14</v>
      </c>
      <c r="C1669" s="31" t="s">
        <v>435</v>
      </c>
      <c r="D1669" s="4" t="s">
        <v>33</v>
      </c>
      <c r="E1669" s="4" t="s">
        <v>16</v>
      </c>
      <c r="F1669" s="4" t="s">
        <v>17</v>
      </c>
      <c r="G1669" s="4" t="s">
        <v>18</v>
      </c>
      <c r="H1669" s="4" t="s">
        <v>204</v>
      </c>
      <c r="I1669" s="5" t="str">
        <f t="shared" si="26"/>
        <v>2025-07</v>
      </c>
      <c r="J1669" s="4" t="s">
        <v>118</v>
      </c>
      <c r="K1669" s="5" t="s">
        <v>342</v>
      </c>
      <c r="L1669" s="2">
        <v>44000</v>
      </c>
      <c r="M1669" s="3">
        <v>1</v>
      </c>
      <c r="N1669" s="2">
        <v>44000</v>
      </c>
      <c r="O1669" s="2">
        <v>4400</v>
      </c>
      <c r="P1669" s="2">
        <v>48400</v>
      </c>
      <c r="Q1669" s="2">
        <f>P1669*8.5%</f>
        <v>4114</v>
      </c>
    </row>
    <row r="1670" spans="1:17" hidden="1" x14ac:dyDescent="0.4">
      <c r="A1670" s="4" t="s">
        <v>13</v>
      </c>
      <c r="B1670" s="4" t="s">
        <v>14</v>
      </c>
      <c r="C1670" s="30" t="s">
        <v>434</v>
      </c>
      <c r="D1670" s="4" t="s">
        <v>15</v>
      </c>
      <c r="E1670" s="4" t="s">
        <v>16</v>
      </c>
      <c r="F1670" s="4" t="s">
        <v>17</v>
      </c>
      <c r="G1670" s="4" t="s">
        <v>18</v>
      </c>
      <c r="H1670" s="4" t="s">
        <v>204</v>
      </c>
      <c r="I1670" s="5" t="str">
        <f t="shared" si="26"/>
        <v>2025-07</v>
      </c>
      <c r="J1670" s="4" t="s">
        <v>118</v>
      </c>
      <c r="K1670" s="5" t="s">
        <v>342</v>
      </c>
      <c r="L1670" s="2">
        <v>42000</v>
      </c>
      <c r="M1670" s="3">
        <v>2</v>
      </c>
      <c r="N1670" s="2">
        <v>84000</v>
      </c>
      <c r="O1670" s="2">
        <v>8400</v>
      </c>
      <c r="P1670" s="2">
        <v>92400</v>
      </c>
      <c r="Q1670" s="2">
        <f>P1670*8.5%</f>
        <v>7854.0000000000009</v>
      </c>
    </row>
    <row r="1671" spans="1:17" hidden="1" x14ac:dyDescent="0.4">
      <c r="A1671" s="4" t="s">
        <v>23</v>
      </c>
      <c r="B1671" s="4" t="s">
        <v>14</v>
      </c>
      <c r="C1671" s="31" t="s">
        <v>435</v>
      </c>
      <c r="D1671" s="4" t="s">
        <v>24</v>
      </c>
      <c r="E1671" s="4" t="s">
        <v>16</v>
      </c>
      <c r="F1671" s="4" t="s">
        <v>17</v>
      </c>
      <c r="G1671" s="4" t="s">
        <v>18</v>
      </c>
      <c r="H1671" s="4" t="s">
        <v>204</v>
      </c>
      <c r="I1671" s="5" t="str">
        <f t="shared" si="26"/>
        <v>2025-07</v>
      </c>
      <c r="J1671" s="4" t="s">
        <v>118</v>
      </c>
      <c r="K1671" s="5" t="s">
        <v>342</v>
      </c>
      <c r="L1671" s="2">
        <v>55500</v>
      </c>
      <c r="M1671" s="3">
        <v>2</v>
      </c>
      <c r="N1671" s="2">
        <v>111000</v>
      </c>
      <c r="O1671" s="2">
        <v>11100</v>
      </c>
      <c r="P1671" s="2">
        <v>122100</v>
      </c>
      <c r="Q1671" s="2">
        <f>P1671*8.5%</f>
        <v>10378.5</v>
      </c>
    </row>
    <row r="1672" spans="1:17" hidden="1" x14ac:dyDescent="0.4">
      <c r="A1672" s="4" t="s">
        <v>64</v>
      </c>
      <c r="B1672" s="4" t="s">
        <v>65</v>
      </c>
      <c r="C1672" s="32" t="s">
        <v>436</v>
      </c>
      <c r="D1672" s="4" t="s">
        <v>66</v>
      </c>
      <c r="E1672" s="4" t="s">
        <v>16</v>
      </c>
      <c r="F1672" s="4" t="s">
        <v>17</v>
      </c>
      <c r="G1672" s="4" t="s">
        <v>18</v>
      </c>
      <c r="H1672" s="4" t="s">
        <v>204</v>
      </c>
      <c r="I1672" s="5" t="str">
        <f t="shared" si="26"/>
        <v>2025-07</v>
      </c>
      <c r="J1672" s="4" t="s">
        <v>34</v>
      </c>
      <c r="K1672" s="5" t="s">
        <v>342</v>
      </c>
      <c r="L1672" s="2">
        <v>10283</v>
      </c>
      <c r="M1672" s="3">
        <v>1</v>
      </c>
      <c r="N1672" s="2">
        <v>10283</v>
      </c>
      <c r="O1672" s="2">
        <v>1028</v>
      </c>
      <c r="P1672" s="2">
        <v>11311</v>
      </c>
      <c r="Q1672" s="2">
        <f>P1672*8.5%</f>
        <v>961.43500000000006</v>
      </c>
    </row>
    <row r="1673" spans="1:17" hidden="1" x14ac:dyDescent="0.4">
      <c r="A1673" s="4" t="s">
        <v>13</v>
      </c>
      <c r="B1673" s="4" t="s">
        <v>14</v>
      </c>
      <c r="C1673" s="30" t="s">
        <v>434</v>
      </c>
      <c r="D1673" s="4" t="s">
        <v>15</v>
      </c>
      <c r="E1673" s="4" t="s">
        <v>16</v>
      </c>
      <c r="F1673" s="4" t="s">
        <v>17</v>
      </c>
      <c r="G1673" s="4" t="s">
        <v>18</v>
      </c>
      <c r="H1673" s="4" t="s">
        <v>204</v>
      </c>
      <c r="I1673" s="5" t="str">
        <f t="shared" si="26"/>
        <v>2025-07</v>
      </c>
      <c r="J1673" s="4" t="s">
        <v>34</v>
      </c>
      <c r="K1673" s="5" t="s">
        <v>342</v>
      </c>
      <c r="L1673" s="2">
        <v>42000</v>
      </c>
      <c r="M1673" s="3">
        <v>8</v>
      </c>
      <c r="N1673" s="2">
        <v>336000</v>
      </c>
      <c r="O1673" s="2">
        <v>33600</v>
      </c>
      <c r="P1673" s="2">
        <v>369600</v>
      </c>
      <c r="Q1673" s="2">
        <f>P1673*8.5%</f>
        <v>31416.000000000004</v>
      </c>
    </row>
    <row r="1674" spans="1:17" hidden="1" x14ac:dyDescent="0.4">
      <c r="A1674" s="4" t="s">
        <v>21</v>
      </c>
      <c r="B1674" s="4" t="s">
        <v>14</v>
      </c>
      <c r="C1674" s="31" t="s">
        <v>435</v>
      </c>
      <c r="D1674" s="4" t="s">
        <v>22</v>
      </c>
      <c r="E1674" s="4" t="s">
        <v>16</v>
      </c>
      <c r="F1674" s="4" t="s">
        <v>17</v>
      </c>
      <c r="G1674" s="4" t="s">
        <v>18</v>
      </c>
      <c r="H1674" s="4" t="s">
        <v>204</v>
      </c>
      <c r="I1674" s="5" t="str">
        <f t="shared" si="26"/>
        <v>2025-07</v>
      </c>
      <c r="J1674" s="4" t="s">
        <v>34</v>
      </c>
      <c r="K1674" s="5" t="s">
        <v>342</v>
      </c>
      <c r="L1674" s="2">
        <v>55500</v>
      </c>
      <c r="M1674" s="3">
        <v>2</v>
      </c>
      <c r="N1674" s="2">
        <v>111000</v>
      </c>
      <c r="O1674" s="2">
        <v>11100</v>
      </c>
      <c r="P1674" s="2">
        <v>122100</v>
      </c>
      <c r="Q1674" s="2">
        <f>P1674*8.5%</f>
        <v>10378.5</v>
      </c>
    </row>
    <row r="1675" spans="1:17" hidden="1" x14ac:dyDescent="0.4">
      <c r="A1675" s="4" t="s">
        <v>35</v>
      </c>
      <c r="B1675" s="4" t="s">
        <v>14</v>
      </c>
      <c r="C1675" s="30" t="s">
        <v>434</v>
      </c>
      <c r="D1675" s="4" t="s">
        <v>36</v>
      </c>
      <c r="E1675" s="4" t="s">
        <v>16</v>
      </c>
      <c r="F1675" s="4" t="s">
        <v>17</v>
      </c>
      <c r="G1675" s="4" t="s">
        <v>18</v>
      </c>
      <c r="H1675" s="4" t="s">
        <v>204</v>
      </c>
      <c r="I1675" s="5" t="str">
        <f t="shared" si="26"/>
        <v>2025-07</v>
      </c>
      <c r="J1675" s="4" t="s">
        <v>34</v>
      </c>
      <c r="K1675" s="5" t="s">
        <v>342</v>
      </c>
      <c r="L1675" s="2">
        <v>116220</v>
      </c>
      <c r="M1675" s="3">
        <v>1</v>
      </c>
      <c r="N1675" s="2">
        <v>116220</v>
      </c>
      <c r="O1675" s="2">
        <v>11622</v>
      </c>
      <c r="P1675" s="2">
        <v>127842</v>
      </c>
      <c r="Q1675" s="2">
        <f>P1675*8.5%</f>
        <v>10866.570000000002</v>
      </c>
    </row>
    <row r="1676" spans="1:17" hidden="1" x14ac:dyDescent="0.4">
      <c r="A1676" s="4" t="s">
        <v>23</v>
      </c>
      <c r="B1676" s="4" t="s">
        <v>14</v>
      </c>
      <c r="C1676" s="31" t="s">
        <v>435</v>
      </c>
      <c r="D1676" s="4" t="s">
        <v>24</v>
      </c>
      <c r="E1676" s="4" t="s">
        <v>16</v>
      </c>
      <c r="F1676" s="4" t="s">
        <v>17</v>
      </c>
      <c r="G1676" s="4" t="s">
        <v>18</v>
      </c>
      <c r="H1676" s="4" t="s">
        <v>204</v>
      </c>
      <c r="I1676" s="5" t="str">
        <f t="shared" si="26"/>
        <v>2025-07</v>
      </c>
      <c r="J1676" s="4" t="s">
        <v>34</v>
      </c>
      <c r="K1676" s="5" t="s">
        <v>342</v>
      </c>
      <c r="L1676" s="2">
        <v>55500</v>
      </c>
      <c r="M1676" s="3">
        <v>4</v>
      </c>
      <c r="N1676" s="2">
        <v>222000</v>
      </c>
      <c r="O1676" s="2">
        <v>22200</v>
      </c>
      <c r="P1676" s="2">
        <v>244200</v>
      </c>
      <c r="Q1676" s="2">
        <f>P1676*8.5%</f>
        <v>20757</v>
      </c>
    </row>
    <row r="1677" spans="1:17" hidden="1" x14ac:dyDescent="0.4">
      <c r="A1677" s="4" t="s">
        <v>51</v>
      </c>
      <c r="B1677" s="4" t="s">
        <v>14</v>
      </c>
      <c r="C1677" s="30" t="s">
        <v>434</v>
      </c>
      <c r="D1677" s="4" t="s">
        <v>52</v>
      </c>
      <c r="E1677" s="4" t="s">
        <v>16</v>
      </c>
      <c r="F1677" s="4" t="s">
        <v>17</v>
      </c>
      <c r="G1677" s="4" t="s">
        <v>18</v>
      </c>
      <c r="H1677" s="4" t="s">
        <v>204</v>
      </c>
      <c r="I1677" s="5" t="str">
        <f t="shared" si="26"/>
        <v>2025-07</v>
      </c>
      <c r="J1677" s="4" t="s">
        <v>34</v>
      </c>
      <c r="K1677" s="5" t="s">
        <v>342</v>
      </c>
      <c r="L1677" s="2">
        <v>73000</v>
      </c>
      <c r="M1677" s="3">
        <v>1</v>
      </c>
      <c r="N1677" s="2">
        <v>73000</v>
      </c>
      <c r="O1677" s="2">
        <v>7300</v>
      </c>
      <c r="P1677" s="2">
        <v>80300</v>
      </c>
      <c r="Q1677" s="2">
        <f>P1677*8.5%</f>
        <v>6825.5000000000009</v>
      </c>
    </row>
    <row r="1678" spans="1:17" hidden="1" x14ac:dyDescent="0.4">
      <c r="A1678" s="4" t="s">
        <v>120</v>
      </c>
      <c r="B1678" s="4" t="s">
        <v>26</v>
      </c>
      <c r="C1678" s="32" t="s">
        <v>436</v>
      </c>
      <c r="D1678" s="4" t="s">
        <v>121</v>
      </c>
      <c r="E1678" s="4" t="s">
        <v>28</v>
      </c>
      <c r="F1678" s="4" t="s">
        <v>17</v>
      </c>
      <c r="G1678" s="4" t="s">
        <v>18</v>
      </c>
      <c r="H1678" s="4" t="s">
        <v>204</v>
      </c>
      <c r="I1678" s="5" t="str">
        <f t="shared" si="26"/>
        <v>2025-07</v>
      </c>
      <c r="J1678" s="4" t="s">
        <v>34</v>
      </c>
      <c r="K1678" s="5" t="s">
        <v>342</v>
      </c>
      <c r="L1678" s="2">
        <v>7653</v>
      </c>
      <c r="M1678" s="3">
        <v>2</v>
      </c>
      <c r="N1678" s="2">
        <v>15306</v>
      </c>
      <c r="O1678" s="2">
        <v>1531</v>
      </c>
      <c r="P1678" s="2">
        <v>16837</v>
      </c>
      <c r="Q1678" s="2">
        <f>P1678*8.5%</f>
        <v>1431.1450000000002</v>
      </c>
    </row>
    <row r="1679" spans="1:17" hidden="1" x14ac:dyDescent="0.4">
      <c r="A1679" s="4" t="s">
        <v>42</v>
      </c>
      <c r="B1679" s="4" t="s">
        <v>14</v>
      </c>
      <c r="C1679" s="30" t="s">
        <v>434</v>
      </c>
      <c r="D1679" s="4" t="s">
        <v>43</v>
      </c>
      <c r="E1679" s="4" t="s">
        <v>44</v>
      </c>
      <c r="F1679" s="4" t="s">
        <v>31</v>
      </c>
      <c r="G1679" s="4" t="s">
        <v>18</v>
      </c>
      <c r="H1679" s="4" t="s">
        <v>204</v>
      </c>
      <c r="I1679" s="5" t="str">
        <f t="shared" si="26"/>
        <v>2025-07</v>
      </c>
      <c r="J1679" s="4" t="s">
        <v>34</v>
      </c>
      <c r="K1679" s="5" t="s">
        <v>342</v>
      </c>
      <c r="L1679" s="2">
        <v>7300</v>
      </c>
      <c r="M1679" s="3">
        <v>77.8</v>
      </c>
      <c r="N1679" s="2">
        <v>567940</v>
      </c>
      <c r="O1679" s="2">
        <v>0</v>
      </c>
      <c r="P1679" s="2">
        <v>567940</v>
      </c>
      <c r="Q1679" s="2">
        <f>P1679*8.5%</f>
        <v>48274.9</v>
      </c>
    </row>
    <row r="1680" spans="1:17" hidden="1" x14ac:dyDescent="0.4">
      <c r="A1680" s="4" t="s">
        <v>13</v>
      </c>
      <c r="B1680" s="4" t="s">
        <v>14</v>
      </c>
      <c r="C1680" s="30" t="s">
        <v>434</v>
      </c>
      <c r="D1680" s="4" t="s">
        <v>15</v>
      </c>
      <c r="E1680" s="4" t="s">
        <v>16</v>
      </c>
      <c r="F1680" s="4" t="s">
        <v>17</v>
      </c>
      <c r="G1680" s="4" t="s">
        <v>18</v>
      </c>
      <c r="H1680" s="4" t="s">
        <v>204</v>
      </c>
      <c r="I1680" s="5" t="str">
        <f t="shared" si="26"/>
        <v>2025-07</v>
      </c>
      <c r="J1680" s="4" t="s">
        <v>59</v>
      </c>
      <c r="K1680" s="5" t="s">
        <v>343</v>
      </c>
      <c r="L1680" s="2">
        <v>42000</v>
      </c>
      <c r="M1680" s="3">
        <v>6</v>
      </c>
      <c r="N1680" s="2">
        <v>252000</v>
      </c>
      <c r="O1680" s="2">
        <v>25200</v>
      </c>
      <c r="P1680" s="2">
        <v>277200</v>
      </c>
      <c r="Q1680" s="2">
        <f>P1680*12%</f>
        <v>33264</v>
      </c>
    </row>
    <row r="1681" spans="1:17" hidden="1" x14ac:dyDescent="0.4">
      <c r="A1681" s="4" t="s">
        <v>35</v>
      </c>
      <c r="B1681" s="4" t="s">
        <v>14</v>
      </c>
      <c r="C1681" s="30" t="s">
        <v>434</v>
      </c>
      <c r="D1681" s="4" t="s">
        <v>36</v>
      </c>
      <c r="E1681" s="4" t="s">
        <v>16</v>
      </c>
      <c r="F1681" s="4" t="s">
        <v>17</v>
      </c>
      <c r="G1681" s="4" t="s">
        <v>18</v>
      </c>
      <c r="H1681" s="4" t="s">
        <v>204</v>
      </c>
      <c r="I1681" s="5" t="str">
        <f t="shared" si="26"/>
        <v>2025-07</v>
      </c>
      <c r="J1681" s="4" t="s">
        <v>59</v>
      </c>
      <c r="K1681" s="5" t="s">
        <v>343</v>
      </c>
      <c r="L1681" s="2">
        <v>116220</v>
      </c>
      <c r="M1681" s="3">
        <v>1</v>
      </c>
      <c r="N1681" s="2">
        <v>116220</v>
      </c>
      <c r="O1681" s="2">
        <v>11622</v>
      </c>
      <c r="P1681" s="2">
        <v>127842</v>
      </c>
      <c r="Q1681" s="2">
        <f>P1681*12%</f>
        <v>15341.039999999999</v>
      </c>
    </row>
    <row r="1682" spans="1:17" hidden="1" x14ac:dyDescent="0.4">
      <c r="A1682" s="4" t="s">
        <v>23</v>
      </c>
      <c r="B1682" s="4" t="s">
        <v>14</v>
      </c>
      <c r="C1682" s="31" t="s">
        <v>435</v>
      </c>
      <c r="D1682" s="4" t="s">
        <v>24</v>
      </c>
      <c r="E1682" s="4" t="s">
        <v>16</v>
      </c>
      <c r="F1682" s="4" t="s">
        <v>17</v>
      </c>
      <c r="G1682" s="4" t="s">
        <v>18</v>
      </c>
      <c r="H1682" s="4" t="s">
        <v>204</v>
      </c>
      <c r="I1682" s="5" t="str">
        <f t="shared" si="26"/>
        <v>2025-07</v>
      </c>
      <c r="J1682" s="4" t="s">
        <v>59</v>
      </c>
      <c r="K1682" s="5" t="s">
        <v>343</v>
      </c>
      <c r="L1682" s="2">
        <v>55500</v>
      </c>
      <c r="M1682" s="3">
        <v>4</v>
      </c>
      <c r="N1682" s="2">
        <v>222000</v>
      </c>
      <c r="O1682" s="2">
        <v>22200</v>
      </c>
      <c r="P1682" s="2">
        <v>244200</v>
      </c>
      <c r="Q1682" s="2">
        <f>P1682*12%</f>
        <v>29304</v>
      </c>
    </row>
    <row r="1683" spans="1:17" hidden="1" x14ac:dyDescent="0.4">
      <c r="A1683" s="4" t="s">
        <v>32</v>
      </c>
      <c r="B1683" s="4" t="s">
        <v>14</v>
      </c>
      <c r="C1683" s="31" t="s">
        <v>435</v>
      </c>
      <c r="D1683" s="4" t="s">
        <v>33</v>
      </c>
      <c r="E1683" s="4" t="s">
        <v>16</v>
      </c>
      <c r="F1683" s="4" t="s">
        <v>17</v>
      </c>
      <c r="G1683" s="4" t="s">
        <v>18</v>
      </c>
      <c r="H1683" s="4" t="s">
        <v>204</v>
      </c>
      <c r="I1683" s="5" t="str">
        <f t="shared" si="26"/>
        <v>2025-07</v>
      </c>
      <c r="J1683" s="4" t="s">
        <v>49</v>
      </c>
      <c r="K1683" s="5" t="s">
        <v>343</v>
      </c>
      <c r="L1683" s="2">
        <v>44000</v>
      </c>
      <c r="M1683" s="3">
        <v>1</v>
      </c>
      <c r="N1683" s="2">
        <v>44000</v>
      </c>
      <c r="O1683" s="2">
        <v>4400</v>
      </c>
      <c r="P1683" s="2">
        <v>48400</v>
      </c>
      <c r="Q1683" s="2">
        <f>P1683*12%</f>
        <v>5808</v>
      </c>
    </row>
    <row r="1684" spans="1:17" hidden="1" x14ac:dyDescent="0.4">
      <c r="A1684" s="4" t="s">
        <v>13</v>
      </c>
      <c r="B1684" s="4" t="s">
        <v>14</v>
      </c>
      <c r="C1684" s="30" t="s">
        <v>434</v>
      </c>
      <c r="D1684" s="4" t="s">
        <v>15</v>
      </c>
      <c r="E1684" s="4" t="s">
        <v>16</v>
      </c>
      <c r="F1684" s="4" t="s">
        <v>17</v>
      </c>
      <c r="G1684" s="4" t="s">
        <v>18</v>
      </c>
      <c r="H1684" s="4" t="s">
        <v>204</v>
      </c>
      <c r="I1684" s="5" t="str">
        <f t="shared" si="26"/>
        <v>2025-07</v>
      </c>
      <c r="J1684" s="4" t="s">
        <v>49</v>
      </c>
      <c r="K1684" s="5" t="s">
        <v>343</v>
      </c>
      <c r="L1684" s="2">
        <v>42000</v>
      </c>
      <c r="M1684" s="3">
        <v>9</v>
      </c>
      <c r="N1684" s="2">
        <v>378000</v>
      </c>
      <c r="O1684" s="2">
        <v>37800</v>
      </c>
      <c r="P1684" s="2">
        <v>415800</v>
      </c>
      <c r="Q1684" s="2">
        <f>P1684*12%</f>
        <v>49896</v>
      </c>
    </row>
    <row r="1685" spans="1:17" hidden="1" x14ac:dyDescent="0.4">
      <c r="A1685" s="4" t="s">
        <v>35</v>
      </c>
      <c r="B1685" s="4" t="s">
        <v>14</v>
      </c>
      <c r="C1685" s="30" t="s">
        <v>434</v>
      </c>
      <c r="D1685" s="4" t="s">
        <v>36</v>
      </c>
      <c r="E1685" s="4" t="s">
        <v>16</v>
      </c>
      <c r="F1685" s="4" t="s">
        <v>17</v>
      </c>
      <c r="G1685" s="4" t="s">
        <v>18</v>
      </c>
      <c r="H1685" s="4" t="s">
        <v>204</v>
      </c>
      <c r="I1685" s="5" t="str">
        <f t="shared" si="26"/>
        <v>2025-07</v>
      </c>
      <c r="J1685" s="4" t="s">
        <v>49</v>
      </c>
      <c r="K1685" s="5" t="s">
        <v>343</v>
      </c>
      <c r="L1685" s="2">
        <v>116220</v>
      </c>
      <c r="M1685" s="3">
        <v>1</v>
      </c>
      <c r="N1685" s="2">
        <v>116220</v>
      </c>
      <c r="O1685" s="2">
        <v>11622</v>
      </c>
      <c r="P1685" s="2">
        <v>127842</v>
      </c>
      <c r="Q1685" s="2">
        <f>P1685*12%</f>
        <v>15341.039999999999</v>
      </c>
    </row>
    <row r="1686" spans="1:17" hidden="1" x14ac:dyDescent="0.4">
      <c r="A1686" s="4" t="s">
        <v>23</v>
      </c>
      <c r="B1686" s="4" t="s">
        <v>14</v>
      </c>
      <c r="C1686" s="31" t="s">
        <v>435</v>
      </c>
      <c r="D1686" s="4" t="s">
        <v>24</v>
      </c>
      <c r="E1686" s="4" t="s">
        <v>16</v>
      </c>
      <c r="F1686" s="4" t="s">
        <v>17</v>
      </c>
      <c r="G1686" s="4" t="s">
        <v>18</v>
      </c>
      <c r="H1686" s="4" t="s">
        <v>204</v>
      </c>
      <c r="I1686" s="5" t="str">
        <f t="shared" si="26"/>
        <v>2025-07</v>
      </c>
      <c r="J1686" s="4" t="s">
        <v>49</v>
      </c>
      <c r="K1686" s="5" t="s">
        <v>343</v>
      </c>
      <c r="L1686" s="2">
        <v>55500</v>
      </c>
      <c r="M1686" s="3">
        <v>5</v>
      </c>
      <c r="N1686" s="2">
        <v>277500</v>
      </c>
      <c r="O1686" s="2">
        <v>27750</v>
      </c>
      <c r="P1686" s="2">
        <v>305250</v>
      </c>
      <c r="Q1686" s="2">
        <f>P1686*12%</f>
        <v>36630</v>
      </c>
    </row>
    <row r="1687" spans="1:17" hidden="1" x14ac:dyDescent="0.4">
      <c r="A1687" s="4" t="s">
        <v>51</v>
      </c>
      <c r="B1687" s="4" t="s">
        <v>14</v>
      </c>
      <c r="C1687" s="30" t="s">
        <v>434</v>
      </c>
      <c r="D1687" s="4" t="s">
        <v>52</v>
      </c>
      <c r="E1687" s="4" t="s">
        <v>16</v>
      </c>
      <c r="F1687" s="4" t="s">
        <v>17</v>
      </c>
      <c r="G1687" s="4" t="s">
        <v>18</v>
      </c>
      <c r="H1687" s="4" t="s">
        <v>204</v>
      </c>
      <c r="I1687" s="5" t="str">
        <f t="shared" si="26"/>
        <v>2025-07</v>
      </c>
      <c r="J1687" s="4" t="s">
        <v>49</v>
      </c>
      <c r="K1687" s="5" t="s">
        <v>343</v>
      </c>
      <c r="L1687" s="2">
        <v>73000</v>
      </c>
      <c r="M1687" s="3">
        <v>1</v>
      </c>
      <c r="N1687" s="2">
        <v>73000</v>
      </c>
      <c r="O1687" s="2">
        <v>7300</v>
      </c>
      <c r="P1687" s="2">
        <v>80300</v>
      </c>
      <c r="Q1687" s="2">
        <f>P1687*12%</f>
        <v>9636</v>
      </c>
    </row>
    <row r="1688" spans="1:17" hidden="1" x14ac:dyDescent="0.4">
      <c r="A1688" s="4" t="s">
        <v>32</v>
      </c>
      <c r="B1688" s="4" t="s">
        <v>14</v>
      </c>
      <c r="C1688" s="31" t="s">
        <v>435</v>
      </c>
      <c r="D1688" s="4" t="s">
        <v>33</v>
      </c>
      <c r="E1688" s="4" t="s">
        <v>16</v>
      </c>
      <c r="F1688" s="4" t="s">
        <v>17</v>
      </c>
      <c r="G1688" s="4" t="s">
        <v>18</v>
      </c>
      <c r="H1688" s="4" t="s">
        <v>204</v>
      </c>
      <c r="I1688" s="5" t="str">
        <f t="shared" si="26"/>
        <v>2025-07</v>
      </c>
      <c r="J1688" s="4" t="s">
        <v>50</v>
      </c>
      <c r="K1688" s="5" t="s">
        <v>343</v>
      </c>
      <c r="L1688" s="2">
        <v>44000</v>
      </c>
      <c r="M1688" s="3">
        <v>1</v>
      </c>
      <c r="N1688" s="2">
        <v>44000</v>
      </c>
      <c r="O1688" s="2">
        <v>4400</v>
      </c>
      <c r="P1688" s="2">
        <v>48400</v>
      </c>
      <c r="Q1688" s="2">
        <f>P1688*12%</f>
        <v>5808</v>
      </c>
    </row>
    <row r="1689" spans="1:17" hidden="1" x14ac:dyDescent="0.4">
      <c r="A1689" s="4" t="s">
        <v>13</v>
      </c>
      <c r="B1689" s="4" t="s">
        <v>14</v>
      </c>
      <c r="C1689" s="30" t="s">
        <v>434</v>
      </c>
      <c r="D1689" s="4" t="s">
        <v>15</v>
      </c>
      <c r="E1689" s="4" t="s">
        <v>16</v>
      </c>
      <c r="F1689" s="4" t="s">
        <v>17</v>
      </c>
      <c r="G1689" s="4" t="s">
        <v>18</v>
      </c>
      <c r="H1689" s="4" t="s">
        <v>204</v>
      </c>
      <c r="I1689" s="5" t="str">
        <f t="shared" si="26"/>
        <v>2025-07</v>
      </c>
      <c r="J1689" s="4" t="s">
        <v>50</v>
      </c>
      <c r="K1689" s="5" t="s">
        <v>343</v>
      </c>
      <c r="L1689" s="2">
        <v>42000</v>
      </c>
      <c r="M1689" s="3">
        <v>15</v>
      </c>
      <c r="N1689" s="2">
        <v>630000</v>
      </c>
      <c r="O1689" s="2">
        <v>63000</v>
      </c>
      <c r="P1689" s="2">
        <v>693000</v>
      </c>
      <c r="Q1689" s="2">
        <f>P1689*12%</f>
        <v>83160</v>
      </c>
    </row>
    <row r="1690" spans="1:17" hidden="1" x14ac:dyDescent="0.4">
      <c r="A1690" s="4" t="s">
        <v>23</v>
      </c>
      <c r="B1690" s="4" t="s">
        <v>14</v>
      </c>
      <c r="C1690" s="31" t="s">
        <v>435</v>
      </c>
      <c r="D1690" s="4" t="s">
        <v>24</v>
      </c>
      <c r="E1690" s="4" t="s">
        <v>16</v>
      </c>
      <c r="F1690" s="4" t="s">
        <v>17</v>
      </c>
      <c r="G1690" s="4" t="s">
        <v>18</v>
      </c>
      <c r="H1690" s="4" t="s">
        <v>204</v>
      </c>
      <c r="I1690" s="5" t="str">
        <f t="shared" si="26"/>
        <v>2025-07</v>
      </c>
      <c r="J1690" s="4" t="s">
        <v>50</v>
      </c>
      <c r="K1690" s="5" t="s">
        <v>343</v>
      </c>
      <c r="L1690" s="2">
        <v>55500</v>
      </c>
      <c r="M1690" s="3">
        <v>5</v>
      </c>
      <c r="N1690" s="2">
        <v>277500</v>
      </c>
      <c r="O1690" s="2">
        <v>27750</v>
      </c>
      <c r="P1690" s="2">
        <v>305250</v>
      </c>
      <c r="Q1690" s="2">
        <f>P1690*12%</f>
        <v>36630</v>
      </c>
    </row>
    <row r="1691" spans="1:17" hidden="1" x14ac:dyDescent="0.4">
      <c r="A1691" s="4" t="s">
        <v>51</v>
      </c>
      <c r="B1691" s="4" t="s">
        <v>14</v>
      </c>
      <c r="C1691" s="30" t="s">
        <v>434</v>
      </c>
      <c r="D1691" s="4" t="s">
        <v>52</v>
      </c>
      <c r="E1691" s="4" t="s">
        <v>16</v>
      </c>
      <c r="F1691" s="4" t="s">
        <v>17</v>
      </c>
      <c r="G1691" s="4" t="s">
        <v>18</v>
      </c>
      <c r="H1691" s="4" t="s">
        <v>204</v>
      </c>
      <c r="I1691" s="5" t="str">
        <f t="shared" si="26"/>
        <v>2025-07</v>
      </c>
      <c r="J1691" s="4" t="s">
        <v>50</v>
      </c>
      <c r="K1691" s="5" t="s">
        <v>343</v>
      </c>
      <c r="L1691" s="2">
        <v>73000</v>
      </c>
      <c r="M1691" s="3">
        <v>2</v>
      </c>
      <c r="N1691" s="2">
        <v>146000</v>
      </c>
      <c r="O1691" s="2">
        <v>14600</v>
      </c>
      <c r="P1691" s="2">
        <v>160600</v>
      </c>
      <c r="Q1691" s="2">
        <f>P1691*12%</f>
        <v>19272</v>
      </c>
    </row>
    <row r="1692" spans="1:17" x14ac:dyDescent="0.4">
      <c r="A1692" s="4" t="s">
        <v>13</v>
      </c>
      <c r="B1692" s="4" t="s">
        <v>14</v>
      </c>
      <c r="C1692" s="30" t="s">
        <v>434</v>
      </c>
      <c r="D1692" s="4" t="s">
        <v>15</v>
      </c>
      <c r="E1692" s="4" t="s">
        <v>16</v>
      </c>
      <c r="F1692" s="4" t="s">
        <v>17</v>
      </c>
      <c r="G1692" s="4" t="s">
        <v>18</v>
      </c>
      <c r="H1692" s="4" t="s">
        <v>205</v>
      </c>
      <c r="I1692" s="5" t="str">
        <f t="shared" si="26"/>
        <v>2025-07</v>
      </c>
      <c r="J1692" s="4" t="s">
        <v>20</v>
      </c>
      <c r="K1692" s="5" t="s">
        <v>342</v>
      </c>
      <c r="L1692" s="2">
        <v>42000</v>
      </c>
      <c r="M1692" s="3">
        <v>3</v>
      </c>
      <c r="N1692" s="2">
        <v>126000</v>
      </c>
      <c r="O1692" s="2">
        <v>12600</v>
      </c>
      <c r="P1692" s="2">
        <v>138600</v>
      </c>
      <c r="Q1692" s="2">
        <f>P1692*8.5%</f>
        <v>11781</v>
      </c>
    </row>
    <row r="1693" spans="1:17" x14ac:dyDescent="0.4">
      <c r="A1693" s="4" t="s">
        <v>21</v>
      </c>
      <c r="B1693" s="4" t="s">
        <v>14</v>
      </c>
      <c r="C1693" s="31" t="s">
        <v>435</v>
      </c>
      <c r="D1693" s="4" t="s">
        <v>22</v>
      </c>
      <c r="E1693" s="4" t="s">
        <v>16</v>
      </c>
      <c r="F1693" s="4" t="s">
        <v>17</v>
      </c>
      <c r="G1693" s="4" t="s">
        <v>18</v>
      </c>
      <c r="H1693" s="4" t="s">
        <v>205</v>
      </c>
      <c r="I1693" s="5" t="str">
        <f t="shared" si="26"/>
        <v>2025-07</v>
      </c>
      <c r="J1693" s="4" t="s">
        <v>20</v>
      </c>
      <c r="K1693" s="5" t="s">
        <v>342</v>
      </c>
      <c r="L1693" s="2">
        <v>55500</v>
      </c>
      <c r="M1693" s="3">
        <v>2</v>
      </c>
      <c r="N1693" s="2">
        <v>111000</v>
      </c>
      <c r="O1693" s="2">
        <v>11100</v>
      </c>
      <c r="P1693" s="2">
        <v>122100</v>
      </c>
      <c r="Q1693" s="2">
        <f>P1693*8.5%</f>
        <v>10378.5</v>
      </c>
    </row>
    <row r="1694" spans="1:17" x14ac:dyDescent="0.4">
      <c r="A1694" s="4" t="s">
        <v>23</v>
      </c>
      <c r="B1694" s="4" t="s">
        <v>14</v>
      </c>
      <c r="C1694" s="31" t="s">
        <v>435</v>
      </c>
      <c r="D1694" s="4" t="s">
        <v>24</v>
      </c>
      <c r="E1694" s="4" t="s">
        <v>16</v>
      </c>
      <c r="F1694" s="4" t="s">
        <v>17</v>
      </c>
      <c r="G1694" s="4" t="s">
        <v>18</v>
      </c>
      <c r="H1694" s="4" t="s">
        <v>205</v>
      </c>
      <c r="I1694" s="5" t="str">
        <f t="shared" si="26"/>
        <v>2025-07</v>
      </c>
      <c r="J1694" s="4" t="s">
        <v>20</v>
      </c>
      <c r="K1694" s="5" t="s">
        <v>342</v>
      </c>
      <c r="L1694" s="2">
        <v>55500</v>
      </c>
      <c r="M1694" s="3">
        <v>3</v>
      </c>
      <c r="N1694" s="2">
        <v>166500</v>
      </c>
      <c r="O1694" s="2">
        <v>16650</v>
      </c>
      <c r="P1694" s="2">
        <v>183150</v>
      </c>
      <c r="Q1694" s="2">
        <f>P1694*8.5%</f>
        <v>15567.750000000002</v>
      </c>
    </row>
    <row r="1695" spans="1:17" x14ac:dyDescent="0.4">
      <c r="A1695" s="4" t="s">
        <v>76</v>
      </c>
      <c r="B1695" s="4" t="s">
        <v>65</v>
      </c>
      <c r="C1695" s="32" t="s">
        <v>436</v>
      </c>
      <c r="D1695" s="4" t="s">
        <v>27</v>
      </c>
      <c r="E1695" s="4" t="s">
        <v>28</v>
      </c>
      <c r="F1695" s="4" t="s">
        <v>17</v>
      </c>
      <c r="G1695" s="4" t="s">
        <v>18</v>
      </c>
      <c r="H1695" s="4" t="s">
        <v>205</v>
      </c>
      <c r="I1695" s="5" t="str">
        <f t="shared" si="26"/>
        <v>2025-07</v>
      </c>
      <c r="J1695" s="4" t="s">
        <v>20</v>
      </c>
      <c r="K1695" s="5" t="s">
        <v>342</v>
      </c>
      <c r="L1695" s="2">
        <v>17338</v>
      </c>
      <c r="M1695" s="3">
        <v>1</v>
      </c>
      <c r="N1695" s="2">
        <v>17338</v>
      </c>
      <c r="O1695" s="2">
        <v>1734</v>
      </c>
      <c r="P1695" s="2">
        <v>19072</v>
      </c>
      <c r="Q1695" s="2">
        <f>P1695*8.5%</f>
        <v>1621.1200000000001</v>
      </c>
    </row>
    <row r="1696" spans="1:17" x14ac:dyDescent="0.4">
      <c r="A1696" s="4" t="s">
        <v>56</v>
      </c>
      <c r="B1696" s="4" t="s">
        <v>26</v>
      </c>
      <c r="C1696" s="32" t="s">
        <v>436</v>
      </c>
      <c r="D1696" s="4" t="s">
        <v>57</v>
      </c>
      <c r="E1696" s="4" t="s">
        <v>44</v>
      </c>
      <c r="F1696" s="4" t="s">
        <v>31</v>
      </c>
      <c r="G1696" s="4" t="s">
        <v>18</v>
      </c>
      <c r="H1696" s="4" t="s">
        <v>205</v>
      </c>
      <c r="I1696" s="5" t="str">
        <f t="shared" si="26"/>
        <v>2025-07</v>
      </c>
      <c r="J1696" s="4" t="s">
        <v>20</v>
      </c>
      <c r="K1696" s="5" t="s">
        <v>342</v>
      </c>
      <c r="L1696" s="2">
        <v>1925</v>
      </c>
      <c r="M1696" s="3">
        <v>27</v>
      </c>
      <c r="N1696" s="2">
        <v>51975</v>
      </c>
      <c r="O1696" s="2">
        <v>0</v>
      </c>
      <c r="P1696" s="2">
        <v>51975</v>
      </c>
      <c r="Q1696" s="2">
        <f>P1696*8.5%</f>
        <v>4417.875</v>
      </c>
    </row>
    <row r="1697" spans="1:17" hidden="1" x14ac:dyDescent="0.4">
      <c r="A1697" s="4" t="s">
        <v>32</v>
      </c>
      <c r="B1697" s="4" t="s">
        <v>14</v>
      </c>
      <c r="C1697" s="31" t="s">
        <v>435</v>
      </c>
      <c r="D1697" s="4" t="s">
        <v>33</v>
      </c>
      <c r="E1697" s="4" t="s">
        <v>16</v>
      </c>
      <c r="F1697" s="4" t="s">
        <v>17</v>
      </c>
      <c r="G1697" s="4" t="s">
        <v>18</v>
      </c>
      <c r="H1697" s="4" t="s">
        <v>205</v>
      </c>
      <c r="I1697" s="5" t="str">
        <f t="shared" si="26"/>
        <v>2025-07</v>
      </c>
      <c r="J1697" s="4" t="s">
        <v>118</v>
      </c>
      <c r="K1697" s="5" t="s">
        <v>342</v>
      </c>
      <c r="L1697" s="2">
        <v>44000</v>
      </c>
      <c r="M1697" s="3">
        <v>1</v>
      </c>
      <c r="N1697" s="2">
        <v>44000</v>
      </c>
      <c r="O1697" s="2">
        <v>4400</v>
      </c>
      <c r="P1697" s="2">
        <v>48400</v>
      </c>
      <c r="Q1697" s="2">
        <f>P1697*8.5%</f>
        <v>4114</v>
      </c>
    </row>
    <row r="1698" spans="1:17" hidden="1" x14ac:dyDescent="0.4">
      <c r="A1698" s="4" t="s">
        <v>13</v>
      </c>
      <c r="B1698" s="4" t="s">
        <v>14</v>
      </c>
      <c r="C1698" s="30" t="s">
        <v>434</v>
      </c>
      <c r="D1698" s="4" t="s">
        <v>15</v>
      </c>
      <c r="E1698" s="4" t="s">
        <v>16</v>
      </c>
      <c r="F1698" s="4" t="s">
        <v>17</v>
      </c>
      <c r="G1698" s="4" t="s">
        <v>18</v>
      </c>
      <c r="H1698" s="4" t="s">
        <v>205</v>
      </c>
      <c r="I1698" s="5" t="str">
        <f t="shared" si="26"/>
        <v>2025-07</v>
      </c>
      <c r="J1698" s="4" t="s">
        <v>118</v>
      </c>
      <c r="K1698" s="5" t="s">
        <v>342</v>
      </c>
      <c r="L1698" s="2">
        <v>42000</v>
      </c>
      <c r="M1698" s="3">
        <v>5</v>
      </c>
      <c r="N1698" s="2">
        <v>210000</v>
      </c>
      <c r="O1698" s="2">
        <v>21000</v>
      </c>
      <c r="P1698" s="2">
        <v>231000</v>
      </c>
      <c r="Q1698" s="2">
        <f>P1698*8.5%</f>
        <v>19635</v>
      </c>
    </row>
    <row r="1699" spans="1:17" hidden="1" x14ac:dyDescent="0.4">
      <c r="A1699" s="4" t="s">
        <v>23</v>
      </c>
      <c r="B1699" s="4" t="s">
        <v>14</v>
      </c>
      <c r="C1699" s="31" t="s">
        <v>435</v>
      </c>
      <c r="D1699" s="4" t="s">
        <v>24</v>
      </c>
      <c r="E1699" s="4" t="s">
        <v>16</v>
      </c>
      <c r="F1699" s="4" t="s">
        <v>17</v>
      </c>
      <c r="G1699" s="4" t="s">
        <v>18</v>
      </c>
      <c r="H1699" s="4" t="s">
        <v>205</v>
      </c>
      <c r="I1699" s="5" t="str">
        <f t="shared" si="26"/>
        <v>2025-07</v>
      </c>
      <c r="J1699" s="4" t="s">
        <v>118</v>
      </c>
      <c r="K1699" s="5" t="s">
        <v>342</v>
      </c>
      <c r="L1699" s="2">
        <v>55500</v>
      </c>
      <c r="M1699" s="3">
        <v>1</v>
      </c>
      <c r="N1699" s="2">
        <v>55500</v>
      </c>
      <c r="O1699" s="2">
        <v>5550</v>
      </c>
      <c r="P1699" s="2">
        <v>61050</v>
      </c>
      <c r="Q1699" s="2">
        <f>P1699*8.5%</f>
        <v>5189.25</v>
      </c>
    </row>
    <row r="1700" spans="1:17" hidden="1" x14ac:dyDescent="0.4">
      <c r="A1700" s="4" t="s">
        <v>51</v>
      </c>
      <c r="B1700" s="4" t="s">
        <v>14</v>
      </c>
      <c r="C1700" s="30" t="s">
        <v>434</v>
      </c>
      <c r="D1700" s="4" t="s">
        <v>52</v>
      </c>
      <c r="E1700" s="4" t="s">
        <v>16</v>
      </c>
      <c r="F1700" s="4" t="s">
        <v>17</v>
      </c>
      <c r="G1700" s="4" t="s">
        <v>18</v>
      </c>
      <c r="H1700" s="4" t="s">
        <v>205</v>
      </c>
      <c r="I1700" s="5" t="str">
        <f t="shared" si="26"/>
        <v>2025-07</v>
      </c>
      <c r="J1700" s="4" t="s">
        <v>118</v>
      </c>
      <c r="K1700" s="5" t="s">
        <v>342</v>
      </c>
      <c r="L1700" s="2">
        <v>73000</v>
      </c>
      <c r="M1700" s="3">
        <v>1</v>
      </c>
      <c r="N1700" s="2">
        <v>73000</v>
      </c>
      <c r="O1700" s="2">
        <v>7300</v>
      </c>
      <c r="P1700" s="2">
        <v>80300</v>
      </c>
      <c r="Q1700" s="2">
        <f>P1700*8.5%</f>
        <v>6825.5000000000009</v>
      </c>
    </row>
    <row r="1701" spans="1:17" hidden="1" x14ac:dyDescent="0.4">
      <c r="A1701" s="4" t="s">
        <v>32</v>
      </c>
      <c r="B1701" s="4" t="s">
        <v>14</v>
      </c>
      <c r="C1701" s="31" t="s">
        <v>435</v>
      </c>
      <c r="D1701" s="4" t="s">
        <v>33</v>
      </c>
      <c r="E1701" s="4" t="s">
        <v>16</v>
      </c>
      <c r="F1701" s="4" t="s">
        <v>17</v>
      </c>
      <c r="G1701" s="4" t="s">
        <v>18</v>
      </c>
      <c r="H1701" s="4" t="s">
        <v>205</v>
      </c>
      <c r="I1701" s="5" t="str">
        <f t="shared" si="26"/>
        <v>2025-07</v>
      </c>
      <c r="J1701" s="4" t="s">
        <v>34</v>
      </c>
      <c r="K1701" s="5" t="s">
        <v>342</v>
      </c>
      <c r="L1701" s="2">
        <v>44000</v>
      </c>
      <c r="M1701" s="3">
        <v>2</v>
      </c>
      <c r="N1701" s="2">
        <v>88000</v>
      </c>
      <c r="O1701" s="2">
        <v>8800</v>
      </c>
      <c r="P1701" s="2">
        <v>96800</v>
      </c>
      <c r="Q1701" s="2">
        <f>P1701*8.5%</f>
        <v>8228</v>
      </c>
    </row>
    <row r="1702" spans="1:17" hidden="1" x14ac:dyDescent="0.4">
      <c r="A1702" s="4" t="s">
        <v>58</v>
      </c>
      <c r="B1702" s="4" t="s">
        <v>14</v>
      </c>
      <c r="C1702" s="30" t="s">
        <v>434</v>
      </c>
      <c r="D1702" s="4" t="s">
        <v>36</v>
      </c>
      <c r="E1702" s="4" t="s">
        <v>16</v>
      </c>
      <c r="F1702" s="4" t="s">
        <v>17</v>
      </c>
      <c r="G1702" s="4" t="s">
        <v>18</v>
      </c>
      <c r="H1702" s="4" t="s">
        <v>205</v>
      </c>
      <c r="I1702" s="5" t="str">
        <f t="shared" si="26"/>
        <v>2025-07</v>
      </c>
      <c r="J1702" s="4" t="s">
        <v>34</v>
      </c>
      <c r="K1702" s="5" t="s">
        <v>342</v>
      </c>
      <c r="L1702" s="2">
        <v>120880</v>
      </c>
      <c r="M1702" s="3">
        <v>1</v>
      </c>
      <c r="N1702" s="2">
        <v>120880</v>
      </c>
      <c r="O1702" s="2">
        <v>12088</v>
      </c>
      <c r="P1702" s="2">
        <v>132968</v>
      </c>
      <c r="Q1702" s="2">
        <f>P1702*8.5%</f>
        <v>11302.28</v>
      </c>
    </row>
    <row r="1703" spans="1:17" hidden="1" x14ac:dyDescent="0.4">
      <c r="A1703" s="4" t="s">
        <v>13</v>
      </c>
      <c r="B1703" s="4" t="s">
        <v>14</v>
      </c>
      <c r="C1703" s="30" t="s">
        <v>434</v>
      </c>
      <c r="D1703" s="4" t="s">
        <v>15</v>
      </c>
      <c r="E1703" s="4" t="s">
        <v>16</v>
      </c>
      <c r="F1703" s="4" t="s">
        <v>17</v>
      </c>
      <c r="G1703" s="4" t="s">
        <v>18</v>
      </c>
      <c r="H1703" s="4" t="s">
        <v>205</v>
      </c>
      <c r="I1703" s="5" t="str">
        <f t="shared" si="26"/>
        <v>2025-07</v>
      </c>
      <c r="J1703" s="4" t="s">
        <v>34</v>
      </c>
      <c r="K1703" s="5" t="s">
        <v>342</v>
      </c>
      <c r="L1703" s="2">
        <v>42000</v>
      </c>
      <c r="M1703" s="3">
        <v>8</v>
      </c>
      <c r="N1703" s="2">
        <v>336000</v>
      </c>
      <c r="O1703" s="2">
        <v>33600</v>
      </c>
      <c r="P1703" s="2">
        <v>369600</v>
      </c>
      <c r="Q1703" s="2">
        <f>P1703*8.5%</f>
        <v>31416.000000000004</v>
      </c>
    </row>
    <row r="1704" spans="1:17" hidden="1" x14ac:dyDescent="0.4">
      <c r="A1704" s="4" t="s">
        <v>21</v>
      </c>
      <c r="B1704" s="4" t="s">
        <v>14</v>
      </c>
      <c r="C1704" s="31" t="s">
        <v>435</v>
      </c>
      <c r="D1704" s="4" t="s">
        <v>22</v>
      </c>
      <c r="E1704" s="4" t="s">
        <v>16</v>
      </c>
      <c r="F1704" s="4" t="s">
        <v>17</v>
      </c>
      <c r="G1704" s="4" t="s">
        <v>18</v>
      </c>
      <c r="H1704" s="4" t="s">
        <v>205</v>
      </c>
      <c r="I1704" s="5" t="str">
        <f t="shared" si="26"/>
        <v>2025-07</v>
      </c>
      <c r="J1704" s="4" t="s">
        <v>34</v>
      </c>
      <c r="K1704" s="5" t="s">
        <v>342</v>
      </c>
      <c r="L1704" s="2">
        <v>55500</v>
      </c>
      <c r="M1704" s="3">
        <v>1</v>
      </c>
      <c r="N1704" s="2">
        <v>55500</v>
      </c>
      <c r="O1704" s="2">
        <v>5550</v>
      </c>
      <c r="P1704" s="2">
        <v>61050</v>
      </c>
      <c r="Q1704" s="2">
        <f>P1704*8.5%</f>
        <v>5189.25</v>
      </c>
    </row>
    <row r="1705" spans="1:17" hidden="1" x14ac:dyDescent="0.4">
      <c r="A1705" s="4" t="s">
        <v>23</v>
      </c>
      <c r="B1705" s="4" t="s">
        <v>14</v>
      </c>
      <c r="C1705" s="31" t="s">
        <v>435</v>
      </c>
      <c r="D1705" s="4" t="s">
        <v>24</v>
      </c>
      <c r="E1705" s="4" t="s">
        <v>16</v>
      </c>
      <c r="F1705" s="4" t="s">
        <v>17</v>
      </c>
      <c r="G1705" s="4" t="s">
        <v>18</v>
      </c>
      <c r="H1705" s="4" t="s">
        <v>205</v>
      </c>
      <c r="I1705" s="5" t="str">
        <f t="shared" si="26"/>
        <v>2025-07</v>
      </c>
      <c r="J1705" s="4" t="s">
        <v>34</v>
      </c>
      <c r="K1705" s="5" t="s">
        <v>342</v>
      </c>
      <c r="L1705" s="2">
        <v>55500</v>
      </c>
      <c r="M1705" s="3">
        <v>3</v>
      </c>
      <c r="N1705" s="2">
        <v>166500</v>
      </c>
      <c r="O1705" s="2">
        <v>16650</v>
      </c>
      <c r="P1705" s="2">
        <v>183150</v>
      </c>
      <c r="Q1705" s="2">
        <f>P1705*8.5%</f>
        <v>15567.750000000002</v>
      </c>
    </row>
    <row r="1706" spans="1:17" hidden="1" x14ac:dyDescent="0.4">
      <c r="A1706" s="4" t="s">
        <v>51</v>
      </c>
      <c r="B1706" s="4" t="s">
        <v>14</v>
      </c>
      <c r="C1706" s="30" t="s">
        <v>434</v>
      </c>
      <c r="D1706" s="4" t="s">
        <v>52</v>
      </c>
      <c r="E1706" s="4" t="s">
        <v>16</v>
      </c>
      <c r="F1706" s="4" t="s">
        <v>17</v>
      </c>
      <c r="G1706" s="4" t="s">
        <v>18</v>
      </c>
      <c r="H1706" s="4" t="s">
        <v>205</v>
      </c>
      <c r="I1706" s="5" t="str">
        <f t="shared" si="26"/>
        <v>2025-07</v>
      </c>
      <c r="J1706" s="4" t="s">
        <v>34</v>
      </c>
      <c r="K1706" s="5" t="s">
        <v>342</v>
      </c>
      <c r="L1706" s="2">
        <v>73000</v>
      </c>
      <c r="M1706" s="3">
        <v>1</v>
      </c>
      <c r="N1706" s="2">
        <v>73000</v>
      </c>
      <c r="O1706" s="2">
        <v>7300</v>
      </c>
      <c r="P1706" s="2">
        <v>80300</v>
      </c>
      <c r="Q1706" s="2">
        <f>P1706*8.5%</f>
        <v>6825.5000000000009</v>
      </c>
    </row>
    <row r="1707" spans="1:17" hidden="1" x14ac:dyDescent="0.4">
      <c r="A1707" s="4" t="s">
        <v>37</v>
      </c>
      <c r="B1707" s="4" t="s">
        <v>26</v>
      </c>
      <c r="C1707" s="32" t="s">
        <v>436</v>
      </c>
      <c r="D1707" s="4" t="s">
        <v>38</v>
      </c>
      <c r="E1707" s="4" t="s">
        <v>28</v>
      </c>
      <c r="F1707" s="4" t="s">
        <v>17</v>
      </c>
      <c r="G1707" s="4" t="s">
        <v>18</v>
      </c>
      <c r="H1707" s="4" t="s">
        <v>205</v>
      </c>
      <c r="I1707" s="5" t="str">
        <f t="shared" si="26"/>
        <v>2025-07</v>
      </c>
      <c r="J1707" s="4" t="s">
        <v>34</v>
      </c>
      <c r="K1707" s="5" t="s">
        <v>342</v>
      </c>
      <c r="L1707" s="2">
        <v>395</v>
      </c>
      <c r="M1707" s="3">
        <v>20</v>
      </c>
      <c r="N1707" s="2">
        <v>7900</v>
      </c>
      <c r="O1707" s="2">
        <v>790</v>
      </c>
      <c r="P1707" s="2">
        <v>8690</v>
      </c>
      <c r="Q1707" s="2">
        <f>P1707*8.5%</f>
        <v>738.65000000000009</v>
      </c>
    </row>
    <row r="1708" spans="1:17" hidden="1" x14ac:dyDescent="0.4">
      <c r="A1708" s="4" t="s">
        <v>42</v>
      </c>
      <c r="B1708" s="4" t="s">
        <v>14</v>
      </c>
      <c r="C1708" s="30" t="s">
        <v>434</v>
      </c>
      <c r="D1708" s="4" t="s">
        <v>43</v>
      </c>
      <c r="E1708" s="4" t="s">
        <v>44</v>
      </c>
      <c r="F1708" s="4" t="s">
        <v>31</v>
      </c>
      <c r="G1708" s="4" t="s">
        <v>18</v>
      </c>
      <c r="H1708" s="4" t="s">
        <v>205</v>
      </c>
      <c r="I1708" s="5" t="str">
        <f t="shared" si="26"/>
        <v>2025-07</v>
      </c>
      <c r="J1708" s="4" t="s">
        <v>34</v>
      </c>
      <c r="K1708" s="5" t="s">
        <v>342</v>
      </c>
      <c r="L1708" s="2">
        <v>7300</v>
      </c>
      <c r="M1708" s="3">
        <v>95.9</v>
      </c>
      <c r="N1708" s="2">
        <v>700070</v>
      </c>
      <c r="O1708" s="2">
        <v>0</v>
      </c>
      <c r="P1708" s="2">
        <v>700070</v>
      </c>
      <c r="Q1708" s="2">
        <f>P1708*8.5%</f>
        <v>59505.950000000004</v>
      </c>
    </row>
    <row r="1709" spans="1:17" hidden="1" x14ac:dyDescent="0.4">
      <c r="A1709" s="4" t="s">
        <v>13</v>
      </c>
      <c r="B1709" s="4" t="s">
        <v>14</v>
      </c>
      <c r="C1709" s="30" t="s">
        <v>434</v>
      </c>
      <c r="D1709" s="4" t="s">
        <v>15</v>
      </c>
      <c r="E1709" s="4" t="s">
        <v>16</v>
      </c>
      <c r="F1709" s="4" t="s">
        <v>17</v>
      </c>
      <c r="G1709" s="4" t="s">
        <v>18</v>
      </c>
      <c r="H1709" s="4" t="s">
        <v>205</v>
      </c>
      <c r="I1709" s="5" t="str">
        <f t="shared" si="26"/>
        <v>2025-07</v>
      </c>
      <c r="J1709" s="4" t="s">
        <v>59</v>
      </c>
      <c r="K1709" s="5" t="s">
        <v>343</v>
      </c>
      <c r="L1709" s="2">
        <v>42000</v>
      </c>
      <c r="M1709" s="3">
        <v>4</v>
      </c>
      <c r="N1709" s="2">
        <v>168000</v>
      </c>
      <c r="O1709" s="2">
        <v>16800</v>
      </c>
      <c r="P1709" s="2">
        <v>184800</v>
      </c>
      <c r="Q1709" s="2">
        <f>P1709*12%</f>
        <v>22176</v>
      </c>
    </row>
    <row r="1710" spans="1:17" hidden="1" x14ac:dyDescent="0.4">
      <c r="A1710" s="4" t="s">
        <v>35</v>
      </c>
      <c r="B1710" s="4" t="s">
        <v>14</v>
      </c>
      <c r="C1710" s="30" t="s">
        <v>434</v>
      </c>
      <c r="D1710" s="4" t="s">
        <v>36</v>
      </c>
      <c r="E1710" s="4" t="s">
        <v>16</v>
      </c>
      <c r="F1710" s="4" t="s">
        <v>17</v>
      </c>
      <c r="G1710" s="4" t="s">
        <v>18</v>
      </c>
      <c r="H1710" s="4" t="s">
        <v>205</v>
      </c>
      <c r="I1710" s="5" t="str">
        <f t="shared" si="26"/>
        <v>2025-07</v>
      </c>
      <c r="J1710" s="4" t="s">
        <v>59</v>
      </c>
      <c r="K1710" s="5" t="s">
        <v>343</v>
      </c>
      <c r="L1710" s="2">
        <v>116220</v>
      </c>
      <c r="M1710" s="3">
        <v>1</v>
      </c>
      <c r="N1710" s="2">
        <v>116220</v>
      </c>
      <c r="O1710" s="2">
        <v>11622</v>
      </c>
      <c r="P1710" s="2">
        <v>127842</v>
      </c>
      <c r="Q1710" s="2">
        <f>P1710*12%</f>
        <v>15341.039999999999</v>
      </c>
    </row>
    <row r="1711" spans="1:17" hidden="1" x14ac:dyDescent="0.4">
      <c r="A1711" s="4" t="s">
        <v>23</v>
      </c>
      <c r="B1711" s="4" t="s">
        <v>14</v>
      </c>
      <c r="C1711" s="31" t="s">
        <v>435</v>
      </c>
      <c r="D1711" s="4" t="s">
        <v>24</v>
      </c>
      <c r="E1711" s="4" t="s">
        <v>16</v>
      </c>
      <c r="F1711" s="4" t="s">
        <v>17</v>
      </c>
      <c r="G1711" s="4" t="s">
        <v>18</v>
      </c>
      <c r="H1711" s="4" t="s">
        <v>205</v>
      </c>
      <c r="I1711" s="5" t="str">
        <f t="shared" si="26"/>
        <v>2025-07</v>
      </c>
      <c r="J1711" s="4" t="s">
        <v>59</v>
      </c>
      <c r="K1711" s="5" t="s">
        <v>343</v>
      </c>
      <c r="L1711" s="2">
        <v>55500</v>
      </c>
      <c r="M1711" s="3">
        <v>2</v>
      </c>
      <c r="N1711" s="2">
        <v>111000</v>
      </c>
      <c r="O1711" s="2">
        <v>11100</v>
      </c>
      <c r="P1711" s="2">
        <v>122100</v>
      </c>
      <c r="Q1711" s="2">
        <f>P1711*12%</f>
        <v>14652</v>
      </c>
    </row>
    <row r="1712" spans="1:17" hidden="1" x14ac:dyDescent="0.4">
      <c r="A1712" s="4" t="s">
        <v>51</v>
      </c>
      <c r="B1712" s="4" t="s">
        <v>14</v>
      </c>
      <c r="C1712" s="30" t="s">
        <v>434</v>
      </c>
      <c r="D1712" s="4" t="s">
        <v>52</v>
      </c>
      <c r="E1712" s="4" t="s">
        <v>16</v>
      </c>
      <c r="F1712" s="4" t="s">
        <v>17</v>
      </c>
      <c r="G1712" s="4" t="s">
        <v>18</v>
      </c>
      <c r="H1712" s="4" t="s">
        <v>205</v>
      </c>
      <c r="I1712" s="5" t="str">
        <f t="shared" si="26"/>
        <v>2025-07</v>
      </c>
      <c r="J1712" s="4" t="s">
        <v>59</v>
      </c>
      <c r="K1712" s="5" t="s">
        <v>343</v>
      </c>
      <c r="L1712" s="2">
        <v>73000</v>
      </c>
      <c r="M1712" s="3">
        <v>1</v>
      </c>
      <c r="N1712" s="2">
        <v>73000</v>
      </c>
      <c r="O1712" s="2">
        <v>7300</v>
      </c>
      <c r="P1712" s="2">
        <v>80300</v>
      </c>
      <c r="Q1712" s="2">
        <f>P1712*12%</f>
        <v>9636</v>
      </c>
    </row>
    <row r="1713" spans="1:17" hidden="1" x14ac:dyDescent="0.4">
      <c r="A1713" s="4" t="s">
        <v>13</v>
      </c>
      <c r="B1713" s="4" t="s">
        <v>14</v>
      </c>
      <c r="C1713" s="30" t="s">
        <v>434</v>
      </c>
      <c r="D1713" s="4" t="s">
        <v>15</v>
      </c>
      <c r="E1713" s="4" t="s">
        <v>16</v>
      </c>
      <c r="F1713" s="4" t="s">
        <v>17</v>
      </c>
      <c r="G1713" s="4" t="s">
        <v>18</v>
      </c>
      <c r="H1713" s="4" t="s">
        <v>205</v>
      </c>
      <c r="I1713" s="5" t="str">
        <f t="shared" si="26"/>
        <v>2025-07</v>
      </c>
      <c r="J1713" s="4" t="s">
        <v>153</v>
      </c>
      <c r="K1713" s="5" t="s">
        <v>343</v>
      </c>
      <c r="L1713" s="2">
        <v>42000</v>
      </c>
      <c r="M1713" s="3">
        <v>7</v>
      </c>
      <c r="N1713" s="2">
        <v>294000</v>
      </c>
      <c r="O1713" s="2">
        <v>29400</v>
      </c>
      <c r="P1713" s="2">
        <v>323400</v>
      </c>
      <c r="Q1713" s="2">
        <f>P1713*12%</f>
        <v>38808</v>
      </c>
    </row>
    <row r="1714" spans="1:17" hidden="1" x14ac:dyDescent="0.4">
      <c r="A1714" s="4" t="s">
        <v>32</v>
      </c>
      <c r="B1714" s="4" t="s">
        <v>14</v>
      </c>
      <c r="C1714" s="31" t="s">
        <v>435</v>
      </c>
      <c r="D1714" s="4" t="s">
        <v>33</v>
      </c>
      <c r="E1714" s="4" t="s">
        <v>16</v>
      </c>
      <c r="F1714" s="4" t="s">
        <v>17</v>
      </c>
      <c r="G1714" s="4" t="s">
        <v>18</v>
      </c>
      <c r="H1714" s="4" t="s">
        <v>205</v>
      </c>
      <c r="I1714" s="5" t="str">
        <f t="shared" si="26"/>
        <v>2025-07</v>
      </c>
      <c r="J1714" s="4" t="s">
        <v>49</v>
      </c>
      <c r="K1714" s="5" t="s">
        <v>343</v>
      </c>
      <c r="L1714" s="2">
        <v>44000</v>
      </c>
      <c r="M1714" s="3">
        <v>2</v>
      </c>
      <c r="N1714" s="2">
        <v>88000</v>
      </c>
      <c r="O1714" s="2">
        <v>8800</v>
      </c>
      <c r="P1714" s="2">
        <v>96800</v>
      </c>
      <c r="Q1714" s="2">
        <f>P1714*12%</f>
        <v>11616</v>
      </c>
    </row>
    <row r="1715" spans="1:17" hidden="1" x14ac:dyDescent="0.4">
      <c r="A1715" s="4" t="s">
        <v>13</v>
      </c>
      <c r="B1715" s="4" t="s">
        <v>14</v>
      </c>
      <c r="C1715" s="30" t="s">
        <v>434</v>
      </c>
      <c r="D1715" s="4" t="s">
        <v>15</v>
      </c>
      <c r="E1715" s="4" t="s">
        <v>16</v>
      </c>
      <c r="F1715" s="4" t="s">
        <v>17</v>
      </c>
      <c r="G1715" s="4" t="s">
        <v>18</v>
      </c>
      <c r="H1715" s="4" t="s">
        <v>205</v>
      </c>
      <c r="I1715" s="5" t="str">
        <f t="shared" si="26"/>
        <v>2025-07</v>
      </c>
      <c r="J1715" s="4" t="s">
        <v>49</v>
      </c>
      <c r="K1715" s="5" t="s">
        <v>343</v>
      </c>
      <c r="L1715" s="2">
        <v>42000</v>
      </c>
      <c r="M1715" s="3">
        <v>9</v>
      </c>
      <c r="N1715" s="2">
        <v>378000</v>
      </c>
      <c r="O1715" s="2">
        <v>37800</v>
      </c>
      <c r="P1715" s="2">
        <v>415800</v>
      </c>
      <c r="Q1715" s="2">
        <f>P1715*12%</f>
        <v>49896</v>
      </c>
    </row>
    <row r="1716" spans="1:17" hidden="1" x14ac:dyDescent="0.4">
      <c r="A1716" s="4" t="s">
        <v>35</v>
      </c>
      <c r="B1716" s="4" t="s">
        <v>14</v>
      </c>
      <c r="C1716" s="30" t="s">
        <v>434</v>
      </c>
      <c r="D1716" s="4" t="s">
        <v>36</v>
      </c>
      <c r="E1716" s="4" t="s">
        <v>16</v>
      </c>
      <c r="F1716" s="4" t="s">
        <v>17</v>
      </c>
      <c r="G1716" s="4" t="s">
        <v>18</v>
      </c>
      <c r="H1716" s="4" t="s">
        <v>205</v>
      </c>
      <c r="I1716" s="5" t="str">
        <f t="shared" si="26"/>
        <v>2025-07</v>
      </c>
      <c r="J1716" s="4" t="s">
        <v>49</v>
      </c>
      <c r="K1716" s="5" t="s">
        <v>343</v>
      </c>
      <c r="L1716" s="2">
        <v>116220</v>
      </c>
      <c r="M1716" s="3">
        <v>2</v>
      </c>
      <c r="N1716" s="2">
        <v>232440</v>
      </c>
      <c r="O1716" s="2">
        <v>23244</v>
      </c>
      <c r="P1716" s="2">
        <v>255684</v>
      </c>
      <c r="Q1716" s="2">
        <f>P1716*12%</f>
        <v>30682.079999999998</v>
      </c>
    </row>
    <row r="1717" spans="1:17" hidden="1" x14ac:dyDescent="0.4">
      <c r="A1717" s="4" t="s">
        <v>23</v>
      </c>
      <c r="B1717" s="4" t="s">
        <v>14</v>
      </c>
      <c r="C1717" s="31" t="s">
        <v>435</v>
      </c>
      <c r="D1717" s="4" t="s">
        <v>24</v>
      </c>
      <c r="E1717" s="4" t="s">
        <v>16</v>
      </c>
      <c r="F1717" s="4" t="s">
        <v>17</v>
      </c>
      <c r="G1717" s="4" t="s">
        <v>18</v>
      </c>
      <c r="H1717" s="4" t="s">
        <v>205</v>
      </c>
      <c r="I1717" s="5" t="str">
        <f t="shared" si="26"/>
        <v>2025-07</v>
      </c>
      <c r="J1717" s="4" t="s">
        <v>49</v>
      </c>
      <c r="K1717" s="5" t="s">
        <v>343</v>
      </c>
      <c r="L1717" s="2">
        <v>55500</v>
      </c>
      <c r="M1717" s="3">
        <v>4</v>
      </c>
      <c r="N1717" s="2">
        <v>222000</v>
      </c>
      <c r="O1717" s="2">
        <v>22200</v>
      </c>
      <c r="P1717" s="2">
        <v>244200</v>
      </c>
      <c r="Q1717" s="2">
        <f>P1717*12%</f>
        <v>29304</v>
      </c>
    </row>
    <row r="1718" spans="1:17" hidden="1" x14ac:dyDescent="0.4">
      <c r="A1718" s="4" t="s">
        <v>51</v>
      </c>
      <c r="B1718" s="4" t="s">
        <v>14</v>
      </c>
      <c r="C1718" s="30" t="s">
        <v>434</v>
      </c>
      <c r="D1718" s="4" t="s">
        <v>52</v>
      </c>
      <c r="E1718" s="4" t="s">
        <v>16</v>
      </c>
      <c r="F1718" s="4" t="s">
        <v>17</v>
      </c>
      <c r="G1718" s="4" t="s">
        <v>18</v>
      </c>
      <c r="H1718" s="4" t="s">
        <v>205</v>
      </c>
      <c r="I1718" s="5" t="str">
        <f t="shared" si="26"/>
        <v>2025-07</v>
      </c>
      <c r="J1718" s="4" t="s">
        <v>49</v>
      </c>
      <c r="K1718" s="5" t="s">
        <v>343</v>
      </c>
      <c r="L1718" s="2">
        <v>73000</v>
      </c>
      <c r="M1718" s="3">
        <v>1</v>
      </c>
      <c r="N1718" s="2">
        <v>73000</v>
      </c>
      <c r="O1718" s="2">
        <v>7300</v>
      </c>
      <c r="P1718" s="2">
        <v>80300</v>
      </c>
      <c r="Q1718" s="2">
        <f>P1718*12%</f>
        <v>9636</v>
      </c>
    </row>
    <row r="1719" spans="1:17" x14ac:dyDescent="0.4">
      <c r="A1719" s="4" t="s">
        <v>58</v>
      </c>
      <c r="B1719" s="4" t="s">
        <v>14</v>
      </c>
      <c r="C1719" s="30" t="s">
        <v>434</v>
      </c>
      <c r="D1719" s="4" t="s">
        <v>36</v>
      </c>
      <c r="E1719" s="4" t="s">
        <v>16</v>
      </c>
      <c r="F1719" s="4" t="s">
        <v>17</v>
      </c>
      <c r="G1719" s="4" t="s">
        <v>18</v>
      </c>
      <c r="H1719" s="4" t="s">
        <v>206</v>
      </c>
      <c r="I1719" s="5" t="str">
        <f t="shared" si="26"/>
        <v>2025-07</v>
      </c>
      <c r="J1719" s="4" t="s">
        <v>20</v>
      </c>
      <c r="K1719" s="5" t="s">
        <v>342</v>
      </c>
      <c r="L1719" s="2">
        <v>120880</v>
      </c>
      <c r="M1719" s="3">
        <v>1</v>
      </c>
      <c r="N1719" s="2">
        <v>120880</v>
      </c>
      <c r="O1719" s="2">
        <v>12088</v>
      </c>
      <c r="P1719" s="2">
        <v>132968</v>
      </c>
      <c r="Q1719" s="2">
        <f>P1719*8.5%</f>
        <v>11302.28</v>
      </c>
    </row>
    <row r="1720" spans="1:17" x14ac:dyDescent="0.4">
      <c r="A1720" s="4" t="s">
        <v>13</v>
      </c>
      <c r="B1720" s="4" t="s">
        <v>14</v>
      </c>
      <c r="C1720" s="30" t="s">
        <v>434</v>
      </c>
      <c r="D1720" s="4" t="s">
        <v>15</v>
      </c>
      <c r="E1720" s="4" t="s">
        <v>16</v>
      </c>
      <c r="F1720" s="4" t="s">
        <v>17</v>
      </c>
      <c r="G1720" s="4" t="s">
        <v>18</v>
      </c>
      <c r="H1720" s="4" t="s">
        <v>206</v>
      </c>
      <c r="I1720" s="5" t="str">
        <f t="shared" si="26"/>
        <v>2025-07</v>
      </c>
      <c r="J1720" s="4" t="s">
        <v>20</v>
      </c>
      <c r="K1720" s="5" t="s">
        <v>342</v>
      </c>
      <c r="L1720" s="2">
        <v>42000</v>
      </c>
      <c r="M1720" s="3">
        <v>3</v>
      </c>
      <c r="N1720" s="2">
        <v>126000</v>
      </c>
      <c r="O1720" s="2">
        <v>12600</v>
      </c>
      <c r="P1720" s="2">
        <v>138600</v>
      </c>
      <c r="Q1720" s="2">
        <f>P1720*8.5%</f>
        <v>11781</v>
      </c>
    </row>
    <row r="1721" spans="1:17" x14ac:dyDescent="0.4">
      <c r="A1721" s="4" t="s">
        <v>21</v>
      </c>
      <c r="B1721" s="4" t="s">
        <v>14</v>
      </c>
      <c r="C1721" s="31" t="s">
        <v>435</v>
      </c>
      <c r="D1721" s="4" t="s">
        <v>22</v>
      </c>
      <c r="E1721" s="4" t="s">
        <v>16</v>
      </c>
      <c r="F1721" s="4" t="s">
        <v>17</v>
      </c>
      <c r="G1721" s="4" t="s">
        <v>18</v>
      </c>
      <c r="H1721" s="4" t="s">
        <v>206</v>
      </c>
      <c r="I1721" s="5" t="str">
        <f t="shared" si="26"/>
        <v>2025-07</v>
      </c>
      <c r="J1721" s="4" t="s">
        <v>20</v>
      </c>
      <c r="K1721" s="5" t="s">
        <v>342</v>
      </c>
      <c r="L1721" s="2">
        <v>55500</v>
      </c>
      <c r="M1721" s="3">
        <v>1</v>
      </c>
      <c r="N1721" s="2">
        <v>55500</v>
      </c>
      <c r="O1721" s="2">
        <v>5550</v>
      </c>
      <c r="P1721" s="2">
        <v>61050</v>
      </c>
      <c r="Q1721" s="2">
        <f>P1721*8.5%</f>
        <v>5189.25</v>
      </c>
    </row>
    <row r="1722" spans="1:17" x14ac:dyDescent="0.4">
      <c r="A1722" s="4" t="s">
        <v>23</v>
      </c>
      <c r="B1722" s="4" t="s">
        <v>14</v>
      </c>
      <c r="C1722" s="31" t="s">
        <v>435</v>
      </c>
      <c r="D1722" s="4" t="s">
        <v>24</v>
      </c>
      <c r="E1722" s="4" t="s">
        <v>16</v>
      </c>
      <c r="F1722" s="4" t="s">
        <v>17</v>
      </c>
      <c r="G1722" s="4" t="s">
        <v>18</v>
      </c>
      <c r="H1722" s="4" t="s">
        <v>206</v>
      </c>
      <c r="I1722" s="5" t="str">
        <f t="shared" si="26"/>
        <v>2025-07</v>
      </c>
      <c r="J1722" s="4" t="s">
        <v>20</v>
      </c>
      <c r="K1722" s="5" t="s">
        <v>342</v>
      </c>
      <c r="L1722" s="2">
        <v>55500</v>
      </c>
      <c r="M1722" s="3">
        <v>3</v>
      </c>
      <c r="N1722" s="2">
        <v>166500</v>
      </c>
      <c r="O1722" s="2">
        <v>16650</v>
      </c>
      <c r="P1722" s="2">
        <v>183150</v>
      </c>
      <c r="Q1722" s="2">
        <f>P1722*8.5%</f>
        <v>15567.750000000002</v>
      </c>
    </row>
    <row r="1723" spans="1:17" x14ac:dyDescent="0.4">
      <c r="A1723" s="4" t="s">
        <v>51</v>
      </c>
      <c r="B1723" s="4" t="s">
        <v>14</v>
      </c>
      <c r="C1723" s="30" t="s">
        <v>434</v>
      </c>
      <c r="D1723" s="4" t="s">
        <v>52</v>
      </c>
      <c r="E1723" s="4" t="s">
        <v>16</v>
      </c>
      <c r="F1723" s="4" t="s">
        <v>17</v>
      </c>
      <c r="G1723" s="4" t="s">
        <v>18</v>
      </c>
      <c r="H1723" s="4" t="s">
        <v>206</v>
      </c>
      <c r="I1723" s="5" t="str">
        <f t="shared" si="26"/>
        <v>2025-07</v>
      </c>
      <c r="J1723" s="4" t="s">
        <v>20</v>
      </c>
      <c r="K1723" s="5" t="s">
        <v>342</v>
      </c>
      <c r="L1723" s="2">
        <v>73000</v>
      </c>
      <c r="M1723" s="3">
        <v>1</v>
      </c>
      <c r="N1723" s="2">
        <v>73000</v>
      </c>
      <c r="O1723" s="2">
        <v>7300</v>
      </c>
      <c r="P1723" s="2">
        <v>80300</v>
      </c>
      <c r="Q1723" s="2">
        <f>P1723*8.5%</f>
        <v>6825.5000000000009</v>
      </c>
    </row>
    <row r="1724" spans="1:17" x14ac:dyDescent="0.4">
      <c r="A1724" s="4" t="s">
        <v>54</v>
      </c>
      <c r="B1724" s="4" t="s">
        <v>26</v>
      </c>
      <c r="C1724" s="32" t="s">
        <v>436</v>
      </c>
      <c r="D1724" s="4" t="s">
        <v>55</v>
      </c>
      <c r="E1724" s="4" t="s">
        <v>28</v>
      </c>
      <c r="F1724" s="4" t="s">
        <v>31</v>
      </c>
      <c r="G1724" s="4" t="s">
        <v>18</v>
      </c>
      <c r="H1724" s="4" t="s">
        <v>206</v>
      </c>
      <c r="I1724" s="5" t="str">
        <f t="shared" si="26"/>
        <v>2025-07</v>
      </c>
      <c r="J1724" s="4" t="s">
        <v>20</v>
      </c>
      <c r="K1724" s="5" t="s">
        <v>342</v>
      </c>
      <c r="L1724" s="2">
        <v>5919</v>
      </c>
      <c r="M1724" s="3">
        <v>1</v>
      </c>
      <c r="N1724" s="2">
        <v>5919</v>
      </c>
      <c r="O1724" s="2">
        <v>0</v>
      </c>
      <c r="P1724" s="2">
        <v>5919</v>
      </c>
      <c r="Q1724" s="2">
        <f>P1724*8.5%</f>
        <v>503.11500000000001</v>
      </c>
    </row>
    <row r="1725" spans="1:17" hidden="1" x14ac:dyDescent="0.4">
      <c r="A1725" s="4" t="s">
        <v>32</v>
      </c>
      <c r="B1725" s="4" t="s">
        <v>14</v>
      </c>
      <c r="C1725" s="31" t="s">
        <v>435</v>
      </c>
      <c r="D1725" s="4" t="s">
        <v>33</v>
      </c>
      <c r="E1725" s="4" t="s">
        <v>16</v>
      </c>
      <c r="F1725" s="4" t="s">
        <v>17</v>
      </c>
      <c r="G1725" s="4" t="s">
        <v>18</v>
      </c>
      <c r="H1725" s="4" t="s">
        <v>206</v>
      </c>
      <c r="I1725" s="5" t="str">
        <f t="shared" si="26"/>
        <v>2025-07</v>
      </c>
      <c r="J1725" s="4" t="s">
        <v>118</v>
      </c>
      <c r="K1725" s="5" t="s">
        <v>342</v>
      </c>
      <c r="L1725" s="2">
        <v>44000</v>
      </c>
      <c r="M1725" s="3">
        <v>1</v>
      </c>
      <c r="N1725" s="2">
        <v>44000</v>
      </c>
      <c r="O1725" s="2">
        <v>4400</v>
      </c>
      <c r="P1725" s="2">
        <v>48400</v>
      </c>
      <c r="Q1725" s="2">
        <f>P1725*8.5%</f>
        <v>4114</v>
      </c>
    </row>
    <row r="1726" spans="1:17" hidden="1" x14ac:dyDescent="0.4">
      <c r="A1726" s="4" t="s">
        <v>13</v>
      </c>
      <c r="B1726" s="4" t="s">
        <v>14</v>
      </c>
      <c r="C1726" s="30" t="s">
        <v>434</v>
      </c>
      <c r="D1726" s="4" t="s">
        <v>15</v>
      </c>
      <c r="E1726" s="4" t="s">
        <v>16</v>
      </c>
      <c r="F1726" s="4" t="s">
        <v>17</v>
      </c>
      <c r="G1726" s="4" t="s">
        <v>18</v>
      </c>
      <c r="H1726" s="4" t="s">
        <v>206</v>
      </c>
      <c r="I1726" s="5" t="str">
        <f t="shared" si="26"/>
        <v>2025-07</v>
      </c>
      <c r="J1726" s="4" t="s">
        <v>118</v>
      </c>
      <c r="K1726" s="5" t="s">
        <v>342</v>
      </c>
      <c r="L1726" s="2">
        <v>42000</v>
      </c>
      <c r="M1726" s="3">
        <v>10</v>
      </c>
      <c r="N1726" s="2">
        <v>420000</v>
      </c>
      <c r="O1726" s="2">
        <v>42000</v>
      </c>
      <c r="P1726" s="2">
        <v>462000</v>
      </c>
      <c r="Q1726" s="2">
        <f>P1726*8.5%</f>
        <v>39270</v>
      </c>
    </row>
    <row r="1727" spans="1:17" hidden="1" x14ac:dyDescent="0.4">
      <c r="A1727" s="4" t="s">
        <v>23</v>
      </c>
      <c r="B1727" s="4" t="s">
        <v>14</v>
      </c>
      <c r="C1727" s="31" t="s">
        <v>435</v>
      </c>
      <c r="D1727" s="4" t="s">
        <v>24</v>
      </c>
      <c r="E1727" s="4" t="s">
        <v>16</v>
      </c>
      <c r="F1727" s="4" t="s">
        <v>17</v>
      </c>
      <c r="G1727" s="4" t="s">
        <v>18</v>
      </c>
      <c r="H1727" s="4" t="s">
        <v>206</v>
      </c>
      <c r="I1727" s="5" t="str">
        <f t="shared" si="26"/>
        <v>2025-07</v>
      </c>
      <c r="J1727" s="4" t="s">
        <v>118</v>
      </c>
      <c r="K1727" s="5" t="s">
        <v>342</v>
      </c>
      <c r="L1727" s="2">
        <v>55500</v>
      </c>
      <c r="M1727" s="3">
        <v>3</v>
      </c>
      <c r="N1727" s="2">
        <v>166500</v>
      </c>
      <c r="O1727" s="2">
        <v>16650</v>
      </c>
      <c r="P1727" s="2">
        <v>183150</v>
      </c>
      <c r="Q1727" s="2">
        <f>P1727*8.5%</f>
        <v>15567.750000000002</v>
      </c>
    </row>
    <row r="1728" spans="1:17" hidden="1" x14ac:dyDescent="0.4">
      <c r="A1728" s="4" t="s">
        <v>51</v>
      </c>
      <c r="B1728" s="4" t="s">
        <v>14</v>
      </c>
      <c r="C1728" s="30" t="s">
        <v>434</v>
      </c>
      <c r="D1728" s="4" t="s">
        <v>52</v>
      </c>
      <c r="E1728" s="4" t="s">
        <v>16</v>
      </c>
      <c r="F1728" s="4" t="s">
        <v>17</v>
      </c>
      <c r="G1728" s="4" t="s">
        <v>18</v>
      </c>
      <c r="H1728" s="4" t="s">
        <v>206</v>
      </c>
      <c r="I1728" s="5" t="str">
        <f t="shared" si="26"/>
        <v>2025-07</v>
      </c>
      <c r="J1728" s="4" t="s">
        <v>118</v>
      </c>
      <c r="K1728" s="5" t="s">
        <v>342</v>
      </c>
      <c r="L1728" s="2">
        <v>73000</v>
      </c>
      <c r="M1728" s="3">
        <v>1</v>
      </c>
      <c r="N1728" s="2">
        <v>73000</v>
      </c>
      <c r="O1728" s="2">
        <v>7300</v>
      </c>
      <c r="P1728" s="2">
        <v>80300</v>
      </c>
      <c r="Q1728" s="2">
        <f>P1728*8.5%</f>
        <v>6825.5000000000009</v>
      </c>
    </row>
    <row r="1729" spans="1:17" hidden="1" x14ac:dyDescent="0.4">
      <c r="A1729" s="4" t="s">
        <v>32</v>
      </c>
      <c r="B1729" s="4" t="s">
        <v>14</v>
      </c>
      <c r="C1729" s="31" t="s">
        <v>435</v>
      </c>
      <c r="D1729" s="4" t="s">
        <v>33</v>
      </c>
      <c r="E1729" s="4" t="s">
        <v>16</v>
      </c>
      <c r="F1729" s="4" t="s">
        <v>17</v>
      </c>
      <c r="G1729" s="4" t="s">
        <v>18</v>
      </c>
      <c r="H1729" s="4" t="s">
        <v>206</v>
      </c>
      <c r="I1729" s="5" t="str">
        <f t="shared" si="26"/>
        <v>2025-07</v>
      </c>
      <c r="J1729" s="4" t="s">
        <v>34</v>
      </c>
      <c r="K1729" s="5" t="s">
        <v>342</v>
      </c>
      <c r="L1729" s="2">
        <v>44000</v>
      </c>
      <c r="M1729" s="3">
        <v>2</v>
      </c>
      <c r="N1729" s="2">
        <v>88000</v>
      </c>
      <c r="O1729" s="2">
        <v>8800</v>
      </c>
      <c r="P1729" s="2">
        <v>96800</v>
      </c>
      <c r="Q1729" s="2">
        <f>P1729*8.5%</f>
        <v>8228</v>
      </c>
    </row>
    <row r="1730" spans="1:17" hidden="1" x14ac:dyDescent="0.4">
      <c r="A1730" s="4" t="s">
        <v>58</v>
      </c>
      <c r="B1730" s="4" t="s">
        <v>14</v>
      </c>
      <c r="C1730" s="30" t="s">
        <v>434</v>
      </c>
      <c r="D1730" s="4" t="s">
        <v>36</v>
      </c>
      <c r="E1730" s="4" t="s">
        <v>16</v>
      </c>
      <c r="F1730" s="4" t="s">
        <v>17</v>
      </c>
      <c r="G1730" s="4" t="s">
        <v>18</v>
      </c>
      <c r="H1730" s="4" t="s">
        <v>206</v>
      </c>
      <c r="I1730" s="5" t="str">
        <f t="shared" ref="I1730:I1793" si="27">TEXT(H1730,"yyyy-mm")</f>
        <v>2025-07</v>
      </c>
      <c r="J1730" s="4" t="s">
        <v>34</v>
      </c>
      <c r="K1730" s="5" t="s">
        <v>342</v>
      </c>
      <c r="L1730" s="2">
        <v>120880</v>
      </c>
      <c r="M1730" s="3">
        <v>1</v>
      </c>
      <c r="N1730" s="2">
        <v>120880</v>
      </c>
      <c r="O1730" s="2">
        <v>12088</v>
      </c>
      <c r="P1730" s="2">
        <v>132968</v>
      </c>
      <c r="Q1730" s="2">
        <f>P1730*8.5%</f>
        <v>11302.28</v>
      </c>
    </row>
    <row r="1731" spans="1:17" hidden="1" x14ac:dyDescent="0.4">
      <c r="A1731" s="4" t="s">
        <v>13</v>
      </c>
      <c r="B1731" s="4" t="s">
        <v>14</v>
      </c>
      <c r="C1731" s="30" t="s">
        <v>434</v>
      </c>
      <c r="D1731" s="4" t="s">
        <v>15</v>
      </c>
      <c r="E1731" s="4" t="s">
        <v>16</v>
      </c>
      <c r="F1731" s="4" t="s">
        <v>17</v>
      </c>
      <c r="G1731" s="4" t="s">
        <v>18</v>
      </c>
      <c r="H1731" s="4" t="s">
        <v>206</v>
      </c>
      <c r="I1731" s="5" t="str">
        <f t="shared" si="27"/>
        <v>2025-07</v>
      </c>
      <c r="J1731" s="4" t="s">
        <v>34</v>
      </c>
      <c r="K1731" s="5" t="s">
        <v>342</v>
      </c>
      <c r="L1731" s="2">
        <v>42000</v>
      </c>
      <c r="M1731" s="3">
        <v>8</v>
      </c>
      <c r="N1731" s="2">
        <v>336000</v>
      </c>
      <c r="O1731" s="2">
        <v>33600</v>
      </c>
      <c r="P1731" s="2">
        <v>369600</v>
      </c>
      <c r="Q1731" s="2">
        <f>P1731*8.5%</f>
        <v>31416.000000000004</v>
      </c>
    </row>
    <row r="1732" spans="1:17" hidden="1" x14ac:dyDescent="0.4">
      <c r="A1732" s="4" t="s">
        <v>21</v>
      </c>
      <c r="B1732" s="4" t="s">
        <v>14</v>
      </c>
      <c r="C1732" s="31" t="s">
        <v>435</v>
      </c>
      <c r="D1732" s="4" t="s">
        <v>22</v>
      </c>
      <c r="E1732" s="4" t="s">
        <v>16</v>
      </c>
      <c r="F1732" s="4" t="s">
        <v>17</v>
      </c>
      <c r="G1732" s="4" t="s">
        <v>18</v>
      </c>
      <c r="H1732" s="4" t="s">
        <v>206</v>
      </c>
      <c r="I1732" s="5" t="str">
        <f t="shared" si="27"/>
        <v>2025-07</v>
      </c>
      <c r="J1732" s="4" t="s">
        <v>34</v>
      </c>
      <c r="K1732" s="5" t="s">
        <v>342</v>
      </c>
      <c r="L1732" s="2">
        <v>55500</v>
      </c>
      <c r="M1732" s="3">
        <v>3</v>
      </c>
      <c r="N1732" s="2">
        <v>166500</v>
      </c>
      <c r="O1732" s="2">
        <v>16650</v>
      </c>
      <c r="P1732" s="2">
        <v>183150</v>
      </c>
      <c r="Q1732" s="2">
        <f>P1732*8.5%</f>
        <v>15567.750000000002</v>
      </c>
    </row>
    <row r="1733" spans="1:17" hidden="1" x14ac:dyDescent="0.4">
      <c r="A1733" s="4" t="s">
        <v>23</v>
      </c>
      <c r="B1733" s="4" t="s">
        <v>14</v>
      </c>
      <c r="C1733" s="31" t="s">
        <v>435</v>
      </c>
      <c r="D1733" s="4" t="s">
        <v>24</v>
      </c>
      <c r="E1733" s="4" t="s">
        <v>16</v>
      </c>
      <c r="F1733" s="4" t="s">
        <v>17</v>
      </c>
      <c r="G1733" s="4" t="s">
        <v>18</v>
      </c>
      <c r="H1733" s="4" t="s">
        <v>206</v>
      </c>
      <c r="I1733" s="5" t="str">
        <f t="shared" si="27"/>
        <v>2025-07</v>
      </c>
      <c r="J1733" s="4" t="s">
        <v>34</v>
      </c>
      <c r="K1733" s="5" t="s">
        <v>342</v>
      </c>
      <c r="L1733" s="2">
        <v>55500</v>
      </c>
      <c r="M1733" s="3">
        <v>4</v>
      </c>
      <c r="N1733" s="2">
        <v>222000</v>
      </c>
      <c r="O1733" s="2">
        <v>22200</v>
      </c>
      <c r="P1733" s="2">
        <v>244200</v>
      </c>
      <c r="Q1733" s="2">
        <f>P1733*8.5%</f>
        <v>20757</v>
      </c>
    </row>
    <row r="1734" spans="1:17" hidden="1" x14ac:dyDescent="0.4">
      <c r="A1734" s="4" t="s">
        <v>51</v>
      </c>
      <c r="B1734" s="4" t="s">
        <v>14</v>
      </c>
      <c r="C1734" s="30" t="s">
        <v>434</v>
      </c>
      <c r="D1734" s="4" t="s">
        <v>52</v>
      </c>
      <c r="E1734" s="4" t="s">
        <v>16</v>
      </c>
      <c r="F1734" s="4" t="s">
        <v>17</v>
      </c>
      <c r="G1734" s="4" t="s">
        <v>18</v>
      </c>
      <c r="H1734" s="4" t="s">
        <v>206</v>
      </c>
      <c r="I1734" s="5" t="str">
        <f t="shared" si="27"/>
        <v>2025-07</v>
      </c>
      <c r="J1734" s="4" t="s">
        <v>34</v>
      </c>
      <c r="K1734" s="5" t="s">
        <v>342</v>
      </c>
      <c r="L1734" s="2">
        <v>73000</v>
      </c>
      <c r="M1734" s="3">
        <v>1</v>
      </c>
      <c r="N1734" s="2">
        <v>73000</v>
      </c>
      <c r="O1734" s="2">
        <v>7300</v>
      </c>
      <c r="P1734" s="2">
        <v>80300</v>
      </c>
      <c r="Q1734" s="2">
        <f>P1734*8.5%</f>
        <v>6825.5000000000009</v>
      </c>
    </row>
    <row r="1735" spans="1:17" hidden="1" x14ac:dyDescent="0.4">
      <c r="A1735" s="4" t="s">
        <v>67</v>
      </c>
      <c r="B1735" s="4" t="s">
        <v>26</v>
      </c>
      <c r="C1735" s="32" t="s">
        <v>436</v>
      </c>
      <c r="D1735" s="4" t="s">
        <v>63</v>
      </c>
      <c r="E1735" s="4" t="s">
        <v>28</v>
      </c>
      <c r="F1735" s="4" t="s">
        <v>17</v>
      </c>
      <c r="G1735" s="4" t="s">
        <v>18</v>
      </c>
      <c r="H1735" s="4" t="s">
        <v>206</v>
      </c>
      <c r="I1735" s="5" t="str">
        <f t="shared" si="27"/>
        <v>2025-07</v>
      </c>
      <c r="J1735" s="4" t="s">
        <v>34</v>
      </c>
      <c r="K1735" s="5" t="s">
        <v>342</v>
      </c>
      <c r="L1735" s="2">
        <v>7558</v>
      </c>
      <c r="M1735" s="3">
        <v>1</v>
      </c>
      <c r="N1735" s="2">
        <v>7558</v>
      </c>
      <c r="O1735" s="2">
        <v>756</v>
      </c>
      <c r="P1735" s="2">
        <v>8314</v>
      </c>
      <c r="Q1735" s="2">
        <f>P1735*8.5%</f>
        <v>706.69</v>
      </c>
    </row>
    <row r="1736" spans="1:17" hidden="1" x14ac:dyDescent="0.4">
      <c r="A1736" s="4" t="s">
        <v>86</v>
      </c>
      <c r="B1736" s="4" t="s">
        <v>26</v>
      </c>
      <c r="C1736" s="32" t="s">
        <v>436</v>
      </c>
      <c r="D1736" s="4" t="s">
        <v>78</v>
      </c>
      <c r="E1736" s="4" t="s">
        <v>28</v>
      </c>
      <c r="F1736" s="4" t="s">
        <v>17</v>
      </c>
      <c r="G1736" s="4" t="s">
        <v>18</v>
      </c>
      <c r="H1736" s="4" t="s">
        <v>206</v>
      </c>
      <c r="I1736" s="5" t="str">
        <f t="shared" si="27"/>
        <v>2025-07</v>
      </c>
      <c r="J1736" s="4" t="s">
        <v>34</v>
      </c>
      <c r="K1736" s="5" t="s">
        <v>342</v>
      </c>
      <c r="L1736" s="2">
        <v>15544</v>
      </c>
      <c r="M1736" s="3">
        <v>1</v>
      </c>
      <c r="N1736" s="2">
        <v>15544</v>
      </c>
      <c r="O1736" s="2">
        <v>1554</v>
      </c>
      <c r="P1736" s="2">
        <v>17098</v>
      </c>
      <c r="Q1736" s="2">
        <f>P1736*8.5%</f>
        <v>1453.3300000000002</v>
      </c>
    </row>
    <row r="1737" spans="1:17" hidden="1" x14ac:dyDescent="0.4">
      <c r="A1737" s="4" t="s">
        <v>176</v>
      </c>
      <c r="B1737" s="4" t="s">
        <v>26</v>
      </c>
      <c r="C1737" s="32" t="s">
        <v>436</v>
      </c>
      <c r="D1737" s="4" t="s">
        <v>177</v>
      </c>
      <c r="E1737" s="4" t="s">
        <v>28</v>
      </c>
      <c r="F1737" s="4" t="s">
        <v>17</v>
      </c>
      <c r="G1737" s="4" t="s">
        <v>18</v>
      </c>
      <c r="H1737" s="4" t="s">
        <v>206</v>
      </c>
      <c r="I1737" s="5" t="str">
        <f t="shared" si="27"/>
        <v>2025-07</v>
      </c>
      <c r="J1737" s="4" t="s">
        <v>34</v>
      </c>
      <c r="K1737" s="5" t="s">
        <v>342</v>
      </c>
      <c r="L1737" s="2">
        <v>658</v>
      </c>
      <c r="M1737" s="3">
        <v>5</v>
      </c>
      <c r="N1737" s="2">
        <v>3290</v>
      </c>
      <c r="O1737" s="2">
        <v>329</v>
      </c>
      <c r="P1737" s="2">
        <v>3619</v>
      </c>
      <c r="Q1737" s="2">
        <f>P1737*8.5%</f>
        <v>307.61500000000001</v>
      </c>
    </row>
    <row r="1738" spans="1:17" hidden="1" x14ac:dyDescent="0.4">
      <c r="A1738" s="4" t="s">
        <v>207</v>
      </c>
      <c r="B1738" s="4" t="s">
        <v>26</v>
      </c>
      <c r="C1738" s="32" t="s">
        <v>436</v>
      </c>
      <c r="D1738" s="4" t="s">
        <v>30</v>
      </c>
      <c r="E1738" s="4" t="s">
        <v>28</v>
      </c>
      <c r="F1738" s="4" t="s">
        <v>31</v>
      </c>
      <c r="G1738" s="4" t="s">
        <v>18</v>
      </c>
      <c r="H1738" s="4" t="s">
        <v>206</v>
      </c>
      <c r="I1738" s="5" t="str">
        <f t="shared" si="27"/>
        <v>2025-07</v>
      </c>
      <c r="J1738" s="4" t="s">
        <v>34</v>
      </c>
      <c r="K1738" s="5" t="s">
        <v>342</v>
      </c>
      <c r="L1738" s="2">
        <v>5739</v>
      </c>
      <c r="M1738" s="3">
        <v>1</v>
      </c>
      <c r="N1738" s="2">
        <v>5739</v>
      </c>
      <c r="O1738" s="2">
        <v>0</v>
      </c>
      <c r="P1738" s="2">
        <v>5739</v>
      </c>
      <c r="Q1738" s="2">
        <f>P1738*8.5%</f>
        <v>487.81500000000005</v>
      </c>
    </row>
    <row r="1739" spans="1:17" hidden="1" x14ac:dyDescent="0.4">
      <c r="A1739" s="4" t="s">
        <v>42</v>
      </c>
      <c r="B1739" s="4" t="s">
        <v>14</v>
      </c>
      <c r="C1739" s="30" t="s">
        <v>434</v>
      </c>
      <c r="D1739" s="4" t="s">
        <v>43</v>
      </c>
      <c r="E1739" s="4" t="s">
        <v>44</v>
      </c>
      <c r="F1739" s="4" t="s">
        <v>31</v>
      </c>
      <c r="G1739" s="4" t="s">
        <v>18</v>
      </c>
      <c r="H1739" s="4" t="s">
        <v>206</v>
      </c>
      <c r="I1739" s="5" t="str">
        <f t="shared" si="27"/>
        <v>2025-07</v>
      </c>
      <c r="J1739" s="4" t="s">
        <v>34</v>
      </c>
      <c r="K1739" s="5" t="s">
        <v>342</v>
      </c>
      <c r="L1739" s="2">
        <v>7300</v>
      </c>
      <c r="M1739" s="3">
        <v>48.6</v>
      </c>
      <c r="N1739" s="2">
        <v>354780</v>
      </c>
      <c r="O1739" s="2">
        <v>0</v>
      </c>
      <c r="P1739" s="2">
        <v>354780</v>
      </c>
      <c r="Q1739" s="2">
        <f>P1739*8.5%</f>
        <v>30156.300000000003</v>
      </c>
    </row>
    <row r="1740" spans="1:17" hidden="1" x14ac:dyDescent="0.4">
      <c r="A1740" s="4" t="s">
        <v>13</v>
      </c>
      <c r="B1740" s="4" t="s">
        <v>14</v>
      </c>
      <c r="C1740" s="30" t="s">
        <v>434</v>
      </c>
      <c r="D1740" s="4" t="s">
        <v>15</v>
      </c>
      <c r="E1740" s="4" t="s">
        <v>16</v>
      </c>
      <c r="F1740" s="4" t="s">
        <v>17</v>
      </c>
      <c r="G1740" s="4" t="s">
        <v>18</v>
      </c>
      <c r="H1740" s="4" t="s">
        <v>206</v>
      </c>
      <c r="I1740" s="5" t="str">
        <f t="shared" si="27"/>
        <v>2025-07</v>
      </c>
      <c r="J1740" s="4" t="s">
        <v>59</v>
      </c>
      <c r="K1740" s="5" t="s">
        <v>343</v>
      </c>
      <c r="L1740" s="2">
        <v>42000</v>
      </c>
      <c r="M1740" s="3">
        <v>8</v>
      </c>
      <c r="N1740" s="2">
        <v>336000</v>
      </c>
      <c r="O1740" s="2">
        <v>33600</v>
      </c>
      <c r="P1740" s="2">
        <v>369600</v>
      </c>
      <c r="Q1740" s="2">
        <f>P1740*12%</f>
        <v>44352</v>
      </c>
    </row>
    <row r="1741" spans="1:17" hidden="1" x14ac:dyDescent="0.4">
      <c r="A1741" s="4" t="s">
        <v>35</v>
      </c>
      <c r="B1741" s="4" t="s">
        <v>14</v>
      </c>
      <c r="C1741" s="30" t="s">
        <v>434</v>
      </c>
      <c r="D1741" s="4" t="s">
        <v>36</v>
      </c>
      <c r="E1741" s="4" t="s">
        <v>16</v>
      </c>
      <c r="F1741" s="4" t="s">
        <v>17</v>
      </c>
      <c r="G1741" s="4" t="s">
        <v>18</v>
      </c>
      <c r="H1741" s="4" t="s">
        <v>206</v>
      </c>
      <c r="I1741" s="5" t="str">
        <f t="shared" si="27"/>
        <v>2025-07</v>
      </c>
      <c r="J1741" s="4" t="s">
        <v>59</v>
      </c>
      <c r="K1741" s="5" t="s">
        <v>343</v>
      </c>
      <c r="L1741" s="2">
        <v>116220</v>
      </c>
      <c r="M1741" s="3">
        <v>1</v>
      </c>
      <c r="N1741" s="2">
        <v>116220</v>
      </c>
      <c r="O1741" s="2">
        <v>11622</v>
      </c>
      <c r="P1741" s="2">
        <v>127842</v>
      </c>
      <c r="Q1741" s="2">
        <f>P1741*12%</f>
        <v>15341.039999999999</v>
      </c>
    </row>
    <row r="1742" spans="1:17" hidden="1" x14ac:dyDescent="0.4">
      <c r="A1742" s="4" t="s">
        <v>23</v>
      </c>
      <c r="B1742" s="4" t="s">
        <v>14</v>
      </c>
      <c r="C1742" s="31" t="s">
        <v>435</v>
      </c>
      <c r="D1742" s="4" t="s">
        <v>24</v>
      </c>
      <c r="E1742" s="4" t="s">
        <v>16</v>
      </c>
      <c r="F1742" s="4" t="s">
        <v>17</v>
      </c>
      <c r="G1742" s="4" t="s">
        <v>18</v>
      </c>
      <c r="H1742" s="4" t="s">
        <v>206</v>
      </c>
      <c r="I1742" s="5" t="str">
        <f t="shared" si="27"/>
        <v>2025-07</v>
      </c>
      <c r="J1742" s="4" t="s">
        <v>59</v>
      </c>
      <c r="K1742" s="5" t="s">
        <v>343</v>
      </c>
      <c r="L1742" s="2">
        <v>55500</v>
      </c>
      <c r="M1742" s="3">
        <v>4</v>
      </c>
      <c r="N1742" s="2">
        <v>222000</v>
      </c>
      <c r="O1742" s="2">
        <v>22200</v>
      </c>
      <c r="P1742" s="2">
        <v>244200</v>
      </c>
      <c r="Q1742" s="2">
        <f>P1742*12%</f>
        <v>29304</v>
      </c>
    </row>
    <row r="1743" spans="1:17" hidden="1" x14ac:dyDescent="0.4">
      <c r="A1743" s="4" t="s">
        <v>51</v>
      </c>
      <c r="B1743" s="4" t="s">
        <v>14</v>
      </c>
      <c r="C1743" s="30" t="s">
        <v>434</v>
      </c>
      <c r="D1743" s="4" t="s">
        <v>52</v>
      </c>
      <c r="E1743" s="4" t="s">
        <v>16</v>
      </c>
      <c r="F1743" s="4" t="s">
        <v>17</v>
      </c>
      <c r="G1743" s="4" t="s">
        <v>18</v>
      </c>
      <c r="H1743" s="4" t="s">
        <v>206</v>
      </c>
      <c r="I1743" s="5" t="str">
        <f t="shared" si="27"/>
        <v>2025-07</v>
      </c>
      <c r="J1743" s="4" t="s">
        <v>59</v>
      </c>
      <c r="K1743" s="5" t="s">
        <v>343</v>
      </c>
      <c r="L1743" s="2">
        <v>73000</v>
      </c>
      <c r="M1743" s="3">
        <v>2</v>
      </c>
      <c r="N1743" s="2">
        <v>146000</v>
      </c>
      <c r="O1743" s="2">
        <v>14600</v>
      </c>
      <c r="P1743" s="2">
        <v>160600</v>
      </c>
      <c r="Q1743" s="2">
        <f>P1743*12%</f>
        <v>19272</v>
      </c>
    </row>
    <row r="1744" spans="1:17" hidden="1" x14ac:dyDescent="0.4">
      <c r="A1744" s="4" t="s">
        <v>100</v>
      </c>
      <c r="B1744" s="4" t="s">
        <v>26</v>
      </c>
      <c r="C1744" s="32" t="s">
        <v>436</v>
      </c>
      <c r="D1744" s="4" t="s">
        <v>101</v>
      </c>
      <c r="E1744" s="4" t="s">
        <v>28</v>
      </c>
      <c r="F1744" s="4" t="s">
        <v>17</v>
      </c>
      <c r="G1744" s="4" t="s">
        <v>18</v>
      </c>
      <c r="H1744" s="4" t="s">
        <v>206</v>
      </c>
      <c r="I1744" s="5" t="str">
        <f t="shared" si="27"/>
        <v>2025-07</v>
      </c>
      <c r="J1744" s="4" t="s">
        <v>59</v>
      </c>
      <c r="K1744" s="5" t="s">
        <v>343</v>
      </c>
      <c r="L1744" s="2">
        <v>5620</v>
      </c>
      <c r="M1744" s="3">
        <v>6</v>
      </c>
      <c r="N1744" s="2">
        <v>33720</v>
      </c>
      <c r="O1744" s="2">
        <v>3372</v>
      </c>
      <c r="P1744" s="2">
        <v>37092</v>
      </c>
      <c r="Q1744" s="2">
        <f>P1744*12%</f>
        <v>4451.04</v>
      </c>
    </row>
    <row r="1745" spans="1:17" hidden="1" x14ac:dyDescent="0.4">
      <c r="A1745" s="4" t="s">
        <v>23</v>
      </c>
      <c r="B1745" s="4" t="s">
        <v>14</v>
      </c>
      <c r="C1745" s="31" t="s">
        <v>435</v>
      </c>
      <c r="D1745" s="4" t="s">
        <v>24</v>
      </c>
      <c r="E1745" s="4" t="s">
        <v>16</v>
      </c>
      <c r="F1745" s="4" t="s">
        <v>17</v>
      </c>
      <c r="G1745" s="4" t="s">
        <v>18</v>
      </c>
      <c r="H1745" s="4" t="s">
        <v>206</v>
      </c>
      <c r="I1745" s="5" t="str">
        <f t="shared" si="27"/>
        <v>2025-07</v>
      </c>
      <c r="J1745" s="4" t="s">
        <v>60</v>
      </c>
      <c r="K1745" s="5" t="s">
        <v>343</v>
      </c>
      <c r="L1745" s="2">
        <v>55500</v>
      </c>
      <c r="M1745" s="3">
        <v>10</v>
      </c>
      <c r="N1745" s="2">
        <v>555000</v>
      </c>
      <c r="O1745" s="2">
        <v>55500</v>
      </c>
      <c r="P1745" s="2">
        <v>610500</v>
      </c>
      <c r="Q1745" s="2">
        <f>P1745*12%</f>
        <v>73260</v>
      </c>
    </row>
    <row r="1746" spans="1:17" hidden="1" x14ac:dyDescent="0.4">
      <c r="A1746" s="4" t="s">
        <v>32</v>
      </c>
      <c r="B1746" s="4" t="s">
        <v>14</v>
      </c>
      <c r="C1746" s="31" t="s">
        <v>435</v>
      </c>
      <c r="D1746" s="4" t="s">
        <v>33</v>
      </c>
      <c r="E1746" s="4" t="s">
        <v>16</v>
      </c>
      <c r="F1746" s="4" t="s">
        <v>17</v>
      </c>
      <c r="G1746" s="4" t="s">
        <v>18</v>
      </c>
      <c r="H1746" s="4" t="s">
        <v>206</v>
      </c>
      <c r="I1746" s="5" t="str">
        <f t="shared" si="27"/>
        <v>2025-07</v>
      </c>
      <c r="J1746" s="4" t="s">
        <v>49</v>
      </c>
      <c r="K1746" s="5" t="s">
        <v>343</v>
      </c>
      <c r="L1746" s="2">
        <v>44000</v>
      </c>
      <c r="M1746" s="3">
        <v>4</v>
      </c>
      <c r="N1746" s="2">
        <v>176000</v>
      </c>
      <c r="O1746" s="2">
        <v>17600</v>
      </c>
      <c r="P1746" s="2">
        <v>193600</v>
      </c>
      <c r="Q1746" s="2">
        <f>P1746*12%</f>
        <v>23232</v>
      </c>
    </row>
    <row r="1747" spans="1:17" hidden="1" x14ac:dyDescent="0.4">
      <c r="A1747" s="4" t="s">
        <v>13</v>
      </c>
      <c r="B1747" s="4" t="s">
        <v>14</v>
      </c>
      <c r="C1747" s="30" t="s">
        <v>434</v>
      </c>
      <c r="D1747" s="4" t="s">
        <v>15</v>
      </c>
      <c r="E1747" s="4" t="s">
        <v>16</v>
      </c>
      <c r="F1747" s="4" t="s">
        <v>17</v>
      </c>
      <c r="G1747" s="4" t="s">
        <v>18</v>
      </c>
      <c r="H1747" s="4" t="s">
        <v>206</v>
      </c>
      <c r="I1747" s="5" t="str">
        <f t="shared" si="27"/>
        <v>2025-07</v>
      </c>
      <c r="J1747" s="4" t="s">
        <v>49</v>
      </c>
      <c r="K1747" s="5" t="s">
        <v>343</v>
      </c>
      <c r="L1747" s="2">
        <v>42000</v>
      </c>
      <c r="M1747" s="3">
        <v>6</v>
      </c>
      <c r="N1747" s="2">
        <v>252000</v>
      </c>
      <c r="O1747" s="2">
        <v>25200</v>
      </c>
      <c r="P1747" s="2">
        <v>277200</v>
      </c>
      <c r="Q1747" s="2">
        <f>P1747*12%</f>
        <v>33264</v>
      </c>
    </row>
    <row r="1748" spans="1:17" hidden="1" x14ac:dyDescent="0.4">
      <c r="A1748" s="4" t="s">
        <v>35</v>
      </c>
      <c r="B1748" s="4" t="s">
        <v>14</v>
      </c>
      <c r="C1748" s="30" t="s">
        <v>434</v>
      </c>
      <c r="D1748" s="4" t="s">
        <v>36</v>
      </c>
      <c r="E1748" s="4" t="s">
        <v>16</v>
      </c>
      <c r="F1748" s="4" t="s">
        <v>17</v>
      </c>
      <c r="G1748" s="4" t="s">
        <v>18</v>
      </c>
      <c r="H1748" s="4" t="s">
        <v>206</v>
      </c>
      <c r="I1748" s="5" t="str">
        <f t="shared" si="27"/>
        <v>2025-07</v>
      </c>
      <c r="J1748" s="4" t="s">
        <v>49</v>
      </c>
      <c r="K1748" s="5" t="s">
        <v>343</v>
      </c>
      <c r="L1748" s="2">
        <v>116220</v>
      </c>
      <c r="M1748" s="3">
        <v>0</v>
      </c>
      <c r="N1748" s="2">
        <v>0</v>
      </c>
      <c r="O1748" s="2">
        <v>0</v>
      </c>
      <c r="P1748" s="2">
        <v>0</v>
      </c>
      <c r="Q1748" s="2">
        <f>P1748*12%</f>
        <v>0</v>
      </c>
    </row>
    <row r="1749" spans="1:17" hidden="1" x14ac:dyDescent="0.4">
      <c r="A1749" s="4" t="s">
        <v>23</v>
      </c>
      <c r="B1749" s="4" t="s">
        <v>14</v>
      </c>
      <c r="C1749" s="31" t="s">
        <v>435</v>
      </c>
      <c r="D1749" s="4" t="s">
        <v>24</v>
      </c>
      <c r="E1749" s="4" t="s">
        <v>16</v>
      </c>
      <c r="F1749" s="4" t="s">
        <v>17</v>
      </c>
      <c r="G1749" s="4" t="s">
        <v>18</v>
      </c>
      <c r="H1749" s="4" t="s">
        <v>206</v>
      </c>
      <c r="I1749" s="5" t="str">
        <f t="shared" si="27"/>
        <v>2025-07</v>
      </c>
      <c r="J1749" s="4" t="s">
        <v>49</v>
      </c>
      <c r="K1749" s="5" t="s">
        <v>343</v>
      </c>
      <c r="L1749" s="2">
        <v>55500</v>
      </c>
      <c r="M1749" s="3">
        <v>5</v>
      </c>
      <c r="N1749" s="2">
        <v>277500</v>
      </c>
      <c r="O1749" s="2">
        <v>27750</v>
      </c>
      <c r="P1749" s="2">
        <v>305250</v>
      </c>
      <c r="Q1749" s="2">
        <f>P1749*12%</f>
        <v>36630</v>
      </c>
    </row>
    <row r="1750" spans="1:17" hidden="1" x14ac:dyDescent="0.4">
      <c r="A1750" s="4" t="s">
        <v>51</v>
      </c>
      <c r="B1750" s="4" t="s">
        <v>14</v>
      </c>
      <c r="C1750" s="30" t="s">
        <v>434</v>
      </c>
      <c r="D1750" s="4" t="s">
        <v>52</v>
      </c>
      <c r="E1750" s="4" t="s">
        <v>16</v>
      </c>
      <c r="F1750" s="4" t="s">
        <v>17</v>
      </c>
      <c r="G1750" s="4" t="s">
        <v>18</v>
      </c>
      <c r="H1750" s="4" t="s">
        <v>206</v>
      </c>
      <c r="I1750" s="5" t="str">
        <f t="shared" si="27"/>
        <v>2025-07</v>
      </c>
      <c r="J1750" s="4" t="s">
        <v>49</v>
      </c>
      <c r="K1750" s="5" t="s">
        <v>343</v>
      </c>
      <c r="L1750" s="2">
        <v>73000</v>
      </c>
      <c r="M1750" s="3">
        <v>1</v>
      </c>
      <c r="N1750" s="2">
        <v>73000</v>
      </c>
      <c r="O1750" s="2">
        <v>7300</v>
      </c>
      <c r="P1750" s="2">
        <v>80300</v>
      </c>
      <c r="Q1750" s="2">
        <f>P1750*12%</f>
        <v>9636</v>
      </c>
    </row>
    <row r="1751" spans="1:17" hidden="1" x14ac:dyDescent="0.4">
      <c r="A1751" s="4" t="s">
        <v>13</v>
      </c>
      <c r="B1751" s="4" t="s">
        <v>14</v>
      </c>
      <c r="C1751" s="30" t="s">
        <v>434</v>
      </c>
      <c r="D1751" s="4" t="s">
        <v>15</v>
      </c>
      <c r="E1751" s="4" t="s">
        <v>16</v>
      </c>
      <c r="F1751" s="4" t="s">
        <v>17</v>
      </c>
      <c r="G1751" s="4" t="s">
        <v>18</v>
      </c>
      <c r="H1751" s="4" t="s">
        <v>206</v>
      </c>
      <c r="I1751" s="5" t="str">
        <f t="shared" si="27"/>
        <v>2025-07</v>
      </c>
      <c r="J1751" s="4" t="s">
        <v>50</v>
      </c>
      <c r="K1751" s="5" t="s">
        <v>343</v>
      </c>
      <c r="L1751" s="2">
        <v>42000</v>
      </c>
      <c r="M1751" s="3">
        <v>15</v>
      </c>
      <c r="N1751" s="2">
        <v>630000</v>
      </c>
      <c r="O1751" s="2">
        <v>63000</v>
      </c>
      <c r="P1751" s="2">
        <v>693000</v>
      </c>
      <c r="Q1751" s="2">
        <f>P1751*12%</f>
        <v>83160</v>
      </c>
    </row>
    <row r="1752" spans="1:17" hidden="1" x14ac:dyDescent="0.4">
      <c r="A1752" s="4" t="s">
        <v>23</v>
      </c>
      <c r="B1752" s="4" t="s">
        <v>14</v>
      </c>
      <c r="C1752" s="31" t="s">
        <v>435</v>
      </c>
      <c r="D1752" s="4" t="s">
        <v>24</v>
      </c>
      <c r="E1752" s="4" t="s">
        <v>16</v>
      </c>
      <c r="F1752" s="4" t="s">
        <v>17</v>
      </c>
      <c r="G1752" s="4" t="s">
        <v>18</v>
      </c>
      <c r="H1752" s="4" t="s">
        <v>206</v>
      </c>
      <c r="I1752" s="5" t="str">
        <f t="shared" si="27"/>
        <v>2025-07</v>
      </c>
      <c r="J1752" s="4" t="s">
        <v>50</v>
      </c>
      <c r="K1752" s="5" t="s">
        <v>343</v>
      </c>
      <c r="L1752" s="2">
        <v>55500</v>
      </c>
      <c r="M1752" s="3">
        <v>5</v>
      </c>
      <c r="N1752" s="2">
        <v>277500</v>
      </c>
      <c r="O1752" s="2">
        <v>27750</v>
      </c>
      <c r="P1752" s="2">
        <v>305250</v>
      </c>
      <c r="Q1752" s="2">
        <f>P1752*12%</f>
        <v>36630</v>
      </c>
    </row>
    <row r="1753" spans="1:17" hidden="1" x14ac:dyDescent="0.4">
      <c r="A1753" s="4" t="s">
        <v>51</v>
      </c>
      <c r="B1753" s="4" t="s">
        <v>14</v>
      </c>
      <c r="C1753" s="30" t="s">
        <v>434</v>
      </c>
      <c r="D1753" s="4" t="s">
        <v>52</v>
      </c>
      <c r="E1753" s="4" t="s">
        <v>16</v>
      </c>
      <c r="F1753" s="4" t="s">
        <v>17</v>
      </c>
      <c r="G1753" s="4" t="s">
        <v>18</v>
      </c>
      <c r="H1753" s="4" t="s">
        <v>206</v>
      </c>
      <c r="I1753" s="5" t="str">
        <f t="shared" si="27"/>
        <v>2025-07</v>
      </c>
      <c r="J1753" s="4" t="s">
        <v>50</v>
      </c>
      <c r="K1753" s="5" t="s">
        <v>343</v>
      </c>
      <c r="L1753" s="2">
        <v>73000</v>
      </c>
      <c r="M1753" s="3">
        <v>2</v>
      </c>
      <c r="N1753" s="2">
        <v>146000</v>
      </c>
      <c r="O1753" s="2">
        <v>14600</v>
      </c>
      <c r="P1753" s="2">
        <v>160600</v>
      </c>
      <c r="Q1753" s="2">
        <f>P1753*12%</f>
        <v>19272</v>
      </c>
    </row>
    <row r="1754" spans="1:17" hidden="1" x14ac:dyDescent="0.4">
      <c r="A1754" s="4" t="s">
        <v>51</v>
      </c>
      <c r="B1754" s="4" t="s">
        <v>14</v>
      </c>
      <c r="C1754" s="30" t="s">
        <v>434</v>
      </c>
      <c r="D1754" s="4" t="s">
        <v>52</v>
      </c>
      <c r="E1754" s="4" t="s">
        <v>16</v>
      </c>
      <c r="F1754" s="4" t="s">
        <v>17</v>
      </c>
      <c r="G1754" s="4" t="s">
        <v>18</v>
      </c>
      <c r="H1754" s="4" t="s">
        <v>208</v>
      </c>
      <c r="I1754" s="5" t="str">
        <f t="shared" si="27"/>
        <v>2025-07</v>
      </c>
      <c r="J1754" s="4" t="s">
        <v>60</v>
      </c>
      <c r="K1754" s="5" t="s">
        <v>343</v>
      </c>
      <c r="L1754" s="2">
        <v>73000</v>
      </c>
      <c r="M1754" s="3">
        <v>1</v>
      </c>
      <c r="N1754" s="2">
        <v>73000</v>
      </c>
      <c r="O1754" s="2">
        <v>7300</v>
      </c>
      <c r="P1754" s="2">
        <v>80300</v>
      </c>
      <c r="Q1754" s="2">
        <f>P1754*12%</f>
        <v>9636</v>
      </c>
    </row>
    <row r="1755" spans="1:17" x14ac:dyDescent="0.4">
      <c r="A1755" s="4" t="s">
        <v>13</v>
      </c>
      <c r="B1755" s="4" t="s">
        <v>14</v>
      </c>
      <c r="C1755" s="30" t="s">
        <v>434</v>
      </c>
      <c r="D1755" s="4" t="s">
        <v>15</v>
      </c>
      <c r="E1755" s="4" t="s">
        <v>16</v>
      </c>
      <c r="F1755" s="4" t="s">
        <v>17</v>
      </c>
      <c r="G1755" s="4" t="s">
        <v>18</v>
      </c>
      <c r="H1755" s="4" t="s">
        <v>209</v>
      </c>
      <c r="I1755" s="5" t="str">
        <f t="shared" si="27"/>
        <v>2025-07</v>
      </c>
      <c r="J1755" s="4" t="s">
        <v>20</v>
      </c>
      <c r="K1755" s="5" t="s">
        <v>342</v>
      </c>
      <c r="L1755" s="2">
        <v>42000</v>
      </c>
      <c r="M1755" s="3">
        <v>3</v>
      </c>
      <c r="N1755" s="2">
        <v>126000</v>
      </c>
      <c r="O1755" s="2">
        <v>12600</v>
      </c>
      <c r="P1755" s="2">
        <v>138600</v>
      </c>
      <c r="Q1755" s="2">
        <f>P1755*8.5%</f>
        <v>11781</v>
      </c>
    </row>
    <row r="1756" spans="1:17" x14ac:dyDescent="0.4">
      <c r="A1756" s="4" t="s">
        <v>21</v>
      </c>
      <c r="B1756" s="4" t="s">
        <v>14</v>
      </c>
      <c r="C1756" s="31" t="s">
        <v>435</v>
      </c>
      <c r="D1756" s="4" t="s">
        <v>22</v>
      </c>
      <c r="E1756" s="4" t="s">
        <v>16</v>
      </c>
      <c r="F1756" s="4" t="s">
        <v>17</v>
      </c>
      <c r="G1756" s="4" t="s">
        <v>18</v>
      </c>
      <c r="H1756" s="4" t="s">
        <v>209</v>
      </c>
      <c r="I1756" s="5" t="str">
        <f t="shared" si="27"/>
        <v>2025-07</v>
      </c>
      <c r="J1756" s="4" t="s">
        <v>20</v>
      </c>
      <c r="K1756" s="5" t="s">
        <v>342</v>
      </c>
      <c r="L1756" s="2">
        <v>55500</v>
      </c>
      <c r="M1756" s="3">
        <v>2</v>
      </c>
      <c r="N1756" s="2">
        <v>111000</v>
      </c>
      <c r="O1756" s="2">
        <v>11100</v>
      </c>
      <c r="P1756" s="2">
        <v>122100</v>
      </c>
      <c r="Q1756" s="2">
        <f>P1756*8.5%</f>
        <v>10378.5</v>
      </c>
    </row>
    <row r="1757" spans="1:17" x14ac:dyDescent="0.4">
      <c r="A1757" s="4" t="s">
        <v>23</v>
      </c>
      <c r="B1757" s="4" t="s">
        <v>14</v>
      </c>
      <c r="C1757" s="31" t="s">
        <v>435</v>
      </c>
      <c r="D1757" s="4" t="s">
        <v>24</v>
      </c>
      <c r="E1757" s="4" t="s">
        <v>16</v>
      </c>
      <c r="F1757" s="4" t="s">
        <v>17</v>
      </c>
      <c r="G1757" s="4" t="s">
        <v>18</v>
      </c>
      <c r="H1757" s="4" t="s">
        <v>209</v>
      </c>
      <c r="I1757" s="5" t="str">
        <f t="shared" si="27"/>
        <v>2025-07</v>
      </c>
      <c r="J1757" s="4" t="s">
        <v>20</v>
      </c>
      <c r="K1757" s="5" t="s">
        <v>342</v>
      </c>
      <c r="L1757" s="2">
        <v>55500</v>
      </c>
      <c r="M1757" s="3">
        <v>2</v>
      </c>
      <c r="N1757" s="2">
        <v>111000</v>
      </c>
      <c r="O1757" s="2">
        <v>11100</v>
      </c>
      <c r="P1757" s="2">
        <v>122100</v>
      </c>
      <c r="Q1757" s="2">
        <f>P1757*8.5%</f>
        <v>10378.5</v>
      </c>
    </row>
    <row r="1758" spans="1:17" x14ac:dyDescent="0.4">
      <c r="A1758" s="4" t="s">
        <v>29</v>
      </c>
      <c r="B1758" s="4" t="s">
        <v>26</v>
      </c>
      <c r="C1758" s="32" t="s">
        <v>436</v>
      </c>
      <c r="D1758" s="4" t="s">
        <v>30</v>
      </c>
      <c r="E1758" s="4" t="s">
        <v>28</v>
      </c>
      <c r="F1758" s="4" t="s">
        <v>31</v>
      </c>
      <c r="G1758" s="4" t="s">
        <v>18</v>
      </c>
      <c r="H1758" s="4" t="s">
        <v>209</v>
      </c>
      <c r="I1758" s="5" t="str">
        <f t="shared" si="27"/>
        <v>2025-07</v>
      </c>
      <c r="J1758" s="4" t="s">
        <v>20</v>
      </c>
      <c r="K1758" s="5" t="s">
        <v>342</v>
      </c>
      <c r="L1758" s="2">
        <v>3719</v>
      </c>
      <c r="M1758" s="3">
        <v>1</v>
      </c>
      <c r="N1758" s="2">
        <v>3719</v>
      </c>
      <c r="O1758" s="2">
        <v>0</v>
      </c>
      <c r="P1758" s="2">
        <v>3719</v>
      </c>
      <c r="Q1758" s="2">
        <f>P1758*8.5%</f>
        <v>316.11500000000001</v>
      </c>
    </row>
    <row r="1759" spans="1:17" x14ac:dyDescent="0.4">
      <c r="A1759" s="4" t="s">
        <v>56</v>
      </c>
      <c r="B1759" s="4" t="s">
        <v>26</v>
      </c>
      <c r="C1759" s="32" t="s">
        <v>436</v>
      </c>
      <c r="D1759" s="4" t="s">
        <v>57</v>
      </c>
      <c r="E1759" s="4" t="s">
        <v>44</v>
      </c>
      <c r="F1759" s="4" t="s">
        <v>31</v>
      </c>
      <c r="G1759" s="4" t="s">
        <v>18</v>
      </c>
      <c r="H1759" s="4" t="s">
        <v>209</v>
      </c>
      <c r="I1759" s="5" t="str">
        <f t="shared" si="27"/>
        <v>2025-07</v>
      </c>
      <c r="J1759" s="4" t="s">
        <v>20</v>
      </c>
      <c r="K1759" s="5" t="s">
        <v>342</v>
      </c>
      <c r="L1759" s="2">
        <v>1925</v>
      </c>
      <c r="M1759" s="3">
        <v>25</v>
      </c>
      <c r="N1759" s="2">
        <v>48125</v>
      </c>
      <c r="O1759" s="2">
        <v>0</v>
      </c>
      <c r="P1759" s="2">
        <v>48125</v>
      </c>
      <c r="Q1759" s="2">
        <f>P1759*8.5%</f>
        <v>4090.6250000000005</v>
      </c>
    </row>
    <row r="1760" spans="1:17" hidden="1" x14ac:dyDescent="0.4">
      <c r="A1760" s="4" t="s">
        <v>32</v>
      </c>
      <c r="B1760" s="4" t="s">
        <v>14</v>
      </c>
      <c r="C1760" s="31" t="s">
        <v>435</v>
      </c>
      <c r="D1760" s="4" t="s">
        <v>33</v>
      </c>
      <c r="E1760" s="4" t="s">
        <v>16</v>
      </c>
      <c r="F1760" s="4" t="s">
        <v>17</v>
      </c>
      <c r="G1760" s="4" t="s">
        <v>18</v>
      </c>
      <c r="H1760" s="4" t="s">
        <v>209</v>
      </c>
      <c r="I1760" s="5" t="str">
        <f t="shared" si="27"/>
        <v>2025-07</v>
      </c>
      <c r="J1760" s="4" t="s">
        <v>118</v>
      </c>
      <c r="K1760" s="5" t="s">
        <v>342</v>
      </c>
      <c r="L1760" s="2">
        <v>44000</v>
      </c>
      <c r="M1760" s="3">
        <v>1</v>
      </c>
      <c r="N1760" s="2">
        <v>44000</v>
      </c>
      <c r="O1760" s="2">
        <v>4400</v>
      </c>
      <c r="P1760" s="2">
        <v>48400</v>
      </c>
      <c r="Q1760" s="2">
        <f>P1760*8.5%</f>
        <v>4114</v>
      </c>
    </row>
    <row r="1761" spans="1:17" hidden="1" x14ac:dyDescent="0.4">
      <c r="A1761" s="4" t="s">
        <v>23</v>
      </c>
      <c r="B1761" s="4" t="s">
        <v>14</v>
      </c>
      <c r="C1761" s="31" t="s">
        <v>435</v>
      </c>
      <c r="D1761" s="4" t="s">
        <v>24</v>
      </c>
      <c r="E1761" s="4" t="s">
        <v>16</v>
      </c>
      <c r="F1761" s="4" t="s">
        <v>17</v>
      </c>
      <c r="G1761" s="4" t="s">
        <v>18</v>
      </c>
      <c r="H1761" s="4" t="s">
        <v>209</v>
      </c>
      <c r="I1761" s="5" t="str">
        <f t="shared" si="27"/>
        <v>2025-07</v>
      </c>
      <c r="J1761" s="4" t="s">
        <v>118</v>
      </c>
      <c r="K1761" s="5" t="s">
        <v>342</v>
      </c>
      <c r="L1761" s="2">
        <v>55500</v>
      </c>
      <c r="M1761" s="3">
        <v>1</v>
      </c>
      <c r="N1761" s="2">
        <v>55500</v>
      </c>
      <c r="O1761" s="2">
        <v>5550</v>
      </c>
      <c r="P1761" s="2">
        <v>61050</v>
      </c>
      <c r="Q1761" s="2">
        <f>P1761*8.5%</f>
        <v>5189.25</v>
      </c>
    </row>
    <row r="1762" spans="1:17" hidden="1" x14ac:dyDescent="0.4">
      <c r="A1762" s="4" t="s">
        <v>51</v>
      </c>
      <c r="B1762" s="4" t="s">
        <v>14</v>
      </c>
      <c r="C1762" s="30" t="s">
        <v>434</v>
      </c>
      <c r="D1762" s="4" t="s">
        <v>52</v>
      </c>
      <c r="E1762" s="4" t="s">
        <v>16</v>
      </c>
      <c r="F1762" s="4" t="s">
        <v>17</v>
      </c>
      <c r="G1762" s="4" t="s">
        <v>18</v>
      </c>
      <c r="H1762" s="4" t="s">
        <v>209</v>
      </c>
      <c r="I1762" s="5" t="str">
        <f t="shared" si="27"/>
        <v>2025-07</v>
      </c>
      <c r="J1762" s="4" t="s">
        <v>118</v>
      </c>
      <c r="K1762" s="5" t="s">
        <v>342</v>
      </c>
      <c r="L1762" s="2">
        <v>73000</v>
      </c>
      <c r="M1762" s="3">
        <v>1</v>
      </c>
      <c r="N1762" s="2">
        <v>73000</v>
      </c>
      <c r="O1762" s="2">
        <v>7300</v>
      </c>
      <c r="P1762" s="2">
        <v>80300</v>
      </c>
      <c r="Q1762" s="2">
        <f>P1762*8.5%</f>
        <v>6825.5000000000009</v>
      </c>
    </row>
    <row r="1763" spans="1:17" hidden="1" x14ac:dyDescent="0.4">
      <c r="A1763" s="4" t="s">
        <v>64</v>
      </c>
      <c r="B1763" s="4" t="s">
        <v>65</v>
      </c>
      <c r="C1763" s="32" t="s">
        <v>436</v>
      </c>
      <c r="D1763" s="4" t="s">
        <v>66</v>
      </c>
      <c r="E1763" s="4" t="s">
        <v>16</v>
      </c>
      <c r="F1763" s="4" t="s">
        <v>17</v>
      </c>
      <c r="G1763" s="4" t="s">
        <v>18</v>
      </c>
      <c r="H1763" s="4" t="s">
        <v>209</v>
      </c>
      <c r="I1763" s="5" t="str">
        <f t="shared" si="27"/>
        <v>2025-07</v>
      </c>
      <c r="J1763" s="4" t="s">
        <v>34</v>
      </c>
      <c r="K1763" s="5" t="s">
        <v>342</v>
      </c>
      <c r="L1763" s="2">
        <v>10283</v>
      </c>
      <c r="M1763" s="3">
        <v>1</v>
      </c>
      <c r="N1763" s="2">
        <v>10283</v>
      </c>
      <c r="O1763" s="2">
        <v>1028</v>
      </c>
      <c r="P1763" s="2">
        <v>11311</v>
      </c>
      <c r="Q1763" s="2">
        <f>P1763*8.5%</f>
        <v>961.43500000000006</v>
      </c>
    </row>
    <row r="1764" spans="1:17" hidden="1" x14ac:dyDescent="0.4">
      <c r="A1764" s="4" t="s">
        <v>58</v>
      </c>
      <c r="B1764" s="4" t="s">
        <v>14</v>
      </c>
      <c r="C1764" s="30" t="s">
        <v>434</v>
      </c>
      <c r="D1764" s="4" t="s">
        <v>36</v>
      </c>
      <c r="E1764" s="4" t="s">
        <v>16</v>
      </c>
      <c r="F1764" s="4" t="s">
        <v>17</v>
      </c>
      <c r="G1764" s="4" t="s">
        <v>18</v>
      </c>
      <c r="H1764" s="4" t="s">
        <v>209</v>
      </c>
      <c r="I1764" s="5" t="str">
        <f t="shared" si="27"/>
        <v>2025-07</v>
      </c>
      <c r="J1764" s="4" t="s">
        <v>34</v>
      </c>
      <c r="K1764" s="5" t="s">
        <v>342</v>
      </c>
      <c r="L1764" s="2">
        <v>120880</v>
      </c>
      <c r="M1764" s="3">
        <v>1</v>
      </c>
      <c r="N1764" s="2">
        <v>120880</v>
      </c>
      <c r="O1764" s="2">
        <v>12088</v>
      </c>
      <c r="P1764" s="2">
        <v>132968</v>
      </c>
      <c r="Q1764" s="2">
        <f>P1764*8.5%</f>
        <v>11302.28</v>
      </c>
    </row>
    <row r="1765" spans="1:17" hidden="1" x14ac:dyDescent="0.4">
      <c r="A1765" s="4" t="s">
        <v>13</v>
      </c>
      <c r="B1765" s="4" t="s">
        <v>14</v>
      </c>
      <c r="C1765" s="30" t="s">
        <v>434</v>
      </c>
      <c r="D1765" s="4" t="s">
        <v>15</v>
      </c>
      <c r="E1765" s="4" t="s">
        <v>16</v>
      </c>
      <c r="F1765" s="4" t="s">
        <v>17</v>
      </c>
      <c r="G1765" s="4" t="s">
        <v>18</v>
      </c>
      <c r="H1765" s="4" t="s">
        <v>209</v>
      </c>
      <c r="I1765" s="5" t="str">
        <f t="shared" si="27"/>
        <v>2025-07</v>
      </c>
      <c r="J1765" s="4" t="s">
        <v>34</v>
      </c>
      <c r="K1765" s="5" t="s">
        <v>342</v>
      </c>
      <c r="L1765" s="2">
        <v>42000</v>
      </c>
      <c r="M1765" s="3">
        <v>8</v>
      </c>
      <c r="N1765" s="2">
        <v>336000</v>
      </c>
      <c r="O1765" s="2">
        <v>33600</v>
      </c>
      <c r="P1765" s="2">
        <v>369600</v>
      </c>
      <c r="Q1765" s="2">
        <f>P1765*8.5%</f>
        <v>31416.000000000004</v>
      </c>
    </row>
    <row r="1766" spans="1:17" hidden="1" x14ac:dyDescent="0.4">
      <c r="A1766" s="4" t="s">
        <v>21</v>
      </c>
      <c r="B1766" s="4" t="s">
        <v>14</v>
      </c>
      <c r="C1766" s="31" t="s">
        <v>435</v>
      </c>
      <c r="D1766" s="4" t="s">
        <v>22</v>
      </c>
      <c r="E1766" s="4" t="s">
        <v>16</v>
      </c>
      <c r="F1766" s="4" t="s">
        <v>17</v>
      </c>
      <c r="G1766" s="4" t="s">
        <v>18</v>
      </c>
      <c r="H1766" s="4" t="s">
        <v>209</v>
      </c>
      <c r="I1766" s="5" t="str">
        <f t="shared" si="27"/>
        <v>2025-07</v>
      </c>
      <c r="J1766" s="4" t="s">
        <v>34</v>
      </c>
      <c r="K1766" s="5" t="s">
        <v>342</v>
      </c>
      <c r="L1766" s="2">
        <v>55500</v>
      </c>
      <c r="M1766" s="3">
        <v>1</v>
      </c>
      <c r="N1766" s="2">
        <v>55500</v>
      </c>
      <c r="O1766" s="2">
        <v>5550</v>
      </c>
      <c r="P1766" s="2">
        <v>61050</v>
      </c>
      <c r="Q1766" s="2">
        <f>P1766*8.5%</f>
        <v>5189.25</v>
      </c>
    </row>
    <row r="1767" spans="1:17" hidden="1" x14ac:dyDescent="0.4">
      <c r="A1767" s="4" t="s">
        <v>35</v>
      </c>
      <c r="B1767" s="4" t="s">
        <v>14</v>
      </c>
      <c r="C1767" s="30" t="s">
        <v>434</v>
      </c>
      <c r="D1767" s="4" t="s">
        <v>36</v>
      </c>
      <c r="E1767" s="4" t="s">
        <v>16</v>
      </c>
      <c r="F1767" s="4" t="s">
        <v>17</v>
      </c>
      <c r="G1767" s="4" t="s">
        <v>18</v>
      </c>
      <c r="H1767" s="4" t="s">
        <v>209</v>
      </c>
      <c r="I1767" s="5" t="str">
        <f t="shared" si="27"/>
        <v>2025-07</v>
      </c>
      <c r="J1767" s="4" t="s">
        <v>34</v>
      </c>
      <c r="K1767" s="5" t="s">
        <v>342</v>
      </c>
      <c r="L1767" s="2">
        <v>116220</v>
      </c>
      <c r="M1767" s="3">
        <v>0</v>
      </c>
      <c r="N1767" s="2">
        <v>0</v>
      </c>
      <c r="O1767" s="2">
        <v>0</v>
      </c>
      <c r="P1767" s="2">
        <v>0</v>
      </c>
      <c r="Q1767" s="2">
        <f>P1767*8.5%</f>
        <v>0</v>
      </c>
    </row>
    <row r="1768" spans="1:17" hidden="1" x14ac:dyDescent="0.4">
      <c r="A1768" s="4" t="s">
        <v>23</v>
      </c>
      <c r="B1768" s="4" t="s">
        <v>14</v>
      </c>
      <c r="C1768" s="31" t="s">
        <v>435</v>
      </c>
      <c r="D1768" s="4" t="s">
        <v>24</v>
      </c>
      <c r="E1768" s="4" t="s">
        <v>16</v>
      </c>
      <c r="F1768" s="4" t="s">
        <v>17</v>
      </c>
      <c r="G1768" s="4" t="s">
        <v>18</v>
      </c>
      <c r="H1768" s="4" t="s">
        <v>209</v>
      </c>
      <c r="I1768" s="5" t="str">
        <f t="shared" si="27"/>
        <v>2025-07</v>
      </c>
      <c r="J1768" s="4" t="s">
        <v>34</v>
      </c>
      <c r="K1768" s="5" t="s">
        <v>342</v>
      </c>
      <c r="L1768" s="2">
        <v>55500</v>
      </c>
      <c r="M1768" s="3">
        <v>4</v>
      </c>
      <c r="N1768" s="2">
        <v>222000</v>
      </c>
      <c r="O1768" s="2">
        <v>22200</v>
      </c>
      <c r="P1768" s="2">
        <v>244200</v>
      </c>
      <c r="Q1768" s="2">
        <f>P1768*8.5%</f>
        <v>20757</v>
      </c>
    </row>
    <row r="1769" spans="1:17" hidden="1" x14ac:dyDescent="0.4">
      <c r="A1769" s="4" t="s">
        <v>51</v>
      </c>
      <c r="B1769" s="4" t="s">
        <v>14</v>
      </c>
      <c r="C1769" s="30" t="s">
        <v>434</v>
      </c>
      <c r="D1769" s="4" t="s">
        <v>52</v>
      </c>
      <c r="E1769" s="4" t="s">
        <v>16</v>
      </c>
      <c r="F1769" s="4" t="s">
        <v>17</v>
      </c>
      <c r="G1769" s="4" t="s">
        <v>18</v>
      </c>
      <c r="H1769" s="4" t="s">
        <v>209</v>
      </c>
      <c r="I1769" s="5" t="str">
        <f t="shared" si="27"/>
        <v>2025-07</v>
      </c>
      <c r="J1769" s="4" t="s">
        <v>34</v>
      </c>
      <c r="K1769" s="5" t="s">
        <v>342</v>
      </c>
      <c r="L1769" s="2">
        <v>73000</v>
      </c>
      <c r="M1769" s="3">
        <v>1</v>
      </c>
      <c r="N1769" s="2">
        <v>73000</v>
      </c>
      <c r="O1769" s="2">
        <v>7300</v>
      </c>
      <c r="P1769" s="2">
        <v>80300</v>
      </c>
      <c r="Q1769" s="2">
        <f>P1769*8.5%</f>
        <v>6825.5000000000009</v>
      </c>
    </row>
    <row r="1770" spans="1:17" hidden="1" x14ac:dyDescent="0.4">
      <c r="A1770" s="4" t="s">
        <v>84</v>
      </c>
      <c r="B1770" s="4" t="s">
        <v>26</v>
      </c>
      <c r="C1770" s="32" t="s">
        <v>436</v>
      </c>
      <c r="D1770" s="4" t="s">
        <v>85</v>
      </c>
      <c r="E1770" s="4" t="s">
        <v>28</v>
      </c>
      <c r="F1770" s="4" t="s">
        <v>17</v>
      </c>
      <c r="G1770" s="4" t="s">
        <v>18</v>
      </c>
      <c r="H1770" s="4" t="s">
        <v>209</v>
      </c>
      <c r="I1770" s="5" t="str">
        <f t="shared" si="27"/>
        <v>2025-07</v>
      </c>
      <c r="J1770" s="4" t="s">
        <v>34</v>
      </c>
      <c r="K1770" s="5" t="s">
        <v>342</v>
      </c>
      <c r="L1770" s="2">
        <v>5032</v>
      </c>
      <c r="M1770" s="3">
        <v>1</v>
      </c>
      <c r="N1770" s="2">
        <v>5032</v>
      </c>
      <c r="O1770" s="2">
        <v>503</v>
      </c>
      <c r="P1770" s="2">
        <v>5535</v>
      </c>
      <c r="Q1770" s="2">
        <f>P1770*8.5%</f>
        <v>470.47500000000002</v>
      </c>
    </row>
    <row r="1771" spans="1:17" hidden="1" x14ac:dyDescent="0.4">
      <c r="A1771" s="4" t="s">
        <v>42</v>
      </c>
      <c r="B1771" s="4" t="s">
        <v>14</v>
      </c>
      <c r="C1771" s="30" t="s">
        <v>434</v>
      </c>
      <c r="D1771" s="4" t="s">
        <v>43</v>
      </c>
      <c r="E1771" s="4" t="s">
        <v>44</v>
      </c>
      <c r="F1771" s="4" t="s">
        <v>31</v>
      </c>
      <c r="G1771" s="4" t="s">
        <v>18</v>
      </c>
      <c r="H1771" s="4" t="s">
        <v>209</v>
      </c>
      <c r="I1771" s="5" t="str">
        <f t="shared" si="27"/>
        <v>2025-07</v>
      </c>
      <c r="J1771" s="4" t="s">
        <v>34</v>
      </c>
      <c r="K1771" s="5" t="s">
        <v>342</v>
      </c>
      <c r="L1771" s="2">
        <v>7300</v>
      </c>
      <c r="M1771" s="3">
        <v>95.3</v>
      </c>
      <c r="N1771" s="2">
        <v>695690</v>
      </c>
      <c r="O1771" s="2">
        <v>0</v>
      </c>
      <c r="P1771" s="2">
        <v>695690</v>
      </c>
      <c r="Q1771" s="2">
        <f>P1771*8.5%</f>
        <v>59133.65</v>
      </c>
    </row>
    <row r="1772" spans="1:17" hidden="1" x14ac:dyDescent="0.4">
      <c r="A1772" s="4" t="s">
        <v>32</v>
      </c>
      <c r="B1772" s="4" t="s">
        <v>14</v>
      </c>
      <c r="C1772" s="31" t="s">
        <v>435</v>
      </c>
      <c r="D1772" s="4" t="s">
        <v>33</v>
      </c>
      <c r="E1772" s="4" t="s">
        <v>16</v>
      </c>
      <c r="F1772" s="4" t="s">
        <v>17</v>
      </c>
      <c r="G1772" s="4" t="s">
        <v>18</v>
      </c>
      <c r="H1772" s="4" t="s">
        <v>209</v>
      </c>
      <c r="I1772" s="5" t="str">
        <f t="shared" si="27"/>
        <v>2025-07</v>
      </c>
      <c r="J1772" s="4" t="s">
        <v>49</v>
      </c>
      <c r="K1772" s="5" t="s">
        <v>343</v>
      </c>
      <c r="L1772" s="2">
        <v>44000</v>
      </c>
      <c r="M1772" s="3">
        <v>2</v>
      </c>
      <c r="N1772" s="2">
        <v>88000</v>
      </c>
      <c r="O1772" s="2">
        <v>8800</v>
      </c>
      <c r="P1772" s="2">
        <v>96800</v>
      </c>
      <c r="Q1772" s="2">
        <f>P1772*12%</f>
        <v>11616</v>
      </c>
    </row>
    <row r="1773" spans="1:17" hidden="1" x14ac:dyDescent="0.4">
      <c r="A1773" s="4" t="s">
        <v>35</v>
      </c>
      <c r="B1773" s="4" t="s">
        <v>14</v>
      </c>
      <c r="C1773" s="30" t="s">
        <v>434</v>
      </c>
      <c r="D1773" s="4" t="s">
        <v>36</v>
      </c>
      <c r="E1773" s="4" t="s">
        <v>16</v>
      </c>
      <c r="F1773" s="4" t="s">
        <v>17</v>
      </c>
      <c r="G1773" s="4" t="s">
        <v>18</v>
      </c>
      <c r="H1773" s="4" t="s">
        <v>209</v>
      </c>
      <c r="I1773" s="5" t="str">
        <f t="shared" si="27"/>
        <v>2025-07</v>
      </c>
      <c r="J1773" s="4" t="s">
        <v>49</v>
      </c>
      <c r="K1773" s="5" t="s">
        <v>343</v>
      </c>
      <c r="L1773" s="2">
        <v>116220</v>
      </c>
      <c r="M1773" s="3">
        <v>0</v>
      </c>
      <c r="N1773" s="2">
        <v>0</v>
      </c>
      <c r="O1773" s="2">
        <v>0</v>
      </c>
      <c r="P1773" s="2">
        <v>0</v>
      </c>
      <c r="Q1773" s="2">
        <f>P1773*12%</f>
        <v>0</v>
      </c>
    </row>
    <row r="1774" spans="1:17" hidden="1" x14ac:dyDescent="0.4">
      <c r="A1774" s="4" t="s">
        <v>23</v>
      </c>
      <c r="B1774" s="4" t="s">
        <v>14</v>
      </c>
      <c r="C1774" s="31" t="s">
        <v>435</v>
      </c>
      <c r="D1774" s="4" t="s">
        <v>24</v>
      </c>
      <c r="E1774" s="4" t="s">
        <v>16</v>
      </c>
      <c r="F1774" s="4" t="s">
        <v>17</v>
      </c>
      <c r="G1774" s="4" t="s">
        <v>18</v>
      </c>
      <c r="H1774" s="4" t="s">
        <v>209</v>
      </c>
      <c r="I1774" s="5" t="str">
        <f t="shared" si="27"/>
        <v>2025-07</v>
      </c>
      <c r="J1774" s="4" t="s">
        <v>49</v>
      </c>
      <c r="K1774" s="5" t="s">
        <v>343</v>
      </c>
      <c r="L1774" s="2">
        <v>55500</v>
      </c>
      <c r="M1774" s="3">
        <v>2</v>
      </c>
      <c r="N1774" s="2">
        <v>111000</v>
      </c>
      <c r="O1774" s="2">
        <v>11100</v>
      </c>
      <c r="P1774" s="2">
        <v>122100</v>
      </c>
      <c r="Q1774" s="2">
        <f>P1774*12%</f>
        <v>14652</v>
      </c>
    </row>
    <row r="1775" spans="1:17" hidden="1" x14ac:dyDescent="0.4">
      <c r="A1775" s="4" t="s">
        <v>51</v>
      </c>
      <c r="B1775" s="4" t="s">
        <v>14</v>
      </c>
      <c r="C1775" s="30" t="s">
        <v>434</v>
      </c>
      <c r="D1775" s="4" t="s">
        <v>52</v>
      </c>
      <c r="E1775" s="4" t="s">
        <v>16</v>
      </c>
      <c r="F1775" s="4" t="s">
        <v>17</v>
      </c>
      <c r="G1775" s="4" t="s">
        <v>18</v>
      </c>
      <c r="H1775" s="4" t="s">
        <v>209</v>
      </c>
      <c r="I1775" s="5" t="str">
        <f t="shared" si="27"/>
        <v>2025-07</v>
      </c>
      <c r="J1775" s="4" t="s">
        <v>49</v>
      </c>
      <c r="K1775" s="5" t="s">
        <v>343</v>
      </c>
      <c r="L1775" s="2">
        <v>73000</v>
      </c>
      <c r="M1775" s="3">
        <v>1</v>
      </c>
      <c r="N1775" s="2">
        <v>73000</v>
      </c>
      <c r="O1775" s="2">
        <v>7300</v>
      </c>
      <c r="P1775" s="2">
        <v>80300</v>
      </c>
      <c r="Q1775" s="2">
        <f>P1775*12%</f>
        <v>9636</v>
      </c>
    </row>
    <row r="1776" spans="1:17" hidden="1" x14ac:dyDescent="0.4">
      <c r="A1776" s="4" t="s">
        <v>13</v>
      </c>
      <c r="B1776" s="4" t="s">
        <v>14</v>
      </c>
      <c r="C1776" s="30" t="s">
        <v>434</v>
      </c>
      <c r="D1776" s="4" t="s">
        <v>15</v>
      </c>
      <c r="E1776" s="4" t="s">
        <v>16</v>
      </c>
      <c r="F1776" s="4" t="s">
        <v>17</v>
      </c>
      <c r="G1776" s="4" t="s">
        <v>18</v>
      </c>
      <c r="H1776" s="4" t="s">
        <v>209</v>
      </c>
      <c r="I1776" s="5" t="str">
        <f t="shared" si="27"/>
        <v>2025-07</v>
      </c>
      <c r="J1776" s="4" t="s">
        <v>159</v>
      </c>
      <c r="K1776" s="5" t="s">
        <v>342</v>
      </c>
      <c r="L1776" s="2">
        <v>42000</v>
      </c>
      <c r="M1776" s="3">
        <v>1</v>
      </c>
      <c r="N1776" s="2">
        <v>42000</v>
      </c>
      <c r="O1776" s="2">
        <v>4200</v>
      </c>
      <c r="P1776" s="2">
        <v>46200</v>
      </c>
      <c r="Q1776" s="2">
        <f>P1776*8.5%</f>
        <v>3927.0000000000005</v>
      </c>
    </row>
    <row r="1777" spans="1:17" hidden="1" x14ac:dyDescent="0.4">
      <c r="A1777" s="4" t="s">
        <v>23</v>
      </c>
      <c r="B1777" s="4" t="s">
        <v>14</v>
      </c>
      <c r="C1777" s="31" t="s">
        <v>435</v>
      </c>
      <c r="D1777" s="4" t="s">
        <v>24</v>
      </c>
      <c r="E1777" s="4" t="s">
        <v>16</v>
      </c>
      <c r="F1777" s="4" t="s">
        <v>17</v>
      </c>
      <c r="G1777" s="4" t="s">
        <v>18</v>
      </c>
      <c r="H1777" s="4" t="s">
        <v>209</v>
      </c>
      <c r="I1777" s="5" t="str">
        <f t="shared" si="27"/>
        <v>2025-07</v>
      </c>
      <c r="J1777" s="4" t="s">
        <v>159</v>
      </c>
      <c r="K1777" s="5" t="s">
        <v>342</v>
      </c>
      <c r="L1777" s="2">
        <v>55500</v>
      </c>
      <c r="M1777" s="3">
        <v>2</v>
      </c>
      <c r="N1777" s="2">
        <v>111000</v>
      </c>
      <c r="O1777" s="2">
        <v>11100</v>
      </c>
      <c r="P1777" s="2">
        <v>122100</v>
      </c>
      <c r="Q1777" s="2">
        <f>P1777*8.5%</f>
        <v>10378.5</v>
      </c>
    </row>
    <row r="1778" spans="1:17" hidden="1" x14ac:dyDescent="0.4">
      <c r="A1778" s="4" t="s">
        <v>35</v>
      </c>
      <c r="B1778" s="4" t="s">
        <v>14</v>
      </c>
      <c r="C1778" s="30" t="s">
        <v>434</v>
      </c>
      <c r="D1778" s="4" t="s">
        <v>36</v>
      </c>
      <c r="E1778" s="4" t="s">
        <v>16</v>
      </c>
      <c r="F1778" s="4" t="s">
        <v>17</v>
      </c>
      <c r="G1778" s="4" t="s">
        <v>18</v>
      </c>
      <c r="H1778" s="4" t="s">
        <v>210</v>
      </c>
      <c r="I1778" s="5" t="str">
        <f t="shared" si="27"/>
        <v>2025-07</v>
      </c>
      <c r="J1778" s="4" t="s">
        <v>34</v>
      </c>
      <c r="K1778" s="5" t="s">
        <v>342</v>
      </c>
      <c r="L1778" s="2">
        <v>116220</v>
      </c>
      <c r="M1778" s="3">
        <v>1</v>
      </c>
      <c r="N1778" s="2">
        <v>116220</v>
      </c>
      <c r="O1778" s="2">
        <v>11622</v>
      </c>
      <c r="P1778" s="2">
        <v>127842</v>
      </c>
      <c r="Q1778" s="2">
        <f>P1778*8.5%</f>
        <v>10866.570000000002</v>
      </c>
    </row>
    <row r="1779" spans="1:17" hidden="1" x14ac:dyDescent="0.4">
      <c r="A1779" s="4" t="s">
        <v>51</v>
      </c>
      <c r="B1779" s="4" t="s">
        <v>14</v>
      </c>
      <c r="C1779" s="30" t="s">
        <v>434</v>
      </c>
      <c r="D1779" s="4" t="s">
        <v>52</v>
      </c>
      <c r="E1779" s="4" t="s">
        <v>16</v>
      </c>
      <c r="F1779" s="4" t="s">
        <v>17</v>
      </c>
      <c r="G1779" s="4" t="s">
        <v>18</v>
      </c>
      <c r="H1779" s="4" t="s">
        <v>210</v>
      </c>
      <c r="I1779" s="5" t="str">
        <f t="shared" si="27"/>
        <v>2025-07</v>
      </c>
      <c r="J1779" s="4" t="s">
        <v>34</v>
      </c>
      <c r="K1779" s="5" t="s">
        <v>342</v>
      </c>
      <c r="L1779" s="2">
        <v>73000</v>
      </c>
      <c r="M1779" s="3">
        <v>2</v>
      </c>
      <c r="N1779" s="2">
        <v>146000</v>
      </c>
      <c r="O1779" s="2">
        <v>14600</v>
      </c>
      <c r="P1779" s="2">
        <v>160600</v>
      </c>
      <c r="Q1779" s="2">
        <f>P1779*8.5%</f>
        <v>13651.000000000002</v>
      </c>
    </row>
    <row r="1780" spans="1:17" hidden="1" x14ac:dyDescent="0.4">
      <c r="A1780" s="4" t="s">
        <v>93</v>
      </c>
      <c r="B1780" s="4" t="s">
        <v>26</v>
      </c>
      <c r="C1780" s="32" t="s">
        <v>436</v>
      </c>
      <c r="D1780" s="4" t="s">
        <v>94</v>
      </c>
      <c r="E1780" s="4" t="s">
        <v>47</v>
      </c>
      <c r="F1780" s="4" t="s">
        <v>17</v>
      </c>
      <c r="G1780" s="4" t="s">
        <v>18</v>
      </c>
      <c r="H1780" s="4" t="s">
        <v>210</v>
      </c>
      <c r="I1780" s="5" t="str">
        <f t="shared" si="27"/>
        <v>2025-07</v>
      </c>
      <c r="J1780" s="4" t="s">
        <v>34</v>
      </c>
      <c r="K1780" s="5" t="s">
        <v>342</v>
      </c>
      <c r="L1780" s="2">
        <v>5261</v>
      </c>
      <c r="M1780" s="3">
        <v>2</v>
      </c>
      <c r="N1780" s="2">
        <v>10522</v>
      </c>
      <c r="O1780" s="2">
        <v>1052</v>
      </c>
      <c r="P1780" s="2">
        <v>11574</v>
      </c>
      <c r="Q1780" s="2">
        <f>P1780*8.5%</f>
        <v>983.79000000000008</v>
      </c>
    </row>
    <row r="1781" spans="1:17" x14ac:dyDescent="0.4">
      <c r="A1781" s="4" t="s">
        <v>58</v>
      </c>
      <c r="B1781" s="4" t="s">
        <v>14</v>
      </c>
      <c r="C1781" s="30" t="s">
        <v>434</v>
      </c>
      <c r="D1781" s="4" t="s">
        <v>36</v>
      </c>
      <c r="E1781" s="4" t="s">
        <v>16</v>
      </c>
      <c r="F1781" s="4" t="s">
        <v>17</v>
      </c>
      <c r="G1781" s="4" t="s">
        <v>18</v>
      </c>
      <c r="H1781" s="4" t="s">
        <v>211</v>
      </c>
      <c r="I1781" s="5" t="str">
        <f t="shared" si="27"/>
        <v>2025-07</v>
      </c>
      <c r="J1781" s="4" t="s">
        <v>20</v>
      </c>
      <c r="K1781" s="5" t="s">
        <v>342</v>
      </c>
      <c r="L1781" s="2">
        <v>120880</v>
      </c>
      <c r="M1781" s="3">
        <v>1</v>
      </c>
      <c r="N1781" s="2">
        <v>120880</v>
      </c>
      <c r="O1781" s="2">
        <v>12088</v>
      </c>
      <c r="P1781" s="2">
        <v>132968</v>
      </c>
      <c r="Q1781" s="2">
        <f>P1781*8.5%</f>
        <v>11302.28</v>
      </c>
    </row>
    <row r="1782" spans="1:17" x14ac:dyDescent="0.4">
      <c r="A1782" s="4" t="s">
        <v>13</v>
      </c>
      <c r="B1782" s="4" t="s">
        <v>14</v>
      </c>
      <c r="C1782" s="30" t="s">
        <v>434</v>
      </c>
      <c r="D1782" s="4" t="s">
        <v>15</v>
      </c>
      <c r="E1782" s="4" t="s">
        <v>16</v>
      </c>
      <c r="F1782" s="4" t="s">
        <v>17</v>
      </c>
      <c r="G1782" s="4" t="s">
        <v>18</v>
      </c>
      <c r="H1782" s="4" t="s">
        <v>211</v>
      </c>
      <c r="I1782" s="5" t="str">
        <f t="shared" si="27"/>
        <v>2025-07</v>
      </c>
      <c r="J1782" s="4" t="s">
        <v>20</v>
      </c>
      <c r="K1782" s="5" t="s">
        <v>342</v>
      </c>
      <c r="L1782" s="2">
        <v>42000</v>
      </c>
      <c r="M1782" s="3">
        <v>3</v>
      </c>
      <c r="N1782" s="2">
        <v>126000</v>
      </c>
      <c r="O1782" s="2">
        <v>12600</v>
      </c>
      <c r="P1782" s="2">
        <v>138600</v>
      </c>
      <c r="Q1782" s="2">
        <f>P1782*8.5%</f>
        <v>11781</v>
      </c>
    </row>
    <row r="1783" spans="1:17" x14ac:dyDescent="0.4">
      <c r="A1783" s="4" t="s">
        <v>21</v>
      </c>
      <c r="B1783" s="4" t="s">
        <v>14</v>
      </c>
      <c r="C1783" s="31" t="s">
        <v>435</v>
      </c>
      <c r="D1783" s="4" t="s">
        <v>22</v>
      </c>
      <c r="E1783" s="4" t="s">
        <v>16</v>
      </c>
      <c r="F1783" s="4" t="s">
        <v>17</v>
      </c>
      <c r="G1783" s="4" t="s">
        <v>18</v>
      </c>
      <c r="H1783" s="4" t="s">
        <v>211</v>
      </c>
      <c r="I1783" s="5" t="str">
        <f t="shared" si="27"/>
        <v>2025-07</v>
      </c>
      <c r="J1783" s="4" t="s">
        <v>20</v>
      </c>
      <c r="K1783" s="5" t="s">
        <v>342</v>
      </c>
      <c r="L1783" s="2">
        <v>55500</v>
      </c>
      <c r="M1783" s="3">
        <v>1</v>
      </c>
      <c r="N1783" s="2">
        <v>55500</v>
      </c>
      <c r="O1783" s="2">
        <v>5550</v>
      </c>
      <c r="P1783" s="2">
        <v>61050</v>
      </c>
      <c r="Q1783" s="2">
        <f>P1783*8.5%</f>
        <v>5189.25</v>
      </c>
    </row>
    <row r="1784" spans="1:17" x14ac:dyDescent="0.4">
      <c r="A1784" s="4" t="s">
        <v>23</v>
      </c>
      <c r="B1784" s="4" t="s">
        <v>14</v>
      </c>
      <c r="C1784" s="31" t="s">
        <v>435</v>
      </c>
      <c r="D1784" s="4" t="s">
        <v>24</v>
      </c>
      <c r="E1784" s="4" t="s">
        <v>16</v>
      </c>
      <c r="F1784" s="4" t="s">
        <v>17</v>
      </c>
      <c r="G1784" s="4" t="s">
        <v>18</v>
      </c>
      <c r="H1784" s="4" t="s">
        <v>211</v>
      </c>
      <c r="I1784" s="5" t="str">
        <f t="shared" si="27"/>
        <v>2025-07</v>
      </c>
      <c r="J1784" s="4" t="s">
        <v>20</v>
      </c>
      <c r="K1784" s="5" t="s">
        <v>342</v>
      </c>
      <c r="L1784" s="2">
        <v>55500</v>
      </c>
      <c r="M1784" s="3">
        <v>3</v>
      </c>
      <c r="N1784" s="2">
        <v>166500</v>
      </c>
      <c r="O1784" s="2">
        <v>16650</v>
      </c>
      <c r="P1784" s="2">
        <v>183150</v>
      </c>
      <c r="Q1784" s="2">
        <f>P1784*8.5%</f>
        <v>15567.750000000002</v>
      </c>
    </row>
    <row r="1785" spans="1:17" x14ac:dyDescent="0.4">
      <c r="A1785" s="4" t="s">
        <v>51</v>
      </c>
      <c r="B1785" s="4" t="s">
        <v>14</v>
      </c>
      <c r="C1785" s="30" t="s">
        <v>434</v>
      </c>
      <c r="D1785" s="4" t="s">
        <v>52</v>
      </c>
      <c r="E1785" s="4" t="s">
        <v>16</v>
      </c>
      <c r="F1785" s="4" t="s">
        <v>17</v>
      </c>
      <c r="G1785" s="4" t="s">
        <v>18</v>
      </c>
      <c r="H1785" s="4" t="s">
        <v>211</v>
      </c>
      <c r="I1785" s="5" t="str">
        <f t="shared" si="27"/>
        <v>2025-07</v>
      </c>
      <c r="J1785" s="4" t="s">
        <v>20</v>
      </c>
      <c r="K1785" s="5" t="s">
        <v>342</v>
      </c>
      <c r="L1785" s="2">
        <v>73000</v>
      </c>
      <c r="M1785" s="3">
        <v>1</v>
      </c>
      <c r="N1785" s="2">
        <v>73000</v>
      </c>
      <c r="O1785" s="2">
        <v>7300</v>
      </c>
      <c r="P1785" s="2">
        <v>80300</v>
      </c>
      <c r="Q1785" s="2">
        <f>P1785*8.5%</f>
        <v>6825.5000000000009</v>
      </c>
    </row>
    <row r="1786" spans="1:17" x14ac:dyDescent="0.4">
      <c r="A1786" s="4" t="s">
        <v>56</v>
      </c>
      <c r="B1786" s="4" t="s">
        <v>26</v>
      </c>
      <c r="C1786" s="32" t="s">
        <v>436</v>
      </c>
      <c r="D1786" s="4" t="s">
        <v>57</v>
      </c>
      <c r="E1786" s="4" t="s">
        <v>44</v>
      </c>
      <c r="F1786" s="4" t="s">
        <v>31</v>
      </c>
      <c r="G1786" s="4" t="s">
        <v>18</v>
      </c>
      <c r="H1786" s="4" t="s">
        <v>211</v>
      </c>
      <c r="I1786" s="5" t="str">
        <f t="shared" si="27"/>
        <v>2025-07</v>
      </c>
      <c r="J1786" s="4" t="s">
        <v>20</v>
      </c>
      <c r="K1786" s="5" t="s">
        <v>342</v>
      </c>
      <c r="L1786" s="2">
        <v>1925</v>
      </c>
      <c r="M1786" s="3">
        <v>25</v>
      </c>
      <c r="N1786" s="2">
        <v>48125</v>
      </c>
      <c r="O1786" s="2">
        <v>0</v>
      </c>
      <c r="P1786" s="2">
        <v>48125</v>
      </c>
      <c r="Q1786" s="2">
        <f>P1786*8.5%</f>
        <v>4090.6250000000005</v>
      </c>
    </row>
    <row r="1787" spans="1:17" hidden="1" x14ac:dyDescent="0.4">
      <c r="A1787" s="4" t="s">
        <v>13</v>
      </c>
      <c r="B1787" s="4" t="s">
        <v>14</v>
      </c>
      <c r="C1787" s="30" t="s">
        <v>434</v>
      </c>
      <c r="D1787" s="4" t="s">
        <v>15</v>
      </c>
      <c r="E1787" s="4" t="s">
        <v>16</v>
      </c>
      <c r="F1787" s="4" t="s">
        <v>17</v>
      </c>
      <c r="G1787" s="4" t="s">
        <v>18</v>
      </c>
      <c r="H1787" s="4" t="s">
        <v>211</v>
      </c>
      <c r="I1787" s="5" t="str">
        <f t="shared" si="27"/>
        <v>2025-07</v>
      </c>
      <c r="J1787" s="4" t="s">
        <v>118</v>
      </c>
      <c r="K1787" s="5" t="s">
        <v>342</v>
      </c>
      <c r="L1787" s="2">
        <v>42000</v>
      </c>
      <c r="M1787" s="3">
        <v>1</v>
      </c>
      <c r="N1787" s="2">
        <v>42000</v>
      </c>
      <c r="O1787" s="2">
        <v>4200</v>
      </c>
      <c r="P1787" s="2">
        <v>46200</v>
      </c>
      <c r="Q1787" s="2">
        <f>P1787*8.5%</f>
        <v>3927.0000000000005</v>
      </c>
    </row>
    <row r="1788" spans="1:17" hidden="1" x14ac:dyDescent="0.4">
      <c r="A1788" s="4" t="s">
        <v>23</v>
      </c>
      <c r="B1788" s="4" t="s">
        <v>14</v>
      </c>
      <c r="C1788" s="31" t="s">
        <v>435</v>
      </c>
      <c r="D1788" s="4" t="s">
        <v>24</v>
      </c>
      <c r="E1788" s="4" t="s">
        <v>16</v>
      </c>
      <c r="F1788" s="4" t="s">
        <v>17</v>
      </c>
      <c r="G1788" s="4" t="s">
        <v>18</v>
      </c>
      <c r="H1788" s="4" t="s">
        <v>211</v>
      </c>
      <c r="I1788" s="5" t="str">
        <f t="shared" si="27"/>
        <v>2025-07</v>
      </c>
      <c r="J1788" s="4" t="s">
        <v>118</v>
      </c>
      <c r="K1788" s="5" t="s">
        <v>342</v>
      </c>
      <c r="L1788" s="2">
        <v>55500</v>
      </c>
      <c r="M1788" s="3">
        <v>2</v>
      </c>
      <c r="N1788" s="2">
        <v>111000</v>
      </c>
      <c r="O1788" s="2">
        <v>11100</v>
      </c>
      <c r="P1788" s="2">
        <v>122100</v>
      </c>
      <c r="Q1788" s="2">
        <f>P1788*8.5%</f>
        <v>10378.5</v>
      </c>
    </row>
    <row r="1789" spans="1:17" hidden="1" x14ac:dyDescent="0.4">
      <c r="A1789" s="4" t="s">
        <v>32</v>
      </c>
      <c r="B1789" s="4" t="s">
        <v>14</v>
      </c>
      <c r="C1789" s="31" t="s">
        <v>435</v>
      </c>
      <c r="D1789" s="4" t="s">
        <v>33</v>
      </c>
      <c r="E1789" s="4" t="s">
        <v>16</v>
      </c>
      <c r="F1789" s="4" t="s">
        <v>17</v>
      </c>
      <c r="G1789" s="4" t="s">
        <v>18</v>
      </c>
      <c r="H1789" s="4" t="s">
        <v>211</v>
      </c>
      <c r="I1789" s="5" t="str">
        <f t="shared" si="27"/>
        <v>2025-07</v>
      </c>
      <c r="J1789" s="4" t="s">
        <v>34</v>
      </c>
      <c r="K1789" s="5" t="s">
        <v>342</v>
      </c>
      <c r="L1789" s="2">
        <v>44000</v>
      </c>
      <c r="M1789" s="3">
        <v>3</v>
      </c>
      <c r="N1789" s="2">
        <v>132000</v>
      </c>
      <c r="O1789" s="2">
        <v>13200</v>
      </c>
      <c r="P1789" s="2">
        <v>145200</v>
      </c>
      <c r="Q1789" s="2">
        <f>P1789*8.5%</f>
        <v>12342</v>
      </c>
    </row>
    <row r="1790" spans="1:17" hidden="1" x14ac:dyDescent="0.4">
      <c r="A1790" s="4" t="s">
        <v>58</v>
      </c>
      <c r="B1790" s="4" t="s">
        <v>14</v>
      </c>
      <c r="C1790" s="30" t="s">
        <v>434</v>
      </c>
      <c r="D1790" s="4" t="s">
        <v>36</v>
      </c>
      <c r="E1790" s="4" t="s">
        <v>16</v>
      </c>
      <c r="F1790" s="4" t="s">
        <v>17</v>
      </c>
      <c r="G1790" s="4" t="s">
        <v>18</v>
      </c>
      <c r="H1790" s="4" t="s">
        <v>211</v>
      </c>
      <c r="I1790" s="5" t="str">
        <f t="shared" si="27"/>
        <v>2025-07</v>
      </c>
      <c r="J1790" s="4" t="s">
        <v>34</v>
      </c>
      <c r="K1790" s="5" t="s">
        <v>342</v>
      </c>
      <c r="L1790" s="2">
        <v>120880</v>
      </c>
      <c r="M1790" s="3">
        <v>1</v>
      </c>
      <c r="N1790" s="2">
        <v>120880</v>
      </c>
      <c r="O1790" s="2">
        <v>12088</v>
      </c>
      <c r="P1790" s="2">
        <v>132968</v>
      </c>
      <c r="Q1790" s="2">
        <f>P1790*8.5%</f>
        <v>11302.28</v>
      </c>
    </row>
    <row r="1791" spans="1:17" hidden="1" x14ac:dyDescent="0.4">
      <c r="A1791" s="4" t="s">
        <v>13</v>
      </c>
      <c r="B1791" s="4" t="s">
        <v>14</v>
      </c>
      <c r="C1791" s="30" t="s">
        <v>434</v>
      </c>
      <c r="D1791" s="4" t="s">
        <v>15</v>
      </c>
      <c r="E1791" s="4" t="s">
        <v>16</v>
      </c>
      <c r="F1791" s="4" t="s">
        <v>17</v>
      </c>
      <c r="G1791" s="4" t="s">
        <v>18</v>
      </c>
      <c r="H1791" s="4" t="s">
        <v>211</v>
      </c>
      <c r="I1791" s="5" t="str">
        <f t="shared" si="27"/>
        <v>2025-07</v>
      </c>
      <c r="J1791" s="4" t="s">
        <v>34</v>
      </c>
      <c r="K1791" s="5" t="s">
        <v>342</v>
      </c>
      <c r="L1791" s="2">
        <v>42000</v>
      </c>
      <c r="M1791" s="3">
        <v>6</v>
      </c>
      <c r="N1791" s="2">
        <v>252000</v>
      </c>
      <c r="O1791" s="2">
        <v>25200</v>
      </c>
      <c r="P1791" s="2">
        <v>277200</v>
      </c>
      <c r="Q1791" s="2">
        <f>P1791*8.5%</f>
        <v>23562</v>
      </c>
    </row>
    <row r="1792" spans="1:17" hidden="1" x14ac:dyDescent="0.4">
      <c r="A1792" s="4" t="s">
        <v>21</v>
      </c>
      <c r="B1792" s="4" t="s">
        <v>14</v>
      </c>
      <c r="C1792" s="31" t="s">
        <v>435</v>
      </c>
      <c r="D1792" s="4" t="s">
        <v>22</v>
      </c>
      <c r="E1792" s="4" t="s">
        <v>16</v>
      </c>
      <c r="F1792" s="4" t="s">
        <v>17</v>
      </c>
      <c r="G1792" s="4" t="s">
        <v>18</v>
      </c>
      <c r="H1792" s="4" t="s">
        <v>211</v>
      </c>
      <c r="I1792" s="5" t="str">
        <f t="shared" si="27"/>
        <v>2025-07</v>
      </c>
      <c r="J1792" s="4" t="s">
        <v>34</v>
      </c>
      <c r="K1792" s="5" t="s">
        <v>342</v>
      </c>
      <c r="L1792" s="2">
        <v>55500</v>
      </c>
      <c r="M1792" s="3">
        <v>2</v>
      </c>
      <c r="N1792" s="2">
        <v>111000</v>
      </c>
      <c r="O1792" s="2">
        <v>11100</v>
      </c>
      <c r="P1792" s="2">
        <v>122100</v>
      </c>
      <c r="Q1792" s="2">
        <f>P1792*8.5%</f>
        <v>10378.5</v>
      </c>
    </row>
    <row r="1793" spans="1:17" hidden="1" x14ac:dyDescent="0.4">
      <c r="A1793" s="4" t="s">
        <v>35</v>
      </c>
      <c r="B1793" s="4" t="s">
        <v>14</v>
      </c>
      <c r="C1793" s="30" t="s">
        <v>434</v>
      </c>
      <c r="D1793" s="4" t="s">
        <v>36</v>
      </c>
      <c r="E1793" s="4" t="s">
        <v>16</v>
      </c>
      <c r="F1793" s="4" t="s">
        <v>17</v>
      </c>
      <c r="G1793" s="4" t="s">
        <v>18</v>
      </c>
      <c r="H1793" s="4" t="s">
        <v>211</v>
      </c>
      <c r="I1793" s="5" t="str">
        <f t="shared" si="27"/>
        <v>2025-07</v>
      </c>
      <c r="J1793" s="4" t="s">
        <v>34</v>
      </c>
      <c r="K1793" s="5" t="s">
        <v>342</v>
      </c>
      <c r="L1793" s="2">
        <v>116220</v>
      </c>
      <c r="M1793" s="3">
        <v>1</v>
      </c>
      <c r="N1793" s="2">
        <v>116220</v>
      </c>
      <c r="O1793" s="2">
        <v>11622</v>
      </c>
      <c r="P1793" s="2">
        <v>127842</v>
      </c>
      <c r="Q1793" s="2">
        <f>P1793*8.5%</f>
        <v>10866.570000000002</v>
      </c>
    </row>
    <row r="1794" spans="1:17" hidden="1" x14ac:dyDescent="0.4">
      <c r="A1794" s="4" t="s">
        <v>23</v>
      </c>
      <c r="B1794" s="4" t="s">
        <v>14</v>
      </c>
      <c r="C1794" s="31" t="s">
        <v>435</v>
      </c>
      <c r="D1794" s="4" t="s">
        <v>24</v>
      </c>
      <c r="E1794" s="4" t="s">
        <v>16</v>
      </c>
      <c r="F1794" s="4" t="s">
        <v>17</v>
      </c>
      <c r="G1794" s="4" t="s">
        <v>18</v>
      </c>
      <c r="H1794" s="4" t="s">
        <v>211</v>
      </c>
      <c r="I1794" s="5" t="str">
        <f t="shared" ref="I1794:I1857" si="28">TEXT(H1794,"yyyy-mm")</f>
        <v>2025-07</v>
      </c>
      <c r="J1794" s="4" t="s">
        <v>34</v>
      </c>
      <c r="K1794" s="5" t="s">
        <v>342</v>
      </c>
      <c r="L1794" s="2">
        <v>55500</v>
      </c>
      <c r="M1794" s="3">
        <v>4</v>
      </c>
      <c r="N1794" s="2">
        <v>222000</v>
      </c>
      <c r="O1794" s="2">
        <v>22200</v>
      </c>
      <c r="P1794" s="2">
        <v>244200</v>
      </c>
      <c r="Q1794" s="2">
        <f>P1794*8.5%</f>
        <v>20757</v>
      </c>
    </row>
    <row r="1795" spans="1:17" hidden="1" x14ac:dyDescent="0.4">
      <c r="A1795" s="4" t="s">
        <v>51</v>
      </c>
      <c r="B1795" s="4" t="s">
        <v>14</v>
      </c>
      <c r="C1795" s="30" t="s">
        <v>434</v>
      </c>
      <c r="D1795" s="4" t="s">
        <v>52</v>
      </c>
      <c r="E1795" s="4" t="s">
        <v>16</v>
      </c>
      <c r="F1795" s="4" t="s">
        <v>17</v>
      </c>
      <c r="G1795" s="4" t="s">
        <v>18</v>
      </c>
      <c r="H1795" s="4" t="s">
        <v>211</v>
      </c>
      <c r="I1795" s="5" t="str">
        <f t="shared" si="28"/>
        <v>2025-07</v>
      </c>
      <c r="J1795" s="4" t="s">
        <v>34</v>
      </c>
      <c r="K1795" s="5" t="s">
        <v>342</v>
      </c>
      <c r="L1795" s="2">
        <v>73000</v>
      </c>
      <c r="M1795" s="3">
        <v>1</v>
      </c>
      <c r="N1795" s="2">
        <v>73000</v>
      </c>
      <c r="O1795" s="2">
        <v>7300</v>
      </c>
      <c r="P1795" s="2">
        <v>80300</v>
      </c>
      <c r="Q1795" s="2">
        <f>P1795*8.5%</f>
        <v>6825.5000000000009</v>
      </c>
    </row>
    <row r="1796" spans="1:17" hidden="1" x14ac:dyDescent="0.4">
      <c r="A1796" s="4" t="s">
        <v>212</v>
      </c>
      <c r="B1796" s="4" t="s">
        <v>26</v>
      </c>
      <c r="C1796" s="32" t="s">
        <v>436</v>
      </c>
      <c r="D1796" s="4" t="s">
        <v>108</v>
      </c>
      <c r="E1796" s="4" t="s">
        <v>28</v>
      </c>
      <c r="F1796" s="4" t="s">
        <v>31</v>
      </c>
      <c r="G1796" s="4" t="s">
        <v>18</v>
      </c>
      <c r="H1796" s="4" t="s">
        <v>211</v>
      </c>
      <c r="I1796" s="5" t="str">
        <f t="shared" si="28"/>
        <v>2025-07</v>
      </c>
      <c r="J1796" s="4" t="s">
        <v>34</v>
      </c>
      <c r="K1796" s="5" t="s">
        <v>342</v>
      </c>
      <c r="L1796" s="2">
        <v>18115</v>
      </c>
      <c r="M1796" s="3">
        <v>1</v>
      </c>
      <c r="N1796" s="2">
        <v>18115</v>
      </c>
      <c r="O1796" s="2">
        <v>0</v>
      </c>
      <c r="P1796" s="2">
        <v>18115</v>
      </c>
      <c r="Q1796" s="2">
        <f>P1796*8.5%</f>
        <v>1539.7750000000001</v>
      </c>
    </row>
    <row r="1797" spans="1:17" hidden="1" x14ac:dyDescent="0.4">
      <c r="A1797" s="4" t="s">
        <v>77</v>
      </c>
      <c r="B1797" s="4" t="s">
        <v>26</v>
      </c>
      <c r="C1797" s="32" t="s">
        <v>436</v>
      </c>
      <c r="D1797" s="4" t="s">
        <v>78</v>
      </c>
      <c r="E1797" s="4" t="s">
        <v>28</v>
      </c>
      <c r="F1797" s="4" t="s">
        <v>17</v>
      </c>
      <c r="G1797" s="4" t="s">
        <v>18</v>
      </c>
      <c r="H1797" s="4" t="s">
        <v>211</v>
      </c>
      <c r="I1797" s="5" t="str">
        <f t="shared" si="28"/>
        <v>2025-07</v>
      </c>
      <c r="J1797" s="4" t="s">
        <v>34</v>
      </c>
      <c r="K1797" s="5" t="s">
        <v>342</v>
      </c>
      <c r="L1797" s="2">
        <v>15544</v>
      </c>
      <c r="M1797" s="3">
        <v>1</v>
      </c>
      <c r="N1797" s="2">
        <v>15544</v>
      </c>
      <c r="O1797" s="2">
        <v>1554</v>
      </c>
      <c r="P1797" s="2">
        <v>17098</v>
      </c>
      <c r="Q1797" s="2">
        <f>P1797*8.5%</f>
        <v>1453.3300000000002</v>
      </c>
    </row>
    <row r="1798" spans="1:17" hidden="1" x14ac:dyDescent="0.4">
      <c r="A1798" s="4" t="s">
        <v>42</v>
      </c>
      <c r="B1798" s="4" t="s">
        <v>14</v>
      </c>
      <c r="C1798" s="30" t="s">
        <v>434</v>
      </c>
      <c r="D1798" s="4" t="s">
        <v>43</v>
      </c>
      <c r="E1798" s="4" t="s">
        <v>44</v>
      </c>
      <c r="F1798" s="4" t="s">
        <v>31</v>
      </c>
      <c r="G1798" s="4" t="s">
        <v>18</v>
      </c>
      <c r="H1798" s="4" t="s">
        <v>211</v>
      </c>
      <c r="I1798" s="5" t="str">
        <f t="shared" si="28"/>
        <v>2025-07</v>
      </c>
      <c r="J1798" s="4" t="s">
        <v>34</v>
      </c>
      <c r="K1798" s="5" t="s">
        <v>342</v>
      </c>
      <c r="L1798" s="2">
        <v>7300</v>
      </c>
      <c r="M1798" s="3">
        <v>59.1</v>
      </c>
      <c r="N1798" s="2">
        <v>431430</v>
      </c>
      <c r="O1798" s="2">
        <v>0</v>
      </c>
      <c r="P1798" s="2">
        <v>431430</v>
      </c>
      <c r="Q1798" s="2">
        <f>P1798*8.5%</f>
        <v>36671.550000000003</v>
      </c>
    </row>
    <row r="1799" spans="1:17" hidden="1" x14ac:dyDescent="0.4">
      <c r="A1799" s="4" t="s">
        <v>202</v>
      </c>
      <c r="B1799" s="4" t="s">
        <v>26</v>
      </c>
      <c r="C1799" s="32" t="s">
        <v>436</v>
      </c>
      <c r="D1799" s="4" t="s">
        <v>203</v>
      </c>
      <c r="E1799" s="4" t="s">
        <v>47</v>
      </c>
      <c r="F1799" s="4" t="s">
        <v>17</v>
      </c>
      <c r="G1799" s="4" t="s">
        <v>18</v>
      </c>
      <c r="H1799" s="4" t="s">
        <v>211</v>
      </c>
      <c r="I1799" s="5" t="str">
        <f t="shared" si="28"/>
        <v>2025-07</v>
      </c>
      <c r="J1799" s="4" t="s">
        <v>34</v>
      </c>
      <c r="K1799" s="5" t="s">
        <v>342</v>
      </c>
      <c r="L1799" s="2">
        <v>13153</v>
      </c>
      <c r="M1799" s="3">
        <v>2</v>
      </c>
      <c r="N1799" s="2">
        <v>26306</v>
      </c>
      <c r="O1799" s="2">
        <v>2631</v>
      </c>
      <c r="P1799" s="2">
        <v>28937</v>
      </c>
      <c r="Q1799" s="2">
        <f>P1799*8.5%</f>
        <v>2459.645</v>
      </c>
    </row>
    <row r="1800" spans="1:17" hidden="1" x14ac:dyDescent="0.4">
      <c r="A1800" s="4" t="s">
        <v>35</v>
      </c>
      <c r="B1800" s="4" t="s">
        <v>14</v>
      </c>
      <c r="C1800" s="30" t="s">
        <v>434</v>
      </c>
      <c r="D1800" s="4" t="s">
        <v>36</v>
      </c>
      <c r="E1800" s="4" t="s">
        <v>16</v>
      </c>
      <c r="F1800" s="4" t="s">
        <v>17</v>
      </c>
      <c r="G1800" s="4" t="s">
        <v>18</v>
      </c>
      <c r="H1800" s="4" t="s">
        <v>211</v>
      </c>
      <c r="I1800" s="5" t="str">
        <f t="shared" si="28"/>
        <v>2025-07</v>
      </c>
      <c r="J1800" s="4" t="s">
        <v>60</v>
      </c>
      <c r="K1800" s="5" t="s">
        <v>343</v>
      </c>
      <c r="L1800" s="2">
        <v>116220</v>
      </c>
      <c r="M1800" s="3">
        <v>4</v>
      </c>
      <c r="N1800" s="2">
        <v>464880</v>
      </c>
      <c r="O1800" s="2">
        <v>46488</v>
      </c>
      <c r="P1800" s="2">
        <v>511368</v>
      </c>
      <c r="Q1800" s="2">
        <f>P1800*12%</f>
        <v>61364.159999999996</v>
      </c>
    </row>
    <row r="1801" spans="1:17" hidden="1" x14ac:dyDescent="0.4">
      <c r="A1801" s="4" t="s">
        <v>32</v>
      </c>
      <c r="B1801" s="4" t="s">
        <v>14</v>
      </c>
      <c r="C1801" s="31" t="s">
        <v>435</v>
      </c>
      <c r="D1801" s="4" t="s">
        <v>33</v>
      </c>
      <c r="E1801" s="4" t="s">
        <v>16</v>
      </c>
      <c r="F1801" s="4" t="s">
        <v>17</v>
      </c>
      <c r="G1801" s="4" t="s">
        <v>18</v>
      </c>
      <c r="H1801" s="4" t="s">
        <v>211</v>
      </c>
      <c r="I1801" s="5" t="str">
        <f t="shared" si="28"/>
        <v>2025-07</v>
      </c>
      <c r="J1801" s="4" t="s">
        <v>49</v>
      </c>
      <c r="K1801" s="5" t="s">
        <v>343</v>
      </c>
      <c r="L1801" s="2">
        <v>44000</v>
      </c>
      <c r="M1801" s="3">
        <v>4</v>
      </c>
      <c r="N1801" s="2">
        <v>176000</v>
      </c>
      <c r="O1801" s="2">
        <v>17600</v>
      </c>
      <c r="P1801" s="2">
        <v>193600</v>
      </c>
      <c r="Q1801" s="2">
        <f>P1801*12%</f>
        <v>23232</v>
      </c>
    </row>
    <row r="1802" spans="1:17" hidden="1" x14ac:dyDescent="0.4">
      <c r="A1802" s="4" t="s">
        <v>13</v>
      </c>
      <c r="B1802" s="4" t="s">
        <v>14</v>
      </c>
      <c r="C1802" s="30" t="s">
        <v>434</v>
      </c>
      <c r="D1802" s="4" t="s">
        <v>15</v>
      </c>
      <c r="E1802" s="4" t="s">
        <v>16</v>
      </c>
      <c r="F1802" s="4" t="s">
        <v>17</v>
      </c>
      <c r="G1802" s="4" t="s">
        <v>18</v>
      </c>
      <c r="H1802" s="4" t="s">
        <v>211</v>
      </c>
      <c r="I1802" s="5" t="str">
        <f t="shared" si="28"/>
        <v>2025-07</v>
      </c>
      <c r="J1802" s="4" t="s">
        <v>49</v>
      </c>
      <c r="K1802" s="5" t="s">
        <v>343</v>
      </c>
      <c r="L1802" s="2">
        <v>42000</v>
      </c>
      <c r="M1802" s="3">
        <v>5</v>
      </c>
      <c r="N1802" s="2">
        <v>210000</v>
      </c>
      <c r="O1802" s="2">
        <v>21000</v>
      </c>
      <c r="P1802" s="2">
        <v>231000</v>
      </c>
      <c r="Q1802" s="2">
        <f>P1802*12%</f>
        <v>27720</v>
      </c>
    </row>
    <row r="1803" spans="1:17" hidden="1" x14ac:dyDescent="0.4">
      <c r="A1803" s="4" t="s">
        <v>35</v>
      </c>
      <c r="B1803" s="4" t="s">
        <v>14</v>
      </c>
      <c r="C1803" s="30" t="s">
        <v>434</v>
      </c>
      <c r="D1803" s="4" t="s">
        <v>36</v>
      </c>
      <c r="E1803" s="4" t="s">
        <v>16</v>
      </c>
      <c r="F1803" s="4" t="s">
        <v>17</v>
      </c>
      <c r="G1803" s="4" t="s">
        <v>18</v>
      </c>
      <c r="H1803" s="4" t="s">
        <v>211</v>
      </c>
      <c r="I1803" s="5" t="str">
        <f t="shared" si="28"/>
        <v>2025-07</v>
      </c>
      <c r="J1803" s="4" t="s">
        <v>49</v>
      </c>
      <c r="K1803" s="5" t="s">
        <v>343</v>
      </c>
      <c r="L1803" s="2">
        <v>116220</v>
      </c>
      <c r="M1803" s="3">
        <v>2</v>
      </c>
      <c r="N1803" s="2">
        <v>232440</v>
      </c>
      <c r="O1803" s="2">
        <v>23244</v>
      </c>
      <c r="P1803" s="2">
        <v>255684</v>
      </c>
      <c r="Q1803" s="2">
        <f>P1803*12%</f>
        <v>30682.079999999998</v>
      </c>
    </row>
    <row r="1804" spans="1:17" hidden="1" x14ac:dyDescent="0.4">
      <c r="A1804" s="4" t="s">
        <v>23</v>
      </c>
      <c r="B1804" s="4" t="s">
        <v>14</v>
      </c>
      <c r="C1804" s="31" t="s">
        <v>435</v>
      </c>
      <c r="D1804" s="4" t="s">
        <v>24</v>
      </c>
      <c r="E1804" s="4" t="s">
        <v>16</v>
      </c>
      <c r="F1804" s="4" t="s">
        <v>17</v>
      </c>
      <c r="G1804" s="4" t="s">
        <v>18</v>
      </c>
      <c r="H1804" s="4" t="s">
        <v>211</v>
      </c>
      <c r="I1804" s="5" t="str">
        <f t="shared" si="28"/>
        <v>2025-07</v>
      </c>
      <c r="J1804" s="4" t="s">
        <v>49</v>
      </c>
      <c r="K1804" s="5" t="s">
        <v>343</v>
      </c>
      <c r="L1804" s="2">
        <v>55500</v>
      </c>
      <c r="M1804" s="3">
        <v>4</v>
      </c>
      <c r="N1804" s="2">
        <v>222000</v>
      </c>
      <c r="O1804" s="2">
        <v>22200</v>
      </c>
      <c r="P1804" s="2">
        <v>244200</v>
      </c>
      <c r="Q1804" s="2">
        <f>P1804*12%</f>
        <v>29304</v>
      </c>
    </row>
    <row r="1805" spans="1:17" hidden="1" x14ac:dyDescent="0.4">
      <c r="A1805" s="4" t="s">
        <v>51</v>
      </c>
      <c r="B1805" s="4" t="s">
        <v>14</v>
      </c>
      <c r="C1805" s="30" t="s">
        <v>434</v>
      </c>
      <c r="D1805" s="4" t="s">
        <v>52</v>
      </c>
      <c r="E1805" s="4" t="s">
        <v>16</v>
      </c>
      <c r="F1805" s="4" t="s">
        <v>17</v>
      </c>
      <c r="G1805" s="4" t="s">
        <v>18</v>
      </c>
      <c r="H1805" s="4" t="s">
        <v>211</v>
      </c>
      <c r="I1805" s="5" t="str">
        <f t="shared" si="28"/>
        <v>2025-07</v>
      </c>
      <c r="J1805" s="4" t="s">
        <v>49</v>
      </c>
      <c r="K1805" s="5" t="s">
        <v>343</v>
      </c>
      <c r="L1805" s="2">
        <v>73000</v>
      </c>
      <c r="M1805" s="3">
        <v>1</v>
      </c>
      <c r="N1805" s="2">
        <v>73000</v>
      </c>
      <c r="O1805" s="2">
        <v>7300</v>
      </c>
      <c r="P1805" s="2">
        <v>80300</v>
      </c>
      <c r="Q1805" s="2">
        <f>P1805*12%</f>
        <v>9636</v>
      </c>
    </row>
    <row r="1806" spans="1:17" x14ac:dyDescent="0.4">
      <c r="A1806" s="4" t="s">
        <v>13</v>
      </c>
      <c r="B1806" s="4" t="s">
        <v>14</v>
      </c>
      <c r="C1806" s="30" t="s">
        <v>434</v>
      </c>
      <c r="D1806" s="4" t="s">
        <v>15</v>
      </c>
      <c r="E1806" s="4" t="s">
        <v>16</v>
      </c>
      <c r="F1806" s="4" t="s">
        <v>17</v>
      </c>
      <c r="G1806" s="4" t="s">
        <v>18</v>
      </c>
      <c r="H1806" s="4" t="s">
        <v>213</v>
      </c>
      <c r="I1806" s="5" t="str">
        <f t="shared" si="28"/>
        <v>2025-07</v>
      </c>
      <c r="J1806" s="4" t="s">
        <v>20</v>
      </c>
      <c r="K1806" s="5" t="s">
        <v>342</v>
      </c>
      <c r="L1806" s="2">
        <v>42000</v>
      </c>
      <c r="M1806" s="3">
        <v>3</v>
      </c>
      <c r="N1806" s="2">
        <v>126000</v>
      </c>
      <c r="O1806" s="2">
        <v>12600</v>
      </c>
      <c r="P1806" s="2">
        <v>138600</v>
      </c>
      <c r="Q1806" s="2">
        <f>P1806*8.5%</f>
        <v>11781</v>
      </c>
    </row>
    <row r="1807" spans="1:17" x14ac:dyDescent="0.4">
      <c r="A1807" s="4" t="s">
        <v>21</v>
      </c>
      <c r="B1807" s="4" t="s">
        <v>14</v>
      </c>
      <c r="C1807" s="31" t="s">
        <v>435</v>
      </c>
      <c r="D1807" s="4" t="s">
        <v>22</v>
      </c>
      <c r="E1807" s="4" t="s">
        <v>16</v>
      </c>
      <c r="F1807" s="4" t="s">
        <v>17</v>
      </c>
      <c r="G1807" s="4" t="s">
        <v>18</v>
      </c>
      <c r="H1807" s="4" t="s">
        <v>213</v>
      </c>
      <c r="I1807" s="5" t="str">
        <f t="shared" si="28"/>
        <v>2025-07</v>
      </c>
      <c r="J1807" s="4" t="s">
        <v>20</v>
      </c>
      <c r="K1807" s="5" t="s">
        <v>342</v>
      </c>
      <c r="L1807" s="2">
        <v>55500</v>
      </c>
      <c r="M1807" s="3">
        <v>1</v>
      </c>
      <c r="N1807" s="2">
        <v>55500</v>
      </c>
      <c r="O1807" s="2">
        <v>5550</v>
      </c>
      <c r="P1807" s="2">
        <v>61050</v>
      </c>
      <c r="Q1807" s="2">
        <f>P1807*8.5%</f>
        <v>5189.25</v>
      </c>
    </row>
    <row r="1808" spans="1:17" x14ac:dyDescent="0.4">
      <c r="A1808" s="4" t="s">
        <v>23</v>
      </c>
      <c r="B1808" s="4" t="s">
        <v>14</v>
      </c>
      <c r="C1808" s="31" t="s">
        <v>435</v>
      </c>
      <c r="D1808" s="4" t="s">
        <v>24</v>
      </c>
      <c r="E1808" s="4" t="s">
        <v>16</v>
      </c>
      <c r="F1808" s="4" t="s">
        <v>17</v>
      </c>
      <c r="G1808" s="4" t="s">
        <v>18</v>
      </c>
      <c r="H1808" s="4" t="s">
        <v>213</v>
      </c>
      <c r="I1808" s="5" t="str">
        <f t="shared" si="28"/>
        <v>2025-07</v>
      </c>
      <c r="J1808" s="4" t="s">
        <v>20</v>
      </c>
      <c r="K1808" s="5" t="s">
        <v>342</v>
      </c>
      <c r="L1808" s="2">
        <v>55500</v>
      </c>
      <c r="M1808" s="3">
        <v>3</v>
      </c>
      <c r="N1808" s="2">
        <v>166500</v>
      </c>
      <c r="O1808" s="2">
        <v>16650</v>
      </c>
      <c r="P1808" s="2">
        <v>183150</v>
      </c>
      <c r="Q1808" s="2">
        <f>P1808*8.5%</f>
        <v>15567.750000000002</v>
      </c>
    </row>
    <row r="1809" spans="1:17" x14ac:dyDescent="0.4">
      <c r="A1809" s="4" t="s">
        <v>127</v>
      </c>
      <c r="B1809" s="4" t="s">
        <v>26</v>
      </c>
      <c r="C1809" s="32" t="s">
        <v>436</v>
      </c>
      <c r="D1809" s="4" t="s">
        <v>128</v>
      </c>
      <c r="E1809" s="4" t="s">
        <v>28</v>
      </c>
      <c r="F1809" s="4" t="s">
        <v>17</v>
      </c>
      <c r="G1809" s="4" t="s">
        <v>18</v>
      </c>
      <c r="H1809" s="4" t="s">
        <v>213</v>
      </c>
      <c r="I1809" s="5" t="str">
        <f t="shared" si="28"/>
        <v>2025-07</v>
      </c>
      <c r="J1809" s="4" t="s">
        <v>20</v>
      </c>
      <c r="K1809" s="5" t="s">
        <v>342</v>
      </c>
      <c r="L1809" s="2">
        <v>2870</v>
      </c>
      <c r="M1809" s="3">
        <v>4</v>
      </c>
      <c r="N1809" s="2">
        <v>11480</v>
      </c>
      <c r="O1809" s="2">
        <v>1148</v>
      </c>
      <c r="P1809" s="2">
        <v>12628</v>
      </c>
      <c r="Q1809" s="2">
        <f>P1809*8.5%</f>
        <v>1073.3800000000001</v>
      </c>
    </row>
    <row r="1810" spans="1:17" hidden="1" x14ac:dyDescent="0.4">
      <c r="A1810" s="4" t="s">
        <v>32</v>
      </c>
      <c r="B1810" s="4" t="s">
        <v>14</v>
      </c>
      <c r="C1810" s="31" t="s">
        <v>435</v>
      </c>
      <c r="D1810" s="4" t="s">
        <v>33</v>
      </c>
      <c r="E1810" s="4" t="s">
        <v>16</v>
      </c>
      <c r="F1810" s="4" t="s">
        <v>17</v>
      </c>
      <c r="G1810" s="4" t="s">
        <v>18</v>
      </c>
      <c r="H1810" s="4" t="s">
        <v>213</v>
      </c>
      <c r="I1810" s="5" t="str">
        <f t="shared" si="28"/>
        <v>2025-07</v>
      </c>
      <c r="J1810" s="4" t="s">
        <v>118</v>
      </c>
      <c r="K1810" s="5" t="s">
        <v>342</v>
      </c>
      <c r="L1810" s="2">
        <v>44000</v>
      </c>
      <c r="M1810" s="3">
        <v>2</v>
      </c>
      <c r="N1810" s="2">
        <v>88000</v>
      </c>
      <c r="O1810" s="2">
        <v>8800</v>
      </c>
      <c r="P1810" s="2">
        <v>96800</v>
      </c>
      <c r="Q1810" s="2">
        <f>P1810*8.5%</f>
        <v>8228</v>
      </c>
    </row>
    <row r="1811" spans="1:17" hidden="1" x14ac:dyDescent="0.4">
      <c r="A1811" s="4" t="s">
        <v>13</v>
      </c>
      <c r="B1811" s="4" t="s">
        <v>14</v>
      </c>
      <c r="C1811" s="30" t="s">
        <v>434</v>
      </c>
      <c r="D1811" s="4" t="s">
        <v>15</v>
      </c>
      <c r="E1811" s="4" t="s">
        <v>16</v>
      </c>
      <c r="F1811" s="4" t="s">
        <v>17</v>
      </c>
      <c r="G1811" s="4" t="s">
        <v>18</v>
      </c>
      <c r="H1811" s="4" t="s">
        <v>213</v>
      </c>
      <c r="I1811" s="5" t="str">
        <f t="shared" si="28"/>
        <v>2025-07</v>
      </c>
      <c r="J1811" s="4" t="s">
        <v>118</v>
      </c>
      <c r="K1811" s="5" t="s">
        <v>342</v>
      </c>
      <c r="L1811" s="2">
        <v>42000</v>
      </c>
      <c r="M1811" s="3">
        <v>2</v>
      </c>
      <c r="N1811" s="2">
        <v>84000</v>
      </c>
      <c r="O1811" s="2">
        <v>8400</v>
      </c>
      <c r="P1811" s="2">
        <v>92400</v>
      </c>
      <c r="Q1811" s="2">
        <f>P1811*8.5%</f>
        <v>7854.0000000000009</v>
      </c>
    </row>
    <row r="1812" spans="1:17" hidden="1" x14ac:dyDescent="0.4">
      <c r="A1812" s="4" t="s">
        <v>23</v>
      </c>
      <c r="B1812" s="4" t="s">
        <v>14</v>
      </c>
      <c r="C1812" s="31" t="s">
        <v>435</v>
      </c>
      <c r="D1812" s="4" t="s">
        <v>24</v>
      </c>
      <c r="E1812" s="4" t="s">
        <v>16</v>
      </c>
      <c r="F1812" s="4" t="s">
        <v>17</v>
      </c>
      <c r="G1812" s="4" t="s">
        <v>18</v>
      </c>
      <c r="H1812" s="4" t="s">
        <v>213</v>
      </c>
      <c r="I1812" s="5" t="str">
        <f t="shared" si="28"/>
        <v>2025-07</v>
      </c>
      <c r="J1812" s="4" t="s">
        <v>118</v>
      </c>
      <c r="K1812" s="5" t="s">
        <v>342</v>
      </c>
      <c r="L1812" s="2">
        <v>55500</v>
      </c>
      <c r="M1812" s="3">
        <v>2</v>
      </c>
      <c r="N1812" s="2">
        <v>111000</v>
      </c>
      <c r="O1812" s="2">
        <v>11100</v>
      </c>
      <c r="P1812" s="2">
        <v>122100</v>
      </c>
      <c r="Q1812" s="2">
        <f>P1812*8.5%</f>
        <v>10378.5</v>
      </c>
    </row>
    <row r="1813" spans="1:17" hidden="1" x14ac:dyDescent="0.4">
      <c r="A1813" s="4" t="s">
        <v>80</v>
      </c>
      <c r="B1813" s="4" t="s">
        <v>26</v>
      </c>
      <c r="C1813" s="32" t="s">
        <v>436</v>
      </c>
      <c r="D1813" s="4" t="s">
        <v>81</v>
      </c>
      <c r="E1813" s="4" t="s">
        <v>16</v>
      </c>
      <c r="F1813" s="4" t="s">
        <v>17</v>
      </c>
      <c r="G1813" s="4" t="s">
        <v>18</v>
      </c>
      <c r="H1813" s="4" t="s">
        <v>213</v>
      </c>
      <c r="I1813" s="5" t="str">
        <f t="shared" si="28"/>
        <v>2025-07</v>
      </c>
      <c r="J1813" s="4" t="s">
        <v>34</v>
      </c>
      <c r="K1813" s="5" t="s">
        <v>342</v>
      </c>
      <c r="L1813" s="2">
        <v>17696</v>
      </c>
      <c r="M1813" s="3">
        <v>1</v>
      </c>
      <c r="N1813" s="2">
        <v>17696</v>
      </c>
      <c r="O1813" s="2">
        <v>1770</v>
      </c>
      <c r="P1813" s="2">
        <v>19466</v>
      </c>
      <c r="Q1813" s="2">
        <f>P1813*8.5%</f>
        <v>1654.6100000000001</v>
      </c>
    </row>
    <row r="1814" spans="1:17" hidden="1" x14ac:dyDescent="0.4">
      <c r="A1814" s="4" t="s">
        <v>64</v>
      </c>
      <c r="B1814" s="4" t="s">
        <v>65</v>
      </c>
      <c r="C1814" s="32" t="s">
        <v>436</v>
      </c>
      <c r="D1814" s="4" t="s">
        <v>66</v>
      </c>
      <c r="E1814" s="4" t="s">
        <v>16</v>
      </c>
      <c r="F1814" s="4" t="s">
        <v>17</v>
      </c>
      <c r="G1814" s="4" t="s">
        <v>18</v>
      </c>
      <c r="H1814" s="4" t="s">
        <v>213</v>
      </c>
      <c r="I1814" s="5" t="str">
        <f t="shared" si="28"/>
        <v>2025-07</v>
      </c>
      <c r="J1814" s="4" t="s">
        <v>34</v>
      </c>
      <c r="K1814" s="5" t="s">
        <v>342</v>
      </c>
      <c r="L1814" s="2">
        <v>10283</v>
      </c>
      <c r="M1814" s="3">
        <v>1</v>
      </c>
      <c r="N1814" s="2">
        <v>10283</v>
      </c>
      <c r="O1814" s="2">
        <v>1028</v>
      </c>
      <c r="P1814" s="2">
        <v>11311</v>
      </c>
      <c r="Q1814" s="2">
        <f>P1814*8.5%</f>
        <v>961.43500000000006</v>
      </c>
    </row>
    <row r="1815" spans="1:17" hidden="1" x14ac:dyDescent="0.4">
      <c r="A1815" s="4" t="s">
        <v>32</v>
      </c>
      <c r="B1815" s="4" t="s">
        <v>14</v>
      </c>
      <c r="C1815" s="31" t="s">
        <v>435</v>
      </c>
      <c r="D1815" s="4" t="s">
        <v>33</v>
      </c>
      <c r="E1815" s="4" t="s">
        <v>16</v>
      </c>
      <c r="F1815" s="4" t="s">
        <v>17</v>
      </c>
      <c r="G1815" s="4" t="s">
        <v>18</v>
      </c>
      <c r="H1815" s="4" t="s">
        <v>213</v>
      </c>
      <c r="I1815" s="5" t="str">
        <f t="shared" si="28"/>
        <v>2025-07</v>
      </c>
      <c r="J1815" s="4" t="s">
        <v>34</v>
      </c>
      <c r="K1815" s="5" t="s">
        <v>342</v>
      </c>
      <c r="L1815" s="2">
        <v>44000</v>
      </c>
      <c r="M1815" s="3">
        <v>2</v>
      </c>
      <c r="N1815" s="2">
        <v>88000</v>
      </c>
      <c r="O1815" s="2">
        <v>8800</v>
      </c>
      <c r="P1815" s="2">
        <v>96800</v>
      </c>
      <c r="Q1815" s="2">
        <f>P1815*8.5%</f>
        <v>8228</v>
      </c>
    </row>
    <row r="1816" spans="1:17" hidden="1" x14ac:dyDescent="0.4">
      <c r="A1816" s="4" t="s">
        <v>58</v>
      </c>
      <c r="B1816" s="4" t="s">
        <v>14</v>
      </c>
      <c r="C1816" s="30" t="s">
        <v>434</v>
      </c>
      <c r="D1816" s="4" t="s">
        <v>36</v>
      </c>
      <c r="E1816" s="4" t="s">
        <v>16</v>
      </c>
      <c r="F1816" s="4" t="s">
        <v>17</v>
      </c>
      <c r="G1816" s="4" t="s">
        <v>18</v>
      </c>
      <c r="H1816" s="4" t="s">
        <v>213</v>
      </c>
      <c r="I1816" s="5" t="str">
        <f t="shared" si="28"/>
        <v>2025-07</v>
      </c>
      <c r="J1816" s="4" t="s">
        <v>34</v>
      </c>
      <c r="K1816" s="5" t="s">
        <v>342</v>
      </c>
      <c r="L1816" s="2">
        <v>120880</v>
      </c>
      <c r="M1816" s="3">
        <v>1</v>
      </c>
      <c r="N1816" s="2">
        <v>120880</v>
      </c>
      <c r="O1816" s="2">
        <v>12088</v>
      </c>
      <c r="P1816" s="2">
        <v>132968</v>
      </c>
      <c r="Q1816" s="2">
        <f>P1816*8.5%</f>
        <v>11302.28</v>
      </c>
    </row>
    <row r="1817" spans="1:17" hidden="1" x14ac:dyDescent="0.4">
      <c r="A1817" s="4" t="s">
        <v>13</v>
      </c>
      <c r="B1817" s="4" t="s">
        <v>14</v>
      </c>
      <c r="C1817" s="30" t="s">
        <v>434</v>
      </c>
      <c r="D1817" s="4" t="s">
        <v>15</v>
      </c>
      <c r="E1817" s="4" t="s">
        <v>16</v>
      </c>
      <c r="F1817" s="4" t="s">
        <v>17</v>
      </c>
      <c r="G1817" s="4" t="s">
        <v>18</v>
      </c>
      <c r="H1817" s="4" t="s">
        <v>213</v>
      </c>
      <c r="I1817" s="5" t="str">
        <f t="shared" si="28"/>
        <v>2025-07</v>
      </c>
      <c r="J1817" s="4" t="s">
        <v>34</v>
      </c>
      <c r="K1817" s="5" t="s">
        <v>342</v>
      </c>
      <c r="L1817" s="2">
        <v>42000</v>
      </c>
      <c r="M1817" s="3">
        <v>3</v>
      </c>
      <c r="N1817" s="2">
        <v>126000</v>
      </c>
      <c r="O1817" s="2">
        <v>12600</v>
      </c>
      <c r="P1817" s="2">
        <v>138600</v>
      </c>
      <c r="Q1817" s="2">
        <f>P1817*8.5%</f>
        <v>11781</v>
      </c>
    </row>
    <row r="1818" spans="1:17" hidden="1" x14ac:dyDescent="0.4">
      <c r="A1818" s="4" t="s">
        <v>21</v>
      </c>
      <c r="B1818" s="4" t="s">
        <v>14</v>
      </c>
      <c r="C1818" s="31" t="s">
        <v>435</v>
      </c>
      <c r="D1818" s="4" t="s">
        <v>22</v>
      </c>
      <c r="E1818" s="4" t="s">
        <v>16</v>
      </c>
      <c r="F1818" s="4" t="s">
        <v>17</v>
      </c>
      <c r="G1818" s="4" t="s">
        <v>18</v>
      </c>
      <c r="H1818" s="4" t="s">
        <v>213</v>
      </c>
      <c r="I1818" s="5" t="str">
        <f t="shared" si="28"/>
        <v>2025-07</v>
      </c>
      <c r="J1818" s="4" t="s">
        <v>34</v>
      </c>
      <c r="K1818" s="5" t="s">
        <v>342</v>
      </c>
      <c r="L1818" s="2">
        <v>55500</v>
      </c>
      <c r="M1818" s="3">
        <v>2</v>
      </c>
      <c r="N1818" s="2">
        <v>111000</v>
      </c>
      <c r="O1818" s="2">
        <v>11100</v>
      </c>
      <c r="P1818" s="2">
        <v>122100</v>
      </c>
      <c r="Q1818" s="2">
        <f>P1818*8.5%</f>
        <v>10378.5</v>
      </c>
    </row>
    <row r="1819" spans="1:17" hidden="1" x14ac:dyDescent="0.4">
      <c r="A1819" s="4" t="s">
        <v>23</v>
      </c>
      <c r="B1819" s="4" t="s">
        <v>14</v>
      </c>
      <c r="C1819" s="31" t="s">
        <v>435</v>
      </c>
      <c r="D1819" s="4" t="s">
        <v>24</v>
      </c>
      <c r="E1819" s="4" t="s">
        <v>16</v>
      </c>
      <c r="F1819" s="4" t="s">
        <v>17</v>
      </c>
      <c r="G1819" s="4" t="s">
        <v>18</v>
      </c>
      <c r="H1819" s="4" t="s">
        <v>213</v>
      </c>
      <c r="I1819" s="5" t="str">
        <f t="shared" si="28"/>
        <v>2025-07</v>
      </c>
      <c r="J1819" s="4" t="s">
        <v>34</v>
      </c>
      <c r="K1819" s="5" t="s">
        <v>342</v>
      </c>
      <c r="L1819" s="2">
        <v>55500</v>
      </c>
      <c r="M1819" s="3">
        <v>4</v>
      </c>
      <c r="N1819" s="2">
        <v>222000</v>
      </c>
      <c r="O1819" s="2">
        <v>22200</v>
      </c>
      <c r="P1819" s="2">
        <v>244200</v>
      </c>
      <c r="Q1819" s="2">
        <f>P1819*8.5%</f>
        <v>20757</v>
      </c>
    </row>
    <row r="1820" spans="1:17" hidden="1" x14ac:dyDescent="0.4">
      <c r="A1820" s="4" t="s">
        <v>37</v>
      </c>
      <c r="B1820" s="4" t="s">
        <v>26</v>
      </c>
      <c r="C1820" s="32" t="s">
        <v>436</v>
      </c>
      <c r="D1820" s="4" t="s">
        <v>38</v>
      </c>
      <c r="E1820" s="4" t="s">
        <v>28</v>
      </c>
      <c r="F1820" s="4" t="s">
        <v>17</v>
      </c>
      <c r="G1820" s="4" t="s">
        <v>18</v>
      </c>
      <c r="H1820" s="4" t="s">
        <v>213</v>
      </c>
      <c r="I1820" s="5" t="str">
        <f t="shared" si="28"/>
        <v>2025-07</v>
      </c>
      <c r="J1820" s="4" t="s">
        <v>34</v>
      </c>
      <c r="K1820" s="5" t="s">
        <v>342</v>
      </c>
      <c r="L1820" s="2">
        <v>395</v>
      </c>
      <c r="M1820" s="3">
        <v>20</v>
      </c>
      <c r="N1820" s="2">
        <v>7900</v>
      </c>
      <c r="O1820" s="2">
        <v>790</v>
      </c>
      <c r="P1820" s="2">
        <v>8690</v>
      </c>
      <c r="Q1820" s="2">
        <f>P1820*8.5%</f>
        <v>738.65000000000009</v>
      </c>
    </row>
    <row r="1821" spans="1:17" hidden="1" x14ac:dyDescent="0.4">
      <c r="A1821" s="4" t="s">
        <v>40</v>
      </c>
      <c r="B1821" s="4" t="s">
        <v>26</v>
      </c>
      <c r="C1821" s="32" t="s">
        <v>436</v>
      </c>
      <c r="D1821" s="4" t="s">
        <v>41</v>
      </c>
      <c r="E1821" s="4" t="s">
        <v>28</v>
      </c>
      <c r="F1821" s="4" t="s">
        <v>17</v>
      </c>
      <c r="G1821" s="4" t="s">
        <v>18</v>
      </c>
      <c r="H1821" s="4" t="s">
        <v>213</v>
      </c>
      <c r="I1821" s="5" t="str">
        <f t="shared" si="28"/>
        <v>2025-07</v>
      </c>
      <c r="J1821" s="4" t="s">
        <v>34</v>
      </c>
      <c r="K1821" s="5" t="s">
        <v>342</v>
      </c>
      <c r="L1821" s="2">
        <v>17936</v>
      </c>
      <c r="M1821" s="3">
        <v>2</v>
      </c>
      <c r="N1821" s="2">
        <v>35872</v>
      </c>
      <c r="O1821" s="2">
        <v>3587</v>
      </c>
      <c r="P1821" s="2">
        <v>39459</v>
      </c>
      <c r="Q1821" s="2">
        <f>P1821*8.5%</f>
        <v>3354.0150000000003</v>
      </c>
    </row>
    <row r="1822" spans="1:17" hidden="1" x14ac:dyDescent="0.4">
      <c r="A1822" s="4" t="s">
        <v>70</v>
      </c>
      <c r="B1822" s="4" t="s">
        <v>26</v>
      </c>
      <c r="C1822" s="32" t="s">
        <v>436</v>
      </c>
      <c r="D1822" s="4" t="s">
        <v>71</v>
      </c>
      <c r="E1822" s="4" t="s">
        <v>28</v>
      </c>
      <c r="F1822" s="4" t="s">
        <v>31</v>
      </c>
      <c r="G1822" s="4" t="s">
        <v>18</v>
      </c>
      <c r="H1822" s="4" t="s">
        <v>213</v>
      </c>
      <c r="I1822" s="5" t="str">
        <f t="shared" si="28"/>
        <v>2025-07</v>
      </c>
      <c r="J1822" s="4" t="s">
        <v>34</v>
      </c>
      <c r="K1822" s="5" t="s">
        <v>342</v>
      </c>
      <c r="L1822" s="2">
        <v>6624</v>
      </c>
      <c r="M1822" s="3">
        <v>3</v>
      </c>
      <c r="N1822" s="2">
        <v>19872</v>
      </c>
      <c r="O1822" s="2">
        <v>0</v>
      </c>
      <c r="P1822" s="2">
        <v>19872</v>
      </c>
      <c r="Q1822" s="2">
        <f>P1822*8.5%</f>
        <v>1689.1200000000001</v>
      </c>
    </row>
    <row r="1823" spans="1:17" hidden="1" x14ac:dyDescent="0.4">
      <c r="A1823" s="4" t="s">
        <v>42</v>
      </c>
      <c r="B1823" s="4" t="s">
        <v>14</v>
      </c>
      <c r="C1823" s="30" t="s">
        <v>434</v>
      </c>
      <c r="D1823" s="4" t="s">
        <v>43</v>
      </c>
      <c r="E1823" s="4" t="s">
        <v>44</v>
      </c>
      <c r="F1823" s="4" t="s">
        <v>31</v>
      </c>
      <c r="G1823" s="4" t="s">
        <v>18</v>
      </c>
      <c r="H1823" s="4" t="s">
        <v>213</v>
      </c>
      <c r="I1823" s="5" t="str">
        <f t="shared" si="28"/>
        <v>2025-07</v>
      </c>
      <c r="J1823" s="4" t="s">
        <v>34</v>
      </c>
      <c r="K1823" s="5" t="s">
        <v>342</v>
      </c>
      <c r="L1823" s="2">
        <v>7300</v>
      </c>
      <c r="M1823" s="3">
        <v>60.3</v>
      </c>
      <c r="N1823" s="2">
        <v>440190</v>
      </c>
      <c r="O1823" s="2">
        <v>0</v>
      </c>
      <c r="P1823" s="2">
        <v>440190</v>
      </c>
      <c r="Q1823" s="2">
        <f>P1823*8.5%</f>
        <v>37416.15</v>
      </c>
    </row>
    <row r="1824" spans="1:17" hidden="1" x14ac:dyDescent="0.4">
      <c r="A1824" s="4" t="s">
        <v>13</v>
      </c>
      <c r="B1824" s="4" t="s">
        <v>14</v>
      </c>
      <c r="C1824" s="30" t="s">
        <v>434</v>
      </c>
      <c r="D1824" s="4" t="s">
        <v>15</v>
      </c>
      <c r="E1824" s="4" t="s">
        <v>16</v>
      </c>
      <c r="F1824" s="4" t="s">
        <v>17</v>
      </c>
      <c r="G1824" s="4" t="s">
        <v>18</v>
      </c>
      <c r="H1824" s="4" t="s">
        <v>213</v>
      </c>
      <c r="I1824" s="5" t="str">
        <f t="shared" si="28"/>
        <v>2025-07</v>
      </c>
      <c r="J1824" s="4" t="s">
        <v>59</v>
      </c>
      <c r="K1824" s="5" t="s">
        <v>343</v>
      </c>
      <c r="L1824" s="2">
        <v>42000</v>
      </c>
      <c r="M1824" s="3">
        <v>4</v>
      </c>
      <c r="N1824" s="2">
        <v>168000</v>
      </c>
      <c r="O1824" s="2">
        <v>16800</v>
      </c>
      <c r="P1824" s="2">
        <v>184800</v>
      </c>
      <c r="Q1824" s="2">
        <f>P1824*12%</f>
        <v>22176</v>
      </c>
    </row>
    <row r="1825" spans="1:17" hidden="1" x14ac:dyDescent="0.4">
      <c r="A1825" s="4" t="s">
        <v>35</v>
      </c>
      <c r="B1825" s="4" t="s">
        <v>14</v>
      </c>
      <c r="C1825" s="30" t="s">
        <v>434</v>
      </c>
      <c r="D1825" s="4" t="s">
        <v>36</v>
      </c>
      <c r="E1825" s="4" t="s">
        <v>16</v>
      </c>
      <c r="F1825" s="4" t="s">
        <v>17</v>
      </c>
      <c r="G1825" s="4" t="s">
        <v>18</v>
      </c>
      <c r="H1825" s="4" t="s">
        <v>213</v>
      </c>
      <c r="I1825" s="5" t="str">
        <f t="shared" si="28"/>
        <v>2025-07</v>
      </c>
      <c r="J1825" s="4" t="s">
        <v>59</v>
      </c>
      <c r="K1825" s="5" t="s">
        <v>343</v>
      </c>
      <c r="L1825" s="2">
        <v>116220</v>
      </c>
      <c r="M1825" s="3">
        <v>1</v>
      </c>
      <c r="N1825" s="2">
        <v>116220</v>
      </c>
      <c r="O1825" s="2">
        <v>11622</v>
      </c>
      <c r="P1825" s="2">
        <v>127842</v>
      </c>
      <c r="Q1825" s="2">
        <f>P1825*12%</f>
        <v>15341.039999999999</v>
      </c>
    </row>
    <row r="1826" spans="1:17" hidden="1" x14ac:dyDescent="0.4">
      <c r="A1826" s="4" t="s">
        <v>23</v>
      </c>
      <c r="B1826" s="4" t="s">
        <v>14</v>
      </c>
      <c r="C1826" s="31" t="s">
        <v>435</v>
      </c>
      <c r="D1826" s="4" t="s">
        <v>24</v>
      </c>
      <c r="E1826" s="4" t="s">
        <v>16</v>
      </c>
      <c r="F1826" s="4" t="s">
        <v>17</v>
      </c>
      <c r="G1826" s="4" t="s">
        <v>18</v>
      </c>
      <c r="H1826" s="4" t="s">
        <v>213</v>
      </c>
      <c r="I1826" s="5" t="str">
        <f t="shared" si="28"/>
        <v>2025-07</v>
      </c>
      <c r="J1826" s="4" t="s">
        <v>59</v>
      </c>
      <c r="K1826" s="5" t="s">
        <v>343</v>
      </c>
      <c r="L1826" s="2">
        <v>55500</v>
      </c>
      <c r="M1826" s="3">
        <v>2</v>
      </c>
      <c r="N1826" s="2">
        <v>111000</v>
      </c>
      <c r="O1826" s="2">
        <v>11100</v>
      </c>
      <c r="P1826" s="2">
        <v>122100</v>
      </c>
      <c r="Q1826" s="2">
        <f>P1826*12%</f>
        <v>14652</v>
      </c>
    </row>
    <row r="1827" spans="1:17" hidden="1" x14ac:dyDescent="0.4">
      <c r="A1827" s="4" t="s">
        <v>112</v>
      </c>
      <c r="B1827" s="4" t="s">
        <v>26</v>
      </c>
      <c r="C1827" s="32" t="s">
        <v>436</v>
      </c>
      <c r="D1827" s="4" t="s">
        <v>113</v>
      </c>
      <c r="E1827" s="4" t="s">
        <v>28</v>
      </c>
      <c r="F1827" s="4" t="s">
        <v>17</v>
      </c>
      <c r="G1827" s="4" t="s">
        <v>18</v>
      </c>
      <c r="H1827" s="4" t="s">
        <v>213</v>
      </c>
      <c r="I1827" s="5" t="str">
        <f t="shared" si="28"/>
        <v>2025-07</v>
      </c>
      <c r="J1827" s="4" t="s">
        <v>59</v>
      </c>
      <c r="K1827" s="5" t="s">
        <v>343</v>
      </c>
      <c r="L1827" s="2">
        <v>375</v>
      </c>
      <c r="M1827" s="3">
        <v>30</v>
      </c>
      <c r="N1827" s="2">
        <v>11250</v>
      </c>
      <c r="O1827" s="2">
        <v>1125</v>
      </c>
      <c r="P1827" s="2">
        <v>12375</v>
      </c>
      <c r="Q1827" s="2">
        <f>P1827*12%</f>
        <v>1485</v>
      </c>
    </row>
    <row r="1828" spans="1:17" hidden="1" x14ac:dyDescent="0.4">
      <c r="A1828" s="4" t="s">
        <v>100</v>
      </c>
      <c r="B1828" s="4" t="s">
        <v>26</v>
      </c>
      <c r="C1828" s="32" t="s">
        <v>436</v>
      </c>
      <c r="D1828" s="4" t="s">
        <v>101</v>
      </c>
      <c r="E1828" s="4" t="s">
        <v>28</v>
      </c>
      <c r="F1828" s="4" t="s">
        <v>17</v>
      </c>
      <c r="G1828" s="4" t="s">
        <v>18</v>
      </c>
      <c r="H1828" s="4" t="s">
        <v>213</v>
      </c>
      <c r="I1828" s="5" t="str">
        <f t="shared" si="28"/>
        <v>2025-07</v>
      </c>
      <c r="J1828" s="4" t="s">
        <v>59</v>
      </c>
      <c r="K1828" s="5" t="s">
        <v>343</v>
      </c>
      <c r="L1828" s="2">
        <v>5620</v>
      </c>
      <c r="M1828" s="3">
        <v>6</v>
      </c>
      <c r="N1828" s="2">
        <v>33720</v>
      </c>
      <c r="O1828" s="2">
        <v>3372</v>
      </c>
      <c r="P1828" s="2">
        <v>37092</v>
      </c>
      <c r="Q1828" s="2">
        <f>P1828*12%</f>
        <v>4451.04</v>
      </c>
    </row>
    <row r="1829" spans="1:17" hidden="1" x14ac:dyDescent="0.4">
      <c r="A1829" s="4" t="s">
        <v>32</v>
      </c>
      <c r="B1829" s="4" t="s">
        <v>14</v>
      </c>
      <c r="C1829" s="31" t="s">
        <v>435</v>
      </c>
      <c r="D1829" s="4" t="s">
        <v>33</v>
      </c>
      <c r="E1829" s="4" t="s">
        <v>16</v>
      </c>
      <c r="F1829" s="4" t="s">
        <v>17</v>
      </c>
      <c r="G1829" s="4" t="s">
        <v>18</v>
      </c>
      <c r="H1829" s="4" t="s">
        <v>213</v>
      </c>
      <c r="I1829" s="5" t="str">
        <f t="shared" si="28"/>
        <v>2025-07</v>
      </c>
      <c r="J1829" s="4" t="s">
        <v>49</v>
      </c>
      <c r="K1829" s="5" t="s">
        <v>343</v>
      </c>
      <c r="L1829" s="2">
        <v>44000</v>
      </c>
      <c r="M1829" s="3">
        <v>5</v>
      </c>
      <c r="N1829" s="2">
        <v>220000</v>
      </c>
      <c r="O1829" s="2">
        <v>22000</v>
      </c>
      <c r="P1829" s="2">
        <v>242000</v>
      </c>
      <c r="Q1829" s="2">
        <f>P1829*12%</f>
        <v>29040</v>
      </c>
    </row>
    <row r="1830" spans="1:17" hidden="1" x14ac:dyDescent="0.4">
      <c r="A1830" s="4" t="s">
        <v>13</v>
      </c>
      <c r="B1830" s="4" t="s">
        <v>14</v>
      </c>
      <c r="C1830" s="30" t="s">
        <v>434</v>
      </c>
      <c r="D1830" s="4" t="s">
        <v>15</v>
      </c>
      <c r="E1830" s="4" t="s">
        <v>16</v>
      </c>
      <c r="F1830" s="4" t="s">
        <v>17</v>
      </c>
      <c r="G1830" s="4" t="s">
        <v>18</v>
      </c>
      <c r="H1830" s="4" t="s">
        <v>213</v>
      </c>
      <c r="I1830" s="5" t="str">
        <f t="shared" si="28"/>
        <v>2025-07</v>
      </c>
      <c r="J1830" s="4" t="s">
        <v>49</v>
      </c>
      <c r="K1830" s="5" t="s">
        <v>343</v>
      </c>
      <c r="L1830" s="2">
        <v>42000</v>
      </c>
      <c r="M1830" s="3">
        <v>6</v>
      </c>
      <c r="N1830" s="2">
        <v>252000</v>
      </c>
      <c r="O1830" s="2">
        <v>25200</v>
      </c>
      <c r="P1830" s="2">
        <v>277200</v>
      </c>
      <c r="Q1830" s="2">
        <f>P1830*12%</f>
        <v>33264</v>
      </c>
    </row>
    <row r="1831" spans="1:17" hidden="1" x14ac:dyDescent="0.4">
      <c r="A1831" s="4" t="s">
        <v>35</v>
      </c>
      <c r="B1831" s="4" t="s">
        <v>14</v>
      </c>
      <c r="C1831" s="30" t="s">
        <v>434</v>
      </c>
      <c r="D1831" s="4" t="s">
        <v>36</v>
      </c>
      <c r="E1831" s="4" t="s">
        <v>16</v>
      </c>
      <c r="F1831" s="4" t="s">
        <v>17</v>
      </c>
      <c r="G1831" s="4" t="s">
        <v>18</v>
      </c>
      <c r="H1831" s="4" t="s">
        <v>213</v>
      </c>
      <c r="I1831" s="5" t="str">
        <f t="shared" si="28"/>
        <v>2025-07</v>
      </c>
      <c r="J1831" s="4" t="s">
        <v>49</v>
      </c>
      <c r="K1831" s="5" t="s">
        <v>343</v>
      </c>
      <c r="L1831" s="2">
        <v>116220</v>
      </c>
      <c r="M1831" s="3">
        <v>1</v>
      </c>
      <c r="N1831" s="2">
        <v>116220</v>
      </c>
      <c r="O1831" s="2">
        <v>11622</v>
      </c>
      <c r="P1831" s="2">
        <v>127842</v>
      </c>
      <c r="Q1831" s="2">
        <f>P1831*12%</f>
        <v>15341.039999999999</v>
      </c>
    </row>
    <row r="1832" spans="1:17" hidden="1" x14ac:dyDescent="0.4">
      <c r="A1832" s="4" t="s">
        <v>23</v>
      </c>
      <c r="B1832" s="4" t="s">
        <v>14</v>
      </c>
      <c r="C1832" s="31" t="s">
        <v>435</v>
      </c>
      <c r="D1832" s="4" t="s">
        <v>24</v>
      </c>
      <c r="E1832" s="4" t="s">
        <v>16</v>
      </c>
      <c r="F1832" s="4" t="s">
        <v>17</v>
      </c>
      <c r="G1832" s="4" t="s">
        <v>18</v>
      </c>
      <c r="H1832" s="4" t="s">
        <v>213</v>
      </c>
      <c r="I1832" s="5" t="str">
        <f t="shared" si="28"/>
        <v>2025-07</v>
      </c>
      <c r="J1832" s="4" t="s">
        <v>49</v>
      </c>
      <c r="K1832" s="5" t="s">
        <v>343</v>
      </c>
      <c r="L1832" s="2">
        <v>55500</v>
      </c>
      <c r="M1832" s="3">
        <v>2</v>
      </c>
      <c r="N1832" s="2">
        <v>111000</v>
      </c>
      <c r="O1832" s="2">
        <v>11100</v>
      </c>
      <c r="P1832" s="2">
        <v>122100</v>
      </c>
      <c r="Q1832" s="2">
        <f>P1832*12%</f>
        <v>14652</v>
      </c>
    </row>
    <row r="1833" spans="1:17" hidden="1" x14ac:dyDescent="0.4">
      <c r="A1833" s="4" t="s">
        <v>13</v>
      </c>
      <c r="B1833" s="4" t="s">
        <v>14</v>
      </c>
      <c r="C1833" s="30" t="s">
        <v>434</v>
      </c>
      <c r="D1833" s="4" t="s">
        <v>15</v>
      </c>
      <c r="E1833" s="4" t="s">
        <v>16</v>
      </c>
      <c r="F1833" s="4" t="s">
        <v>17</v>
      </c>
      <c r="G1833" s="4" t="s">
        <v>18</v>
      </c>
      <c r="H1833" s="4" t="s">
        <v>213</v>
      </c>
      <c r="I1833" s="5" t="str">
        <f t="shared" si="28"/>
        <v>2025-07</v>
      </c>
      <c r="J1833" s="4" t="s">
        <v>50</v>
      </c>
      <c r="K1833" s="5" t="s">
        <v>343</v>
      </c>
      <c r="L1833" s="2">
        <v>42000</v>
      </c>
      <c r="M1833" s="3">
        <v>10</v>
      </c>
      <c r="N1833" s="2">
        <v>420000</v>
      </c>
      <c r="O1833" s="2">
        <v>42000</v>
      </c>
      <c r="P1833" s="2">
        <v>462000</v>
      </c>
      <c r="Q1833" s="2">
        <f>P1833*12%</f>
        <v>55440</v>
      </c>
    </row>
    <row r="1834" spans="1:17" hidden="1" x14ac:dyDescent="0.4">
      <c r="A1834" s="4" t="s">
        <v>23</v>
      </c>
      <c r="B1834" s="4" t="s">
        <v>14</v>
      </c>
      <c r="C1834" s="31" t="s">
        <v>435</v>
      </c>
      <c r="D1834" s="4" t="s">
        <v>24</v>
      </c>
      <c r="E1834" s="4" t="s">
        <v>16</v>
      </c>
      <c r="F1834" s="4" t="s">
        <v>17</v>
      </c>
      <c r="G1834" s="4" t="s">
        <v>18</v>
      </c>
      <c r="H1834" s="4" t="s">
        <v>213</v>
      </c>
      <c r="I1834" s="5" t="str">
        <f t="shared" si="28"/>
        <v>2025-07</v>
      </c>
      <c r="J1834" s="4" t="s">
        <v>50</v>
      </c>
      <c r="K1834" s="5" t="s">
        <v>343</v>
      </c>
      <c r="L1834" s="2">
        <v>55500</v>
      </c>
      <c r="M1834" s="3">
        <v>3</v>
      </c>
      <c r="N1834" s="2">
        <v>166500</v>
      </c>
      <c r="O1834" s="2">
        <v>16650</v>
      </c>
      <c r="P1834" s="2">
        <v>183150</v>
      </c>
      <c r="Q1834" s="2">
        <f>P1834*12%</f>
        <v>21978</v>
      </c>
    </row>
    <row r="1835" spans="1:17" hidden="1" x14ac:dyDescent="0.4">
      <c r="A1835" s="4" t="s">
        <v>51</v>
      </c>
      <c r="B1835" s="4" t="s">
        <v>14</v>
      </c>
      <c r="C1835" s="30" t="s">
        <v>434</v>
      </c>
      <c r="D1835" s="4" t="s">
        <v>52</v>
      </c>
      <c r="E1835" s="4" t="s">
        <v>16</v>
      </c>
      <c r="F1835" s="4" t="s">
        <v>17</v>
      </c>
      <c r="G1835" s="4" t="s">
        <v>18</v>
      </c>
      <c r="H1835" s="4" t="s">
        <v>213</v>
      </c>
      <c r="I1835" s="5" t="str">
        <f t="shared" si="28"/>
        <v>2025-07</v>
      </c>
      <c r="J1835" s="4" t="s">
        <v>50</v>
      </c>
      <c r="K1835" s="5" t="s">
        <v>343</v>
      </c>
      <c r="L1835" s="2">
        <v>73000</v>
      </c>
      <c r="M1835" s="3">
        <v>1</v>
      </c>
      <c r="N1835" s="2">
        <v>73000</v>
      </c>
      <c r="O1835" s="2">
        <v>7300</v>
      </c>
      <c r="P1835" s="2">
        <v>80300</v>
      </c>
      <c r="Q1835" s="2">
        <f>P1835*12%</f>
        <v>9636</v>
      </c>
    </row>
    <row r="1836" spans="1:17" x14ac:dyDescent="0.4">
      <c r="A1836" s="4" t="s">
        <v>21</v>
      </c>
      <c r="B1836" s="4" t="s">
        <v>14</v>
      </c>
      <c r="C1836" s="31" t="s">
        <v>435</v>
      </c>
      <c r="D1836" s="4" t="s">
        <v>22</v>
      </c>
      <c r="E1836" s="4" t="s">
        <v>16</v>
      </c>
      <c r="F1836" s="4" t="s">
        <v>17</v>
      </c>
      <c r="G1836" s="4" t="s">
        <v>18</v>
      </c>
      <c r="H1836" s="4" t="s">
        <v>214</v>
      </c>
      <c r="I1836" s="5" t="str">
        <f t="shared" si="28"/>
        <v>2025-07</v>
      </c>
      <c r="J1836" s="4" t="s">
        <v>20</v>
      </c>
      <c r="K1836" s="5" t="s">
        <v>342</v>
      </c>
      <c r="L1836" s="2">
        <v>55500</v>
      </c>
      <c r="M1836" s="3">
        <v>1</v>
      </c>
      <c r="N1836" s="2">
        <v>55500</v>
      </c>
      <c r="O1836" s="2">
        <v>5550</v>
      </c>
      <c r="P1836" s="2">
        <v>61050</v>
      </c>
      <c r="Q1836" s="2">
        <f>P1836*8.5%</f>
        <v>5189.25</v>
      </c>
    </row>
    <row r="1837" spans="1:17" x14ac:dyDescent="0.4">
      <c r="A1837" s="4" t="s">
        <v>23</v>
      </c>
      <c r="B1837" s="4" t="s">
        <v>14</v>
      </c>
      <c r="C1837" s="31" t="s">
        <v>435</v>
      </c>
      <c r="D1837" s="4" t="s">
        <v>24</v>
      </c>
      <c r="E1837" s="4" t="s">
        <v>16</v>
      </c>
      <c r="F1837" s="4" t="s">
        <v>17</v>
      </c>
      <c r="G1837" s="4" t="s">
        <v>18</v>
      </c>
      <c r="H1837" s="4" t="s">
        <v>214</v>
      </c>
      <c r="I1837" s="5" t="str">
        <f t="shared" si="28"/>
        <v>2025-07</v>
      </c>
      <c r="J1837" s="4" t="s">
        <v>20</v>
      </c>
      <c r="K1837" s="5" t="s">
        <v>342</v>
      </c>
      <c r="L1837" s="2">
        <v>55500</v>
      </c>
      <c r="M1837" s="3">
        <v>2</v>
      </c>
      <c r="N1837" s="2">
        <v>111000</v>
      </c>
      <c r="O1837" s="2">
        <v>11100</v>
      </c>
      <c r="P1837" s="2">
        <v>122100</v>
      </c>
      <c r="Q1837" s="2">
        <f>P1837*8.5%</f>
        <v>10378.5</v>
      </c>
    </row>
    <row r="1838" spans="1:17" x14ac:dyDescent="0.4">
      <c r="A1838" s="4" t="s">
        <v>76</v>
      </c>
      <c r="B1838" s="4" t="s">
        <v>65</v>
      </c>
      <c r="C1838" s="32" t="s">
        <v>436</v>
      </c>
      <c r="D1838" s="4" t="s">
        <v>27</v>
      </c>
      <c r="E1838" s="4" t="s">
        <v>28</v>
      </c>
      <c r="F1838" s="4" t="s">
        <v>17</v>
      </c>
      <c r="G1838" s="4" t="s">
        <v>18</v>
      </c>
      <c r="H1838" s="4" t="s">
        <v>214</v>
      </c>
      <c r="I1838" s="5" t="str">
        <f t="shared" si="28"/>
        <v>2025-07</v>
      </c>
      <c r="J1838" s="4" t="s">
        <v>20</v>
      </c>
      <c r="K1838" s="5" t="s">
        <v>342</v>
      </c>
      <c r="L1838" s="2">
        <v>17338</v>
      </c>
      <c r="M1838" s="3">
        <v>1</v>
      </c>
      <c r="N1838" s="2">
        <v>17338</v>
      </c>
      <c r="O1838" s="2">
        <v>1734</v>
      </c>
      <c r="P1838" s="2">
        <v>19072</v>
      </c>
      <c r="Q1838" s="2">
        <f>P1838*8.5%</f>
        <v>1621.1200000000001</v>
      </c>
    </row>
    <row r="1839" spans="1:17" x14ac:dyDescent="0.4">
      <c r="A1839" s="4" t="s">
        <v>54</v>
      </c>
      <c r="B1839" s="4" t="s">
        <v>26</v>
      </c>
      <c r="C1839" s="32" t="s">
        <v>436</v>
      </c>
      <c r="D1839" s="4" t="s">
        <v>55</v>
      </c>
      <c r="E1839" s="4" t="s">
        <v>28</v>
      </c>
      <c r="F1839" s="4" t="s">
        <v>31</v>
      </c>
      <c r="G1839" s="4" t="s">
        <v>18</v>
      </c>
      <c r="H1839" s="4" t="s">
        <v>214</v>
      </c>
      <c r="I1839" s="5" t="str">
        <f t="shared" si="28"/>
        <v>2025-07</v>
      </c>
      <c r="J1839" s="4" t="s">
        <v>20</v>
      </c>
      <c r="K1839" s="5" t="s">
        <v>342</v>
      </c>
      <c r="L1839" s="2">
        <v>5919</v>
      </c>
      <c r="M1839" s="3">
        <v>1</v>
      </c>
      <c r="N1839" s="2">
        <v>5919</v>
      </c>
      <c r="O1839" s="2">
        <v>0</v>
      </c>
      <c r="P1839" s="2">
        <v>5919</v>
      </c>
      <c r="Q1839" s="2">
        <f>P1839*8.5%</f>
        <v>503.11500000000001</v>
      </c>
    </row>
    <row r="1840" spans="1:17" x14ac:dyDescent="0.4">
      <c r="A1840" s="4" t="s">
        <v>56</v>
      </c>
      <c r="B1840" s="4" t="s">
        <v>26</v>
      </c>
      <c r="C1840" s="32" t="s">
        <v>436</v>
      </c>
      <c r="D1840" s="4" t="s">
        <v>57</v>
      </c>
      <c r="E1840" s="4" t="s">
        <v>44</v>
      </c>
      <c r="F1840" s="4" t="s">
        <v>31</v>
      </c>
      <c r="G1840" s="4" t="s">
        <v>18</v>
      </c>
      <c r="H1840" s="4" t="s">
        <v>214</v>
      </c>
      <c r="I1840" s="5" t="str">
        <f t="shared" si="28"/>
        <v>2025-07</v>
      </c>
      <c r="J1840" s="4" t="s">
        <v>20</v>
      </c>
      <c r="K1840" s="5" t="s">
        <v>342</v>
      </c>
      <c r="L1840" s="2">
        <v>1925</v>
      </c>
      <c r="M1840" s="3">
        <v>20</v>
      </c>
      <c r="N1840" s="2">
        <v>38500</v>
      </c>
      <c r="O1840" s="2">
        <v>0</v>
      </c>
      <c r="P1840" s="2">
        <v>38500</v>
      </c>
      <c r="Q1840" s="2">
        <f>P1840*8.5%</f>
        <v>3272.5000000000005</v>
      </c>
    </row>
    <row r="1841" spans="1:17" hidden="1" x14ac:dyDescent="0.4">
      <c r="A1841" s="4" t="s">
        <v>32</v>
      </c>
      <c r="B1841" s="4" t="s">
        <v>14</v>
      </c>
      <c r="C1841" s="31" t="s">
        <v>435</v>
      </c>
      <c r="D1841" s="4" t="s">
        <v>33</v>
      </c>
      <c r="E1841" s="4" t="s">
        <v>16</v>
      </c>
      <c r="F1841" s="4" t="s">
        <v>17</v>
      </c>
      <c r="G1841" s="4" t="s">
        <v>18</v>
      </c>
      <c r="H1841" s="4" t="s">
        <v>214</v>
      </c>
      <c r="I1841" s="5" t="str">
        <f t="shared" si="28"/>
        <v>2025-07</v>
      </c>
      <c r="J1841" s="4" t="s">
        <v>118</v>
      </c>
      <c r="K1841" s="5" t="s">
        <v>342</v>
      </c>
      <c r="L1841" s="2">
        <v>44000</v>
      </c>
      <c r="M1841" s="3">
        <v>1</v>
      </c>
      <c r="N1841" s="2">
        <v>44000</v>
      </c>
      <c r="O1841" s="2">
        <v>4400</v>
      </c>
      <c r="P1841" s="2">
        <v>48400</v>
      </c>
      <c r="Q1841" s="2">
        <f>P1841*8.5%</f>
        <v>4114</v>
      </c>
    </row>
    <row r="1842" spans="1:17" hidden="1" x14ac:dyDescent="0.4">
      <c r="A1842" s="4" t="s">
        <v>13</v>
      </c>
      <c r="B1842" s="4" t="s">
        <v>14</v>
      </c>
      <c r="C1842" s="30" t="s">
        <v>434</v>
      </c>
      <c r="D1842" s="4" t="s">
        <v>15</v>
      </c>
      <c r="E1842" s="4" t="s">
        <v>16</v>
      </c>
      <c r="F1842" s="4" t="s">
        <v>17</v>
      </c>
      <c r="G1842" s="4" t="s">
        <v>18</v>
      </c>
      <c r="H1842" s="4" t="s">
        <v>214</v>
      </c>
      <c r="I1842" s="5" t="str">
        <f t="shared" si="28"/>
        <v>2025-07</v>
      </c>
      <c r="J1842" s="4" t="s">
        <v>118</v>
      </c>
      <c r="K1842" s="5" t="s">
        <v>342</v>
      </c>
      <c r="L1842" s="2">
        <v>42000</v>
      </c>
      <c r="M1842" s="3">
        <v>2</v>
      </c>
      <c r="N1842" s="2">
        <v>84000</v>
      </c>
      <c r="O1842" s="2">
        <v>8400</v>
      </c>
      <c r="P1842" s="2">
        <v>92400</v>
      </c>
      <c r="Q1842" s="2">
        <f>P1842*8.5%</f>
        <v>7854.0000000000009</v>
      </c>
    </row>
    <row r="1843" spans="1:17" hidden="1" x14ac:dyDescent="0.4">
      <c r="A1843" s="4" t="s">
        <v>23</v>
      </c>
      <c r="B1843" s="4" t="s">
        <v>14</v>
      </c>
      <c r="C1843" s="31" t="s">
        <v>435</v>
      </c>
      <c r="D1843" s="4" t="s">
        <v>24</v>
      </c>
      <c r="E1843" s="4" t="s">
        <v>16</v>
      </c>
      <c r="F1843" s="4" t="s">
        <v>17</v>
      </c>
      <c r="G1843" s="4" t="s">
        <v>18</v>
      </c>
      <c r="H1843" s="4" t="s">
        <v>214</v>
      </c>
      <c r="I1843" s="5" t="str">
        <f t="shared" si="28"/>
        <v>2025-07</v>
      </c>
      <c r="J1843" s="4" t="s">
        <v>118</v>
      </c>
      <c r="K1843" s="5" t="s">
        <v>342</v>
      </c>
      <c r="L1843" s="2">
        <v>55500</v>
      </c>
      <c r="M1843" s="3">
        <v>1</v>
      </c>
      <c r="N1843" s="2">
        <v>55500</v>
      </c>
      <c r="O1843" s="2">
        <v>5550</v>
      </c>
      <c r="P1843" s="2">
        <v>61050</v>
      </c>
      <c r="Q1843" s="2">
        <f>P1843*8.5%</f>
        <v>5189.25</v>
      </c>
    </row>
    <row r="1844" spans="1:17" hidden="1" x14ac:dyDescent="0.4">
      <c r="A1844" s="4" t="s">
        <v>51</v>
      </c>
      <c r="B1844" s="4" t="s">
        <v>14</v>
      </c>
      <c r="C1844" s="30" t="s">
        <v>434</v>
      </c>
      <c r="D1844" s="4" t="s">
        <v>52</v>
      </c>
      <c r="E1844" s="4" t="s">
        <v>16</v>
      </c>
      <c r="F1844" s="4" t="s">
        <v>17</v>
      </c>
      <c r="G1844" s="4" t="s">
        <v>18</v>
      </c>
      <c r="H1844" s="4" t="s">
        <v>214</v>
      </c>
      <c r="I1844" s="5" t="str">
        <f t="shared" si="28"/>
        <v>2025-07</v>
      </c>
      <c r="J1844" s="4" t="s">
        <v>118</v>
      </c>
      <c r="K1844" s="5" t="s">
        <v>342</v>
      </c>
      <c r="L1844" s="2">
        <v>73000</v>
      </c>
      <c r="M1844" s="3">
        <v>1</v>
      </c>
      <c r="N1844" s="2">
        <v>73000</v>
      </c>
      <c r="O1844" s="2">
        <v>7300</v>
      </c>
      <c r="P1844" s="2">
        <v>80300</v>
      </c>
      <c r="Q1844" s="2">
        <f>P1844*8.5%</f>
        <v>6825.5000000000009</v>
      </c>
    </row>
    <row r="1845" spans="1:17" hidden="1" x14ac:dyDescent="0.4">
      <c r="A1845" s="4" t="s">
        <v>82</v>
      </c>
      <c r="B1845" s="4" t="s">
        <v>26</v>
      </c>
      <c r="C1845" s="32" t="s">
        <v>436</v>
      </c>
      <c r="D1845" s="4" t="s">
        <v>81</v>
      </c>
      <c r="E1845" s="4" t="s">
        <v>16</v>
      </c>
      <c r="F1845" s="4" t="s">
        <v>17</v>
      </c>
      <c r="G1845" s="4" t="s">
        <v>18</v>
      </c>
      <c r="H1845" s="4" t="s">
        <v>214</v>
      </c>
      <c r="I1845" s="5" t="str">
        <f t="shared" si="28"/>
        <v>2025-07</v>
      </c>
      <c r="J1845" s="4" t="s">
        <v>34</v>
      </c>
      <c r="K1845" s="5" t="s">
        <v>342</v>
      </c>
      <c r="L1845" s="2">
        <v>20925</v>
      </c>
      <c r="M1845" s="3">
        <v>1</v>
      </c>
      <c r="N1845" s="2">
        <v>20925</v>
      </c>
      <c r="O1845" s="2">
        <v>2093</v>
      </c>
      <c r="P1845" s="2">
        <v>23018</v>
      </c>
      <c r="Q1845" s="2">
        <f>P1845*8.5%</f>
        <v>1956.5300000000002</v>
      </c>
    </row>
    <row r="1846" spans="1:17" hidden="1" x14ac:dyDescent="0.4">
      <c r="A1846" s="4" t="s">
        <v>13</v>
      </c>
      <c r="B1846" s="4" t="s">
        <v>14</v>
      </c>
      <c r="C1846" s="30" t="s">
        <v>434</v>
      </c>
      <c r="D1846" s="4" t="s">
        <v>15</v>
      </c>
      <c r="E1846" s="4" t="s">
        <v>16</v>
      </c>
      <c r="F1846" s="4" t="s">
        <v>17</v>
      </c>
      <c r="G1846" s="4" t="s">
        <v>18</v>
      </c>
      <c r="H1846" s="4" t="s">
        <v>214</v>
      </c>
      <c r="I1846" s="5" t="str">
        <f t="shared" si="28"/>
        <v>2025-07</v>
      </c>
      <c r="J1846" s="4" t="s">
        <v>34</v>
      </c>
      <c r="K1846" s="5" t="s">
        <v>342</v>
      </c>
      <c r="L1846" s="2">
        <v>42000</v>
      </c>
      <c r="M1846" s="3">
        <v>7</v>
      </c>
      <c r="N1846" s="2">
        <v>294000</v>
      </c>
      <c r="O1846" s="2">
        <v>29400</v>
      </c>
      <c r="P1846" s="2">
        <v>323400</v>
      </c>
      <c r="Q1846" s="2">
        <f>P1846*8.5%</f>
        <v>27489.000000000004</v>
      </c>
    </row>
    <row r="1847" spans="1:17" hidden="1" x14ac:dyDescent="0.4">
      <c r="A1847" s="4" t="s">
        <v>21</v>
      </c>
      <c r="B1847" s="4" t="s">
        <v>14</v>
      </c>
      <c r="C1847" s="31" t="s">
        <v>435</v>
      </c>
      <c r="D1847" s="4" t="s">
        <v>22</v>
      </c>
      <c r="E1847" s="4" t="s">
        <v>16</v>
      </c>
      <c r="F1847" s="4" t="s">
        <v>17</v>
      </c>
      <c r="G1847" s="4" t="s">
        <v>18</v>
      </c>
      <c r="H1847" s="4" t="s">
        <v>214</v>
      </c>
      <c r="I1847" s="5" t="str">
        <f t="shared" si="28"/>
        <v>2025-07</v>
      </c>
      <c r="J1847" s="4" t="s">
        <v>34</v>
      </c>
      <c r="K1847" s="5" t="s">
        <v>342</v>
      </c>
      <c r="L1847" s="2">
        <v>55500</v>
      </c>
      <c r="M1847" s="3">
        <v>1</v>
      </c>
      <c r="N1847" s="2">
        <v>55500</v>
      </c>
      <c r="O1847" s="2">
        <v>5550</v>
      </c>
      <c r="P1847" s="2">
        <v>61050</v>
      </c>
      <c r="Q1847" s="2">
        <f>P1847*8.5%</f>
        <v>5189.25</v>
      </c>
    </row>
    <row r="1848" spans="1:17" hidden="1" x14ac:dyDescent="0.4">
      <c r="A1848" s="4" t="s">
        <v>35</v>
      </c>
      <c r="B1848" s="4" t="s">
        <v>14</v>
      </c>
      <c r="C1848" s="30" t="s">
        <v>434</v>
      </c>
      <c r="D1848" s="4" t="s">
        <v>36</v>
      </c>
      <c r="E1848" s="4" t="s">
        <v>16</v>
      </c>
      <c r="F1848" s="4" t="s">
        <v>17</v>
      </c>
      <c r="G1848" s="4" t="s">
        <v>18</v>
      </c>
      <c r="H1848" s="4" t="s">
        <v>214</v>
      </c>
      <c r="I1848" s="5" t="str">
        <f t="shared" si="28"/>
        <v>2025-07</v>
      </c>
      <c r="J1848" s="4" t="s">
        <v>34</v>
      </c>
      <c r="K1848" s="5" t="s">
        <v>342</v>
      </c>
      <c r="L1848" s="2">
        <v>116220</v>
      </c>
      <c r="M1848" s="3">
        <v>1</v>
      </c>
      <c r="N1848" s="2">
        <v>116220</v>
      </c>
      <c r="O1848" s="2">
        <v>11622</v>
      </c>
      <c r="P1848" s="2">
        <v>127842</v>
      </c>
      <c r="Q1848" s="2">
        <f>P1848*8.5%</f>
        <v>10866.570000000002</v>
      </c>
    </row>
    <row r="1849" spans="1:17" hidden="1" x14ac:dyDescent="0.4">
      <c r="A1849" s="4" t="s">
        <v>23</v>
      </c>
      <c r="B1849" s="4" t="s">
        <v>14</v>
      </c>
      <c r="C1849" s="31" t="s">
        <v>435</v>
      </c>
      <c r="D1849" s="4" t="s">
        <v>24</v>
      </c>
      <c r="E1849" s="4" t="s">
        <v>16</v>
      </c>
      <c r="F1849" s="4" t="s">
        <v>17</v>
      </c>
      <c r="G1849" s="4" t="s">
        <v>18</v>
      </c>
      <c r="H1849" s="4" t="s">
        <v>214</v>
      </c>
      <c r="I1849" s="5" t="str">
        <f t="shared" si="28"/>
        <v>2025-07</v>
      </c>
      <c r="J1849" s="4" t="s">
        <v>34</v>
      </c>
      <c r="K1849" s="5" t="s">
        <v>342</v>
      </c>
      <c r="L1849" s="2">
        <v>55500</v>
      </c>
      <c r="M1849" s="3">
        <v>6</v>
      </c>
      <c r="N1849" s="2">
        <v>333000</v>
      </c>
      <c r="O1849" s="2">
        <v>33300</v>
      </c>
      <c r="P1849" s="2">
        <v>366300</v>
      </c>
      <c r="Q1849" s="2">
        <f>P1849*8.5%</f>
        <v>31135.500000000004</v>
      </c>
    </row>
    <row r="1850" spans="1:17" hidden="1" x14ac:dyDescent="0.4">
      <c r="A1850" s="4" t="s">
        <v>51</v>
      </c>
      <c r="B1850" s="4" t="s">
        <v>14</v>
      </c>
      <c r="C1850" s="30" t="s">
        <v>434</v>
      </c>
      <c r="D1850" s="4" t="s">
        <v>52</v>
      </c>
      <c r="E1850" s="4" t="s">
        <v>16</v>
      </c>
      <c r="F1850" s="4" t="s">
        <v>17</v>
      </c>
      <c r="G1850" s="4" t="s">
        <v>18</v>
      </c>
      <c r="H1850" s="4" t="s">
        <v>214</v>
      </c>
      <c r="I1850" s="5" t="str">
        <f t="shared" si="28"/>
        <v>2025-07</v>
      </c>
      <c r="J1850" s="4" t="s">
        <v>34</v>
      </c>
      <c r="K1850" s="5" t="s">
        <v>342</v>
      </c>
      <c r="L1850" s="2">
        <v>73000</v>
      </c>
      <c r="M1850" s="3">
        <v>1</v>
      </c>
      <c r="N1850" s="2">
        <v>73000</v>
      </c>
      <c r="O1850" s="2">
        <v>7300</v>
      </c>
      <c r="P1850" s="2">
        <v>80300</v>
      </c>
      <c r="Q1850" s="2">
        <f>P1850*8.5%</f>
        <v>6825.5000000000009</v>
      </c>
    </row>
    <row r="1851" spans="1:17" hidden="1" x14ac:dyDescent="0.4">
      <c r="A1851" s="4" t="s">
        <v>42</v>
      </c>
      <c r="B1851" s="4" t="s">
        <v>14</v>
      </c>
      <c r="C1851" s="30" t="s">
        <v>434</v>
      </c>
      <c r="D1851" s="4" t="s">
        <v>43</v>
      </c>
      <c r="E1851" s="4" t="s">
        <v>44</v>
      </c>
      <c r="F1851" s="4" t="s">
        <v>31</v>
      </c>
      <c r="G1851" s="4" t="s">
        <v>18</v>
      </c>
      <c r="H1851" s="4" t="s">
        <v>214</v>
      </c>
      <c r="I1851" s="5" t="str">
        <f t="shared" si="28"/>
        <v>2025-07</v>
      </c>
      <c r="J1851" s="4" t="s">
        <v>34</v>
      </c>
      <c r="K1851" s="5" t="s">
        <v>342</v>
      </c>
      <c r="L1851" s="2">
        <v>7300</v>
      </c>
      <c r="M1851" s="3">
        <v>75.7</v>
      </c>
      <c r="N1851" s="2">
        <v>552610</v>
      </c>
      <c r="O1851" s="2">
        <v>0</v>
      </c>
      <c r="P1851" s="2">
        <v>552610</v>
      </c>
      <c r="Q1851" s="2">
        <f>P1851*8.5%</f>
        <v>46971.850000000006</v>
      </c>
    </row>
    <row r="1852" spans="1:17" hidden="1" x14ac:dyDescent="0.4">
      <c r="A1852" s="4" t="s">
        <v>13</v>
      </c>
      <c r="B1852" s="4" t="s">
        <v>14</v>
      </c>
      <c r="C1852" s="30" t="s">
        <v>434</v>
      </c>
      <c r="D1852" s="4" t="s">
        <v>15</v>
      </c>
      <c r="E1852" s="4" t="s">
        <v>16</v>
      </c>
      <c r="F1852" s="4" t="s">
        <v>17</v>
      </c>
      <c r="G1852" s="4" t="s">
        <v>18</v>
      </c>
      <c r="H1852" s="4" t="s">
        <v>214</v>
      </c>
      <c r="I1852" s="5" t="str">
        <f t="shared" si="28"/>
        <v>2025-07</v>
      </c>
      <c r="J1852" s="4" t="s">
        <v>59</v>
      </c>
      <c r="K1852" s="5" t="s">
        <v>343</v>
      </c>
      <c r="L1852" s="2">
        <v>42000</v>
      </c>
      <c r="M1852" s="3">
        <v>4</v>
      </c>
      <c r="N1852" s="2">
        <v>168000</v>
      </c>
      <c r="O1852" s="2">
        <v>16800</v>
      </c>
      <c r="P1852" s="2">
        <v>184800</v>
      </c>
      <c r="Q1852" s="2">
        <f>P1852*12%</f>
        <v>22176</v>
      </c>
    </row>
    <row r="1853" spans="1:17" hidden="1" x14ac:dyDescent="0.4">
      <c r="A1853" s="4" t="s">
        <v>35</v>
      </c>
      <c r="B1853" s="4" t="s">
        <v>14</v>
      </c>
      <c r="C1853" s="30" t="s">
        <v>434</v>
      </c>
      <c r="D1853" s="4" t="s">
        <v>36</v>
      </c>
      <c r="E1853" s="4" t="s">
        <v>16</v>
      </c>
      <c r="F1853" s="4" t="s">
        <v>17</v>
      </c>
      <c r="G1853" s="4" t="s">
        <v>18</v>
      </c>
      <c r="H1853" s="4" t="s">
        <v>214</v>
      </c>
      <c r="I1853" s="5" t="str">
        <f t="shared" si="28"/>
        <v>2025-07</v>
      </c>
      <c r="J1853" s="4" t="s">
        <v>59</v>
      </c>
      <c r="K1853" s="5" t="s">
        <v>343</v>
      </c>
      <c r="L1853" s="2">
        <v>116220</v>
      </c>
      <c r="M1853" s="3">
        <v>1</v>
      </c>
      <c r="N1853" s="2">
        <v>116220</v>
      </c>
      <c r="O1853" s="2">
        <v>11622</v>
      </c>
      <c r="P1853" s="2">
        <v>127842</v>
      </c>
      <c r="Q1853" s="2">
        <f>P1853*12%</f>
        <v>15341.039999999999</v>
      </c>
    </row>
    <row r="1854" spans="1:17" hidden="1" x14ac:dyDescent="0.4">
      <c r="A1854" s="4" t="s">
        <v>23</v>
      </c>
      <c r="B1854" s="4" t="s">
        <v>14</v>
      </c>
      <c r="C1854" s="31" t="s">
        <v>435</v>
      </c>
      <c r="D1854" s="4" t="s">
        <v>24</v>
      </c>
      <c r="E1854" s="4" t="s">
        <v>16</v>
      </c>
      <c r="F1854" s="4" t="s">
        <v>17</v>
      </c>
      <c r="G1854" s="4" t="s">
        <v>18</v>
      </c>
      <c r="H1854" s="4" t="s">
        <v>214</v>
      </c>
      <c r="I1854" s="5" t="str">
        <f t="shared" si="28"/>
        <v>2025-07</v>
      </c>
      <c r="J1854" s="4" t="s">
        <v>59</v>
      </c>
      <c r="K1854" s="5" t="s">
        <v>343</v>
      </c>
      <c r="L1854" s="2">
        <v>55500</v>
      </c>
      <c r="M1854" s="3">
        <v>1</v>
      </c>
      <c r="N1854" s="2">
        <v>55500</v>
      </c>
      <c r="O1854" s="2">
        <v>5550</v>
      </c>
      <c r="P1854" s="2">
        <v>61050</v>
      </c>
      <c r="Q1854" s="2">
        <f>P1854*12%</f>
        <v>7326</v>
      </c>
    </row>
    <row r="1855" spans="1:17" hidden="1" x14ac:dyDescent="0.4">
      <c r="A1855" s="4" t="s">
        <v>51</v>
      </c>
      <c r="B1855" s="4" t="s">
        <v>14</v>
      </c>
      <c r="C1855" s="30" t="s">
        <v>434</v>
      </c>
      <c r="D1855" s="4" t="s">
        <v>52</v>
      </c>
      <c r="E1855" s="4" t="s">
        <v>16</v>
      </c>
      <c r="F1855" s="4" t="s">
        <v>17</v>
      </c>
      <c r="G1855" s="4" t="s">
        <v>18</v>
      </c>
      <c r="H1855" s="4" t="s">
        <v>214</v>
      </c>
      <c r="I1855" s="5" t="str">
        <f t="shared" si="28"/>
        <v>2025-07</v>
      </c>
      <c r="J1855" s="4" t="s">
        <v>59</v>
      </c>
      <c r="K1855" s="5" t="s">
        <v>343</v>
      </c>
      <c r="L1855" s="2">
        <v>73000</v>
      </c>
      <c r="M1855" s="3">
        <v>1</v>
      </c>
      <c r="N1855" s="2">
        <v>73000</v>
      </c>
      <c r="O1855" s="2">
        <v>7300</v>
      </c>
      <c r="P1855" s="2">
        <v>80300</v>
      </c>
      <c r="Q1855" s="2">
        <f>P1855*12%</f>
        <v>9636</v>
      </c>
    </row>
    <row r="1856" spans="1:17" hidden="1" x14ac:dyDescent="0.4">
      <c r="A1856" s="4" t="s">
        <v>215</v>
      </c>
      <c r="B1856" s="4" t="s">
        <v>26</v>
      </c>
      <c r="C1856" s="32" t="s">
        <v>436</v>
      </c>
      <c r="D1856" s="4" t="s">
        <v>216</v>
      </c>
      <c r="E1856" s="4" t="s">
        <v>28</v>
      </c>
      <c r="F1856" s="4" t="s">
        <v>17</v>
      </c>
      <c r="G1856" s="4" t="s">
        <v>18</v>
      </c>
      <c r="H1856" s="4" t="s">
        <v>214</v>
      </c>
      <c r="I1856" s="5" t="str">
        <f t="shared" si="28"/>
        <v>2025-07</v>
      </c>
      <c r="J1856" s="4" t="s">
        <v>59</v>
      </c>
      <c r="K1856" s="5" t="s">
        <v>343</v>
      </c>
      <c r="L1856" s="2">
        <v>4472</v>
      </c>
      <c r="M1856" s="3">
        <v>3</v>
      </c>
      <c r="N1856" s="2">
        <v>13416</v>
      </c>
      <c r="O1856" s="2">
        <v>1342</v>
      </c>
      <c r="P1856" s="2">
        <v>14758</v>
      </c>
      <c r="Q1856" s="2">
        <f>P1856*12%</f>
        <v>1770.96</v>
      </c>
    </row>
    <row r="1857" spans="1:17" hidden="1" x14ac:dyDescent="0.4">
      <c r="A1857" s="4" t="s">
        <v>32</v>
      </c>
      <c r="B1857" s="4" t="s">
        <v>14</v>
      </c>
      <c r="C1857" s="31" t="s">
        <v>435</v>
      </c>
      <c r="D1857" s="4" t="s">
        <v>33</v>
      </c>
      <c r="E1857" s="4" t="s">
        <v>16</v>
      </c>
      <c r="F1857" s="4" t="s">
        <v>17</v>
      </c>
      <c r="G1857" s="4" t="s">
        <v>18</v>
      </c>
      <c r="H1857" s="4" t="s">
        <v>214</v>
      </c>
      <c r="I1857" s="5" t="str">
        <f t="shared" si="28"/>
        <v>2025-07</v>
      </c>
      <c r="J1857" s="4" t="s">
        <v>49</v>
      </c>
      <c r="K1857" s="5" t="s">
        <v>343</v>
      </c>
      <c r="L1857" s="2">
        <v>44000</v>
      </c>
      <c r="M1857" s="3">
        <v>5</v>
      </c>
      <c r="N1857" s="2">
        <v>220000</v>
      </c>
      <c r="O1857" s="2">
        <v>22000</v>
      </c>
      <c r="P1857" s="2">
        <v>242000</v>
      </c>
      <c r="Q1857" s="2">
        <f>P1857*12%</f>
        <v>29040</v>
      </c>
    </row>
    <row r="1858" spans="1:17" hidden="1" x14ac:dyDescent="0.4">
      <c r="A1858" s="4" t="s">
        <v>13</v>
      </c>
      <c r="B1858" s="4" t="s">
        <v>14</v>
      </c>
      <c r="C1858" s="30" t="s">
        <v>434</v>
      </c>
      <c r="D1858" s="4" t="s">
        <v>15</v>
      </c>
      <c r="E1858" s="4" t="s">
        <v>16</v>
      </c>
      <c r="F1858" s="4" t="s">
        <v>17</v>
      </c>
      <c r="G1858" s="4" t="s">
        <v>18</v>
      </c>
      <c r="H1858" s="4" t="s">
        <v>214</v>
      </c>
      <c r="I1858" s="5" t="str">
        <f t="shared" ref="I1858:I1921" si="29">TEXT(H1858,"yyyy-mm")</f>
        <v>2025-07</v>
      </c>
      <c r="J1858" s="4" t="s">
        <v>49</v>
      </c>
      <c r="K1858" s="5" t="s">
        <v>343</v>
      </c>
      <c r="L1858" s="2">
        <v>42000</v>
      </c>
      <c r="M1858" s="3">
        <v>6</v>
      </c>
      <c r="N1858" s="2">
        <v>252000</v>
      </c>
      <c r="O1858" s="2">
        <v>25200</v>
      </c>
      <c r="P1858" s="2">
        <v>277200</v>
      </c>
      <c r="Q1858" s="2">
        <f>P1858*12%</f>
        <v>33264</v>
      </c>
    </row>
    <row r="1859" spans="1:17" hidden="1" x14ac:dyDescent="0.4">
      <c r="A1859" s="4" t="s">
        <v>35</v>
      </c>
      <c r="B1859" s="4" t="s">
        <v>14</v>
      </c>
      <c r="C1859" s="30" t="s">
        <v>434</v>
      </c>
      <c r="D1859" s="4" t="s">
        <v>36</v>
      </c>
      <c r="E1859" s="4" t="s">
        <v>16</v>
      </c>
      <c r="F1859" s="4" t="s">
        <v>17</v>
      </c>
      <c r="G1859" s="4" t="s">
        <v>18</v>
      </c>
      <c r="H1859" s="4" t="s">
        <v>214</v>
      </c>
      <c r="I1859" s="5" t="str">
        <f t="shared" si="29"/>
        <v>2025-07</v>
      </c>
      <c r="J1859" s="4" t="s">
        <v>49</v>
      </c>
      <c r="K1859" s="5" t="s">
        <v>343</v>
      </c>
      <c r="L1859" s="2">
        <v>116220</v>
      </c>
      <c r="M1859" s="3">
        <v>1</v>
      </c>
      <c r="N1859" s="2">
        <v>116220</v>
      </c>
      <c r="O1859" s="2">
        <v>11622</v>
      </c>
      <c r="P1859" s="2">
        <v>127842</v>
      </c>
      <c r="Q1859" s="2">
        <f>P1859*12%</f>
        <v>15341.039999999999</v>
      </c>
    </row>
    <row r="1860" spans="1:17" hidden="1" x14ac:dyDescent="0.4">
      <c r="A1860" s="4" t="s">
        <v>23</v>
      </c>
      <c r="B1860" s="4" t="s">
        <v>14</v>
      </c>
      <c r="C1860" s="31" t="s">
        <v>435</v>
      </c>
      <c r="D1860" s="4" t="s">
        <v>24</v>
      </c>
      <c r="E1860" s="4" t="s">
        <v>16</v>
      </c>
      <c r="F1860" s="4" t="s">
        <v>17</v>
      </c>
      <c r="G1860" s="4" t="s">
        <v>18</v>
      </c>
      <c r="H1860" s="4" t="s">
        <v>214</v>
      </c>
      <c r="I1860" s="5" t="str">
        <f t="shared" si="29"/>
        <v>2025-07</v>
      </c>
      <c r="J1860" s="4" t="s">
        <v>49</v>
      </c>
      <c r="K1860" s="5" t="s">
        <v>343</v>
      </c>
      <c r="L1860" s="2">
        <v>55500</v>
      </c>
      <c r="M1860" s="3">
        <v>4</v>
      </c>
      <c r="N1860" s="2">
        <v>222000</v>
      </c>
      <c r="O1860" s="2">
        <v>22200</v>
      </c>
      <c r="P1860" s="2">
        <v>244200</v>
      </c>
      <c r="Q1860" s="2">
        <f>P1860*12%</f>
        <v>29304</v>
      </c>
    </row>
    <row r="1861" spans="1:17" hidden="1" x14ac:dyDescent="0.4">
      <c r="A1861" s="4" t="s">
        <v>51</v>
      </c>
      <c r="B1861" s="4" t="s">
        <v>14</v>
      </c>
      <c r="C1861" s="30" t="s">
        <v>434</v>
      </c>
      <c r="D1861" s="4" t="s">
        <v>52</v>
      </c>
      <c r="E1861" s="4" t="s">
        <v>16</v>
      </c>
      <c r="F1861" s="4" t="s">
        <v>17</v>
      </c>
      <c r="G1861" s="4" t="s">
        <v>18</v>
      </c>
      <c r="H1861" s="4" t="s">
        <v>214</v>
      </c>
      <c r="I1861" s="5" t="str">
        <f t="shared" si="29"/>
        <v>2025-07</v>
      </c>
      <c r="J1861" s="4" t="s">
        <v>49</v>
      </c>
      <c r="K1861" s="5" t="s">
        <v>343</v>
      </c>
      <c r="L1861" s="2">
        <v>73000</v>
      </c>
      <c r="M1861" s="3">
        <v>1</v>
      </c>
      <c r="N1861" s="2">
        <v>73000</v>
      </c>
      <c r="O1861" s="2">
        <v>7300</v>
      </c>
      <c r="P1861" s="2">
        <v>80300</v>
      </c>
      <c r="Q1861" s="2">
        <f>P1861*12%</f>
        <v>9636</v>
      </c>
    </row>
    <row r="1862" spans="1:17" hidden="1" x14ac:dyDescent="0.4">
      <c r="A1862" s="4" t="s">
        <v>32</v>
      </c>
      <c r="B1862" s="4" t="s">
        <v>14</v>
      </c>
      <c r="C1862" s="31" t="s">
        <v>435</v>
      </c>
      <c r="D1862" s="4" t="s">
        <v>33</v>
      </c>
      <c r="E1862" s="4" t="s">
        <v>16</v>
      </c>
      <c r="F1862" s="4" t="s">
        <v>17</v>
      </c>
      <c r="G1862" s="4" t="s">
        <v>18</v>
      </c>
      <c r="H1862" s="4" t="s">
        <v>214</v>
      </c>
      <c r="I1862" s="5" t="str">
        <f t="shared" si="29"/>
        <v>2025-07</v>
      </c>
      <c r="J1862" s="4" t="s">
        <v>50</v>
      </c>
      <c r="K1862" s="5" t="s">
        <v>343</v>
      </c>
      <c r="L1862" s="2">
        <v>44000</v>
      </c>
      <c r="M1862" s="3">
        <v>2</v>
      </c>
      <c r="N1862" s="2">
        <v>88000</v>
      </c>
      <c r="O1862" s="2">
        <v>8800</v>
      </c>
      <c r="P1862" s="2">
        <v>96800</v>
      </c>
      <c r="Q1862" s="2">
        <f>P1862*12%</f>
        <v>11616</v>
      </c>
    </row>
    <row r="1863" spans="1:17" hidden="1" x14ac:dyDescent="0.4">
      <c r="A1863" s="4" t="s">
        <v>13</v>
      </c>
      <c r="B1863" s="4" t="s">
        <v>14</v>
      </c>
      <c r="C1863" s="30" t="s">
        <v>434</v>
      </c>
      <c r="D1863" s="4" t="s">
        <v>15</v>
      </c>
      <c r="E1863" s="4" t="s">
        <v>16</v>
      </c>
      <c r="F1863" s="4" t="s">
        <v>17</v>
      </c>
      <c r="G1863" s="4" t="s">
        <v>18</v>
      </c>
      <c r="H1863" s="4" t="s">
        <v>214</v>
      </c>
      <c r="I1863" s="5" t="str">
        <f t="shared" si="29"/>
        <v>2025-07</v>
      </c>
      <c r="J1863" s="4" t="s">
        <v>50</v>
      </c>
      <c r="K1863" s="5" t="s">
        <v>343</v>
      </c>
      <c r="L1863" s="2">
        <v>42000</v>
      </c>
      <c r="M1863" s="3">
        <v>12</v>
      </c>
      <c r="N1863" s="2">
        <v>504000</v>
      </c>
      <c r="O1863" s="2">
        <v>50400</v>
      </c>
      <c r="P1863" s="2">
        <v>554400</v>
      </c>
      <c r="Q1863" s="2">
        <f>P1863*12%</f>
        <v>66528</v>
      </c>
    </row>
    <row r="1864" spans="1:17" hidden="1" x14ac:dyDescent="0.4">
      <c r="A1864" s="4" t="s">
        <v>23</v>
      </c>
      <c r="B1864" s="4" t="s">
        <v>14</v>
      </c>
      <c r="C1864" s="31" t="s">
        <v>435</v>
      </c>
      <c r="D1864" s="4" t="s">
        <v>24</v>
      </c>
      <c r="E1864" s="4" t="s">
        <v>16</v>
      </c>
      <c r="F1864" s="4" t="s">
        <v>17</v>
      </c>
      <c r="G1864" s="4" t="s">
        <v>18</v>
      </c>
      <c r="H1864" s="4" t="s">
        <v>214</v>
      </c>
      <c r="I1864" s="5" t="str">
        <f t="shared" si="29"/>
        <v>2025-07</v>
      </c>
      <c r="J1864" s="4" t="s">
        <v>50</v>
      </c>
      <c r="K1864" s="5" t="s">
        <v>343</v>
      </c>
      <c r="L1864" s="2">
        <v>55500</v>
      </c>
      <c r="M1864" s="3">
        <v>5</v>
      </c>
      <c r="N1864" s="2">
        <v>277500</v>
      </c>
      <c r="O1864" s="2">
        <v>27750</v>
      </c>
      <c r="P1864" s="2">
        <v>305250</v>
      </c>
      <c r="Q1864" s="2">
        <f>P1864*12%</f>
        <v>36630</v>
      </c>
    </row>
    <row r="1865" spans="1:17" hidden="1" x14ac:dyDescent="0.4">
      <c r="A1865" s="4" t="s">
        <v>51</v>
      </c>
      <c r="B1865" s="4" t="s">
        <v>14</v>
      </c>
      <c r="C1865" s="30" t="s">
        <v>434</v>
      </c>
      <c r="D1865" s="4" t="s">
        <v>52</v>
      </c>
      <c r="E1865" s="4" t="s">
        <v>16</v>
      </c>
      <c r="F1865" s="4" t="s">
        <v>17</v>
      </c>
      <c r="G1865" s="4" t="s">
        <v>18</v>
      </c>
      <c r="H1865" s="4" t="s">
        <v>214</v>
      </c>
      <c r="I1865" s="5" t="str">
        <f t="shared" si="29"/>
        <v>2025-07</v>
      </c>
      <c r="J1865" s="4" t="s">
        <v>50</v>
      </c>
      <c r="K1865" s="5" t="s">
        <v>343</v>
      </c>
      <c r="L1865" s="2">
        <v>73000</v>
      </c>
      <c r="M1865" s="3">
        <v>2</v>
      </c>
      <c r="N1865" s="2">
        <v>146000</v>
      </c>
      <c r="O1865" s="2">
        <v>14600</v>
      </c>
      <c r="P1865" s="2">
        <v>160600</v>
      </c>
      <c r="Q1865" s="2">
        <f>P1865*12%</f>
        <v>19272</v>
      </c>
    </row>
    <row r="1866" spans="1:17" x14ac:dyDescent="0.4">
      <c r="A1866" s="4" t="s">
        <v>58</v>
      </c>
      <c r="B1866" s="4" t="s">
        <v>14</v>
      </c>
      <c r="C1866" s="30" t="s">
        <v>434</v>
      </c>
      <c r="D1866" s="4" t="s">
        <v>36</v>
      </c>
      <c r="E1866" s="4" t="s">
        <v>16</v>
      </c>
      <c r="F1866" s="4" t="s">
        <v>17</v>
      </c>
      <c r="G1866" s="4" t="s">
        <v>18</v>
      </c>
      <c r="H1866" s="4" t="s">
        <v>217</v>
      </c>
      <c r="I1866" s="5" t="str">
        <f t="shared" si="29"/>
        <v>2025-07</v>
      </c>
      <c r="J1866" s="4" t="s">
        <v>20</v>
      </c>
      <c r="K1866" s="5" t="s">
        <v>342</v>
      </c>
      <c r="L1866" s="2">
        <v>120880</v>
      </c>
      <c r="M1866" s="3">
        <v>1</v>
      </c>
      <c r="N1866" s="2">
        <v>120880</v>
      </c>
      <c r="O1866" s="2">
        <v>12088</v>
      </c>
      <c r="P1866" s="2">
        <v>132968</v>
      </c>
      <c r="Q1866" s="2">
        <f>P1866*8.5%</f>
        <v>11302.28</v>
      </c>
    </row>
    <row r="1867" spans="1:17" x14ac:dyDescent="0.4">
      <c r="A1867" s="4" t="s">
        <v>13</v>
      </c>
      <c r="B1867" s="4" t="s">
        <v>14</v>
      </c>
      <c r="C1867" s="30" t="s">
        <v>434</v>
      </c>
      <c r="D1867" s="4" t="s">
        <v>15</v>
      </c>
      <c r="E1867" s="4" t="s">
        <v>16</v>
      </c>
      <c r="F1867" s="4" t="s">
        <v>17</v>
      </c>
      <c r="G1867" s="4" t="s">
        <v>18</v>
      </c>
      <c r="H1867" s="4" t="s">
        <v>217</v>
      </c>
      <c r="I1867" s="5" t="str">
        <f t="shared" si="29"/>
        <v>2025-07</v>
      </c>
      <c r="J1867" s="4" t="s">
        <v>20</v>
      </c>
      <c r="K1867" s="5" t="s">
        <v>342</v>
      </c>
      <c r="L1867" s="2">
        <v>42000</v>
      </c>
      <c r="M1867" s="3">
        <v>3</v>
      </c>
      <c r="N1867" s="2">
        <v>126000</v>
      </c>
      <c r="O1867" s="2">
        <v>12600</v>
      </c>
      <c r="P1867" s="2">
        <v>138600</v>
      </c>
      <c r="Q1867" s="2">
        <f>P1867*8.5%</f>
        <v>11781</v>
      </c>
    </row>
    <row r="1868" spans="1:17" x14ac:dyDescent="0.4">
      <c r="A1868" s="4" t="s">
        <v>21</v>
      </c>
      <c r="B1868" s="4" t="s">
        <v>14</v>
      </c>
      <c r="C1868" s="31" t="s">
        <v>435</v>
      </c>
      <c r="D1868" s="4" t="s">
        <v>22</v>
      </c>
      <c r="E1868" s="4" t="s">
        <v>16</v>
      </c>
      <c r="F1868" s="4" t="s">
        <v>17</v>
      </c>
      <c r="G1868" s="4" t="s">
        <v>18</v>
      </c>
      <c r="H1868" s="4" t="s">
        <v>217</v>
      </c>
      <c r="I1868" s="5" t="str">
        <f t="shared" si="29"/>
        <v>2025-07</v>
      </c>
      <c r="J1868" s="4" t="s">
        <v>20</v>
      </c>
      <c r="K1868" s="5" t="s">
        <v>342</v>
      </c>
      <c r="L1868" s="2">
        <v>55500</v>
      </c>
      <c r="M1868" s="3">
        <v>2</v>
      </c>
      <c r="N1868" s="2">
        <v>111000</v>
      </c>
      <c r="O1868" s="2">
        <v>11100</v>
      </c>
      <c r="P1868" s="2">
        <v>122100</v>
      </c>
      <c r="Q1868" s="2">
        <f>P1868*8.5%</f>
        <v>10378.5</v>
      </c>
    </row>
    <row r="1869" spans="1:17" x14ac:dyDescent="0.4">
      <c r="A1869" s="4" t="s">
        <v>23</v>
      </c>
      <c r="B1869" s="4" t="s">
        <v>14</v>
      </c>
      <c r="C1869" s="31" t="s">
        <v>435</v>
      </c>
      <c r="D1869" s="4" t="s">
        <v>24</v>
      </c>
      <c r="E1869" s="4" t="s">
        <v>16</v>
      </c>
      <c r="F1869" s="4" t="s">
        <v>17</v>
      </c>
      <c r="G1869" s="4" t="s">
        <v>18</v>
      </c>
      <c r="H1869" s="4" t="s">
        <v>217</v>
      </c>
      <c r="I1869" s="5" t="str">
        <f t="shared" si="29"/>
        <v>2025-07</v>
      </c>
      <c r="J1869" s="4" t="s">
        <v>20</v>
      </c>
      <c r="K1869" s="5" t="s">
        <v>342</v>
      </c>
      <c r="L1869" s="2">
        <v>55500</v>
      </c>
      <c r="M1869" s="3">
        <v>2</v>
      </c>
      <c r="N1869" s="2">
        <v>111000</v>
      </c>
      <c r="O1869" s="2">
        <v>11100</v>
      </c>
      <c r="P1869" s="2">
        <v>122100</v>
      </c>
      <c r="Q1869" s="2">
        <f>P1869*8.5%</f>
        <v>10378.5</v>
      </c>
    </row>
    <row r="1870" spans="1:17" x14ac:dyDescent="0.4">
      <c r="A1870" s="4" t="s">
        <v>56</v>
      </c>
      <c r="B1870" s="4" t="s">
        <v>26</v>
      </c>
      <c r="C1870" s="32" t="s">
        <v>436</v>
      </c>
      <c r="D1870" s="4" t="s">
        <v>57</v>
      </c>
      <c r="E1870" s="4" t="s">
        <v>44</v>
      </c>
      <c r="F1870" s="4" t="s">
        <v>31</v>
      </c>
      <c r="G1870" s="4" t="s">
        <v>18</v>
      </c>
      <c r="H1870" s="4" t="s">
        <v>217</v>
      </c>
      <c r="I1870" s="5" t="str">
        <f t="shared" si="29"/>
        <v>2025-07</v>
      </c>
      <c r="J1870" s="4" t="s">
        <v>20</v>
      </c>
      <c r="K1870" s="5" t="s">
        <v>342</v>
      </c>
      <c r="L1870" s="2">
        <v>1925</v>
      </c>
      <c r="M1870" s="3">
        <v>25</v>
      </c>
      <c r="N1870" s="2">
        <v>48125</v>
      </c>
      <c r="O1870" s="2">
        <v>0</v>
      </c>
      <c r="P1870" s="2">
        <v>48125</v>
      </c>
      <c r="Q1870" s="2">
        <f>P1870*8.5%</f>
        <v>4090.6250000000005</v>
      </c>
    </row>
    <row r="1871" spans="1:17" hidden="1" x14ac:dyDescent="0.4">
      <c r="A1871" s="4" t="s">
        <v>13</v>
      </c>
      <c r="B1871" s="4" t="s">
        <v>14</v>
      </c>
      <c r="C1871" s="30" t="s">
        <v>434</v>
      </c>
      <c r="D1871" s="4" t="s">
        <v>15</v>
      </c>
      <c r="E1871" s="4" t="s">
        <v>16</v>
      </c>
      <c r="F1871" s="4" t="s">
        <v>17</v>
      </c>
      <c r="G1871" s="4" t="s">
        <v>18</v>
      </c>
      <c r="H1871" s="4" t="s">
        <v>217</v>
      </c>
      <c r="I1871" s="5" t="str">
        <f t="shared" si="29"/>
        <v>2025-07</v>
      </c>
      <c r="J1871" s="4" t="s">
        <v>118</v>
      </c>
      <c r="K1871" s="5" t="s">
        <v>342</v>
      </c>
      <c r="L1871" s="2">
        <v>42000</v>
      </c>
      <c r="M1871" s="3">
        <v>6</v>
      </c>
      <c r="N1871" s="2">
        <v>252000</v>
      </c>
      <c r="O1871" s="2">
        <v>25200</v>
      </c>
      <c r="P1871" s="2">
        <v>277200</v>
      </c>
      <c r="Q1871" s="2">
        <f>P1871*8.5%</f>
        <v>23562</v>
      </c>
    </row>
    <row r="1872" spans="1:17" hidden="1" x14ac:dyDescent="0.4">
      <c r="A1872" s="4" t="s">
        <v>23</v>
      </c>
      <c r="B1872" s="4" t="s">
        <v>14</v>
      </c>
      <c r="C1872" s="31" t="s">
        <v>435</v>
      </c>
      <c r="D1872" s="4" t="s">
        <v>24</v>
      </c>
      <c r="E1872" s="4" t="s">
        <v>16</v>
      </c>
      <c r="F1872" s="4" t="s">
        <v>17</v>
      </c>
      <c r="G1872" s="4" t="s">
        <v>18</v>
      </c>
      <c r="H1872" s="4" t="s">
        <v>217</v>
      </c>
      <c r="I1872" s="5" t="str">
        <f t="shared" si="29"/>
        <v>2025-07</v>
      </c>
      <c r="J1872" s="4" t="s">
        <v>118</v>
      </c>
      <c r="K1872" s="5" t="s">
        <v>342</v>
      </c>
      <c r="L1872" s="2">
        <v>55500</v>
      </c>
      <c r="M1872" s="3">
        <v>2</v>
      </c>
      <c r="N1872" s="2">
        <v>111000</v>
      </c>
      <c r="O1872" s="2">
        <v>11100</v>
      </c>
      <c r="P1872" s="2">
        <v>122100</v>
      </c>
      <c r="Q1872" s="2">
        <f>P1872*8.5%</f>
        <v>10378.5</v>
      </c>
    </row>
    <row r="1873" spans="1:17" hidden="1" x14ac:dyDescent="0.4">
      <c r="A1873" s="4" t="s">
        <v>103</v>
      </c>
      <c r="B1873" s="4" t="s">
        <v>26</v>
      </c>
      <c r="C1873" s="32" t="s">
        <v>436</v>
      </c>
      <c r="D1873" s="4" t="s">
        <v>104</v>
      </c>
      <c r="E1873" s="4" t="s">
        <v>16</v>
      </c>
      <c r="F1873" s="4" t="s">
        <v>17</v>
      </c>
      <c r="G1873" s="4" t="s">
        <v>18</v>
      </c>
      <c r="H1873" s="4" t="s">
        <v>217</v>
      </c>
      <c r="I1873" s="5" t="str">
        <f t="shared" si="29"/>
        <v>2025-07</v>
      </c>
      <c r="J1873" s="4" t="s">
        <v>34</v>
      </c>
      <c r="K1873" s="5" t="s">
        <v>342</v>
      </c>
      <c r="L1873" s="2">
        <v>12555</v>
      </c>
      <c r="M1873" s="3">
        <v>1</v>
      </c>
      <c r="N1873" s="2">
        <v>12555</v>
      </c>
      <c r="O1873" s="2">
        <v>1256</v>
      </c>
      <c r="P1873" s="2">
        <v>13811</v>
      </c>
      <c r="Q1873" s="2">
        <f>P1873*8.5%</f>
        <v>1173.9350000000002</v>
      </c>
    </row>
    <row r="1874" spans="1:17" hidden="1" x14ac:dyDescent="0.4">
      <c r="A1874" s="4" t="s">
        <v>32</v>
      </c>
      <c r="B1874" s="4" t="s">
        <v>14</v>
      </c>
      <c r="C1874" s="31" t="s">
        <v>435</v>
      </c>
      <c r="D1874" s="4" t="s">
        <v>33</v>
      </c>
      <c r="E1874" s="4" t="s">
        <v>16</v>
      </c>
      <c r="F1874" s="4" t="s">
        <v>17</v>
      </c>
      <c r="G1874" s="4" t="s">
        <v>18</v>
      </c>
      <c r="H1874" s="4" t="s">
        <v>217</v>
      </c>
      <c r="I1874" s="5" t="str">
        <f t="shared" si="29"/>
        <v>2025-07</v>
      </c>
      <c r="J1874" s="4" t="s">
        <v>34</v>
      </c>
      <c r="K1874" s="5" t="s">
        <v>342</v>
      </c>
      <c r="L1874" s="2">
        <v>44000</v>
      </c>
      <c r="M1874" s="3">
        <v>3</v>
      </c>
      <c r="N1874" s="2">
        <v>132000</v>
      </c>
      <c r="O1874" s="2">
        <v>13200</v>
      </c>
      <c r="P1874" s="2">
        <v>145200</v>
      </c>
      <c r="Q1874" s="2">
        <f>P1874*8.5%</f>
        <v>12342</v>
      </c>
    </row>
    <row r="1875" spans="1:17" hidden="1" x14ac:dyDescent="0.4">
      <c r="A1875" s="4" t="s">
        <v>58</v>
      </c>
      <c r="B1875" s="4" t="s">
        <v>14</v>
      </c>
      <c r="C1875" s="30" t="s">
        <v>434</v>
      </c>
      <c r="D1875" s="4" t="s">
        <v>36</v>
      </c>
      <c r="E1875" s="4" t="s">
        <v>16</v>
      </c>
      <c r="F1875" s="4" t="s">
        <v>17</v>
      </c>
      <c r="G1875" s="4" t="s">
        <v>18</v>
      </c>
      <c r="H1875" s="4" t="s">
        <v>217</v>
      </c>
      <c r="I1875" s="5" t="str">
        <f t="shared" si="29"/>
        <v>2025-07</v>
      </c>
      <c r="J1875" s="4" t="s">
        <v>34</v>
      </c>
      <c r="K1875" s="5" t="s">
        <v>342</v>
      </c>
      <c r="L1875" s="2">
        <v>120880</v>
      </c>
      <c r="M1875" s="3">
        <v>1</v>
      </c>
      <c r="N1875" s="2">
        <v>120880</v>
      </c>
      <c r="O1875" s="2">
        <v>12088</v>
      </c>
      <c r="P1875" s="2">
        <v>132968</v>
      </c>
      <c r="Q1875" s="2">
        <f>P1875*8.5%</f>
        <v>11302.28</v>
      </c>
    </row>
    <row r="1876" spans="1:17" hidden="1" x14ac:dyDescent="0.4">
      <c r="A1876" s="4" t="s">
        <v>13</v>
      </c>
      <c r="B1876" s="4" t="s">
        <v>14</v>
      </c>
      <c r="C1876" s="30" t="s">
        <v>434</v>
      </c>
      <c r="D1876" s="4" t="s">
        <v>15</v>
      </c>
      <c r="E1876" s="4" t="s">
        <v>16</v>
      </c>
      <c r="F1876" s="4" t="s">
        <v>17</v>
      </c>
      <c r="G1876" s="4" t="s">
        <v>18</v>
      </c>
      <c r="H1876" s="4" t="s">
        <v>217</v>
      </c>
      <c r="I1876" s="5" t="str">
        <f t="shared" si="29"/>
        <v>2025-07</v>
      </c>
      <c r="J1876" s="4" t="s">
        <v>34</v>
      </c>
      <c r="K1876" s="5" t="s">
        <v>342</v>
      </c>
      <c r="L1876" s="2">
        <v>42000</v>
      </c>
      <c r="M1876" s="3">
        <v>9</v>
      </c>
      <c r="N1876" s="2">
        <v>378000</v>
      </c>
      <c r="O1876" s="2">
        <v>37800</v>
      </c>
      <c r="P1876" s="2">
        <v>415800</v>
      </c>
      <c r="Q1876" s="2">
        <f>P1876*8.5%</f>
        <v>35343</v>
      </c>
    </row>
    <row r="1877" spans="1:17" hidden="1" x14ac:dyDescent="0.4">
      <c r="A1877" s="4" t="s">
        <v>21</v>
      </c>
      <c r="B1877" s="4" t="s">
        <v>14</v>
      </c>
      <c r="C1877" s="31" t="s">
        <v>435</v>
      </c>
      <c r="D1877" s="4" t="s">
        <v>22</v>
      </c>
      <c r="E1877" s="4" t="s">
        <v>16</v>
      </c>
      <c r="F1877" s="4" t="s">
        <v>17</v>
      </c>
      <c r="G1877" s="4" t="s">
        <v>18</v>
      </c>
      <c r="H1877" s="4" t="s">
        <v>217</v>
      </c>
      <c r="I1877" s="5" t="str">
        <f t="shared" si="29"/>
        <v>2025-07</v>
      </c>
      <c r="J1877" s="4" t="s">
        <v>34</v>
      </c>
      <c r="K1877" s="5" t="s">
        <v>342</v>
      </c>
      <c r="L1877" s="2">
        <v>55500</v>
      </c>
      <c r="M1877" s="3">
        <v>2</v>
      </c>
      <c r="N1877" s="2">
        <v>111000</v>
      </c>
      <c r="O1877" s="2">
        <v>11100</v>
      </c>
      <c r="P1877" s="2">
        <v>122100</v>
      </c>
      <c r="Q1877" s="2">
        <f>P1877*8.5%</f>
        <v>10378.5</v>
      </c>
    </row>
    <row r="1878" spans="1:17" hidden="1" x14ac:dyDescent="0.4">
      <c r="A1878" s="4" t="s">
        <v>23</v>
      </c>
      <c r="B1878" s="4" t="s">
        <v>14</v>
      </c>
      <c r="C1878" s="31" t="s">
        <v>435</v>
      </c>
      <c r="D1878" s="4" t="s">
        <v>24</v>
      </c>
      <c r="E1878" s="4" t="s">
        <v>16</v>
      </c>
      <c r="F1878" s="4" t="s">
        <v>17</v>
      </c>
      <c r="G1878" s="4" t="s">
        <v>18</v>
      </c>
      <c r="H1878" s="4" t="s">
        <v>217</v>
      </c>
      <c r="I1878" s="5" t="str">
        <f t="shared" si="29"/>
        <v>2025-07</v>
      </c>
      <c r="J1878" s="4" t="s">
        <v>34</v>
      </c>
      <c r="K1878" s="5" t="s">
        <v>342</v>
      </c>
      <c r="L1878" s="2">
        <v>55500</v>
      </c>
      <c r="M1878" s="3">
        <v>3</v>
      </c>
      <c r="N1878" s="2">
        <v>166500</v>
      </c>
      <c r="O1878" s="2">
        <v>16650</v>
      </c>
      <c r="P1878" s="2">
        <v>183150</v>
      </c>
      <c r="Q1878" s="2">
        <f>P1878*8.5%</f>
        <v>15567.750000000002</v>
      </c>
    </row>
    <row r="1879" spans="1:17" hidden="1" x14ac:dyDescent="0.4">
      <c r="A1879" s="4" t="s">
        <v>51</v>
      </c>
      <c r="B1879" s="4" t="s">
        <v>14</v>
      </c>
      <c r="C1879" s="30" t="s">
        <v>434</v>
      </c>
      <c r="D1879" s="4" t="s">
        <v>52</v>
      </c>
      <c r="E1879" s="4" t="s">
        <v>16</v>
      </c>
      <c r="F1879" s="4" t="s">
        <v>17</v>
      </c>
      <c r="G1879" s="4" t="s">
        <v>18</v>
      </c>
      <c r="H1879" s="4" t="s">
        <v>217</v>
      </c>
      <c r="I1879" s="5" t="str">
        <f t="shared" si="29"/>
        <v>2025-07</v>
      </c>
      <c r="J1879" s="4" t="s">
        <v>34</v>
      </c>
      <c r="K1879" s="5" t="s">
        <v>342</v>
      </c>
      <c r="L1879" s="2">
        <v>73000</v>
      </c>
      <c r="M1879" s="3">
        <v>1</v>
      </c>
      <c r="N1879" s="2">
        <v>73000</v>
      </c>
      <c r="O1879" s="2">
        <v>7300</v>
      </c>
      <c r="P1879" s="2">
        <v>80300</v>
      </c>
      <c r="Q1879" s="2">
        <f>P1879*8.5%</f>
        <v>6825.5000000000009</v>
      </c>
    </row>
    <row r="1880" spans="1:17" hidden="1" x14ac:dyDescent="0.4">
      <c r="A1880" s="4" t="s">
        <v>84</v>
      </c>
      <c r="B1880" s="4" t="s">
        <v>26</v>
      </c>
      <c r="C1880" s="32" t="s">
        <v>436</v>
      </c>
      <c r="D1880" s="4" t="s">
        <v>85</v>
      </c>
      <c r="E1880" s="4" t="s">
        <v>28</v>
      </c>
      <c r="F1880" s="4" t="s">
        <v>17</v>
      </c>
      <c r="G1880" s="4" t="s">
        <v>18</v>
      </c>
      <c r="H1880" s="4" t="s">
        <v>217</v>
      </c>
      <c r="I1880" s="5" t="str">
        <f t="shared" si="29"/>
        <v>2025-07</v>
      </c>
      <c r="J1880" s="4" t="s">
        <v>34</v>
      </c>
      <c r="K1880" s="5" t="s">
        <v>342</v>
      </c>
      <c r="L1880" s="2">
        <v>5032</v>
      </c>
      <c r="M1880" s="3">
        <v>1</v>
      </c>
      <c r="N1880" s="2">
        <v>5032</v>
      </c>
      <c r="O1880" s="2">
        <v>503</v>
      </c>
      <c r="P1880" s="2">
        <v>5535</v>
      </c>
      <c r="Q1880" s="2">
        <f>P1880*8.5%</f>
        <v>470.47500000000002</v>
      </c>
    </row>
    <row r="1881" spans="1:17" hidden="1" x14ac:dyDescent="0.4">
      <c r="A1881" s="4" t="s">
        <v>42</v>
      </c>
      <c r="B1881" s="4" t="s">
        <v>14</v>
      </c>
      <c r="C1881" s="30" t="s">
        <v>434</v>
      </c>
      <c r="D1881" s="4" t="s">
        <v>43</v>
      </c>
      <c r="E1881" s="4" t="s">
        <v>44</v>
      </c>
      <c r="F1881" s="4" t="s">
        <v>31</v>
      </c>
      <c r="G1881" s="4" t="s">
        <v>18</v>
      </c>
      <c r="H1881" s="4" t="s">
        <v>217</v>
      </c>
      <c r="I1881" s="5" t="str">
        <f t="shared" si="29"/>
        <v>2025-07</v>
      </c>
      <c r="J1881" s="4" t="s">
        <v>34</v>
      </c>
      <c r="K1881" s="5" t="s">
        <v>342</v>
      </c>
      <c r="L1881" s="2">
        <v>7300</v>
      </c>
      <c r="M1881" s="3">
        <v>72.3</v>
      </c>
      <c r="N1881" s="2">
        <v>527790</v>
      </c>
      <c r="O1881" s="2">
        <v>0</v>
      </c>
      <c r="P1881" s="2">
        <v>527790</v>
      </c>
      <c r="Q1881" s="2">
        <f>P1881*8.5%</f>
        <v>44862.15</v>
      </c>
    </row>
    <row r="1882" spans="1:17" hidden="1" x14ac:dyDescent="0.4">
      <c r="A1882" s="4" t="s">
        <v>35</v>
      </c>
      <c r="B1882" s="4" t="s">
        <v>14</v>
      </c>
      <c r="C1882" s="30" t="s">
        <v>434</v>
      </c>
      <c r="D1882" s="4" t="s">
        <v>36</v>
      </c>
      <c r="E1882" s="4" t="s">
        <v>16</v>
      </c>
      <c r="F1882" s="4" t="s">
        <v>17</v>
      </c>
      <c r="G1882" s="4" t="s">
        <v>18</v>
      </c>
      <c r="H1882" s="4" t="s">
        <v>217</v>
      </c>
      <c r="I1882" s="5" t="str">
        <f t="shared" si="29"/>
        <v>2025-07</v>
      </c>
      <c r="J1882" s="4" t="s">
        <v>60</v>
      </c>
      <c r="K1882" s="5" t="s">
        <v>343</v>
      </c>
      <c r="L1882" s="2">
        <v>116220</v>
      </c>
      <c r="M1882" s="3">
        <v>6</v>
      </c>
      <c r="N1882" s="2">
        <v>697320</v>
      </c>
      <c r="O1882" s="2">
        <v>69732</v>
      </c>
      <c r="P1882" s="2">
        <v>767052</v>
      </c>
      <c r="Q1882" s="2">
        <f>P1882*12%</f>
        <v>92046.239999999991</v>
      </c>
    </row>
    <row r="1883" spans="1:17" hidden="1" x14ac:dyDescent="0.4">
      <c r="A1883" s="4" t="s">
        <v>23</v>
      </c>
      <c r="B1883" s="4" t="s">
        <v>14</v>
      </c>
      <c r="C1883" s="31" t="s">
        <v>435</v>
      </c>
      <c r="D1883" s="4" t="s">
        <v>24</v>
      </c>
      <c r="E1883" s="4" t="s">
        <v>16</v>
      </c>
      <c r="F1883" s="4" t="s">
        <v>17</v>
      </c>
      <c r="G1883" s="4" t="s">
        <v>18</v>
      </c>
      <c r="H1883" s="4" t="s">
        <v>217</v>
      </c>
      <c r="I1883" s="5" t="str">
        <f t="shared" si="29"/>
        <v>2025-07</v>
      </c>
      <c r="J1883" s="4" t="s">
        <v>60</v>
      </c>
      <c r="K1883" s="5" t="s">
        <v>343</v>
      </c>
      <c r="L1883" s="2">
        <v>55500</v>
      </c>
      <c r="M1883" s="3">
        <v>10</v>
      </c>
      <c r="N1883" s="2">
        <v>555000</v>
      </c>
      <c r="O1883" s="2">
        <v>55500</v>
      </c>
      <c r="P1883" s="2">
        <v>610500</v>
      </c>
      <c r="Q1883" s="2">
        <f>P1883*12%</f>
        <v>73260</v>
      </c>
    </row>
    <row r="1884" spans="1:17" hidden="1" x14ac:dyDescent="0.4">
      <c r="A1884" s="4" t="s">
        <v>32</v>
      </c>
      <c r="B1884" s="4" t="s">
        <v>14</v>
      </c>
      <c r="C1884" s="31" t="s">
        <v>435</v>
      </c>
      <c r="D1884" s="4" t="s">
        <v>33</v>
      </c>
      <c r="E1884" s="4" t="s">
        <v>16</v>
      </c>
      <c r="F1884" s="4" t="s">
        <v>17</v>
      </c>
      <c r="G1884" s="4" t="s">
        <v>18</v>
      </c>
      <c r="H1884" s="4" t="s">
        <v>217</v>
      </c>
      <c r="I1884" s="5" t="str">
        <f t="shared" si="29"/>
        <v>2025-07</v>
      </c>
      <c r="J1884" s="4" t="s">
        <v>49</v>
      </c>
      <c r="K1884" s="5" t="s">
        <v>343</v>
      </c>
      <c r="L1884" s="2">
        <v>44000</v>
      </c>
      <c r="M1884" s="3">
        <v>2</v>
      </c>
      <c r="N1884" s="2">
        <v>88000</v>
      </c>
      <c r="O1884" s="2">
        <v>8800</v>
      </c>
      <c r="P1884" s="2">
        <v>96800</v>
      </c>
      <c r="Q1884" s="2">
        <f>P1884*12%</f>
        <v>11616</v>
      </c>
    </row>
    <row r="1885" spans="1:17" hidden="1" x14ac:dyDescent="0.4">
      <c r="A1885" s="4" t="s">
        <v>13</v>
      </c>
      <c r="B1885" s="4" t="s">
        <v>14</v>
      </c>
      <c r="C1885" s="30" t="s">
        <v>434</v>
      </c>
      <c r="D1885" s="4" t="s">
        <v>15</v>
      </c>
      <c r="E1885" s="4" t="s">
        <v>16</v>
      </c>
      <c r="F1885" s="4" t="s">
        <v>17</v>
      </c>
      <c r="G1885" s="4" t="s">
        <v>18</v>
      </c>
      <c r="H1885" s="4" t="s">
        <v>217</v>
      </c>
      <c r="I1885" s="5" t="str">
        <f t="shared" si="29"/>
        <v>2025-07</v>
      </c>
      <c r="J1885" s="4" t="s">
        <v>49</v>
      </c>
      <c r="K1885" s="5" t="s">
        <v>343</v>
      </c>
      <c r="L1885" s="2">
        <v>42000</v>
      </c>
      <c r="M1885" s="3">
        <v>8</v>
      </c>
      <c r="N1885" s="2">
        <v>336000</v>
      </c>
      <c r="O1885" s="2">
        <v>33600</v>
      </c>
      <c r="P1885" s="2">
        <v>369600</v>
      </c>
      <c r="Q1885" s="2">
        <f>P1885*12%</f>
        <v>44352</v>
      </c>
    </row>
    <row r="1886" spans="1:17" hidden="1" x14ac:dyDescent="0.4">
      <c r="A1886" s="4" t="s">
        <v>35</v>
      </c>
      <c r="B1886" s="4" t="s">
        <v>14</v>
      </c>
      <c r="C1886" s="30" t="s">
        <v>434</v>
      </c>
      <c r="D1886" s="4" t="s">
        <v>36</v>
      </c>
      <c r="E1886" s="4" t="s">
        <v>16</v>
      </c>
      <c r="F1886" s="4" t="s">
        <v>17</v>
      </c>
      <c r="G1886" s="4" t="s">
        <v>18</v>
      </c>
      <c r="H1886" s="4" t="s">
        <v>217</v>
      </c>
      <c r="I1886" s="5" t="str">
        <f t="shared" si="29"/>
        <v>2025-07</v>
      </c>
      <c r="J1886" s="4" t="s">
        <v>49</v>
      </c>
      <c r="K1886" s="5" t="s">
        <v>343</v>
      </c>
      <c r="L1886" s="2">
        <v>116220</v>
      </c>
      <c r="M1886" s="3">
        <v>2</v>
      </c>
      <c r="N1886" s="2">
        <v>232440</v>
      </c>
      <c r="O1886" s="2">
        <v>23244</v>
      </c>
      <c r="P1886" s="2">
        <v>255684</v>
      </c>
      <c r="Q1886" s="2">
        <f>P1886*12%</f>
        <v>30682.079999999998</v>
      </c>
    </row>
    <row r="1887" spans="1:17" hidden="1" x14ac:dyDescent="0.4">
      <c r="A1887" s="4" t="s">
        <v>23</v>
      </c>
      <c r="B1887" s="4" t="s">
        <v>14</v>
      </c>
      <c r="C1887" s="31" t="s">
        <v>435</v>
      </c>
      <c r="D1887" s="4" t="s">
        <v>24</v>
      </c>
      <c r="E1887" s="4" t="s">
        <v>16</v>
      </c>
      <c r="F1887" s="4" t="s">
        <v>17</v>
      </c>
      <c r="G1887" s="4" t="s">
        <v>18</v>
      </c>
      <c r="H1887" s="4" t="s">
        <v>217</v>
      </c>
      <c r="I1887" s="5" t="str">
        <f t="shared" si="29"/>
        <v>2025-07</v>
      </c>
      <c r="J1887" s="4" t="s">
        <v>49</v>
      </c>
      <c r="K1887" s="5" t="s">
        <v>343</v>
      </c>
      <c r="L1887" s="2">
        <v>55500</v>
      </c>
      <c r="M1887" s="3">
        <v>3</v>
      </c>
      <c r="N1887" s="2">
        <v>166500</v>
      </c>
      <c r="O1887" s="2">
        <v>16650</v>
      </c>
      <c r="P1887" s="2">
        <v>183150</v>
      </c>
      <c r="Q1887" s="2">
        <f>P1887*12%</f>
        <v>21978</v>
      </c>
    </row>
    <row r="1888" spans="1:17" hidden="1" x14ac:dyDescent="0.4">
      <c r="A1888" s="4" t="s">
        <v>51</v>
      </c>
      <c r="B1888" s="4" t="s">
        <v>14</v>
      </c>
      <c r="C1888" s="30" t="s">
        <v>434</v>
      </c>
      <c r="D1888" s="4" t="s">
        <v>52</v>
      </c>
      <c r="E1888" s="4" t="s">
        <v>16</v>
      </c>
      <c r="F1888" s="4" t="s">
        <v>17</v>
      </c>
      <c r="G1888" s="4" t="s">
        <v>18</v>
      </c>
      <c r="H1888" s="4" t="s">
        <v>217</v>
      </c>
      <c r="I1888" s="5" t="str">
        <f t="shared" si="29"/>
        <v>2025-07</v>
      </c>
      <c r="J1888" s="4" t="s">
        <v>49</v>
      </c>
      <c r="K1888" s="5" t="s">
        <v>343</v>
      </c>
      <c r="L1888" s="2">
        <v>73000</v>
      </c>
      <c r="M1888" s="3">
        <v>1</v>
      </c>
      <c r="N1888" s="2">
        <v>73000</v>
      </c>
      <c r="O1888" s="2">
        <v>7300</v>
      </c>
      <c r="P1888" s="2">
        <v>80300</v>
      </c>
      <c r="Q1888" s="2">
        <f>P1888*12%</f>
        <v>9636</v>
      </c>
    </row>
    <row r="1889" spans="1:17" x14ac:dyDescent="0.4">
      <c r="A1889" s="4" t="s">
        <v>13</v>
      </c>
      <c r="B1889" s="4" t="s">
        <v>14</v>
      </c>
      <c r="C1889" s="30" t="s">
        <v>434</v>
      </c>
      <c r="D1889" s="4" t="s">
        <v>15</v>
      </c>
      <c r="E1889" s="4" t="s">
        <v>16</v>
      </c>
      <c r="F1889" s="4" t="s">
        <v>17</v>
      </c>
      <c r="G1889" s="4" t="s">
        <v>18</v>
      </c>
      <c r="H1889" s="4" t="s">
        <v>218</v>
      </c>
      <c r="I1889" s="5" t="str">
        <f t="shared" si="29"/>
        <v>2025-07</v>
      </c>
      <c r="J1889" s="4" t="s">
        <v>20</v>
      </c>
      <c r="K1889" s="5" t="s">
        <v>342</v>
      </c>
      <c r="L1889" s="2">
        <v>42000</v>
      </c>
      <c r="M1889" s="3">
        <v>3</v>
      </c>
      <c r="N1889" s="2">
        <v>126000</v>
      </c>
      <c r="O1889" s="2">
        <v>12600</v>
      </c>
      <c r="P1889" s="2">
        <v>138600</v>
      </c>
      <c r="Q1889" s="2">
        <f>P1889*8.5%</f>
        <v>11781</v>
      </c>
    </row>
    <row r="1890" spans="1:17" x14ac:dyDescent="0.4">
      <c r="A1890" s="4" t="s">
        <v>21</v>
      </c>
      <c r="B1890" s="4" t="s">
        <v>14</v>
      </c>
      <c r="C1890" s="31" t="s">
        <v>435</v>
      </c>
      <c r="D1890" s="4" t="s">
        <v>22</v>
      </c>
      <c r="E1890" s="4" t="s">
        <v>16</v>
      </c>
      <c r="F1890" s="4" t="s">
        <v>17</v>
      </c>
      <c r="G1890" s="4" t="s">
        <v>18</v>
      </c>
      <c r="H1890" s="4" t="s">
        <v>218</v>
      </c>
      <c r="I1890" s="5" t="str">
        <f t="shared" si="29"/>
        <v>2025-07</v>
      </c>
      <c r="J1890" s="4" t="s">
        <v>20</v>
      </c>
      <c r="K1890" s="5" t="s">
        <v>342</v>
      </c>
      <c r="L1890" s="2">
        <v>55500</v>
      </c>
      <c r="M1890" s="3">
        <v>1</v>
      </c>
      <c r="N1890" s="2">
        <v>55500</v>
      </c>
      <c r="O1890" s="2">
        <v>5550</v>
      </c>
      <c r="P1890" s="2">
        <v>61050</v>
      </c>
      <c r="Q1890" s="2">
        <f>P1890*8.5%</f>
        <v>5189.25</v>
      </c>
    </row>
    <row r="1891" spans="1:17" x14ac:dyDescent="0.4">
      <c r="A1891" s="4" t="s">
        <v>23</v>
      </c>
      <c r="B1891" s="4" t="s">
        <v>14</v>
      </c>
      <c r="C1891" s="31" t="s">
        <v>435</v>
      </c>
      <c r="D1891" s="4" t="s">
        <v>24</v>
      </c>
      <c r="E1891" s="4" t="s">
        <v>16</v>
      </c>
      <c r="F1891" s="4" t="s">
        <v>17</v>
      </c>
      <c r="G1891" s="4" t="s">
        <v>18</v>
      </c>
      <c r="H1891" s="4" t="s">
        <v>218</v>
      </c>
      <c r="I1891" s="5" t="str">
        <f t="shared" si="29"/>
        <v>2025-07</v>
      </c>
      <c r="J1891" s="4" t="s">
        <v>20</v>
      </c>
      <c r="K1891" s="5" t="s">
        <v>342</v>
      </c>
      <c r="L1891" s="2">
        <v>55500</v>
      </c>
      <c r="M1891" s="3">
        <v>3</v>
      </c>
      <c r="N1891" s="2">
        <v>166500</v>
      </c>
      <c r="O1891" s="2">
        <v>16650</v>
      </c>
      <c r="P1891" s="2">
        <v>183150</v>
      </c>
      <c r="Q1891" s="2">
        <f>P1891*8.5%</f>
        <v>15567.750000000002</v>
      </c>
    </row>
    <row r="1892" spans="1:17" x14ac:dyDescent="0.4">
      <c r="A1892" s="4" t="s">
        <v>51</v>
      </c>
      <c r="B1892" s="4" t="s">
        <v>14</v>
      </c>
      <c r="C1892" s="30" t="s">
        <v>434</v>
      </c>
      <c r="D1892" s="4" t="s">
        <v>52</v>
      </c>
      <c r="E1892" s="4" t="s">
        <v>16</v>
      </c>
      <c r="F1892" s="4" t="s">
        <v>17</v>
      </c>
      <c r="G1892" s="4" t="s">
        <v>18</v>
      </c>
      <c r="H1892" s="4" t="s">
        <v>218</v>
      </c>
      <c r="I1892" s="5" t="str">
        <f t="shared" si="29"/>
        <v>2025-07</v>
      </c>
      <c r="J1892" s="4" t="s">
        <v>20</v>
      </c>
      <c r="K1892" s="5" t="s">
        <v>342</v>
      </c>
      <c r="L1892" s="2">
        <v>73000</v>
      </c>
      <c r="M1892" s="3">
        <v>1</v>
      </c>
      <c r="N1892" s="2">
        <v>73000</v>
      </c>
      <c r="O1892" s="2">
        <v>7300</v>
      </c>
      <c r="P1892" s="2">
        <v>80300</v>
      </c>
      <c r="Q1892" s="2">
        <f>P1892*8.5%</f>
        <v>6825.5000000000009</v>
      </c>
    </row>
    <row r="1893" spans="1:17" x14ac:dyDescent="0.4">
      <c r="A1893" s="4" t="s">
        <v>29</v>
      </c>
      <c r="B1893" s="4" t="s">
        <v>26</v>
      </c>
      <c r="C1893" s="32" t="s">
        <v>436</v>
      </c>
      <c r="D1893" s="4" t="s">
        <v>30</v>
      </c>
      <c r="E1893" s="4" t="s">
        <v>28</v>
      </c>
      <c r="F1893" s="4" t="s">
        <v>31</v>
      </c>
      <c r="G1893" s="4" t="s">
        <v>18</v>
      </c>
      <c r="H1893" s="4" t="s">
        <v>218</v>
      </c>
      <c r="I1893" s="5" t="str">
        <f t="shared" si="29"/>
        <v>2025-07</v>
      </c>
      <c r="J1893" s="4" t="s">
        <v>20</v>
      </c>
      <c r="K1893" s="5" t="s">
        <v>342</v>
      </c>
      <c r="L1893" s="2">
        <v>3719</v>
      </c>
      <c r="M1893" s="3">
        <v>1</v>
      </c>
      <c r="N1893" s="2">
        <v>3719</v>
      </c>
      <c r="O1893" s="2">
        <v>0</v>
      </c>
      <c r="P1893" s="2">
        <v>3719</v>
      </c>
      <c r="Q1893" s="2">
        <f>P1893*8.5%</f>
        <v>316.11500000000001</v>
      </c>
    </row>
    <row r="1894" spans="1:17" hidden="1" x14ac:dyDescent="0.4">
      <c r="A1894" s="4" t="s">
        <v>32</v>
      </c>
      <c r="B1894" s="4" t="s">
        <v>14</v>
      </c>
      <c r="C1894" s="31" t="s">
        <v>435</v>
      </c>
      <c r="D1894" s="4" t="s">
        <v>33</v>
      </c>
      <c r="E1894" s="4" t="s">
        <v>16</v>
      </c>
      <c r="F1894" s="4" t="s">
        <v>17</v>
      </c>
      <c r="G1894" s="4" t="s">
        <v>18</v>
      </c>
      <c r="H1894" s="4" t="s">
        <v>218</v>
      </c>
      <c r="I1894" s="5" t="str">
        <f t="shared" si="29"/>
        <v>2025-07</v>
      </c>
      <c r="J1894" s="4" t="s">
        <v>118</v>
      </c>
      <c r="K1894" s="5" t="s">
        <v>342</v>
      </c>
      <c r="L1894" s="2">
        <v>44000</v>
      </c>
      <c r="M1894" s="3">
        <v>1</v>
      </c>
      <c r="N1894" s="2">
        <v>44000</v>
      </c>
      <c r="O1894" s="2">
        <v>4400</v>
      </c>
      <c r="P1894" s="2">
        <v>48400</v>
      </c>
      <c r="Q1894" s="2">
        <f>P1894*8.5%</f>
        <v>4114</v>
      </c>
    </row>
    <row r="1895" spans="1:17" hidden="1" x14ac:dyDescent="0.4">
      <c r="A1895" s="4" t="s">
        <v>13</v>
      </c>
      <c r="B1895" s="4" t="s">
        <v>14</v>
      </c>
      <c r="C1895" s="30" t="s">
        <v>434</v>
      </c>
      <c r="D1895" s="4" t="s">
        <v>15</v>
      </c>
      <c r="E1895" s="4" t="s">
        <v>16</v>
      </c>
      <c r="F1895" s="4" t="s">
        <v>17</v>
      </c>
      <c r="G1895" s="4" t="s">
        <v>18</v>
      </c>
      <c r="H1895" s="4" t="s">
        <v>218</v>
      </c>
      <c r="I1895" s="5" t="str">
        <f t="shared" si="29"/>
        <v>2025-07</v>
      </c>
      <c r="J1895" s="4" t="s">
        <v>118</v>
      </c>
      <c r="K1895" s="5" t="s">
        <v>342</v>
      </c>
      <c r="L1895" s="2">
        <v>42000</v>
      </c>
      <c r="M1895" s="3">
        <v>6</v>
      </c>
      <c r="N1895" s="2">
        <v>252000</v>
      </c>
      <c r="O1895" s="2">
        <v>25200</v>
      </c>
      <c r="P1895" s="2">
        <v>277200</v>
      </c>
      <c r="Q1895" s="2">
        <f>P1895*8.5%</f>
        <v>23562</v>
      </c>
    </row>
    <row r="1896" spans="1:17" hidden="1" x14ac:dyDescent="0.4">
      <c r="A1896" s="4" t="s">
        <v>35</v>
      </c>
      <c r="B1896" s="4" t="s">
        <v>14</v>
      </c>
      <c r="C1896" s="30" t="s">
        <v>434</v>
      </c>
      <c r="D1896" s="4" t="s">
        <v>36</v>
      </c>
      <c r="E1896" s="4" t="s">
        <v>16</v>
      </c>
      <c r="F1896" s="4" t="s">
        <v>17</v>
      </c>
      <c r="G1896" s="4" t="s">
        <v>18</v>
      </c>
      <c r="H1896" s="4" t="s">
        <v>218</v>
      </c>
      <c r="I1896" s="5" t="str">
        <f t="shared" si="29"/>
        <v>2025-07</v>
      </c>
      <c r="J1896" s="4" t="s">
        <v>118</v>
      </c>
      <c r="K1896" s="5" t="s">
        <v>342</v>
      </c>
      <c r="L1896" s="2">
        <v>116220</v>
      </c>
      <c r="M1896" s="3">
        <v>1</v>
      </c>
      <c r="N1896" s="2">
        <v>116220</v>
      </c>
      <c r="O1896" s="2">
        <v>11622</v>
      </c>
      <c r="P1896" s="2">
        <v>127842</v>
      </c>
      <c r="Q1896" s="2">
        <f>P1896*8.5%</f>
        <v>10866.570000000002</v>
      </c>
    </row>
    <row r="1897" spans="1:17" hidden="1" x14ac:dyDescent="0.4">
      <c r="A1897" s="4" t="s">
        <v>23</v>
      </c>
      <c r="B1897" s="4" t="s">
        <v>14</v>
      </c>
      <c r="C1897" s="31" t="s">
        <v>435</v>
      </c>
      <c r="D1897" s="4" t="s">
        <v>24</v>
      </c>
      <c r="E1897" s="4" t="s">
        <v>16</v>
      </c>
      <c r="F1897" s="4" t="s">
        <v>17</v>
      </c>
      <c r="G1897" s="4" t="s">
        <v>18</v>
      </c>
      <c r="H1897" s="4" t="s">
        <v>218</v>
      </c>
      <c r="I1897" s="5" t="str">
        <f t="shared" si="29"/>
        <v>2025-07</v>
      </c>
      <c r="J1897" s="4" t="s">
        <v>118</v>
      </c>
      <c r="K1897" s="5" t="s">
        <v>342</v>
      </c>
      <c r="L1897" s="2">
        <v>55500</v>
      </c>
      <c r="M1897" s="3">
        <v>2</v>
      </c>
      <c r="N1897" s="2">
        <v>111000</v>
      </c>
      <c r="O1897" s="2">
        <v>11100</v>
      </c>
      <c r="P1897" s="2">
        <v>122100</v>
      </c>
      <c r="Q1897" s="2">
        <f>P1897*8.5%</f>
        <v>10378.5</v>
      </c>
    </row>
    <row r="1898" spans="1:17" hidden="1" x14ac:dyDescent="0.4">
      <c r="A1898" s="4" t="s">
        <v>51</v>
      </c>
      <c r="B1898" s="4" t="s">
        <v>14</v>
      </c>
      <c r="C1898" s="30" t="s">
        <v>434</v>
      </c>
      <c r="D1898" s="4" t="s">
        <v>52</v>
      </c>
      <c r="E1898" s="4" t="s">
        <v>16</v>
      </c>
      <c r="F1898" s="4" t="s">
        <v>17</v>
      </c>
      <c r="G1898" s="4" t="s">
        <v>18</v>
      </c>
      <c r="H1898" s="4" t="s">
        <v>218</v>
      </c>
      <c r="I1898" s="5" t="str">
        <f t="shared" si="29"/>
        <v>2025-07</v>
      </c>
      <c r="J1898" s="4" t="s">
        <v>118</v>
      </c>
      <c r="K1898" s="5" t="s">
        <v>342</v>
      </c>
      <c r="L1898" s="2">
        <v>73000</v>
      </c>
      <c r="M1898" s="3">
        <v>1</v>
      </c>
      <c r="N1898" s="2">
        <v>73000</v>
      </c>
      <c r="O1898" s="2">
        <v>7300</v>
      </c>
      <c r="P1898" s="2">
        <v>80300</v>
      </c>
      <c r="Q1898" s="2">
        <f>P1898*8.5%</f>
        <v>6825.5000000000009</v>
      </c>
    </row>
    <row r="1899" spans="1:17" hidden="1" x14ac:dyDescent="0.4">
      <c r="A1899" s="4" t="s">
        <v>64</v>
      </c>
      <c r="B1899" s="4" t="s">
        <v>65</v>
      </c>
      <c r="C1899" s="32" t="s">
        <v>436</v>
      </c>
      <c r="D1899" s="4" t="s">
        <v>66</v>
      </c>
      <c r="E1899" s="4" t="s">
        <v>16</v>
      </c>
      <c r="F1899" s="4" t="s">
        <v>17</v>
      </c>
      <c r="G1899" s="4" t="s">
        <v>18</v>
      </c>
      <c r="H1899" s="4" t="s">
        <v>218</v>
      </c>
      <c r="I1899" s="5" t="str">
        <f t="shared" si="29"/>
        <v>2025-07</v>
      </c>
      <c r="J1899" s="4" t="s">
        <v>34</v>
      </c>
      <c r="K1899" s="5" t="s">
        <v>342</v>
      </c>
      <c r="L1899" s="2">
        <v>10283</v>
      </c>
      <c r="M1899" s="3">
        <v>1</v>
      </c>
      <c r="N1899" s="2">
        <v>10283</v>
      </c>
      <c r="O1899" s="2">
        <v>1028</v>
      </c>
      <c r="P1899" s="2">
        <v>11311</v>
      </c>
      <c r="Q1899" s="2">
        <f>P1899*8.5%</f>
        <v>961.43500000000006</v>
      </c>
    </row>
    <row r="1900" spans="1:17" hidden="1" x14ac:dyDescent="0.4">
      <c r="A1900" s="4" t="s">
        <v>58</v>
      </c>
      <c r="B1900" s="4" t="s">
        <v>14</v>
      </c>
      <c r="C1900" s="30" t="s">
        <v>434</v>
      </c>
      <c r="D1900" s="4" t="s">
        <v>36</v>
      </c>
      <c r="E1900" s="4" t="s">
        <v>16</v>
      </c>
      <c r="F1900" s="4" t="s">
        <v>17</v>
      </c>
      <c r="G1900" s="4" t="s">
        <v>18</v>
      </c>
      <c r="H1900" s="4" t="s">
        <v>218</v>
      </c>
      <c r="I1900" s="5" t="str">
        <f t="shared" si="29"/>
        <v>2025-07</v>
      </c>
      <c r="J1900" s="4" t="s">
        <v>34</v>
      </c>
      <c r="K1900" s="5" t="s">
        <v>342</v>
      </c>
      <c r="L1900" s="2">
        <v>120880</v>
      </c>
      <c r="M1900" s="3">
        <v>1</v>
      </c>
      <c r="N1900" s="2">
        <v>120880</v>
      </c>
      <c r="O1900" s="2">
        <v>12088</v>
      </c>
      <c r="P1900" s="2">
        <v>132968</v>
      </c>
      <c r="Q1900" s="2">
        <f>P1900*8.5%</f>
        <v>11302.28</v>
      </c>
    </row>
    <row r="1901" spans="1:17" hidden="1" x14ac:dyDescent="0.4">
      <c r="A1901" s="4" t="s">
        <v>13</v>
      </c>
      <c r="B1901" s="4" t="s">
        <v>14</v>
      </c>
      <c r="C1901" s="30" t="s">
        <v>434</v>
      </c>
      <c r="D1901" s="4" t="s">
        <v>15</v>
      </c>
      <c r="E1901" s="4" t="s">
        <v>16</v>
      </c>
      <c r="F1901" s="4" t="s">
        <v>17</v>
      </c>
      <c r="G1901" s="4" t="s">
        <v>18</v>
      </c>
      <c r="H1901" s="4" t="s">
        <v>218</v>
      </c>
      <c r="I1901" s="5" t="str">
        <f t="shared" si="29"/>
        <v>2025-07</v>
      </c>
      <c r="J1901" s="4" t="s">
        <v>34</v>
      </c>
      <c r="K1901" s="5" t="s">
        <v>342</v>
      </c>
      <c r="L1901" s="2">
        <v>42000</v>
      </c>
      <c r="M1901" s="3">
        <v>6</v>
      </c>
      <c r="N1901" s="2">
        <v>252000</v>
      </c>
      <c r="O1901" s="2">
        <v>25200</v>
      </c>
      <c r="P1901" s="2">
        <v>277200</v>
      </c>
      <c r="Q1901" s="2">
        <f>P1901*8.5%</f>
        <v>23562</v>
      </c>
    </row>
    <row r="1902" spans="1:17" hidden="1" x14ac:dyDescent="0.4">
      <c r="A1902" s="4" t="s">
        <v>21</v>
      </c>
      <c r="B1902" s="4" t="s">
        <v>14</v>
      </c>
      <c r="C1902" s="31" t="s">
        <v>435</v>
      </c>
      <c r="D1902" s="4" t="s">
        <v>22</v>
      </c>
      <c r="E1902" s="4" t="s">
        <v>16</v>
      </c>
      <c r="F1902" s="4" t="s">
        <v>17</v>
      </c>
      <c r="G1902" s="4" t="s">
        <v>18</v>
      </c>
      <c r="H1902" s="4" t="s">
        <v>218</v>
      </c>
      <c r="I1902" s="5" t="str">
        <f t="shared" si="29"/>
        <v>2025-07</v>
      </c>
      <c r="J1902" s="4" t="s">
        <v>34</v>
      </c>
      <c r="K1902" s="5" t="s">
        <v>342</v>
      </c>
      <c r="L1902" s="2">
        <v>55500</v>
      </c>
      <c r="M1902" s="3">
        <v>3</v>
      </c>
      <c r="N1902" s="2">
        <v>166500</v>
      </c>
      <c r="O1902" s="2">
        <v>16650</v>
      </c>
      <c r="P1902" s="2">
        <v>183150</v>
      </c>
      <c r="Q1902" s="2">
        <f>P1902*8.5%</f>
        <v>15567.750000000002</v>
      </c>
    </row>
    <row r="1903" spans="1:17" hidden="1" x14ac:dyDescent="0.4">
      <c r="A1903" s="4" t="s">
        <v>35</v>
      </c>
      <c r="B1903" s="4" t="s">
        <v>14</v>
      </c>
      <c r="C1903" s="30" t="s">
        <v>434</v>
      </c>
      <c r="D1903" s="4" t="s">
        <v>36</v>
      </c>
      <c r="E1903" s="4" t="s">
        <v>16</v>
      </c>
      <c r="F1903" s="4" t="s">
        <v>17</v>
      </c>
      <c r="G1903" s="4" t="s">
        <v>18</v>
      </c>
      <c r="H1903" s="4" t="s">
        <v>218</v>
      </c>
      <c r="I1903" s="5" t="str">
        <f t="shared" si="29"/>
        <v>2025-07</v>
      </c>
      <c r="J1903" s="4" t="s">
        <v>34</v>
      </c>
      <c r="K1903" s="5" t="s">
        <v>342</v>
      </c>
      <c r="L1903" s="2">
        <v>116220</v>
      </c>
      <c r="M1903" s="3">
        <v>1</v>
      </c>
      <c r="N1903" s="2">
        <v>116220</v>
      </c>
      <c r="O1903" s="2">
        <v>11622</v>
      </c>
      <c r="P1903" s="2">
        <v>127842</v>
      </c>
      <c r="Q1903" s="2">
        <f>P1903*8.5%</f>
        <v>10866.570000000002</v>
      </c>
    </row>
    <row r="1904" spans="1:17" hidden="1" x14ac:dyDescent="0.4">
      <c r="A1904" s="4" t="s">
        <v>23</v>
      </c>
      <c r="B1904" s="4" t="s">
        <v>14</v>
      </c>
      <c r="C1904" s="31" t="s">
        <v>435</v>
      </c>
      <c r="D1904" s="4" t="s">
        <v>24</v>
      </c>
      <c r="E1904" s="4" t="s">
        <v>16</v>
      </c>
      <c r="F1904" s="4" t="s">
        <v>17</v>
      </c>
      <c r="G1904" s="4" t="s">
        <v>18</v>
      </c>
      <c r="H1904" s="4" t="s">
        <v>218</v>
      </c>
      <c r="I1904" s="5" t="str">
        <f t="shared" si="29"/>
        <v>2025-07</v>
      </c>
      <c r="J1904" s="4" t="s">
        <v>34</v>
      </c>
      <c r="K1904" s="5" t="s">
        <v>342</v>
      </c>
      <c r="L1904" s="2">
        <v>55500</v>
      </c>
      <c r="M1904" s="3">
        <v>5</v>
      </c>
      <c r="N1904" s="2">
        <v>277500</v>
      </c>
      <c r="O1904" s="2">
        <v>27750</v>
      </c>
      <c r="P1904" s="2">
        <v>305250</v>
      </c>
      <c r="Q1904" s="2">
        <f>P1904*8.5%</f>
        <v>25946.250000000004</v>
      </c>
    </row>
    <row r="1905" spans="1:17" hidden="1" x14ac:dyDescent="0.4">
      <c r="A1905" s="4" t="s">
        <v>51</v>
      </c>
      <c r="B1905" s="4" t="s">
        <v>14</v>
      </c>
      <c r="C1905" s="30" t="s">
        <v>434</v>
      </c>
      <c r="D1905" s="4" t="s">
        <v>52</v>
      </c>
      <c r="E1905" s="4" t="s">
        <v>16</v>
      </c>
      <c r="F1905" s="4" t="s">
        <v>17</v>
      </c>
      <c r="G1905" s="4" t="s">
        <v>18</v>
      </c>
      <c r="H1905" s="4" t="s">
        <v>218</v>
      </c>
      <c r="I1905" s="5" t="str">
        <f t="shared" si="29"/>
        <v>2025-07</v>
      </c>
      <c r="J1905" s="4" t="s">
        <v>34</v>
      </c>
      <c r="K1905" s="5" t="s">
        <v>342</v>
      </c>
      <c r="L1905" s="2">
        <v>73000</v>
      </c>
      <c r="M1905" s="3">
        <v>1</v>
      </c>
      <c r="N1905" s="2">
        <v>73000</v>
      </c>
      <c r="O1905" s="2">
        <v>7300</v>
      </c>
      <c r="P1905" s="2">
        <v>80300</v>
      </c>
      <c r="Q1905" s="2">
        <f>P1905*8.5%</f>
        <v>6825.5000000000009</v>
      </c>
    </row>
    <row r="1906" spans="1:17" hidden="1" x14ac:dyDescent="0.4">
      <c r="A1906" s="4" t="s">
        <v>73</v>
      </c>
      <c r="B1906" s="4" t="s">
        <v>26</v>
      </c>
      <c r="C1906" s="32" t="s">
        <v>436</v>
      </c>
      <c r="D1906" s="4" t="s">
        <v>57</v>
      </c>
      <c r="E1906" s="4" t="s">
        <v>28</v>
      </c>
      <c r="F1906" s="4" t="s">
        <v>17</v>
      </c>
      <c r="G1906" s="4" t="s">
        <v>18</v>
      </c>
      <c r="H1906" s="4" t="s">
        <v>218</v>
      </c>
      <c r="I1906" s="5" t="str">
        <f t="shared" si="29"/>
        <v>2025-07</v>
      </c>
      <c r="J1906" s="4" t="s">
        <v>34</v>
      </c>
      <c r="K1906" s="5" t="s">
        <v>342</v>
      </c>
      <c r="L1906" s="2">
        <v>7055</v>
      </c>
      <c r="M1906" s="3">
        <v>2</v>
      </c>
      <c r="N1906" s="2">
        <v>14110</v>
      </c>
      <c r="O1906" s="2">
        <v>1411</v>
      </c>
      <c r="P1906" s="2">
        <v>15521</v>
      </c>
      <c r="Q1906" s="2">
        <f>P1906*8.5%</f>
        <v>1319.2850000000001</v>
      </c>
    </row>
    <row r="1907" spans="1:17" hidden="1" x14ac:dyDescent="0.4">
      <c r="A1907" s="4" t="s">
        <v>42</v>
      </c>
      <c r="B1907" s="4" t="s">
        <v>14</v>
      </c>
      <c r="C1907" s="30" t="s">
        <v>434</v>
      </c>
      <c r="D1907" s="4" t="s">
        <v>43</v>
      </c>
      <c r="E1907" s="4" t="s">
        <v>44</v>
      </c>
      <c r="F1907" s="4" t="s">
        <v>31</v>
      </c>
      <c r="G1907" s="4" t="s">
        <v>18</v>
      </c>
      <c r="H1907" s="4" t="s">
        <v>218</v>
      </c>
      <c r="I1907" s="5" t="str">
        <f t="shared" si="29"/>
        <v>2025-07</v>
      </c>
      <c r="J1907" s="4" t="s">
        <v>34</v>
      </c>
      <c r="K1907" s="5" t="s">
        <v>342</v>
      </c>
      <c r="L1907" s="2">
        <v>7300</v>
      </c>
      <c r="M1907" s="3">
        <v>58.8</v>
      </c>
      <c r="N1907" s="2">
        <v>429240</v>
      </c>
      <c r="O1907" s="2">
        <v>0</v>
      </c>
      <c r="P1907" s="2">
        <v>429240</v>
      </c>
      <c r="Q1907" s="2">
        <f>P1907*8.5%</f>
        <v>36485.4</v>
      </c>
    </row>
    <row r="1908" spans="1:17" hidden="1" x14ac:dyDescent="0.4">
      <c r="A1908" s="4" t="s">
        <v>13</v>
      </c>
      <c r="B1908" s="4" t="s">
        <v>14</v>
      </c>
      <c r="C1908" s="30" t="s">
        <v>434</v>
      </c>
      <c r="D1908" s="4" t="s">
        <v>15</v>
      </c>
      <c r="E1908" s="4" t="s">
        <v>16</v>
      </c>
      <c r="F1908" s="4" t="s">
        <v>17</v>
      </c>
      <c r="G1908" s="4" t="s">
        <v>18</v>
      </c>
      <c r="H1908" s="4" t="s">
        <v>218</v>
      </c>
      <c r="I1908" s="5" t="str">
        <f t="shared" si="29"/>
        <v>2025-07</v>
      </c>
      <c r="J1908" s="4" t="s">
        <v>59</v>
      </c>
      <c r="K1908" s="5" t="s">
        <v>343</v>
      </c>
      <c r="L1908" s="2">
        <v>42000</v>
      </c>
      <c r="M1908" s="3">
        <v>8</v>
      </c>
      <c r="N1908" s="2">
        <v>336000</v>
      </c>
      <c r="O1908" s="2">
        <v>33600</v>
      </c>
      <c r="P1908" s="2">
        <v>369600</v>
      </c>
      <c r="Q1908" s="2">
        <f>P1908*12%</f>
        <v>44352</v>
      </c>
    </row>
    <row r="1909" spans="1:17" hidden="1" x14ac:dyDescent="0.4">
      <c r="A1909" s="4" t="s">
        <v>35</v>
      </c>
      <c r="B1909" s="4" t="s">
        <v>14</v>
      </c>
      <c r="C1909" s="30" t="s">
        <v>434</v>
      </c>
      <c r="D1909" s="4" t="s">
        <v>36</v>
      </c>
      <c r="E1909" s="4" t="s">
        <v>16</v>
      </c>
      <c r="F1909" s="4" t="s">
        <v>17</v>
      </c>
      <c r="G1909" s="4" t="s">
        <v>18</v>
      </c>
      <c r="H1909" s="4" t="s">
        <v>218</v>
      </c>
      <c r="I1909" s="5" t="str">
        <f t="shared" si="29"/>
        <v>2025-07</v>
      </c>
      <c r="J1909" s="4" t="s">
        <v>59</v>
      </c>
      <c r="K1909" s="5" t="s">
        <v>343</v>
      </c>
      <c r="L1909" s="2">
        <v>116220</v>
      </c>
      <c r="M1909" s="3">
        <v>1</v>
      </c>
      <c r="N1909" s="2">
        <v>116220</v>
      </c>
      <c r="O1909" s="2">
        <v>11622</v>
      </c>
      <c r="P1909" s="2">
        <v>127842</v>
      </c>
      <c r="Q1909" s="2">
        <f>P1909*12%</f>
        <v>15341.039999999999</v>
      </c>
    </row>
    <row r="1910" spans="1:17" hidden="1" x14ac:dyDescent="0.4">
      <c r="A1910" s="4" t="s">
        <v>23</v>
      </c>
      <c r="B1910" s="4" t="s">
        <v>14</v>
      </c>
      <c r="C1910" s="31" t="s">
        <v>435</v>
      </c>
      <c r="D1910" s="4" t="s">
        <v>24</v>
      </c>
      <c r="E1910" s="4" t="s">
        <v>16</v>
      </c>
      <c r="F1910" s="4" t="s">
        <v>17</v>
      </c>
      <c r="G1910" s="4" t="s">
        <v>18</v>
      </c>
      <c r="H1910" s="4" t="s">
        <v>218</v>
      </c>
      <c r="I1910" s="5" t="str">
        <f t="shared" si="29"/>
        <v>2025-07</v>
      </c>
      <c r="J1910" s="4" t="s">
        <v>59</v>
      </c>
      <c r="K1910" s="5" t="s">
        <v>343</v>
      </c>
      <c r="L1910" s="2">
        <v>55500</v>
      </c>
      <c r="M1910" s="3">
        <v>4</v>
      </c>
      <c r="N1910" s="2">
        <v>222000</v>
      </c>
      <c r="O1910" s="2">
        <v>22200</v>
      </c>
      <c r="P1910" s="2">
        <v>244200</v>
      </c>
      <c r="Q1910" s="2">
        <f>P1910*12%</f>
        <v>29304</v>
      </c>
    </row>
    <row r="1911" spans="1:17" hidden="1" x14ac:dyDescent="0.4">
      <c r="A1911" s="4" t="s">
        <v>51</v>
      </c>
      <c r="B1911" s="4" t="s">
        <v>14</v>
      </c>
      <c r="C1911" s="30" t="s">
        <v>434</v>
      </c>
      <c r="D1911" s="4" t="s">
        <v>52</v>
      </c>
      <c r="E1911" s="4" t="s">
        <v>16</v>
      </c>
      <c r="F1911" s="4" t="s">
        <v>17</v>
      </c>
      <c r="G1911" s="4" t="s">
        <v>18</v>
      </c>
      <c r="H1911" s="4" t="s">
        <v>218</v>
      </c>
      <c r="I1911" s="5" t="str">
        <f t="shared" si="29"/>
        <v>2025-07</v>
      </c>
      <c r="J1911" s="4" t="s">
        <v>59</v>
      </c>
      <c r="K1911" s="5" t="s">
        <v>343</v>
      </c>
      <c r="L1911" s="2">
        <v>73000</v>
      </c>
      <c r="M1911" s="3">
        <v>1</v>
      </c>
      <c r="N1911" s="2">
        <v>73000</v>
      </c>
      <c r="O1911" s="2">
        <v>7300</v>
      </c>
      <c r="P1911" s="2">
        <v>80300</v>
      </c>
      <c r="Q1911" s="2">
        <f>P1911*12%</f>
        <v>9636</v>
      </c>
    </row>
    <row r="1912" spans="1:17" hidden="1" x14ac:dyDescent="0.4">
      <c r="A1912" s="4" t="s">
        <v>39</v>
      </c>
      <c r="B1912" s="4" t="s">
        <v>26</v>
      </c>
      <c r="C1912" s="32" t="s">
        <v>436</v>
      </c>
      <c r="D1912" s="4" t="s">
        <v>27</v>
      </c>
      <c r="E1912" s="4" t="s">
        <v>28</v>
      </c>
      <c r="F1912" s="4" t="s">
        <v>17</v>
      </c>
      <c r="G1912" s="4" t="s">
        <v>18</v>
      </c>
      <c r="H1912" s="4" t="s">
        <v>218</v>
      </c>
      <c r="I1912" s="5" t="str">
        <f t="shared" si="29"/>
        <v>2025-07</v>
      </c>
      <c r="J1912" s="4" t="s">
        <v>59</v>
      </c>
      <c r="K1912" s="5" t="s">
        <v>343</v>
      </c>
      <c r="L1912" s="2">
        <v>4018</v>
      </c>
      <c r="M1912" s="3">
        <v>6</v>
      </c>
      <c r="N1912" s="2">
        <v>24108</v>
      </c>
      <c r="O1912" s="2">
        <v>2411</v>
      </c>
      <c r="P1912" s="2">
        <v>26519</v>
      </c>
      <c r="Q1912" s="2">
        <f>P1912*12%</f>
        <v>3182.2799999999997</v>
      </c>
    </row>
    <row r="1913" spans="1:17" hidden="1" x14ac:dyDescent="0.4">
      <c r="A1913" s="4" t="s">
        <v>32</v>
      </c>
      <c r="B1913" s="4" t="s">
        <v>14</v>
      </c>
      <c r="C1913" s="31" t="s">
        <v>435</v>
      </c>
      <c r="D1913" s="4" t="s">
        <v>33</v>
      </c>
      <c r="E1913" s="4" t="s">
        <v>16</v>
      </c>
      <c r="F1913" s="4" t="s">
        <v>17</v>
      </c>
      <c r="G1913" s="4" t="s">
        <v>18</v>
      </c>
      <c r="H1913" s="4" t="s">
        <v>218</v>
      </c>
      <c r="I1913" s="5" t="str">
        <f t="shared" si="29"/>
        <v>2025-07</v>
      </c>
      <c r="J1913" s="4" t="s">
        <v>49</v>
      </c>
      <c r="K1913" s="5" t="s">
        <v>343</v>
      </c>
      <c r="L1913" s="2">
        <v>44000</v>
      </c>
      <c r="M1913" s="3">
        <v>3</v>
      </c>
      <c r="N1913" s="2">
        <v>132000</v>
      </c>
      <c r="O1913" s="2">
        <v>13200</v>
      </c>
      <c r="P1913" s="2">
        <v>145200</v>
      </c>
      <c r="Q1913" s="2">
        <f>P1913*12%</f>
        <v>17424</v>
      </c>
    </row>
    <row r="1914" spans="1:17" hidden="1" x14ac:dyDescent="0.4">
      <c r="A1914" s="4" t="s">
        <v>13</v>
      </c>
      <c r="B1914" s="4" t="s">
        <v>14</v>
      </c>
      <c r="C1914" s="30" t="s">
        <v>434</v>
      </c>
      <c r="D1914" s="4" t="s">
        <v>15</v>
      </c>
      <c r="E1914" s="4" t="s">
        <v>16</v>
      </c>
      <c r="F1914" s="4" t="s">
        <v>17</v>
      </c>
      <c r="G1914" s="4" t="s">
        <v>18</v>
      </c>
      <c r="H1914" s="4" t="s">
        <v>218</v>
      </c>
      <c r="I1914" s="5" t="str">
        <f t="shared" si="29"/>
        <v>2025-07</v>
      </c>
      <c r="J1914" s="4" t="s">
        <v>49</v>
      </c>
      <c r="K1914" s="5" t="s">
        <v>343</v>
      </c>
      <c r="L1914" s="2">
        <v>42000</v>
      </c>
      <c r="M1914" s="3">
        <v>8</v>
      </c>
      <c r="N1914" s="2">
        <v>336000</v>
      </c>
      <c r="O1914" s="2">
        <v>33600</v>
      </c>
      <c r="P1914" s="2">
        <v>369600</v>
      </c>
      <c r="Q1914" s="2">
        <f>P1914*12%</f>
        <v>44352</v>
      </c>
    </row>
    <row r="1915" spans="1:17" hidden="1" x14ac:dyDescent="0.4">
      <c r="A1915" s="4" t="s">
        <v>35</v>
      </c>
      <c r="B1915" s="4" t="s">
        <v>14</v>
      </c>
      <c r="C1915" s="30" t="s">
        <v>434</v>
      </c>
      <c r="D1915" s="4" t="s">
        <v>36</v>
      </c>
      <c r="E1915" s="4" t="s">
        <v>16</v>
      </c>
      <c r="F1915" s="4" t="s">
        <v>17</v>
      </c>
      <c r="G1915" s="4" t="s">
        <v>18</v>
      </c>
      <c r="H1915" s="4" t="s">
        <v>218</v>
      </c>
      <c r="I1915" s="5" t="str">
        <f t="shared" si="29"/>
        <v>2025-07</v>
      </c>
      <c r="J1915" s="4" t="s">
        <v>49</v>
      </c>
      <c r="K1915" s="5" t="s">
        <v>343</v>
      </c>
      <c r="L1915" s="2">
        <v>116220</v>
      </c>
      <c r="M1915" s="3">
        <v>2</v>
      </c>
      <c r="N1915" s="2">
        <v>232440</v>
      </c>
      <c r="O1915" s="2">
        <v>23244</v>
      </c>
      <c r="P1915" s="2">
        <v>255684</v>
      </c>
      <c r="Q1915" s="2">
        <f>P1915*12%</f>
        <v>30682.079999999998</v>
      </c>
    </row>
    <row r="1916" spans="1:17" hidden="1" x14ac:dyDescent="0.4">
      <c r="A1916" s="4" t="s">
        <v>23</v>
      </c>
      <c r="B1916" s="4" t="s">
        <v>14</v>
      </c>
      <c r="C1916" s="31" t="s">
        <v>435</v>
      </c>
      <c r="D1916" s="4" t="s">
        <v>24</v>
      </c>
      <c r="E1916" s="4" t="s">
        <v>16</v>
      </c>
      <c r="F1916" s="4" t="s">
        <v>17</v>
      </c>
      <c r="G1916" s="4" t="s">
        <v>18</v>
      </c>
      <c r="H1916" s="4" t="s">
        <v>218</v>
      </c>
      <c r="I1916" s="5" t="str">
        <f t="shared" si="29"/>
        <v>2025-07</v>
      </c>
      <c r="J1916" s="4" t="s">
        <v>49</v>
      </c>
      <c r="K1916" s="5" t="s">
        <v>343</v>
      </c>
      <c r="L1916" s="2">
        <v>55500</v>
      </c>
      <c r="M1916" s="3">
        <v>3</v>
      </c>
      <c r="N1916" s="2">
        <v>166500</v>
      </c>
      <c r="O1916" s="2">
        <v>16650</v>
      </c>
      <c r="P1916" s="2">
        <v>183150</v>
      </c>
      <c r="Q1916" s="2">
        <f>P1916*12%</f>
        <v>21978</v>
      </c>
    </row>
    <row r="1917" spans="1:17" hidden="1" x14ac:dyDescent="0.4">
      <c r="A1917" s="4" t="s">
        <v>51</v>
      </c>
      <c r="B1917" s="4" t="s">
        <v>14</v>
      </c>
      <c r="C1917" s="30" t="s">
        <v>434</v>
      </c>
      <c r="D1917" s="4" t="s">
        <v>52</v>
      </c>
      <c r="E1917" s="4" t="s">
        <v>16</v>
      </c>
      <c r="F1917" s="4" t="s">
        <v>17</v>
      </c>
      <c r="G1917" s="4" t="s">
        <v>18</v>
      </c>
      <c r="H1917" s="4" t="s">
        <v>218</v>
      </c>
      <c r="I1917" s="5" t="str">
        <f t="shared" si="29"/>
        <v>2025-07</v>
      </c>
      <c r="J1917" s="4" t="s">
        <v>49</v>
      </c>
      <c r="K1917" s="5" t="s">
        <v>343</v>
      </c>
      <c r="L1917" s="2">
        <v>73000</v>
      </c>
      <c r="M1917" s="3">
        <v>1</v>
      </c>
      <c r="N1917" s="2">
        <v>73000</v>
      </c>
      <c r="O1917" s="2">
        <v>7300</v>
      </c>
      <c r="P1917" s="2">
        <v>80300</v>
      </c>
      <c r="Q1917" s="2">
        <f>P1917*12%</f>
        <v>9636</v>
      </c>
    </row>
    <row r="1918" spans="1:17" hidden="1" x14ac:dyDescent="0.4">
      <c r="A1918" s="4" t="s">
        <v>32</v>
      </c>
      <c r="B1918" s="4" t="s">
        <v>14</v>
      </c>
      <c r="C1918" s="31" t="s">
        <v>435</v>
      </c>
      <c r="D1918" s="4" t="s">
        <v>33</v>
      </c>
      <c r="E1918" s="4" t="s">
        <v>16</v>
      </c>
      <c r="F1918" s="4" t="s">
        <v>17</v>
      </c>
      <c r="G1918" s="4" t="s">
        <v>18</v>
      </c>
      <c r="H1918" s="4" t="s">
        <v>218</v>
      </c>
      <c r="I1918" s="5" t="str">
        <f t="shared" si="29"/>
        <v>2025-07</v>
      </c>
      <c r="J1918" s="4" t="s">
        <v>50</v>
      </c>
      <c r="K1918" s="5" t="s">
        <v>343</v>
      </c>
      <c r="L1918" s="2">
        <v>44000</v>
      </c>
      <c r="M1918" s="3">
        <v>1</v>
      </c>
      <c r="N1918" s="2">
        <v>44000</v>
      </c>
      <c r="O1918" s="2">
        <v>4400</v>
      </c>
      <c r="P1918" s="2">
        <v>48400</v>
      </c>
      <c r="Q1918" s="2">
        <f>P1918*12%</f>
        <v>5808</v>
      </c>
    </row>
    <row r="1919" spans="1:17" hidden="1" x14ac:dyDescent="0.4">
      <c r="A1919" s="4" t="s">
        <v>13</v>
      </c>
      <c r="B1919" s="4" t="s">
        <v>14</v>
      </c>
      <c r="C1919" s="30" t="s">
        <v>434</v>
      </c>
      <c r="D1919" s="4" t="s">
        <v>15</v>
      </c>
      <c r="E1919" s="4" t="s">
        <v>16</v>
      </c>
      <c r="F1919" s="4" t="s">
        <v>17</v>
      </c>
      <c r="G1919" s="4" t="s">
        <v>18</v>
      </c>
      <c r="H1919" s="4" t="s">
        <v>218</v>
      </c>
      <c r="I1919" s="5" t="str">
        <f t="shared" si="29"/>
        <v>2025-07</v>
      </c>
      <c r="J1919" s="4" t="s">
        <v>50</v>
      </c>
      <c r="K1919" s="5" t="s">
        <v>343</v>
      </c>
      <c r="L1919" s="2">
        <v>42000</v>
      </c>
      <c r="M1919" s="3">
        <v>12</v>
      </c>
      <c r="N1919" s="2">
        <v>504000</v>
      </c>
      <c r="O1919" s="2">
        <v>50400</v>
      </c>
      <c r="P1919" s="2">
        <v>554400</v>
      </c>
      <c r="Q1919" s="2">
        <f>P1919*12%</f>
        <v>66528</v>
      </c>
    </row>
    <row r="1920" spans="1:17" hidden="1" x14ac:dyDescent="0.4">
      <c r="A1920" s="4" t="s">
        <v>23</v>
      </c>
      <c r="B1920" s="4" t="s">
        <v>14</v>
      </c>
      <c r="C1920" s="31" t="s">
        <v>435</v>
      </c>
      <c r="D1920" s="4" t="s">
        <v>24</v>
      </c>
      <c r="E1920" s="4" t="s">
        <v>16</v>
      </c>
      <c r="F1920" s="4" t="s">
        <v>17</v>
      </c>
      <c r="G1920" s="4" t="s">
        <v>18</v>
      </c>
      <c r="H1920" s="4" t="s">
        <v>218</v>
      </c>
      <c r="I1920" s="5" t="str">
        <f t="shared" si="29"/>
        <v>2025-07</v>
      </c>
      <c r="J1920" s="4" t="s">
        <v>50</v>
      </c>
      <c r="K1920" s="5" t="s">
        <v>343</v>
      </c>
      <c r="L1920" s="2">
        <v>55500</v>
      </c>
      <c r="M1920" s="3">
        <v>5</v>
      </c>
      <c r="N1920" s="2">
        <v>277500</v>
      </c>
      <c r="O1920" s="2">
        <v>27750</v>
      </c>
      <c r="P1920" s="2">
        <v>305250</v>
      </c>
      <c r="Q1920" s="2">
        <f>P1920*12%</f>
        <v>36630</v>
      </c>
    </row>
    <row r="1921" spans="1:17" hidden="1" x14ac:dyDescent="0.4">
      <c r="A1921" s="4" t="s">
        <v>51</v>
      </c>
      <c r="B1921" s="4" t="s">
        <v>14</v>
      </c>
      <c r="C1921" s="30" t="s">
        <v>434</v>
      </c>
      <c r="D1921" s="4" t="s">
        <v>52</v>
      </c>
      <c r="E1921" s="4" t="s">
        <v>16</v>
      </c>
      <c r="F1921" s="4" t="s">
        <v>17</v>
      </c>
      <c r="G1921" s="4" t="s">
        <v>18</v>
      </c>
      <c r="H1921" s="4" t="s">
        <v>218</v>
      </c>
      <c r="I1921" s="5" t="str">
        <f t="shared" si="29"/>
        <v>2025-07</v>
      </c>
      <c r="J1921" s="4" t="s">
        <v>50</v>
      </c>
      <c r="K1921" s="5" t="s">
        <v>343</v>
      </c>
      <c r="L1921" s="2">
        <v>73000</v>
      </c>
      <c r="M1921" s="3">
        <v>2</v>
      </c>
      <c r="N1921" s="2">
        <v>146000</v>
      </c>
      <c r="O1921" s="2">
        <v>14600</v>
      </c>
      <c r="P1921" s="2">
        <v>160600</v>
      </c>
      <c r="Q1921" s="2">
        <f>P1921*12%</f>
        <v>19272</v>
      </c>
    </row>
    <row r="1922" spans="1:17" x14ac:dyDescent="0.4">
      <c r="A1922" s="4" t="s">
        <v>58</v>
      </c>
      <c r="B1922" s="4" t="s">
        <v>14</v>
      </c>
      <c r="C1922" s="30" t="s">
        <v>434</v>
      </c>
      <c r="D1922" s="4" t="s">
        <v>36</v>
      </c>
      <c r="E1922" s="4" t="s">
        <v>16</v>
      </c>
      <c r="F1922" s="4" t="s">
        <v>17</v>
      </c>
      <c r="G1922" s="4" t="s">
        <v>18</v>
      </c>
      <c r="H1922" s="4" t="s">
        <v>219</v>
      </c>
      <c r="I1922" s="5" t="str">
        <f t="shared" ref="I1922:I1985" si="30">TEXT(H1922,"yyyy-mm")</f>
        <v>2025-07</v>
      </c>
      <c r="J1922" s="4" t="s">
        <v>20</v>
      </c>
      <c r="K1922" s="5" t="s">
        <v>342</v>
      </c>
      <c r="L1922" s="2">
        <v>120880</v>
      </c>
      <c r="M1922" s="3">
        <v>1</v>
      </c>
      <c r="N1922" s="2">
        <v>120880</v>
      </c>
      <c r="O1922" s="2">
        <v>12088</v>
      </c>
      <c r="P1922" s="2">
        <v>132968</v>
      </c>
      <c r="Q1922" s="2">
        <f>P1922*8.5%</f>
        <v>11302.28</v>
      </c>
    </row>
    <row r="1923" spans="1:17" x14ac:dyDescent="0.4">
      <c r="A1923" s="4" t="s">
        <v>13</v>
      </c>
      <c r="B1923" s="4" t="s">
        <v>14</v>
      </c>
      <c r="C1923" s="30" t="s">
        <v>434</v>
      </c>
      <c r="D1923" s="4" t="s">
        <v>15</v>
      </c>
      <c r="E1923" s="4" t="s">
        <v>16</v>
      </c>
      <c r="F1923" s="4" t="s">
        <v>17</v>
      </c>
      <c r="G1923" s="4" t="s">
        <v>18</v>
      </c>
      <c r="H1923" s="4" t="s">
        <v>219</v>
      </c>
      <c r="I1923" s="5" t="str">
        <f t="shared" si="30"/>
        <v>2025-07</v>
      </c>
      <c r="J1923" s="4" t="s">
        <v>20</v>
      </c>
      <c r="K1923" s="5" t="s">
        <v>342</v>
      </c>
      <c r="L1923" s="2">
        <v>42000</v>
      </c>
      <c r="M1923" s="3">
        <v>2</v>
      </c>
      <c r="N1923" s="2">
        <v>84000</v>
      </c>
      <c r="O1923" s="2">
        <v>8400</v>
      </c>
      <c r="P1923" s="2">
        <v>92400</v>
      </c>
      <c r="Q1923" s="2">
        <f>P1923*8.5%</f>
        <v>7854.0000000000009</v>
      </c>
    </row>
    <row r="1924" spans="1:17" x14ac:dyDescent="0.4">
      <c r="A1924" s="4" t="s">
        <v>21</v>
      </c>
      <c r="B1924" s="4" t="s">
        <v>14</v>
      </c>
      <c r="C1924" s="31" t="s">
        <v>435</v>
      </c>
      <c r="D1924" s="4" t="s">
        <v>22</v>
      </c>
      <c r="E1924" s="4" t="s">
        <v>16</v>
      </c>
      <c r="F1924" s="4" t="s">
        <v>17</v>
      </c>
      <c r="G1924" s="4" t="s">
        <v>18</v>
      </c>
      <c r="H1924" s="4" t="s">
        <v>219</v>
      </c>
      <c r="I1924" s="5" t="str">
        <f t="shared" si="30"/>
        <v>2025-07</v>
      </c>
      <c r="J1924" s="4" t="s">
        <v>20</v>
      </c>
      <c r="K1924" s="5" t="s">
        <v>342</v>
      </c>
      <c r="L1924" s="2">
        <v>55500</v>
      </c>
      <c r="M1924" s="3">
        <v>2</v>
      </c>
      <c r="N1924" s="2">
        <v>111000</v>
      </c>
      <c r="O1924" s="2">
        <v>11100</v>
      </c>
      <c r="P1924" s="2">
        <v>122100</v>
      </c>
      <c r="Q1924" s="2">
        <f>P1924*8.5%</f>
        <v>10378.5</v>
      </c>
    </row>
    <row r="1925" spans="1:17" x14ac:dyDescent="0.4">
      <c r="A1925" s="4" t="s">
        <v>23</v>
      </c>
      <c r="B1925" s="4" t="s">
        <v>14</v>
      </c>
      <c r="C1925" s="31" t="s">
        <v>435</v>
      </c>
      <c r="D1925" s="4" t="s">
        <v>24</v>
      </c>
      <c r="E1925" s="4" t="s">
        <v>16</v>
      </c>
      <c r="F1925" s="4" t="s">
        <v>17</v>
      </c>
      <c r="G1925" s="4" t="s">
        <v>18</v>
      </c>
      <c r="H1925" s="4" t="s">
        <v>219</v>
      </c>
      <c r="I1925" s="5" t="str">
        <f t="shared" si="30"/>
        <v>2025-07</v>
      </c>
      <c r="J1925" s="4" t="s">
        <v>20</v>
      </c>
      <c r="K1925" s="5" t="s">
        <v>342</v>
      </c>
      <c r="L1925" s="2">
        <v>55500</v>
      </c>
      <c r="M1925" s="3">
        <v>3</v>
      </c>
      <c r="N1925" s="2">
        <v>166500</v>
      </c>
      <c r="O1925" s="2">
        <v>16650</v>
      </c>
      <c r="P1925" s="2">
        <v>183150</v>
      </c>
      <c r="Q1925" s="2">
        <f>P1925*8.5%</f>
        <v>15567.750000000002</v>
      </c>
    </row>
    <row r="1926" spans="1:17" x14ac:dyDescent="0.4">
      <c r="A1926" s="4" t="s">
        <v>56</v>
      </c>
      <c r="B1926" s="4" t="s">
        <v>26</v>
      </c>
      <c r="C1926" s="32" t="s">
        <v>436</v>
      </c>
      <c r="D1926" s="4" t="s">
        <v>57</v>
      </c>
      <c r="E1926" s="4" t="s">
        <v>44</v>
      </c>
      <c r="F1926" s="4" t="s">
        <v>31</v>
      </c>
      <c r="G1926" s="4" t="s">
        <v>18</v>
      </c>
      <c r="H1926" s="4" t="s">
        <v>219</v>
      </c>
      <c r="I1926" s="5" t="str">
        <f t="shared" si="30"/>
        <v>2025-07</v>
      </c>
      <c r="J1926" s="4" t="s">
        <v>20</v>
      </c>
      <c r="K1926" s="5" t="s">
        <v>342</v>
      </c>
      <c r="L1926" s="2">
        <v>1925</v>
      </c>
      <c r="M1926" s="3">
        <v>20</v>
      </c>
      <c r="N1926" s="2">
        <v>38500</v>
      </c>
      <c r="O1926" s="2">
        <v>0</v>
      </c>
      <c r="P1926" s="2">
        <v>38500</v>
      </c>
      <c r="Q1926" s="2">
        <f>P1926*8.5%</f>
        <v>3272.5000000000005</v>
      </c>
    </row>
    <row r="1927" spans="1:17" hidden="1" x14ac:dyDescent="0.4">
      <c r="A1927" s="4" t="s">
        <v>32</v>
      </c>
      <c r="B1927" s="4" t="s">
        <v>14</v>
      </c>
      <c r="C1927" s="31" t="s">
        <v>435</v>
      </c>
      <c r="D1927" s="4" t="s">
        <v>33</v>
      </c>
      <c r="E1927" s="4" t="s">
        <v>16</v>
      </c>
      <c r="F1927" s="4" t="s">
        <v>17</v>
      </c>
      <c r="G1927" s="4" t="s">
        <v>18</v>
      </c>
      <c r="H1927" s="4" t="s">
        <v>219</v>
      </c>
      <c r="I1927" s="5" t="str">
        <f t="shared" si="30"/>
        <v>2025-07</v>
      </c>
      <c r="J1927" s="4" t="s">
        <v>34</v>
      </c>
      <c r="K1927" s="5" t="s">
        <v>342</v>
      </c>
      <c r="L1927" s="2">
        <v>44000</v>
      </c>
      <c r="M1927" s="3">
        <v>3</v>
      </c>
      <c r="N1927" s="2">
        <v>132000</v>
      </c>
      <c r="O1927" s="2">
        <v>13200</v>
      </c>
      <c r="P1927" s="2">
        <v>145200</v>
      </c>
      <c r="Q1927" s="2">
        <f>P1927*8.5%</f>
        <v>12342</v>
      </c>
    </row>
    <row r="1928" spans="1:17" hidden="1" x14ac:dyDescent="0.4">
      <c r="A1928" s="4" t="s">
        <v>58</v>
      </c>
      <c r="B1928" s="4" t="s">
        <v>14</v>
      </c>
      <c r="C1928" s="30" t="s">
        <v>434</v>
      </c>
      <c r="D1928" s="4" t="s">
        <v>36</v>
      </c>
      <c r="E1928" s="4" t="s">
        <v>16</v>
      </c>
      <c r="F1928" s="4" t="s">
        <v>17</v>
      </c>
      <c r="G1928" s="4" t="s">
        <v>18</v>
      </c>
      <c r="H1928" s="4" t="s">
        <v>219</v>
      </c>
      <c r="I1928" s="5" t="str">
        <f t="shared" si="30"/>
        <v>2025-07</v>
      </c>
      <c r="J1928" s="4" t="s">
        <v>34</v>
      </c>
      <c r="K1928" s="5" t="s">
        <v>342</v>
      </c>
      <c r="L1928" s="2">
        <v>120880</v>
      </c>
      <c r="M1928" s="3">
        <v>1</v>
      </c>
      <c r="N1928" s="2">
        <v>120880</v>
      </c>
      <c r="O1928" s="2">
        <v>12088</v>
      </c>
      <c r="P1928" s="2">
        <v>132968</v>
      </c>
      <c r="Q1928" s="2">
        <f>P1928*8.5%</f>
        <v>11302.28</v>
      </c>
    </row>
    <row r="1929" spans="1:17" hidden="1" x14ac:dyDescent="0.4">
      <c r="A1929" s="4" t="s">
        <v>13</v>
      </c>
      <c r="B1929" s="4" t="s">
        <v>14</v>
      </c>
      <c r="C1929" s="30" t="s">
        <v>434</v>
      </c>
      <c r="D1929" s="4" t="s">
        <v>15</v>
      </c>
      <c r="E1929" s="4" t="s">
        <v>16</v>
      </c>
      <c r="F1929" s="4" t="s">
        <v>17</v>
      </c>
      <c r="G1929" s="4" t="s">
        <v>18</v>
      </c>
      <c r="H1929" s="4" t="s">
        <v>219</v>
      </c>
      <c r="I1929" s="5" t="str">
        <f t="shared" si="30"/>
        <v>2025-07</v>
      </c>
      <c r="J1929" s="4" t="s">
        <v>34</v>
      </c>
      <c r="K1929" s="5" t="s">
        <v>342</v>
      </c>
      <c r="L1929" s="2">
        <v>42000</v>
      </c>
      <c r="M1929" s="3">
        <v>6</v>
      </c>
      <c r="N1929" s="2">
        <v>252000</v>
      </c>
      <c r="O1929" s="2">
        <v>25200</v>
      </c>
      <c r="P1929" s="2">
        <v>277200</v>
      </c>
      <c r="Q1929" s="2">
        <f>P1929*8.5%</f>
        <v>23562</v>
      </c>
    </row>
    <row r="1930" spans="1:17" hidden="1" x14ac:dyDescent="0.4">
      <c r="A1930" s="4" t="s">
        <v>21</v>
      </c>
      <c r="B1930" s="4" t="s">
        <v>14</v>
      </c>
      <c r="C1930" s="31" t="s">
        <v>435</v>
      </c>
      <c r="D1930" s="4" t="s">
        <v>22</v>
      </c>
      <c r="E1930" s="4" t="s">
        <v>16</v>
      </c>
      <c r="F1930" s="4" t="s">
        <v>17</v>
      </c>
      <c r="G1930" s="4" t="s">
        <v>18</v>
      </c>
      <c r="H1930" s="4" t="s">
        <v>219</v>
      </c>
      <c r="I1930" s="5" t="str">
        <f t="shared" si="30"/>
        <v>2025-07</v>
      </c>
      <c r="J1930" s="4" t="s">
        <v>34</v>
      </c>
      <c r="K1930" s="5" t="s">
        <v>342</v>
      </c>
      <c r="L1930" s="2">
        <v>55500</v>
      </c>
      <c r="M1930" s="3">
        <v>2</v>
      </c>
      <c r="N1930" s="2">
        <v>111000</v>
      </c>
      <c r="O1930" s="2">
        <v>11100</v>
      </c>
      <c r="P1930" s="2">
        <v>122100</v>
      </c>
      <c r="Q1930" s="2">
        <f>P1930*8.5%</f>
        <v>10378.5</v>
      </c>
    </row>
    <row r="1931" spans="1:17" hidden="1" x14ac:dyDescent="0.4">
      <c r="A1931" s="4" t="s">
        <v>23</v>
      </c>
      <c r="B1931" s="4" t="s">
        <v>14</v>
      </c>
      <c r="C1931" s="31" t="s">
        <v>435</v>
      </c>
      <c r="D1931" s="4" t="s">
        <v>24</v>
      </c>
      <c r="E1931" s="4" t="s">
        <v>16</v>
      </c>
      <c r="F1931" s="4" t="s">
        <v>17</v>
      </c>
      <c r="G1931" s="4" t="s">
        <v>18</v>
      </c>
      <c r="H1931" s="4" t="s">
        <v>219</v>
      </c>
      <c r="I1931" s="5" t="str">
        <f t="shared" si="30"/>
        <v>2025-07</v>
      </c>
      <c r="J1931" s="4" t="s">
        <v>34</v>
      </c>
      <c r="K1931" s="5" t="s">
        <v>342</v>
      </c>
      <c r="L1931" s="2">
        <v>55500</v>
      </c>
      <c r="M1931" s="3">
        <v>4</v>
      </c>
      <c r="N1931" s="2">
        <v>222000</v>
      </c>
      <c r="O1931" s="2">
        <v>22200</v>
      </c>
      <c r="P1931" s="2">
        <v>244200</v>
      </c>
      <c r="Q1931" s="2">
        <f>P1931*8.5%</f>
        <v>20757</v>
      </c>
    </row>
    <row r="1932" spans="1:17" hidden="1" x14ac:dyDescent="0.4">
      <c r="A1932" s="4" t="s">
        <v>51</v>
      </c>
      <c r="B1932" s="4" t="s">
        <v>14</v>
      </c>
      <c r="C1932" s="30" t="s">
        <v>434</v>
      </c>
      <c r="D1932" s="4" t="s">
        <v>52</v>
      </c>
      <c r="E1932" s="4" t="s">
        <v>16</v>
      </c>
      <c r="F1932" s="4" t="s">
        <v>17</v>
      </c>
      <c r="G1932" s="4" t="s">
        <v>18</v>
      </c>
      <c r="H1932" s="4" t="s">
        <v>219</v>
      </c>
      <c r="I1932" s="5" t="str">
        <f t="shared" si="30"/>
        <v>2025-07</v>
      </c>
      <c r="J1932" s="4" t="s">
        <v>34</v>
      </c>
      <c r="K1932" s="5" t="s">
        <v>342</v>
      </c>
      <c r="L1932" s="2">
        <v>73000</v>
      </c>
      <c r="M1932" s="3">
        <v>2</v>
      </c>
      <c r="N1932" s="2">
        <v>146000</v>
      </c>
      <c r="O1932" s="2">
        <v>14600</v>
      </c>
      <c r="P1932" s="2">
        <v>160600</v>
      </c>
      <c r="Q1932" s="2">
        <f>P1932*8.5%</f>
        <v>13651.000000000002</v>
      </c>
    </row>
    <row r="1933" spans="1:17" hidden="1" x14ac:dyDescent="0.4">
      <c r="A1933" s="4" t="s">
        <v>42</v>
      </c>
      <c r="B1933" s="4" t="s">
        <v>14</v>
      </c>
      <c r="C1933" s="30" t="s">
        <v>434</v>
      </c>
      <c r="D1933" s="4" t="s">
        <v>43</v>
      </c>
      <c r="E1933" s="4" t="s">
        <v>44</v>
      </c>
      <c r="F1933" s="4" t="s">
        <v>31</v>
      </c>
      <c r="G1933" s="4" t="s">
        <v>18</v>
      </c>
      <c r="H1933" s="4" t="s">
        <v>219</v>
      </c>
      <c r="I1933" s="5" t="str">
        <f t="shared" si="30"/>
        <v>2025-07</v>
      </c>
      <c r="J1933" s="4" t="s">
        <v>34</v>
      </c>
      <c r="K1933" s="5" t="s">
        <v>342</v>
      </c>
      <c r="L1933" s="2">
        <v>7300</v>
      </c>
      <c r="M1933" s="3">
        <v>87.6</v>
      </c>
      <c r="N1933" s="2">
        <v>639480</v>
      </c>
      <c r="O1933" s="2">
        <v>0</v>
      </c>
      <c r="P1933" s="2">
        <v>639480</v>
      </c>
      <c r="Q1933" s="2">
        <f>P1933*8.5%</f>
        <v>54355.8</v>
      </c>
    </row>
    <row r="1934" spans="1:17" hidden="1" x14ac:dyDescent="0.4">
      <c r="A1934" s="4" t="s">
        <v>13</v>
      </c>
      <c r="B1934" s="4" t="s">
        <v>14</v>
      </c>
      <c r="C1934" s="30" t="s">
        <v>434</v>
      </c>
      <c r="D1934" s="4" t="s">
        <v>15</v>
      </c>
      <c r="E1934" s="4" t="s">
        <v>16</v>
      </c>
      <c r="F1934" s="4" t="s">
        <v>17</v>
      </c>
      <c r="G1934" s="4" t="s">
        <v>18</v>
      </c>
      <c r="H1934" s="4" t="s">
        <v>219</v>
      </c>
      <c r="I1934" s="5" t="str">
        <f t="shared" si="30"/>
        <v>2025-07</v>
      </c>
      <c r="J1934" s="4" t="s">
        <v>59</v>
      </c>
      <c r="K1934" s="5" t="s">
        <v>343</v>
      </c>
      <c r="L1934" s="2">
        <v>42000</v>
      </c>
      <c r="M1934" s="3">
        <v>6</v>
      </c>
      <c r="N1934" s="2">
        <v>252000</v>
      </c>
      <c r="O1934" s="2">
        <v>25200</v>
      </c>
      <c r="P1934" s="2">
        <v>277200</v>
      </c>
      <c r="Q1934" s="2">
        <f>P1934*12%</f>
        <v>33264</v>
      </c>
    </row>
    <row r="1935" spans="1:17" hidden="1" x14ac:dyDescent="0.4">
      <c r="A1935" s="4" t="s">
        <v>35</v>
      </c>
      <c r="B1935" s="4" t="s">
        <v>14</v>
      </c>
      <c r="C1935" s="30" t="s">
        <v>434</v>
      </c>
      <c r="D1935" s="4" t="s">
        <v>36</v>
      </c>
      <c r="E1935" s="4" t="s">
        <v>16</v>
      </c>
      <c r="F1935" s="4" t="s">
        <v>17</v>
      </c>
      <c r="G1935" s="4" t="s">
        <v>18</v>
      </c>
      <c r="H1935" s="4" t="s">
        <v>219</v>
      </c>
      <c r="I1935" s="5" t="str">
        <f t="shared" si="30"/>
        <v>2025-07</v>
      </c>
      <c r="J1935" s="4" t="s">
        <v>59</v>
      </c>
      <c r="K1935" s="5" t="s">
        <v>343</v>
      </c>
      <c r="L1935" s="2">
        <v>116220</v>
      </c>
      <c r="M1935" s="3">
        <v>1</v>
      </c>
      <c r="N1935" s="2">
        <v>116220</v>
      </c>
      <c r="O1935" s="2">
        <v>11622</v>
      </c>
      <c r="P1935" s="2">
        <v>127842</v>
      </c>
      <c r="Q1935" s="2">
        <f>P1935*12%</f>
        <v>15341.039999999999</v>
      </c>
    </row>
    <row r="1936" spans="1:17" hidden="1" x14ac:dyDescent="0.4">
      <c r="A1936" s="4" t="s">
        <v>23</v>
      </c>
      <c r="B1936" s="4" t="s">
        <v>14</v>
      </c>
      <c r="C1936" s="31" t="s">
        <v>435</v>
      </c>
      <c r="D1936" s="4" t="s">
        <v>24</v>
      </c>
      <c r="E1936" s="4" t="s">
        <v>16</v>
      </c>
      <c r="F1936" s="4" t="s">
        <v>17</v>
      </c>
      <c r="G1936" s="4" t="s">
        <v>18</v>
      </c>
      <c r="H1936" s="4" t="s">
        <v>219</v>
      </c>
      <c r="I1936" s="5" t="str">
        <f t="shared" si="30"/>
        <v>2025-07</v>
      </c>
      <c r="J1936" s="4" t="s">
        <v>59</v>
      </c>
      <c r="K1936" s="5" t="s">
        <v>343</v>
      </c>
      <c r="L1936" s="2">
        <v>55500</v>
      </c>
      <c r="M1936" s="3">
        <v>3</v>
      </c>
      <c r="N1936" s="2">
        <v>166500</v>
      </c>
      <c r="O1936" s="2">
        <v>16650</v>
      </c>
      <c r="P1936" s="2">
        <v>183150</v>
      </c>
      <c r="Q1936" s="2">
        <f>P1936*12%</f>
        <v>21978</v>
      </c>
    </row>
    <row r="1937" spans="1:17" hidden="1" x14ac:dyDescent="0.4">
      <c r="A1937" s="4" t="s">
        <v>51</v>
      </c>
      <c r="B1937" s="4" t="s">
        <v>14</v>
      </c>
      <c r="C1937" s="30" t="s">
        <v>434</v>
      </c>
      <c r="D1937" s="4" t="s">
        <v>52</v>
      </c>
      <c r="E1937" s="4" t="s">
        <v>16</v>
      </c>
      <c r="F1937" s="4" t="s">
        <v>17</v>
      </c>
      <c r="G1937" s="4" t="s">
        <v>18</v>
      </c>
      <c r="H1937" s="4" t="s">
        <v>219</v>
      </c>
      <c r="I1937" s="5" t="str">
        <f t="shared" si="30"/>
        <v>2025-07</v>
      </c>
      <c r="J1937" s="4" t="s">
        <v>59</v>
      </c>
      <c r="K1937" s="5" t="s">
        <v>343</v>
      </c>
      <c r="L1937" s="2">
        <v>73000</v>
      </c>
      <c r="M1937" s="3">
        <v>1</v>
      </c>
      <c r="N1937" s="2">
        <v>73000</v>
      </c>
      <c r="O1937" s="2">
        <v>7300</v>
      </c>
      <c r="P1937" s="2">
        <v>80300</v>
      </c>
      <c r="Q1937" s="2">
        <f>P1937*12%</f>
        <v>9636</v>
      </c>
    </row>
    <row r="1938" spans="1:17" hidden="1" x14ac:dyDescent="0.4">
      <c r="A1938" s="4" t="s">
        <v>13</v>
      </c>
      <c r="B1938" s="4" t="s">
        <v>14</v>
      </c>
      <c r="C1938" s="30" t="s">
        <v>434</v>
      </c>
      <c r="D1938" s="4" t="s">
        <v>15</v>
      </c>
      <c r="E1938" s="4" t="s">
        <v>16</v>
      </c>
      <c r="F1938" s="4" t="s">
        <v>17</v>
      </c>
      <c r="G1938" s="4" t="s">
        <v>18</v>
      </c>
      <c r="H1938" s="4" t="s">
        <v>219</v>
      </c>
      <c r="I1938" s="5" t="str">
        <f t="shared" si="30"/>
        <v>2025-07</v>
      </c>
      <c r="J1938" s="4" t="s">
        <v>159</v>
      </c>
      <c r="K1938" s="5" t="s">
        <v>342</v>
      </c>
      <c r="L1938" s="2">
        <v>42000</v>
      </c>
      <c r="M1938" s="3">
        <v>1</v>
      </c>
      <c r="N1938" s="2">
        <v>42000</v>
      </c>
      <c r="O1938" s="2">
        <v>4200</v>
      </c>
      <c r="P1938" s="2">
        <v>46200</v>
      </c>
      <c r="Q1938" s="2">
        <f>P1938*8.5%</f>
        <v>3927.0000000000005</v>
      </c>
    </row>
    <row r="1939" spans="1:17" hidden="1" x14ac:dyDescent="0.4">
      <c r="A1939" s="4" t="s">
        <v>23</v>
      </c>
      <c r="B1939" s="4" t="s">
        <v>14</v>
      </c>
      <c r="C1939" s="31" t="s">
        <v>435</v>
      </c>
      <c r="D1939" s="4" t="s">
        <v>24</v>
      </c>
      <c r="E1939" s="4" t="s">
        <v>16</v>
      </c>
      <c r="F1939" s="4" t="s">
        <v>17</v>
      </c>
      <c r="G1939" s="4" t="s">
        <v>18</v>
      </c>
      <c r="H1939" s="4" t="s">
        <v>219</v>
      </c>
      <c r="I1939" s="5" t="str">
        <f t="shared" si="30"/>
        <v>2025-07</v>
      </c>
      <c r="J1939" s="4" t="s">
        <v>159</v>
      </c>
      <c r="K1939" s="5" t="s">
        <v>342</v>
      </c>
      <c r="L1939" s="2">
        <v>55500</v>
      </c>
      <c r="M1939" s="3">
        <v>2</v>
      </c>
      <c r="N1939" s="2">
        <v>111000</v>
      </c>
      <c r="O1939" s="2">
        <v>11100</v>
      </c>
      <c r="P1939" s="2">
        <v>122100</v>
      </c>
      <c r="Q1939" s="2">
        <f>P1939*8.5%</f>
        <v>10378.5</v>
      </c>
    </row>
    <row r="1940" spans="1:17" hidden="1" x14ac:dyDescent="0.4">
      <c r="A1940" s="4" t="s">
        <v>32</v>
      </c>
      <c r="B1940" s="4" t="s">
        <v>14</v>
      </c>
      <c r="C1940" s="31" t="s">
        <v>435</v>
      </c>
      <c r="D1940" s="4" t="s">
        <v>33</v>
      </c>
      <c r="E1940" s="4" t="s">
        <v>16</v>
      </c>
      <c r="F1940" s="4" t="s">
        <v>17</v>
      </c>
      <c r="G1940" s="4" t="s">
        <v>18</v>
      </c>
      <c r="H1940" s="4" t="s">
        <v>220</v>
      </c>
      <c r="I1940" s="5" t="str">
        <f t="shared" si="30"/>
        <v>2025-07</v>
      </c>
      <c r="J1940" s="4" t="s">
        <v>118</v>
      </c>
      <c r="K1940" s="5" t="s">
        <v>342</v>
      </c>
      <c r="L1940" s="2">
        <v>44000</v>
      </c>
      <c r="M1940" s="3">
        <v>2</v>
      </c>
      <c r="N1940" s="2">
        <v>88000</v>
      </c>
      <c r="O1940" s="2">
        <v>8800</v>
      </c>
      <c r="P1940" s="2">
        <v>96800</v>
      </c>
      <c r="Q1940" s="2">
        <f>P1940*8.5%</f>
        <v>8228</v>
      </c>
    </row>
    <row r="1941" spans="1:17" hidden="1" x14ac:dyDescent="0.4">
      <c r="A1941" s="4" t="s">
        <v>13</v>
      </c>
      <c r="B1941" s="4" t="s">
        <v>14</v>
      </c>
      <c r="C1941" s="30" t="s">
        <v>434</v>
      </c>
      <c r="D1941" s="4" t="s">
        <v>15</v>
      </c>
      <c r="E1941" s="4" t="s">
        <v>16</v>
      </c>
      <c r="F1941" s="4" t="s">
        <v>17</v>
      </c>
      <c r="G1941" s="4" t="s">
        <v>18</v>
      </c>
      <c r="H1941" s="4" t="s">
        <v>220</v>
      </c>
      <c r="I1941" s="5" t="str">
        <f t="shared" si="30"/>
        <v>2025-07</v>
      </c>
      <c r="J1941" s="4" t="s">
        <v>118</v>
      </c>
      <c r="K1941" s="5" t="s">
        <v>342</v>
      </c>
      <c r="L1941" s="2">
        <v>42000</v>
      </c>
      <c r="M1941" s="3">
        <v>8</v>
      </c>
      <c r="N1941" s="2">
        <v>336000</v>
      </c>
      <c r="O1941" s="2">
        <v>33600</v>
      </c>
      <c r="P1941" s="2">
        <v>369600</v>
      </c>
      <c r="Q1941" s="2">
        <f>P1941*8.5%</f>
        <v>31416.000000000004</v>
      </c>
    </row>
    <row r="1942" spans="1:17" hidden="1" x14ac:dyDescent="0.4">
      <c r="A1942" s="4" t="s">
        <v>23</v>
      </c>
      <c r="B1942" s="4" t="s">
        <v>14</v>
      </c>
      <c r="C1942" s="31" t="s">
        <v>435</v>
      </c>
      <c r="D1942" s="4" t="s">
        <v>24</v>
      </c>
      <c r="E1942" s="4" t="s">
        <v>16</v>
      </c>
      <c r="F1942" s="4" t="s">
        <v>17</v>
      </c>
      <c r="G1942" s="4" t="s">
        <v>18</v>
      </c>
      <c r="H1942" s="4" t="s">
        <v>220</v>
      </c>
      <c r="I1942" s="5" t="str">
        <f t="shared" si="30"/>
        <v>2025-07</v>
      </c>
      <c r="J1942" s="4" t="s">
        <v>118</v>
      </c>
      <c r="K1942" s="5" t="s">
        <v>342</v>
      </c>
      <c r="L1942" s="2">
        <v>55500</v>
      </c>
      <c r="M1942" s="3">
        <v>3</v>
      </c>
      <c r="N1942" s="2">
        <v>166500</v>
      </c>
      <c r="O1942" s="2">
        <v>16650</v>
      </c>
      <c r="P1942" s="2">
        <v>183150</v>
      </c>
      <c r="Q1942" s="2">
        <f>P1942*8.5%</f>
        <v>15567.750000000002</v>
      </c>
    </row>
    <row r="1943" spans="1:17" hidden="1" x14ac:dyDescent="0.4">
      <c r="A1943" s="4" t="s">
        <v>51</v>
      </c>
      <c r="B1943" s="4" t="s">
        <v>14</v>
      </c>
      <c r="C1943" s="30" t="s">
        <v>434</v>
      </c>
      <c r="D1943" s="4" t="s">
        <v>52</v>
      </c>
      <c r="E1943" s="4" t="s">
        <v>16</v>
      </c>
      <c r="F1943" s="4" t="s">
        <v>17</v>
      </c>
      <c r="G1943" s="4" t="s">
        <v>18</v>
      </c>
      <c r="H1943" s="4" t="s">
        <v>220</v>
      </c>
      <c r="I1943" s="5" t="str">
        <f t="shared" si="30"/>
        <v>2025-07</v>
      </c>
      <c r="J1943" s="4" t="s">
        <v>118</v>
      </c>
      <c r="K1943" s="5" t="s">
        <v>342</v>
      </c>
      <c r="L1943" s="2">
        <v>73000</v>
      </c>
      <c r="M1943" s="3">
        <v>1</v>
      </c>
      <c r="N1943" s="2">
        <v>73000</v>
      </c>
      <c r="O1943" s="2">
        <v>7300</v>
      </c>
      <c r="P1943" s="2">
        <v>80300</v>
      </c>
      <c r="Q1943" s="2">
        <f>P1943*8.5%</f>
        <v>6825.5000000000009</v>
      </c>
    </row>
    <row r="1944" spans="1:17" hidden="1" x14ac:dyDescent="0.4">
      <c r="A1944" s="4" t="s">
        <v>32</v>
      </c>
      <c r="B1944" s="4" t="s">
        <v>14</v>
      </c>
      <c r="C1944" s="31" t="s">
        <v>435</v>
      </c>
      <c r="D1944" s="4" t="s">
        <v>33</v>
      </c>
      <c r="E1944" s="4" t="s">
        <v>16</v>
      </c>
      <c r="F1944" s="4" t="s">
        <v>17</v>
      </c>
      <c r="G1944" s="4" t="s">
        <v>18</v>
      </c>
      <c r="H1944" s="4" t="s">
        <v>220</v>
      </c>
      <c r="I1944" s="5" t="str">
        <f t="shared" si="30"/>
        <v>2025-07</v>
      </c>
      <c r="J1944" s="4" t="s">
        <v>49</v>
      </c>
      <c r="K1944" s="5" t="s">
        <v>343</v>
      </c>
      <c r="L1944" s="2">
        <v>44000</v>
      </c>
      <c r="M1944" s="3">
        <v>4</v>
      </c>
      <c r="N1944" s="2">
        <v>176000</v>
      </c>
      <c r="O1944" s="2">
        <v>17600</v>
      </c>
      <c r="P1944" s="2">
        <v>193600</v>
      </c>
      <c r="Q1944" s="2">
        <f>P1944*12%</f>
        <v>23232</v>
      </c>
    </row>
    <row r="1945" spans="1:17" hidden="1" x14ac:dyDescent="0.4">
      <c r="A1945" s="4" t="s">
        <v>13</v>
      </c>
      <c r="B1945" s="4" t="s">
        <v>14</v>
      </c>
      <c r="C1945" s="30" t="s">
        <v>434</v>
      </c>
      <c r="D1945" s="4" t="s">
        <v>15</v>
      </c>
      <c r="E1945" s="4" t="s">
        <v>16</v>
      </c>
      <c r="F1945" s="4" t="s">
        <v>17</v>
      </c>
      <c r="G1945" s="4" t="s">
        <v>18</v>
      </c>
      <c r="H1945" s="4" t="s">
        <v>220</v>
      </c>
      <c r="I1945" s="5" t="str">
        <f t="shared" si="30"/>
        <v>2025-07</v>
      </c>
      <c r="J1945" s="4" t="s">
        <v>49</v>
      </c>
      <c r="K1945" s="5" t="s">
        <v>343</v>
      </c>
      <c r="L1945" s="2">
        <v>42000</v>
      </c>
      <c r="M1945" s="3">
        <v>13</v>
      </c>
      <c r="N1945" s="2">
        <v>546000</v>
      </c>
      <c r="O1945" s="2">
        <v>54600</v>
      </c>
      <c r="P1945" s="2">
        <v>600600</v>
      </c>
      <c r="Q1945" s="2">
        <f>P1945*12%</f>
        <v>72072</v>
      </c>
    </row>
    <row r="1946" spans="1:17" hidden="1" x14ac:dyDescent="0.4">
      <c r="A1946" s="4" t="s">
        <v>35</v>
      </c>
      <c r="B1946" s="4" t="s">
        <v>14</v>
      </c>
      <c r="C1946" s="30" t="s">
        <v>434</v>
      </c>
      <c r="D1946" s="4" t="s">
        <v>36</v>
      </c>
      <c r="E1946" s="4" t="s">
        <v>16</v>
      </c>
      <c r="F1946" s="4" t="s">
        <v>17</v>
      </c>
      <c r="G1946" s="4" t="s">
        <v>18</v>
      </c>
      <c r="H1946" s="4" t="s">
        <v>220</v>
      </c>
      <c r="I1946" s="5" t="str">
        <f t="shared" si="30"/>
        <v>2025-07</v>
      </c>
      <c r="J1946" s="4" t="s">
        <v>49</v>
      </c>
      <c r="K1946" s="5" t="s">
        <v>343</v>
      </c>
      <c r="L1946" s="2">
        <v>116220</v>
      </c>
      <c r="M1946" s="3">
        <v>2</v>
      </c>
      <c r="N1946" s="2">
        <v>232440</v>
      </c>
      <c r="O1946" s="2">
        <v>23244</v>
      </c>
      <c r="P1946" s="2">
        <v>255684</v>
      </c>
      <c r="Q1946" s="2">
        <f>P1946*12%</f>
        <v>30682.079999999998</v>
      </c>
    </row>
    <row r="1947" spans="1:17" hidden="1" x14ac:dyDescent="0.4">
      <c r="A1947" s="4" t="s">
        <v>23</v>
      </c>
      <c r="B1947" s="4" t="s">
        <v>14</v>
      </c>
      <c r="C1947" s="31" t="s">
        <v>435</v>
      </c>
      <c r="D1947" s="4" t="s">
        <v>24</v>
      </c>
      <c r="E1947" s="4" t="s">
        <v>16</v>
      </c>
      <c r="F1947" s="4" t="s">
        <v>17</v>
      </c>
      <c r="G1947" s="4" t="s">
        <v>18</v>
      </c>
      <c r="H1947" s="4" t="s">
        <v>220</v>
      </c>
      <c r="I1947" s="5" t="str">
        <f t="shared" si="30"/>
        <v>2025-07</v>
      </c>
      <c r="J1947" s="4" t="s">
        <v>49</v>
      </c>
      <c r="K1947" s="5" t="s">
        <v>343</v>
      </c>
      <c r="L1947" s="2">
        <v>55500</v>
      </c>
      <c r="M1947" s="3">
        <v>5</v>
      </c>
      <c r="N1947" s="2">
        <v>277500</v>
      </c>
      <c r="O1947" s="2">
        <v>27750</v>
      </c>
      <c r="P1947" s="2">
        <v>305250</v>
      </c>
      <c r="Q1947" s="2">
        <f>P1947*12%</f>
        <v>36630</v>
      </c>
    </row>
    <row r="1948" spans="1:17" hidden="1" x14ac:dyDescent="0.4">
      <c r="A1948" s="4" t="s">
        <v>51</v>
      </c>
      <c r="B1948" s="4" t="s">
        <v>14</v>
      </c>
      <c r="C1948" s="30" t="s">
        <v>434</v>
      </c>
      <c r="D1948" s="4" t="s">
        <v>52</v>
      </c>
      <c r="E1948" s="4" t="s">
        <v>16</v>
      </c>
      <c r="F1948" s="4" t="s">
        <v>17</v>
      </c>
      <c r="G1948" s="4" t="s">
        <v>18</v>
      </c>
      <c r="H1948" s="4" t="s">
        <v>220</v>
      </c>
      <c r="I1948" s="5" t="str">
        <f t="shared" si="30"/>
        <v>2025-07</v>
      </c>
      <c r="J1948" s="4" t="s">
        <v>49</v>
      </c>
      <c r="K1948" s="5" t="s">
        <v>343</v>
      </c>
      <c r="L1948" s="2">
        <v>73000</v>
      </c>
      <c r="M1948" s="3">
        <v>1</v>
      </c>
      <c r="N1948" s="2">
        <v>73000</v>
      </c>
      <c r="O1948" s="2">
        <v>7300</v>
      </c>
      <c r="P1948" s="2">
        <v>80300</v>
      </c>
      <c r="Q1948" s="2">
        <f>P1948*12%</f>
        <v>9636</v>
      </c>
    </row>
    <row r="1949" spans="1:17" x14ac:dyDescent="0.4">
      <c r="A1949" s="4" t="s">
        <v>13</v>
      </c>
      <c r="B1949" s="4" t="s">
        <v>14</v>
      </c>
      <c r="C1949" s="30" t="s">
        <v>434</v>
      </c>
      <c r="D1949" s="4" t="s">
        <v>15</v>
      </c>
      <c r="E1949" s="4" t="s">
        <v>16</v>
      </c>
      <c r="F1949" s="4" t="s">
        <v>17</v>
      </c>
      <c r="G1949" s="4" t="s">
        <v>18</v>
      </c>
      <c r="H1949" s="4" t="s">
        <v>221</v>
      </c>
      <c r="I1949" s="5" t="str">
        <f t="shared" si="30"/>
        <v>2025-07</v>
      </c>
      <c r="J1949" s="4" t="s">
        <v>20</v>
      </c>
      <c r="K1949" s="5" t="s">
        <v>342</v>
      </c>
      <c r="L1949" s="2">
        <v>42000</v>
      </c>
      <c r="M1949" s="3">
        <v>3</v>
      </c>
      <c r="N1949" s="2">
        <v>126000</v>
      </c>
      <c r="O1949" s="2">
        <v>12600</v>
      </c>
      <c r="P1949" s="2">
        <v>138600</v>
      </c>
      <c r="Q1949" s="2">
        <f>P1949*8.5%</f>
        <v>11781</v>
      </c>
    </row>
    <row r="1950" spans="1:17" x14ac:dyDescent="0.4">
      <c r="A1950" s="4" t="s">
        <v>21</v>
      </c>
      <c r="B1950" s="4" t="s">
        <v>14</v>
      </c>
      <c r="C1950" s="31" t="s">
        <v>435</v>
      </c>
      <c r="D1950" s="4" t="s">
        <v>22</v>
      </c>
      <c r="E1950" s="4" t="s">
        <v>16</v>
      </c>
      <c r="F1950" s="4" t="s">
        <v>17</v>
      </c>
      <c r="G1950" s="4" t="s">
        <v>18</v>
      </c>
      <c r="H1950" s="4" t="s">
        <v>221</v>
      </c>
      <c r="I1950" s="5" t="str">
        <f t="shared" si="30"/>
        <v>2025-07</v>
      </c>
      <c r="J1950" s="4" t="s">
        <v>20</v>
      </c>
      <c r="K1950" s="5" t="s">
        <v>342</v>
      </c>
      <c r="L1950" s="2">
        <v>55500</v>
      </c>
      <c r="M1950" s="3">
        <v>2</v>
      </c>
      <c r="N1950" s="2">
        <v>111000</v>
      </c>
      <c r="O1950" s="2">
        <v>11100</v>
      </c>
      <c r="P1950" s="2">
        <v>122100</v>
      </c>
      <c r="Q1950" s="2">
        <f>P1950*8.5%</f>
        <v>10378.5</v>
      </c>
    </row>
    <row r="1951" spans="1:17" x14ac:dyDescent="0.4">
      <c r="A1951" s="4" t="s">
        <v>23</v>
      </c>
      <c r="B1951" s="4" t="s">
        <v>14</v>
      </c>
      <c r="C1951" s="31" t="s">
        <v>435</v>
      </c>
      <c r="D1951" s="4" t="s">
        <v>24</v>
      </c>
      <c r="E1951" s="4" t="s">
        <v>16</v>
      </c>
      <c r="F1951" s="4" t="s">
        <v>17</v>
      </c>
      <c r="G1951" s="4" t="s">
        <v>18</v>
      </c>
      <c r="H1951" s="4" t="s">
        <v>221</v>
      </c>
      <c r="I1951" s="5" t="str">
        <f t="shared" si="30"/>
        <v>2025-07</v>
      </c>
      <c r="J1951" s="4" t="s">
        <v>20</v>
      </c>
      <c r="K1951" s="5" t="s">
        <v>342</v>
      </c>
      <c r="L1951" s="2">
        <v>55500</v>
      </c>
      <c r="M1951" s="3">
        <v>3</v>
      </c>
      <c r="N1951" s="2">
        <v>166500</v>
      </c>
      <c r="O1951" s="2">
        <v>16650</v>
      </c>
      <c r="P1951" s="2">
        <v>183150</v>
      </c>
      <c r="Q1951" s="2">
        <f>P1951*8.5%</f>
        <v>15567.750000000002</v>
      </c>
    </row>
    <row r="1952" spans="1:17" x14ac:dyDescent="0.4">
      <c r="A1952" s="4" t="s">
        <v>51</v>
      </c>
      <c r="B1952" s="4" t="s">
        <v>14</v>
      </c>
      <c r="C1952" s="30" t="s">
        <v>434</v>
      </c>
      <c r="D1952" s="4" t="s">
        <v>52</v>
      </c>
      <c r="E1952" s="4" t="s">
        <v>16</v>
      </c>
      <c r="F1952" s="4" t="s">
        <v>17</v>
      </c>
      <c r="G1952" s="4" t="s">
        <v>18</v>
      </c>
      <c r="H1952" s="4" t="s">
        <v>221</v>
      </c>
      <c r="I1952" s="5" t="str">
        <f t="shared" si="30"/>
        <v>2025-07</v>
      </c>
      <c r="J1952" s="4" t="s">
        <v>20</v>
      </c>
      <c r="K1952" s="5" t="s">
        <v>342</v>
      </c>
      <c r="L1952" s="2">
        <v>73000</v>
      </c>
      <c r="M1952" s="3">
        <v>1</v>
      </c>
      <c r="N1952" s="2">
        <v>73000</v>
      </c>
      <c r="O1952" s="2">
        <v>7300</v>
      </c>
      <c r="P1952" s="2">
        <v>80300</v>
      </c>
      <c r="Q1952" s="2">
        <f>P1952*8.5%</f>
        <v>6825.5000000000009</v>
      </c>
    </row>
    <row r="1953" spans="1:17" x14ac:dyDescent="0.4">
      <c r="A1953" s="4" t="s">
        <v>76</v>
      </c>
      <c r="B1953" s="4" t="s">
        <v>65</v>
      </c>
      <c r="C1953" s="32" t="s">
        <v>436</v>
      </c>
      <c r="D1953" s="4" t="s">
        <v>27</v>
      </c>
      <c r="E1953" s="4" t="s">
        <v>28</v>
      </c>
      <c r="F1953" s="4" t="s">
        <v>17</v>
      </c>
      <c r="G1953" s="4" t="s">
        <v>18</v>
      </c>
      <c r="H1953" s="4" t="s">
        <v>221</v>
      </c>
      <c r="I1953" s="5" t="str">
        <f t="shared" si="30"/>
        <v>2025-07</v>
      </c>
      <c r="J1953" s="4" t="s">
        <v>20</v>
      </c>
      <c r="K1953" s="5" t="s">
        <v>342</v>
      </c>
      <c r="L1953" s="2">
        <v>17338</v>
      </c>
      <c r="M1953" s="3">
        <v>1</v>
      </c>
      <c r="N1953" s="2">
        <v>17338</v>
      </c>
      <c r="O1953" s="2">
        <v>1734</v>
      </c>
      <c r="P1953" s="2">
        <v>19072</v>
      </c>
      <c r="Q1953" s="2">
        <f>P1953*8.5%</f>
        <v>1621.1200000000001</v>
      </c>
    </row>
    <row r="1954" spans="1:17" x14ac:dyDescent="0.4">
      <c r="A1954" s="4" t="s">
        <v>25</v>
      </c>
      <c r="B1954" s="4" t="s">
        <v>26</v>
      </c>
      <c r="C1954" s="32" t="s">
        <v>436</v>
      </c>
      <c r="D1954" s="4" t="s">
        <v>27</v>
      </c>
      <c r="E1954" s="4" t="s">
        <v>28</v>
      </c>
      <c r="F1954" s="4" t="s">
        <v>17</v>
      </c>
      <c r="G1954" s="4" t="s">
        <v>18</v>
      </c>
      <c r="H1954" s="4" t="s">
        <v>221</v>
      </c>
      <c r="I1954" s="5" t="str">
        <f t="shared" si="30"/>
        <v>2025-07</v>
      </c>
      <c r="J1954" s="4" t="s">
        <v>20</v>
      </c>
      <c r="K1954" s="5" t="s">
        <v>342</v>
      </c>
      <c r="L1954" s="2">
        <v>2631</v>
      </c>
      <c r="M1954" s="3">
        <v>1</v>
      </c>
      <c r="N1954" s="2">
        <v>2631</v>
      </c>
      <c r="O1954" s="2">
        <v>263</v>
      </c>
      <c r="P1954" s="2">
        <v>2894</v>
      </c>
      <c r="Q1954" s="2">
        <f>P1954*8.5%</f>
        <v>245.99</v>
      </c>
    </row>
    <row r="1955" spans="1:17" x14ac:dyDescent="0.4">
      <c r="A1955" s="4" t="s">
        <v>56</v>
      </c>
      <c r="B1955" s="4" t="s">
        <v>26</v>
      </c>
      <c r="C1955" s="32" t="s">
        <v>436</v>
      </c>
      <c r="D1955" s="4" t="s">
        <v>57</v>
      </c>
      <c r="E1955" s="4" t="s">
        <v>44</v>
      </c>
      <c r="F1955" s="4" t="s">
        <v>31</v>
      </c>
      <c r="G1955" s="4" t="s">
        <v>18</v>
      </c>
      <c r="H1955" s="4" t="s">
        <v>221</v>
      </c>
      <c r="I1955" s="5" t="str">
        <f t="shared" si="30"/>
        <v>2025-07</v>
      </c>
      <c r="J1955" s="4" t="s">
        <v>20</v>
      </c>
      <c r="K1955" s="5" t="s">
        <v>342</v>
      </c>
      <c r="L1955" s="2">
        <v>1925</v>
      </c>
      <c r="M1955" s="3">
        <v>27</v>
      </c>
      <c r="N1955" s="2">
        <v>51975</v>
      </c>
      <c r="O1955" s="2">
        <v>0</v>
      </c>
      <c r="P1955" s="2">
        <v>51975</v>
      </c>
      <c r="Q1955" s="2">
        <f>P1955*8.5%</f>
        <v>4417.875</v>
      </c>
    </row>
    <row r="1956" spans="1:17" hidden="1" x14ac:dyDescent="0.4">
      <c r="A1956" s="4" t="s">
        <v>13</v>
      </c>
      <c r="B1956" s="4" t="s">
        <v>14</v>
      </c>
      <c r="C1956" s="30" t="s">
        <v>434</v>
      </c>
      <c r="D1956" s="4" t="s">
        <v>15</v>
      </c>
      <c r="E1956" s="4" t="s">
        <v>16</v>
      </c>
      <c r="F1956" s="4" t="s">
        <v>17</v>
      </c>
      <c r="G1956" s="4" t="s">
        <v>18</v>
      </c>
      <c r="H1956" s="4" t="s">
        <v>221</v>
      </c>
      <c r="I1956" s="5" t="str">
        <f t="shared" si="30"/>
        <v>2025-07</v>
      </c>
      <c r="J1956" s="4" t="s">
        <v>118</v>
      </c>
      <c r="K1956" s="5" t="s">
        <v>342</v>
      </c>
      <c r="L1956" s="2">
        <v>42000</v>
      </c>
      <c r="M1956" s="3">
        <v>6</v>
      </c>
      <c r="N1956" s="2">
        <v>252000</v>
      </c>
      <c r="O1956" s="2">
        <v>25200</v>
      </c>
      <c r="P1956" s="2">
        <v>277200</v>
      </c>
      <c r="Q1956" s="2">
        <f>P1956*8.5%</f>
        <v>23562</v>
      </c>
    </row>
    <row r="1957" spans="1:17" hidden="1" x14ac:dyDescent="0.4">
      <c r="A1957" s="4" t="s">
        <v>51</v>
      </c>
      <c r="B1957" s="4" t="s">
        <v>14</v>
      </c>
      <c r="C1957" s="30" t="s">
        <v>434</v>
      </c>
      <c r="D1957" s="4" t="s">
        <v>52</v>
      </c>
      <c r="E1957" s="4" t="s">
        <v>16</v>
      </c>
      <c r="F1957" s="4" t="s">
        <v>17</v>
      </c>
      <c r="G1957" s="4" t="s">
        <v>18</v>
      </c>
      <c r="H1957" s="4" t="s">
        <v>221</v>
      </c>
      <c r="I1957" s="5" t="str">
        <f t="shared" si="30"/>
        <v>2025-07</v>
      </c>
      <c r="J1957" s="4" t="s">
        <v>118</v>
      </c>
      <c r="K1957" s="5" t="s">
        <v>342</v>
      </c>
      <c r="L1957" s="2">
        <v>73000</v>
      </c>
      <c r="M1957" s="3">
        <v>1</v>
      </c>
      <c r="N1957" s="2">
        <v>73000</v>
      </c>
      <c r="O1957" s="2">
        <v>7300</v>
      </c>
      <c r="P1957" s="2">
        <v>80300</v>
      </c>
      <c r="Q1957" s="2">
        <f>P1957*8.5%</f>
        <v>6825.5000000000009</v>
      </c>
    </row>
    <row r="1958" spans="1:17" hidden="1" x14ac:dyDescent="0.4">
      <c r="A1958" s="4" t="s">
        <v>32</v>
      </c>
      <c r="B1958" s="4" t="s">
        <v>14</v>
      </c>
      <c r="C1958" s="31" t="s">
        <v>435</v>
      </c>
      <c r="D1958" s="4" t="s">
        <v>33</v>
      </c>
      <c r="E1958" s="4" t="s">
        <v>16</v>
      </c>
      <c r="F1958" s="4" t="s">
        <v>17</v>
      </c>
      <c r="G1958" s="4" t="s">
        <v>18</v>
      </c>
      <c r="H1958" s="4" t="s">
        <v>221</v>
      </c>
      <c r="I1958" s="5" t="str">
        <f t="shared" si="30"/>
        <v>2025-07</v>
      </c>
      <c r="J1958" s="4" t="s">
        <v>34</v>
      </c>
      <c r="K1958" s="5" t="s">
        <v>342</v>
      </c>
      <c r="L1958" s="2">
        <v>44000</v>
      </c>
      <c r="M1958" s="3">
        <v>2</v>
      </c>
      <c r="N1958" s="2">
        <v>88000</v>
      </c>
      <c r="O1958" s="2">
        <v>8800</v>
      </c>
      <c r="P1958" s="2">
        <v>96800</v>
      </c>
      <c r="Q1958" s="2">
        <f>P1958*8.5%</f>
        <v>8228</v>
      </c>
    </row>
    <row r="1959" spans="1:17" hidden="1" x14ac:dyDescent="0.4">
      <c r="A1959" s="4" t="s">
        <v>13</v>
      </c>
      <c r="B1959" s="4" t="s">
        <v>14</v>
      </c>
      <c r="C1959" s="30" t="s">
        <v>434</v>
      </c>
      <c r="D1959" s="4" t="s">
        <v>15</v>
      </c>
      <c r="E1959" s="4" t="s">
        <v>16</v>
      </c>
      <c r="F1959" s="4" t="s">
        <v>17</v>
      </c>
      <c r="G1959" s="4" t="s">
        <v>18</v>
      </c>
      <c r="H1959" s="4" t="s">
        <v>221</v>
      </c>
      <c r="I1959" s="5" t="str">
        <f t="shared" si="30"/>
        <v>2025-07</v>
      </c>
      <c r="J1959" s="4" t="s">
        <v>34</v>
      </c>
      <c r="K1959" s="5" t="s">
        <v>342</v>
      </c>
      <c r="L1959" s="2">
        <v>42000</v>
      </c>
      <c r="M1959" s="3">
        <v>9</v>
      </c>
      <c r="N1959" s="2">
        <v>378000</v>
      </c>
      <c r="O1959" s="2">
        <v>37800</v>
      </c>
      <c r="P1959" s="2">
        <v>415800</v>
      </c>
      <c r="Q1959" s="2">
        <f>P1959*8.5%</f>
        <v>35343</v>
      </c>
    </row>
    <row r="1960" spans="1:17" hidden="1" x14ac:dyDescent="0.4">
      <c r="A1960" s="4" t="s">
        <v>21</v>
      </c>
      <c r="B1960" s="4" t="s">
        <v>14</v>
      </c>
      <c r="C1960" s="31" t="s">
        <v>435</v>
      </c>
      <c r="D1960" s="4" t="s">
        <v>22</v>
      </c>
      <c r="E1960" s="4" t="s">
        <v>16</v>
      </c>
      <c r="F1960" s="4" t="s">
        <v>17</v>
      </c>
      <c r="G1960" s="4" t="s">
        <v>18</v>
      </c>
      <c r="H1960" s="4" t="s">
        <v>221</v>
      </c>
      <c r="I1960" s="5" t="str">
        <f t="shared" si="30"/>
        <v>2025-07</v>
      </c>
      <c r="J1960" s="4" t="s">
        <v>34</v>
      </c>
      <c r="K1960" s="5" t="s">
        <v>342</v>
      </c>
      <c r="L1960" s="2">
        <v>55500</v>
      </c>
      <c r="M1960" s="3">
        <v>2</v>
      </c>
      <c r="N1960" s="2">
        <v>111000</v>
      </c>
      <c r="O1960" s="2">
        <v>11100</v>
      </c>
      <c r="P1960" s="2">
        <v>122100</v>
      </c>
      <c r="Q1960" s="2">
        <f>P1960*8.5%</f>
        <v>10378.5</v>
      </c>
    </row>
    <row r="1961" spans="1:17" hidden="1" x14ac:dyDescent="0.4">
      <c r="A1961" s="4" t="s">
        <v>35</v>
      </c>
      <c r="B1961" s="4" t="s">
        <v>14</v>
      </c>
      <c r="C1961" s="30" t="s">
        <v>434</v>
      </c>
      <c r="D1961" s="4" t="s">
        <v>36</v>
      </c>
      <c r="E1961" s="4" t="s">
        <v>16</v>
      </c>
      <c r="F1961" s="4" t="s">
        <v>17</v>
      </c>
      <c r="G1961" s="4" t="s">
        <v>18</v>
      </c>
      <c r="H1961" s="4" t="s">
        <v>221</v>
      </c>
      <c r="I1961" s="5" t="str">
        <f t="shared" si="30"/>
        <v>2025-07</v>
      </c>
      <c r="J1961" s="4" t="s">
        <v>34</v>
      </c>
      <c r="K1961" s="5" t="s">
        <v>342</v>
      </c>
      <c r="L1961" s="2">
        <v>116220</v>
      </c>
      <c r="M1961" s="3">
        <v>1</v>
      </c>
      <c r="N1961" s="2">
        <v>116220</v>
      </c>
      <c r="O1961" s="2">
        <v>11622</v>
      </c>
      <c r="P1961" s="2">
        <v>127842</v>
      </c>
      <c r="Q1961" s="2">
        <f>P1961*8.5%</f>
        <v>10866.570000000002</v>
      </c>
    </row>
    <row r="1962" spans="1:17" hidden="1" x14ac:dyDescent="0.4">
      <c r="A1962" s="4" t="s">
        <v>23</v>
      </c>
      <c r="B1962" s="4" t="s">
        <v>14</v>
      </c>
      <c r="C1962" s="31" t="s">
        <v>435</v>
      </c>
      <c r="D1962" s="4" t="s">
        <v>24</v>
      </c>
      <c r="E1962" s="4" t="s">
        <v>16</v>
      </c>
      <c r="F1962" s="4" t="s">
        <v>17</v>
      </c>
      <c r="G1962" s="4" t="s">
        <v>18</v>
      </c>
      <c r="H1962" s="4" t="s">
        <v>221</v>
      </c>
      <c r="I1962" s="5" t="str">
        <f t="shared" si="30"/>
        <v>2025-07</v>
      </c>
      <c r="J1962" s="4" t="s">
        <v>34</v>
      </c>
      <c r="K1962" s="5" t="s">
        <v>342</v>
      </c>
      <c r="L1962" s="2">
        <v>55500</v>
      </c>
      <c r="M1962" s="3">
        <v>3</v>
      </c>
      <c r="N1962" s="2">
        <v>166500</v>
      </c>
      <c r="O1962" s="2">
        <v>16650</v>
      </c>
      <c r="P1962" s="2">
        <v>183150</v>
      </c>
      <c r="Q1962" s="2">
        <f>P1962*8.5%</f>
        <v>15567.750000000002</v>
      </c>
    </row>
    <row r="1963" spans="1:17" hidden="1" x14ac:dyDescent="0.4">
      <c r="A1963" s="4" t="s">
        <v>51</v>
      </c>
      <c r="B1963" s="4" t="s">
        <v>14</v>
      </c>
      <c r="C1963" s="30" t="s">
        <v>434</v>
      </c>
      <c r="D1963" s="4" t="s">
        <v>52</v>
      </c>
      <c r="E1963" s="4" t="s">
        <v>16</v>
      </c>
      <c r="F1963" s="4" t="s">
        <v>17</v>
      </c>
      <c r="G1963" s="4" t="s">
        <v>18</v>
      </c>
      <c r="H1963" s="4" t="s">
        <v>221</v>
      </c>
      <c r="I1963" s="5" t="str">
        <f t="shared" si="30"/>
        <v>2025-07</v>
      </c>
      <c r="J1963" s="4" t="s">
        <v>34</v>
      </c>
      <c r="K1963" s="5" t="s">
        <v>342</v>
      </c>
      <c r="L1963" s="2">
        <v>73000</v>
      </c>
      <c r="M1963" s="3">
        <v>2</v>
      </c>
      <c r="N1963" s="2">
        <v>146000</v>
      </c>
      <c r="O1963" s="2">
        <v>14600</v>
      </c>
      <c r="P1963" s="2">
        <v>160600</v>
      </c>
      <c r="Q1963" s="2">
        <f>P1963*8.5%</f>
        <v>13651.000000000002</v>
      </c>
    </row>
    <row r="1964" spans="1:17" hidden="1" x14ac:dyDescent="0.4">
      <c r="A1964" s="4" t="s">
        <v>37</v>
      </c>
      <c r="B1964" s="4" t="s">
        <v>26</v>
      </c>
      <c r="C1964" s="32" t="s">
        <v>436</v>
      </c>
      <c r="D1964" s="4" t="s">
        <v>38</v>
      </c>
      <c r="E1964" s="4" t="s">
        <v>28</v>
      </c>
      <c r="F1964" s="4" t="s">
        <v>17</v>
      </c>
      <c r="G1964" s="4" t="s">
        <v>18</v>
      </c>
      <c r="H1964" s="4" t="s">
        <v>221</v>
      </c>
      <c r="I1964" s="5" t="str">
        <f t="shared" si="30"/>
        <v>2025-07</v>
      </c>
      <c r="J1964" s="4" t="s">
        <v>34</v>
      </c>
      <c r="K1964" s="5" t="s">
        <v>342</v>
      </c>
      <c r="L1964" s="2">
        <v>395</v>
      </c>
      <c r="M1964" s="3">
        <v>20</v>
      </c>
      <c r="N1964" s="2">
        <v>7900</v>
      </c>
      <c r="O1964" s="2">
        <v>790</v>
      </c>
      <c r="P1964" s="2">
        <v>8690</v>
      </c>
      <c r="Q1964" s="2">
        <f>P1964*8.5%</f>
        <v>738.65000000000009</v>
      </c>
    </row>
    <row r="1965" spans="1:17" hidden="1" x14ac:dyDescent="0.4">
      <c r="A1965" s="4" t="s">
        <v>86</v>
      </c>
      <c r="B1965" s="4" t="s">
        <v>26</v>
      </c>
      <c r="C1965" s="32" t="s">
        <v>436</v>
      </c>
      <c r="D1965" s="4" t="s">
        <v>78</v>
      </c>
      <c r="E1965" s="4" t="s">
        <v>28</v>
      </c>
      <c r="F1965" s="4" t="s">
        <v>17</v>
      </c>
      <c r="G1965" s="4" t="s">
        <v>18</v>
      </c>
      <c r="H1965" s="4" t="s">
        <v>221</v>
      </c>
      <c r="I1965" s="5" t="str">
        <f t="shared" si="30"/>
        <v>2025-07</v>
      </c>
      <c r="J1965" s="4" t="s">
        <v>34</v>
      </c>
      <c r="K1965" s="5" t="s">
        <v>342</v>
      </c>
      <c r="L1965" s="2">
        <v>15544</v>
      </c>
      <c r="M1965" s="3">
        <v>1</v>
      </c>
      <c r="N1965" s="2">
        <v>15544</v>
      </c>
      <c r="O1965" s="2">
        <v>1554</v>
      </c>
      <c r="P1965" s="2">
        <v>17098</v>
      </c>
      <c r="Q1965" s="2">
        <f>P1965*8.5%</f>
        <v>1453.3300000000002</v>
      </c>
    </row>
    <row r="1966" spans="1:17" hidden="1" x14ac:dyDescent="0.4">
      <c r="A1966" s="4" t="s">
        <v>42</v>
      </c>
      <c r="B1966" s="4" t="s">
        <v>14</v>
      </c>
      <c r="C1966" s="30" t="s">
        <v>434</v>
      </c>
      <c r="D1966" s="4" t="s">
        <v>43</v>
      </c>
      <c r="E1966" s="4" t="s">
        <v>44</v>
      </c>
      <c r="F1966" s="4" t="s">
        <v>31</v>
      </c>
      <c r="G1966" s="4" t="s">
        <v>18</v>
      </c>
      <c r="H1966" s="4" t="s">
        <v>221</v>
      </c>
      <c r="I1966" s="5" t="str">
        <f t="shared" si="30"/>
        <v>2025-07</v>
      </c>
      <c r="J1966" s="4" t="s">
        <v>34</v>
      </c>
      <c r="K1966" s="5" t="s">
        <v>342</v>
      </c>
      <c r="L1966" s="2">
        <v>7300</v>
      </c>
      <c r="M1966" s="3">
        <v>96.5</v>
      </c>
      <c r="N1966" s="2">
        <v>704450</v>
      </c>
      <c r="O1966" s="2">
        <v>0</v>
      </c>
      <c r="P1966" s="2">
        <v>704450</v>
      </c>
      <c r="Q1966" s="2">
        <f>P1966*8.5%</f>
        <v>59878.250000000007</v>
      </c>
    </row>
    <row r="1967" spans="1:17" hidden="1" x14ac:dyDescent="0.4">
      <c r="A1967" s="4" t="s">
        <v>222</v>
      </c>
      <c r="B1967" s="4" t="s">
        <v>26</v>
      </c>
      <c r="C1967" s="32" t="s">
        <v>436</v>
      </c>
      <c r="D1967" s="4" t="s">
        <v>203</v>
      </c>
      <c r="E1967" s="4" t="s">
        <v>47</v>
      </c>
      <c r="F1967" s="4" t="s">
        <v>17</v>
      </c>
      <c r="G1967" s="4" t="s">
        <v>18</v>
      </c>
      <c r="H1967" s="4" t="s">
        <v>221</v>
      </c>
      <c r="I1967" s="5" t="str">
        <f t="shared" si="30"/>
        <v>2025-07</v>
      </c>
      <c r="J1967" s="4" t="s">
        <v>34</v>
      </c>
      <c r="K1967" s="5" t="s">
        <v>342</v>
      </c>
      <c r="L1967" s="2">
        <v>13153</v>
      </c>
      <c r="M1967" s="3">
        <v>1</v>
      </c>
      <c r="N1967" s="2">
        <v>13153</v>
      </c>
      <c r="O1967" s="2">
        <v>1315</v>
      </c>
      <c r="P1967" s="2">
        <v>14468</v>
      </c>
      <c r="Q1967" s="2">
        <f>P1967*8.5%</f>
        <v>1229.7800000000002</v>
      </c>
    </row>
    <row r="1968" spans="1:17" hidden="1" x14ac:dyDescent="0.4">
      <c r="A1968" s="4" t="s">
        <v>13</v>
      </c>
      <c r="B1968" s="4" t="s">
        <v>14</v>
      </c>
      <c r="C1968" s="30" t="s">
        <v>434</v>
      </c>
      <c r="D1968" s="4" t="s">
        <v>15</v>
      </c>
      <c r="E1968" s="4" t="s">
        <v>16</v>
      </c>
      <c r="F1968" s="4" t="s">
        <v>17</v>
      </c>
      <c r="G1968" s="4" t="s">
        <v>18</v>
      </c>
      <c r="H1968" s="4" t="s">
        <v>221</v>
      </c>
      <c r="I1968" s="5" t="str">
        <f t="shared" si="30"/>
        <v>2025-07</v>
      </c>
      <c r="J1968" s="4" t="s">
        <v>59</v>
      </c>
      <c r="K1968" s="5" t="s">
        <v>343</v>
      </c>
      <c r="L1968" s="2">
        <v>42000</v>
      </c>
      <c r="M1968" s="3">
        <v>5</v>
      </c>
      <c r="N1968" s="2">
        <v>210000</v>
      </c>
      <c r="O1968" s="2">
        <v>21000</v>
      </c>
      <c r="P1968" s="2">
        <v>231000</v>
      </c>
      <c r="Q1968" s="2">
        <f>P1968*12%</f>
        <v>27720</v>
      </c>
    </row>
    <row r="1969" spans="1:17" hidden="1" x14ac:dyDescent="0.4">
      <c r="A1969" s="4" t="s">
        <v>35</v>
      </c>
      <c r="B1969" s="4" t="s">
        <v>14</v>
      </c>
      <c r="C1969" s="30" t="s">
        <v>434</v>
      </c>
      <c r="D1969" s="4" t="s">
        <v>36</v>
      </c>
      <c r="E1969" s="4" t="s">
        <v>16</v>
      </c>
      <c r="F1969" s="4" t="s">
        <v>17</v>
      </c>
      <c r="G1969" s="4" t="s">
        <v>18</v>
      </c>
      <c r="H1969" s="4" t="s">
        <v>221</v>
      </c>
      <c r="I1969" s="5" t="str">
        <f t="shared" si="30"/>
        <v>2025-07</v>
      </c>
      <c r="J1969" s="4" t="s">
        <v>59</v>
      </c>
      <c r="K1969" s="5" t="s">
        <v>343</v>
      </c>
      <c r="L1969" s="2">
        <v>116220</v>
      </c>
      <c r="M1969" s="3">
        <v>1</v>
      </c>
      <c r="N1969" s="2">
        <v>116220</v>
      </c>
      <c r="O1969" s="2">
        <v>11622</v>
      </c>
      <c r="P1969" s="2">
        <v>127842</v>
      </c>
      <c r="Q1969" s="2">
        <f>P1969*12%</f>
        <v>15341.039999999999</v>
      </c>
    </row>
    <row r="1970" spans="1:17" hidden="1" x14ac:dyDescent="0.4">
      <c r="A1970" s="4" t="s">
        <v>23</v>
      </c>
      <c r="B1970" s="4" t="s">
        <v>14</v>
      </c>
      <c r="C1970" s="31" t="s">
        <v>435</v>
      </c>
      <c r="D1970" s="4" t="s">
        <v>24</v>
      </c>
      <c r="E1970" s="4" t="s">
        <v>16</v>
      </c>
      <c r="F1970" s="4" t="s">
        <v>17</v>
      </c>
      <c r="G1970" s="4" t="s">
        <v>18</v>
      </c>
      <c r="H1970" s="4" t="s">
        <v>221</v>
      </c>
      <c r="I1970" s="5" t="str">
        <f t="shared" si="30"/>
        <v>2025-07</v>
      </c>
      <c r="J1970" s="4" t="s">
        <v>59</v>
      </c>
      <c r="K1970" s="5" t="s">
        <v>343</v>
      </c>
      <c r="L1970" s="2">
        <v>55500</v>
      </c>
      <c r="M1970" s="3">
        <v>1</v>
      </c>
      <c r="N1970" s="2">
        <v>55500</v>
      </c>
      <c r="O1970" s="2">
        <v>5550</v>
      </c>
      <c r="P1970" s="2">
        <v>61050</v>
      </c>
      <c r="Q1970" s="2">
        <f>P1970*12%</f>
        <v>7326</v>
      </c>
    </row>
    <row r="1971" spans="1:17" hidden="1" x14ac:dyDescent="0.4">
      <c r="A1971" s="4" t="s">
        <v>51</v>
      </c>
      <c r="B1971" s="4" t="s">
        <v>14</v>
      </c>
      <c r="C1971" s="30" t="s">
        <v>434</v>
      </c>
      <c r="D1971" s="4" t="s">
        <v>52</v>
      </c>
      <c r="E1971" s="4" t="s">
        <v>16</v>
      </c>
      <c r="F1971" s="4" t="s">
        <v>17</v>
      </c>
      <c r="G1971" s="4" t="s">
        <v>18</v>
      </c>
      <c r="H1971" s="4" t="s">
        <v>221</v>
      </c>
      <c r="I1971" s="5" t="str">
        <f t="shared" si="30"/>
        <v>2025-07</v>
      </c>
      <c r="J1971" s="4" t="s">
        <v>59</v>
      </c>
      <c r="K1971" s="5" t="s">
        <v>343</v>
      </c>
      <c r="L1971" s="2">
        <v>73000</v>
      </c>
      <c r="M1971" s="3">
        <v>1</v>
      </c>
      <c r="N1971" s="2">
        <v>73000</v>
      </c>
      <c r="O1971" s="2">
        <v>7300</v>
      </c>
      <c r="P1971" s="2">
        <v>80300</v>
      </c>
      <c r="Q1971" s="2">
        <f>P1971*12%</f>
        <v>9636</v>
      </c>
    </row>
    <row r="1972" spans="1:17" hidden="1" x14ac:dyDescent="0.4">
      <c r="A1972" s="4" t="s">
        <v>32</v>
      </c>
      <c r="B1972" s="4" t="s">
        <v>14</v>
      </c>
      <c r="C1972" s="31" t="s">
        <v>435</v>
      </c>
      <c r="D1972" s="4" t="s">
        <v>33</v>
      </c>
      <c r="E1972" s="4" t="s">
        <v>16</v>
      </c>
      <c r="F1972" s="4" t="s">
        <v>17</v>
      </c>
      <c r="G1972" s="4" t="s">
        <v>18</v>
      </c>
      <c r="H1972" s="4" t="s">
        <v>221</v>
      </c>
      <c r="I1972" s="5" t="str">
        <f t="shared" si="30"/>
        <v>2025-07</v>
      </c>
      <c r="J1972" s="4" t="s">
        <v>49</v>
      </c>
      <c r="K1972" s="5" t="s">
        <v>343</v>
      </c>
      <c r="L1972" s="2">
        <v>44000</v>
      </c>
      <c r="M1972" s="3">
        <v>4</v>
      </c>
      <c r="N1972" s="2">
        <v>176000</v>
      </c>
      <c r="O1972" s="2">
        <v>17600</v>
      </c>
      <c r="P1972" s="2">
        <v>193600</v>
      </c>
      <c r="Q1972" s="2">
        <f>P1972*12%</f>
        <v>23232</v>
      </c>
    </row>
    <row r="1973" spans="1:17" hidden="1" x14ac:dyDescent="0.4">
      <c r="A1973" s="4" t="s">
        <v>13</v>
      </c>
      <c r="B1973" s="4" t="s">
        <v>14</v>
      </c>
      <c r="C1973" s="30" t="s">
        <v>434</v>
      </c>
      <c r="D1973" s="4" t="s">
        <v>15</v>
      </c>
      <c r="E1973" s="4" t="s">
        <v>16</v>
      </c>
      <c r="F1973" s="4" t="s">
        <v>17</v>
      </c>
      <c r="G1973" s="4" t="s">
        <v>18</v>
      </c>
      <c r="H1973" s="4" t="s">
        <v>221</v>
      </c>
      <c r="I1973" s="5" t="str">
        <f t="shared" si="30"/>
        <v>2025-07</v>
      </c>
      <c r="J1973" s="4" t="s">
        <v>49</v>
      </c>
      <c r="K1973" s="5" t="s">
        <v>343</v>
      </c>
      <c r="L1973" s="2">
        <v>42000</v>
      </c>
      <c r="M1973" s="3">
        <v>6</v>
      </c>
      <c r="N1973" s="2">
        <v>252000</v>
      </c>
      <c r="O1973" s="2">
        <v>25200</v>
      </c>
      <c r="P1973" s="2">
        <v>277200</v>
      </c>
      <c r="Q1973" s="2">
        <f>P1973*12%</f>
        <v>33264</v>
      </c>
    </row>
    <row r="1974" spans="1:17" hidden="1" x14ac:dyDescent="0.4">
      <c r="A1974" s="4" t="s">
        <v>35</v>
      </c>
      <c r="B1974" s="4" t="s">
        <v>14</v>
      </c>
      <c r="C1974" s="30" t="s">
        <v>434</v>
      </c>
      <c r="D1974" s="4" t="s">
        <v>36</v>
      </c>
      <c r="E1974" s="4" t="s">
        <v>16</v>
      </c>
      <c r="F1974" s="4" t="s">
        <v>17</v>
      </c>
      <c r="G1974" s="4" t="s">
        <v>18</v>
      </c>
      <c r="H1974" s="4" t="s">
        <v>221</v>
      </c>
      <c r="I1974" s="5" t="str">
        <f t="shared" si="30"/>
        <v>2025-07</v>
      </c>
      <c r="J1974" s="4" t="s">
        <v>49</v>
      </c>
      <c r="K1974" s="5" t="s">
        <v>343</v>
      </c>
      <c r="L1974" s="2">
        <v>116220</v>
      </c>
      <c r="M1974" s="3">
        <v>2</v>
      </c>
      <c r="N1974" s="2">
        <v>232440</v>
      </c>
      <c r="O1974" s="2">
        <v>23244</v>
      </c>
      <c r="P1974" s="2">
        <v>255684</v>
      </c>
      <c r="Q1974" s="2">
        <f>P1974*12%</f>
        <v>30682.079999999998</v>
      </c>
    </row>
    <row r="1975" spans="1:17" hidden="1" x14ac:dyDescent="0.4">
      <c r="A1975" s="4" t="s">
        <v>23</v>
      </c>
      <c r="B1975" s="4" t="s">
        <v>14</v>
      </c>
      <c r="C1975" s="31" t="s">
        <v>435</v>
      </c>
      <c r="D1975" s="4" t="s">
        <v>24</v>
      </c>
      <c r="E1975" s="4" t="s">
        <v>16</v>
      </c>
      <c r="F1975" s="4" t="s">
        <v>17</v>
      </c>
      <c r="G1975" s="4" t="s">
        <v>18</v>
      </c>
      <c r="H1975" s="4" t="s">
        <v>221</v>
      </c>
      <c r="I1975" s="5" t="str">
        <f t="shared" si="30"/>
        <v>2025-07</v>
      </c>
      <c r="J1975" s="4" t="s">
        <v>49</v>
      </c>
      <c r="K1975" s="5" t="s">
        <v>343</v>
      </c>
      <c r="L1975" s="2">
        <v>55500</v>
      </c>
      <c r="M1975" s="3">
        <v>4</v>
      </c>
      <c r="N1975" s="2">
        <v>222000</v>
      </c>
      <c r="O1975" s="2">
        <v>22200</v>
      </c>
      <c r="P1975" s="2">
        <v>244200</v>
      </c>
      <c r="Q1975" s="2">
        <f>P1975*12%</f>
        <v>29304</v>
      </c>
    </row>
    <row r="1976" spans="1:17" hidden="1" x14ac:dyDescent="0.4">
      <c r="A1976" s="4" t="s">
        <v>51</v>
      </c>
      <c r="B1976" s="4" t="s">
        <v>14</v>
      </c>
      <c r="C1976" s="30" t="s">
        <v>434</v>
      </c>
      <c r="D1976" s="4" t="s">
        <v>52</v>
      </c>
      <c r="E1976" s="4" t="s">
        <v>16</v>
      </c>
      <c r="F1976" s="4" t="s">
        <v>17</v>
      </c>
      <c r="G1976" s="4" t="s">
        <v>18</v>
      </c>
      <c r="H1976" s="4" t="s">
        <v>221</v>
      </c>
      <c r="I1976" s="5" t="str">
        <f t="shared" si="30"/>
        <v>2025-07</v>
      </c>
      <c r="J1976" s="4" t="s">
        <v>49</v>
      </c>
      <c r="K1976" s="5" t="s">
        <v>343</v>
      </c>
      <c r="L1976" s="2">
        <v>73000</v>
      </c>
      <c r="M1976" s="3">
        <v>1</v>
      </c>
      <c r="N1976" s="2">
        <v>73000</v>
      </c>
      <c r="O1976" s="2">
        <v>7300</v>
      </c>
      <c r="P1976" s="2">
        <v>80300</v>
      </c>
      <c r="Q1976" s="2">
        <f>P1976*12%</f>
        <v>9636</v>
      </c>
    </row>
    <row r="1977" spans="1:17" hidden="1" x14ac:dyDescent="0.4">
      <c r="A1977" s="4" t="s">
        <v>32</v>
      </c>
      <c r="B1977" s="4" t="s">
        <v>14</v>
      </c>
      <c r="C1977" s="31" t="s">
        <v>435</v>
      </c>
      <c r="D1977" s="4" t="s">
        <v>33</v>
      </c>
      <c r="E1977" s="4" t="s">
        <v>16</v>
      </c>
      <c r="F1977" s="4" t="s">
        <v>17</v>
      </c>
      <c r="G1977" s="4" t="s">
        <v>18</v>
      </c>
      <c r="H1977" s="4" t="s">
        <v>221</v>
      </c>
      <c r="I1977" s="5" t="str">
        <f t="shared" si="30"/>
        <v>2025-07</v>
      </c>
      <c r="J1977" s="4" t="s">
        <v>50</v>
      </c>
      <c r="K1977" s="5" t="s">
        <v>343</v>
      </c>
      <c r="L1977" s="2">
        <v>44000</v>
      </c>
      <c r="M1977" s="3">
        <v>1</v>
      </c>
      <c r="N1977" s="2">
        <v>44000</v>
      </c>
      <c r="O1977" s="2">
        <v>4400</v>
      </c>
      <c r="P1977" s="2">
        <v>48400</v>
      </c>
      <c r="Q1977" s="2">
        <f>P1977*12%</f>
        <v>5808</v>
      </c>
    </row>
    <row r="1978" spans="1:17" hidden="1" x14ac:dyDescent="0.4">
      <c r="A1978" s="4" t="s">
        <v>13</v>
      </c>
      <c r="B1978" s="4" t="s">
        <v>14</v>
      </c>
      <c r="C1978" s="30" t="s">
        <v>434</v>
      </c>
      <c r="D1978" s="4" t="s">
        <v>15</v>
      </c>
      <c r="E1978" s="4" t="s">
        <v>16</v>
      </c>
      <c r="F1978" s="4" t="s">
        <v>17</v>
      </c>
      <c r="G1978" s="4" t="s">
        <v>18</v>
      </c>
      <c r="H1978" s="4" t="s">
        <v>221</v>
      </c>
      <c r="I1978" s="5" t="str">
        <f t="shared" si="30"/>
        <v>2025-07</v>
      </c>
      <c r="J1978" s="4" t="s">
        <v>50</v>
      </c>
      <c r="K1978" s="5" t="s">
        <v>343</v>
      </c>
      <c r="L1978" s="2">
        <v>42000</v>
      </c>
      <c r="M1978" s="3">
        <v>15</v>
      </c>
      <c r="N1978" s="2">
        <v>630000</v>
      </c>
      <c r="O1978" s="2">
        <v>63000</v>
      </c>
      <c r="P1978" s="2">
        <v>693000</v>
      </c>
      <c r="Q1978" s="2">
        <f>P1978*12%</f>
        <v>83160</v>
      </c>
    </row>
    <row r="1979" spans="1:17" hidden="1" x14ac:dyDescent="0.4">
      <c r="A1979" s="4" t="s">
        <v>23</v>
      </c>
      <c r="B1979" s="4" t="s">
        <v>14</v>
      </c>
      <c r="C1979" s="31" t="s">
        <v>435</v>
      </c>
      <c r="D1979" s="4" t="s">
        <v>24</v>
      </c>
      <c r="E1979" s="4" t="s">
        <v>16</v>
      </c>
      <c r="F1979" s="4" t="s">
        <v>17</v>
      </c>
      <c r="G1979" s="4" t="s">
        <v>18</v>
      </c>
      <c r="H1979" s="4" t="s">
        <v>221</v>
      </c>
      <c r="I1979" s="5" t="str">
        <f t="shared" si="30"/>
        <v>2025-07</v>
      </c>
      <c r="J1979" s="4" t="s">
        <v>50</v>
      </c>
      <c r="K1979" s="5" t="s">
        <v>343</v>
      </c>
      <c r="L1979" s="2">
        <v>55500</v>
      </c>
      <c r="M1979" s="3">
        <v>5</v>
      </c>
      <c r="N1979" s="2">
        <v>277500</v>
      </c>
      <c r="O1979" s="2">
        <v>27750</v>
      </c>
      <c r="P1979" s="2">
        <v>305250</v>
      </c>
      <c r="Q1979" s="2">
        <f>P1979*12%</f>
        <v>36630</v>
      </c>
    </row>
    <row r="1980" spans="1:17" hidden="1" x14ac:dyDescent="0.4">
      <c r="A1980" s="4" t="s">
        <v>51</v>
      </c>
      <c r="B1980" s="4" t="s">
        <v>14</v>
      </c>
      <c r="C1980" s="30" t="s">
        <v>434</v>
      </c>
      <c r="D1980" s="4" t="s">
        <v>52</v>
      </c>
      <c r="E1980" s="4" t="s">
        <v>16</v>
      </c>
      <c r="F1980" s="4" t="s">
        <v>17</v>
      </c>
      <c r="G1980" s="4" t="s">
        <v>18</v>
      </c>
      <c r="H1980" s="4" t="s">
        <v>221</v>
      </c>
      <c r="I1980" s="5" t="str">
        <f t="shared" si="30"/>
        <v>2025-07</v>
      </c>
      <c r="J1980" s="4" t="s">
        <v>50</v>
      </c>
      <c r="K1980" s="5" t="s">
        <v>343</v>
      </c>
      <c r="L1980" s="2">
        <v>73000</v>
      </c>
      <c r="M1980" s="3">
        <v>2</v>
      </c>
      <c r="N1980" s="2">
        <v>146000</v>
      </c>
      <c r="O1980" s="2">
        <v>14600</v>
      </c>
      <c r="P1980" s="2">
        <v>160600</v>
      </c>
      <c r="Q1980" s="2">
        <f>P1980*12%</f>
        <v>19272</v>
      </c>
    </row>
    <row r="1981" spans="1:17" x14ac:dyDescent="0.4">
      <c r="A1981" s="4" t="s">
        <v>13</v>
      </c>
      <c r="B1981" s="4" t="s">
        <v>14</v>
      </c>
      <c r="C1981" s="30" t="s">
        <v>434</v>
      </c>
      <c r="D1981" s="4" t="s">
        <v>15</v>
      </c>
      <c r="E1981" s="4" t="s">
        <v>16</v>
      </c>
      <c r="F1981" s="4" t="s">
        <v>17</v>
      </c>
      <c r="G1981" s="4" t="s">
        <v>18</v>
      </c>
      <c r="H1981" s="4" t="s">
        <v>223</v>
      </c>
      <c r="I1981" s="5" t="str">
        <f t="shared" si="30"/>
        <v>2025-08</v>
      </c>
      <c r="J1981" s="4" t="s">
        <v>20</v>
      </c>
      <c r="K1981" s="5" t="s">
        <v>342</v>
      </c>
      <c r="L1981" s="2">
        <v>42000</v>
      </c>
      <c r="M1981" s="3">
        <v>3</v>
      </c>
      <c r="N1981" s="2">
        <v>126000</v>
      </c>
      <c r="O1981" s="2">
        <v>12600</v>
      </c>
      <c r="P1981" s="2">
        <v>138600</v>
      </c>
      <c r="Q1981" s="2">
        <f>P1981*8.5%</f>
        <v>11781</v>
      </c>
    </row>
    <row r="1982" spans="1:17" x14ac:dyDescent="0.4">
      <c r="A1982" s="4" t="s">
        <v>21</v>
      </c>
      <c r="B1982" s="4" t="s">
        <v>14</v>
      </c>
      <c r="C1982" s="31" t="s">
        <v>435</v>
      </c>
      <c r="D1982" s="4" t="s">
        <v>22</v>
      </c>
      <c r="E1982" s="4" t="s">
        <v>16</v>
      </c>
      <c r="F1982" s="4" t="s">
        <v>17</v>
      </c>
      <c r="G1982" s="4" t="s">
        <v>18</v>
      </c>
      <c r="H1982" s="4" t="s">
        <v>223</v>
      </c>
      <c r="I1982" s="5" t="str">
        <f t="shared" si="30"/>
        <v>2025-08</v>
      </c>
      <c r="J1982" s="4" t="s">
        <v>20</v>
      </c>
      <c r="K1982" s="5" t="s">
        <v>342</v>
      </c>
      <c r="L1982" s="2">
        <v>55500</v>
      </c>
      <c r="M1982" s="3">
        <v>1</v>
      </c>
      <c r="N1982" s="2">
        <v>55500</v>
      </c>
      <c r="O1982" s="2">
        <v>5550</v>
      </c>
      <c r="P1982" s="2">
        <v>61050</v>
      </c>
      <c r="Q1982" s="2">
        <f>P1982*8.5%</f>
        <v>5189.25</v>
      </c>
    </row>
    <row r="1983" spans="1:17" x14ac:dyDescent="0.4">
      <c r="A1983" s="4" t="s">
        <v>23</v>
      </c>
      <c r="B1983" s="4" t="s">
        <v>14</v>
      </c>
      <c r="C1983" s="31" t="s">
        <v>435</v>
      </c>
      <c r="D1983" s="4" t="s">
        <v>24</v>
      </c>
      <c r="E1983" s="4" t="s">
        <v>16</v>
      </c>
      <c r="F1983" s="4" t="s">
        <v>17</v>
      </c>
      <c r="G1983" s="4" t="s">
        <v>18</v>
      </c>
      <c r="H1983" s="4" t="s">
        <v>223</v>
      </c>
      <c r="I1983" s="5" t="str">
        <f t="shared" si="30"/>
        <v>2025-08</v>
      </c>
      <c r="J1983" s="4" t="s">
        <v>20</v>
      </c>
      <c r="K1983" s="5" t="s">
        <v>342</v>
      </c>
      <c r="L1983" s="2">
        <v>55500</v>
      </c>
      <c r="M1983" s="3">
        <v>3</v>
      </c>
      <c r="N1983" s="2">
        <v>166500</v>
      </c>
      <c r="O1983" s="2">
        <v>16650</v>
      </c>
      <c r="P1983" s="2">
        <v>183150</v>
      </c>
      <c r="Q1983" s="2">
        <f>P1983*8.5%</f>
        <v>15567.750000000002</v>
      </c>
    </row>
    <row r="1984" spans="1:17" x14ac:dyDescent="0.4">
      <c r="A1984" s="4" t="s">
        <v>54</v>
      </c>
      <c r="B1984" s="4" t="s">
        <v>26</v>
      </c>
      <c r="C1984" s="32" t="s">
        <v>436</v>
      </c>
      <c r="D1984" s="4" t="s">
        <v>55</v>
      </c>
      <c r="E1984" s="4" t="s">
        <v>28</v>
      </c>
      <c r="F1984" s="4" t="s">
        <v>31</v>
      </c>
      <c r="G1984" s="4" t="s">
        <v>18</v>
      </c>
      <c r="H1984" s="4" t="s">
        <v>223</v>
      </c>
      <c r="I1984" s="5" t="str">
        <f t="shared" si="30"/>
        <v>2025-08</v>
      </c>
      <c r="J1984" s="4" t="s">
        <v>20</v>
      </c>
      <c r="K1984" s="5" t="s">
        <v>342</v>
      </c>
      <c r="L1984" s="2">
        <v>5919</v>
      </c>
      <c r="M1984" s="3">
        <v>1</v>
      </c>
      <c r="N1984" s="2">
        <v>5919</v>
      </c>
      <c r="O1984" s="2">
        <v>0</v>
      </c>
      <c r="P1984" s="2">
        <v>5919</v>
      </c>
      <c r="Q1984" s="2">
        <f>P1984*8.5%</f>
        <v>503.11500000000001</v>
      </c>
    </row>
    <row r="1985" spans="1:17" hidden="1" x14ac:dyDescent="0.4">
      <c r="A1985" s="4" t="s">
        <v>32</v>
      </c>
      <c r="B1985" s="4" t="s">
        <v>14</v>
      </c>
      <c r="C1985" s="31" t="s">
        <v>435</v>
      </c>
      <c r="D1985" s="4" t="s">
        <v>33</v>
      </c>
      <c r="E1985" s="4" t="s">
        <v>16</v>
      </c>
      <c r="F1985" s="4" t="s">
        <v>17</v>
      </c>
      <c r="G1985" s="4" t="s">
        <v>18</v>
      </c>
      <c r="H1985" s="4" t="s">
        <v>223</v>
      </c>
      <c r="I1985" s="5" t="str">
        <f t="shared" si="30"/>
        <v>2025-08</v>
      </c>
      <c r="J1985" s="4" t="s">
        <v>118</v>
      </c>
      <c r="K1985" s="5" t="s">
        <v>342</v>
      </c>
      <c r="L1985" s="2">
        <v>44000</v>
      </c>
      <c r="M1985" s="3">
        <v>2</v>
      </c>
      <c r="N1985" s="2">
        <v>88000</v>
      </c>
      <c r="O1985" s="2">
        <v>8800</v>
      </c>
      <c r="P1985" s="2">
        <v>96800</v>
      </c>
      <c r="Q1985" s="2">
        <f>P1985*8.5%</f>
        <v>8228</v>
      </c>
    </row>
    <row r="1986" spans="1:17" hidden="1" x14ac:dyDescent="0.4">
      <c r="A1986" s="4" t="s">
        <v>13</v>
      </c>
      <c r="B1986" s="4" t="s">
        <v>14</v>
      </c>
      <c r="C1986" s="30" t="s">
        <v>434</v>
      </c>
      <c r="D1986" s="4" t="s">
        <v>15</v>
      </c>
      <c r="E1986" s="4" t="s">
        <v>16</v>
      </c>
      <c r="F1986" s="4" t="s">
        <v>17</v>
      </c>
      <c r="G1986" s="4" t="s">
        <v>18</v>
      </c>
      <c r="H1986" s="4" t="s">
        <v>223</v>
      </c>
      <c r="I1986" s="5" t="str">
        <f t="shared" ref="I1986:I2049" si="31">TEXT(H1986,"yyyy-mm")</f>
        <v>2025-08</v>
      </c>
      <c r="J1986" s="4" t="s">
        <v>118</v>
      </c>
      <c r="K1986" s="5" t="s">
        <v>342</v>
      </c>
      <c r="L1986" s="2">
        <v>42000</v>
      </c>
      <c r="M1986" s="3">
        <v>4</v>
      </c>
      <c r="N1986" s="2">
        <v>168000</v>
      </c>
      <c r="O1986" s="2">
        <v>16800</v>
      </c>
      <c r="P1986" s="2">
        <v>184800</v>
      </c>
      <c r="Q1986" s="2">
        <f>P1986*8.5%</f>
        <v>15708.000000000002</v>
      </c>
    </row>
    <row r="1987" spans="1:17" hidden="1" x14ac:dyDescent="0.4">
      <c r="A1987" s="4" t="s">
        <v>23</v>
      </c>
      <c r="B1987" s="4" t="s">
        <v>14</v>
      </c>
      <c r="C1987" s="31" t="s">
        <v>435</v>
      </c>
      <c r="D1987" s="4" t="s">
        <v>24</v>
      </c>
      <c r="E1987" s="4" t="s">
        <v>16</v>
      </c>
      <c r="F1987" s="4" t="s">
        <v>17</v>
      </c>
      <c r="G1987" s="4" t="s">
        <v>18</v>
      </c>
      <c r="H1987" s="4" t="s">
        <v>223</v>
      </c>
      <c r="I1987" s="5" t="str">
        <f t="shared" si="31"/>
        <v>2025-08</v>
      </c>
      <c r="J1987" s="4" t="s">
        <v>118</v>
      </c>
      <c r="K1987" s="5" t="s">
        <v>342</v>
      </c>
      <c r="L1987" s="2">
        <v>55500</v>
      </c>
      <c r="M1987" s="3">
        <v>3</v>
      </c>
      <c r="N1987" s="2">
        <v>166500</v>
      </c>
      <c r="O1987" s="2">
        <v>16650</v>
      </c>
      <c r="P1987" s="2">
        <v>183150</v>
      </c>
      <c r="Q1987" s="2">
        <f>P1987*8.5%</f>
        <v>15567.750000000002</v>
      </c>
    </row>
    <row r="1988" spans="1:17" hidden="1" x14ac:dyDescent="0.4">
      <c r="A1988" s="4" t="s">
        <v>64</v>
      </c>
      <c r="B1988" s="4" t="s">
        <v>65</v>
      </c>
      <c r="C1988" s="32" t="s">
        <v>436</v>
      </c>
      <c r="D1988" s="4" t="s">
        <v>66</v>
      </c>
      <c r="E1988" s="4" t="s">
        <v>16</v>
      </c>
      <c r="F1988" s="4" t="s">
        <v>17</v>
      </c>
      <c r="G1988" s="4" t="s">
        <v>18</v>
      </c>
      <c r="H1988" s="4" t="s">
        <v>223</v>
      </c>
      <c r="I1988" s="5" t="str">
        <f t="shared" si="31"/>
        <v>2025-08</v>
      </c>
      <c r="J1988" s="4" t="s">
        <v>34</v>
      </c>
      <c r="K1988" s="5" t="s">
        <v>342</v>
      </c>
      <c r="L1988" s="2">
        <v>10283</v>
      </c>
      <c r="M1988" s="3">
        <v>1</v>
      </c>
      <c r="N1988" s="2">
        <v>10283</v>
      </c>
      <c r="O1988" s="2">
        <v>1028</v>
      </c>
      <c r="P1988" s="2">
        <v>11311</v>
      </c>
      <c r="Q1988" s="2">
        <f>P1988*8.5%</f>
        <v>961.43500000000006</v>
      </c>
    </row>
    <row r="1989" spans="1:17" hidden="1" x14ac:dyDescent="0.4">
      <c r="A1989" s="4" t="s">
        <v>32</v>
      </c>
      <c r="B1989" s="4" t="s">
        <v>14</v>
      </c>
      <c r="C1989" s="31" t="s">
        <v>435</v>
      </c>
      <c r="D1989" s="4" t="s">
        <v>33</v>
      </c>
      <c r="E1989" s="4" t="s">
        <v>16</v>
      </c>
      <c r="F1989" s="4" t="s">
        <v>17</v>
      </c>
      <c r="G1989" s="4" t="s">
        <v>18</v>
      </c>
      <c r="H1989" s="4" t="s">
        <v>223</v>
      </c>
      <c r="I1989" s="5" t="str">
        <f t="shared" si="31"/>
        <v>2025-08</v>
      </c>
      <c r="J1989" s="4" t="s">
        <v>34</v>
      </c>
      <c r="K1989" s="5" t="s">
        <v>342</v>
      </c>
      <c r="L1989" s="2">
        <v>44000</v>
      </c>
      <c r="M1989" s="3">
        <v>2</v>
      </c>
      <c r="N1989" s="2">
        <v>88000</v>
      </c>
      <c r="O1989" s="2">
        <v>8800</v>
      </c>
      <c r="P1989" s="2">
        <v>96800</v>
      </c>
      <c r="Q1989" s="2">
        <f>P1989*8.5%</f>
        <v>8228</v>
      </c>
    </row>
    <row r="1990" spans="1:17" hidden="1" x14ac:dyDescent="0.4">
      <c r="A1990" s="4" t="s">
        <v>58</v>
      </c>
      <c r="B1990" s="4" t="s">
        <v>14</v>
      </c>
      <c r="C1990" s="30" t="s">
        <v>434</v>
      </c>
      <c r="D1990" s="4" t="s">
        <v>36</v>
      </c>
      <c r="E1990" s="4" t="s">
        <v>16</v>
      </c>
      <c r="F1990" s="4" t="s">
        <v>17</v>
      </c>
      <c r="G1990" s="4" t="s">
        <v>18</v>
      </c>
      <c r="H1990" s="4" t="s">
        <v>223</v>
      </c>
      <c r="I1990" s="5" t="str">
        <f t="shared" si="31"/>
        <v>2025-08</v>
      </c>
      <c r="J1990" s="4" t="s">
        <v>34</v>
      </c>
      <c r="K1990" s="5" t="s">
        <v>342</v>
      </c>
      <c r="L1990" s="2">
        <v>120880</v>
      </c>
      <c r="M1990" s="3">
        <v>1</v>
      </c>
      <c r="N1990" s="2">
        <v>120880</v>
      </c>
      <c r="O1990" s="2">
        <v>12088</v>
      </c>
      <c r="P1990" s="2">
        <v>132968</v>
      </c>
      <c r="Q1990" s="2">
        <f>P1990*8.5%</f>
        <v>11302.28</v>
      </c>
    </row>
    <row r="1991" spans="1:17" hidden="1" x14ac:dyDescent="0.4">
      <c r="A1991" s="4" t="s">
        <v>13</v>
      </c>
      <c r="B1991" s="4" t="s">
        <v>14</v>
      </c>
      <c r="C1991" s="30" t="s">
        <v>434</v>
      </c>
      <c r="D1991" s="4" t="s">
        <v>15</v>
      </c>
      <c r="E1991" s="4" t="s">
        <v>16</v>
      </c>
      <c r="F1991" s="4" t="s">
        <v>17</v>
      </c>
      <c r="G1991" s="4" t="s">
        <v>18</v>
      </c>
      <c r="H1991" s="4" t="s">
        <v>223</v>
      </c>
      <c r="I1991" s="5" t="str">
        <f t="shared" si="31"/>
        <v>2025-08</v>
      </c>
      <c r="J1991" s="4" t="s">
        <v>34</v>
      </c>
      <c r="K1991" s="5" t="s">
        <v>342</v>
      </c>
      <c r="L1991" s="2">
        <v>42000</v>
      </c>
      <c r="M1991" s="3">
        <v>5</v>
      </c>
      <c r="N1991" s="2">
        <v>210000</v>
      </c>
      <c r="O1991" s="2">
        <v>21000</v>
      </c>
      <c r="P1991" s="2">
        <v>231000</v>
      </c>
      <c r="Q1991" s="2">
        <f>P1991*8.5%</f>
        <v>19635</v>
      </c>
    </row>
    <row r="1992" spans="1:17" hidden="1" x14ac:dyDescent="0.4">
      <c r="A1992" s="4" t="s">
        <v>21</v>
      </c>
      <c r="B1992" s="4" t="s">
        <v>14</v>
      </c>
      <c r="C1992" s="31" t="s">
        <v>435</v>
      </c>
      <c r="D1992" s="4" t="s">
        <v>22</v>
      </c>
      <c r="E1992" s="4" t="s">
        <v>16</v>
      </c>
      <c r="F1992" s="4" t="s">
        <v>17</v>
      </c>
      <c r="G1992" s="4" t="s">
        <v>18</v>
      </c>
      <c r="H1992" s="4" t="s">
        <v>223</v>
      </c>
      <c r="I1992" s="5" t="str">
        <f t="shared" si="31"/>
        <v>2025-08</v>
      </c>
      <c r="J1992" s="4" t="s">
        <v>34</v>
      </c>
      <c r="K1992" s="5" t="s">
        <v>342</v>
      </c>
      <c r="L1992" s="2">
        <v>55500</v>
      </c>
      <c r="M1992" s="3">
        <v>2</v>
      </c>
      <c r="N1992" s="2">
        <v>111000</v>
      </c>
      <c r="O1992" s="2">
        <v>11100</v>
      </c>
      <c r="P1992" s="2">
        <v>122100</v>
      </c>
      <c r="Q1992" s="2">
        <f>P1992*8.5%</f>
        <v>10378.5</v>
      </c>
    </row>
    <row r="1993" spans="1:17" hidden="1" x14ac:dyDescent="0.4">
      <c r="A1993" s="4" t="s">
        <v>35</v>
      </c>
      <c r="B1993" s="4" t="s">
        <v>14</v>
      </c>
      <c r="C1993" s="30" t="s">
        <v>434</v>
      </c>
      <c r="D1993" s="4" t="s">
        <v>36</v>
      </c>
      <c r="E1993" s="4" t="s">
        <v>16</v>
      </c>
      <c r="F1993" s="4" t="s">
        <v>17</v>
      </c>
      <c r="G1993" s="4" t="s">
        <v>18</v>
      </c>
      <c r="H1993" s="4" t="s">
        <v>223</v>
      </c>
      <c r="I1993" s="5" t="str">
        <f t="shared" si="31"/>
        <v>2025-08</v>
      </c>
      <c r="J1993" s="4" t="s">
        <v>34</v>
      </c>
      <c r="K1993" s="5" t="s">
        <v>342</v>
      </c>
      <c r="L1993" s="2">
        <v>116220</v>
      </c>
      <c r="M1993" s="3">
        <v>1</v>
      </c>
      <c r="N1993" s="2">
        <v>116220</v>
      </c>
      <c r="O1993" s="2">
        <v>11622</v>
      </c>
      <c r="P1993" s="2">
        <v>127842</v>
      </c>
      <c r="Q1993" s="2">
        <f>P1993*8.5%</f>
        <v>10866.570000000002</v>
      </c>
    </row>
    <row r="1994" spans="1:17" hidden="1" x14ac:dyDescent="0.4">
      <c r="A1994" s="4" t="s">
        <v>23</v>
      </c>
      <c r="B1994" s="4" t="s">
        <v>14</v>
      </c>
      <c r="C1994" s="31" t="s">
        <v>435</v>
      </c>
      <c r="D1994" s="4" t="s">
        <v>24</v>
      </c>
      <c r="E1994" s="4" t="s">
        <v>16</v>
      </c>
      <c r="F1994" s="4" t="s">
        <v>17</v>
      </c>
      <c r="G1994" s="4" t="s">
        <v>18</v>
      </c>
      <c r="H1994" s="4" t="s">
        <v>223</v>
      </c>
      <c r="I1994" s="5" t="str">
        <f t="shared" si="31"/>
        <v>2025-08</v>
      </c>
      <c r="J1994" s="4" t="s">
        <v>34</v>
      </c>
      <c r="K1994" s="5" t="s">
        <v>342</v>
      </c>
      <c r="L1994" s="2">
        <v>55500</v>
      </c>
      <c r="M1994" s="3">
        <v>4</v>
      </c>
      <c r="N1994" s="2">
        <v>222000</v>
      </c>
      <c r="O1994" s="2">
        <v>22200</v>
      </c>
      <c r="P1994" s="2">
        <v>244200</v>
      </c>
      <c r="Q1994" s="2">
        <f>P1994*8.5%</f>
        <v>20757</v>
      </c>
    </row>
    <row r="1995" spans="1:17" hidden="1" x14ac:dyDescent="0.4">
      <c r="A1995" s="4" t="s">
        <v>51</v>
      </c>
      <c r="B1995" s="4" t="s">
        <v>14</v>
      </c>
      <c r="C1995" s="30" t="s">
        <v>434</v>
      </c>
      <c r="D1995" s="4" t="s">
        <v>52</v>
      </c>
      <c r="E1995" s="4" t="s">
        <v>16</v>
      </c>
      <c r="F1995" s="4" t="s">
        <v>17</v>
      </c>
      <c r="G1995" s="4" t="s">
        <v>18</v>
      </c>
      <c r="H1995" s="4" t="s">
        <v>223</v>
      </c>
      <c r="I1995" s="5" t="str">
        <f t="shared" si="31"/>
        <v>2025-08</v>
      </c>
      <c r="J1995" s="4" t="s">
        <v>34</v>
      </c>
      <c r="K1995" s="5" t="s">
        <v>342</v>
      </c>
      <c r="L1995" s="2">
        <v>73000</v>
      </c>
      <c r="M1995" s="3">
        <v>1</v>
      </c>
      <c r="N1995" s="2">
        <v>73000</v>
      </c>
      <c r="O1995" s="2">
        <v>7300</v>
      </c>
      <c r="P1995" s="2">
        <v>80300</v>
      </c>
      <c r="Q1995" s="2">
        <f>P1995*8.5%</f>
        <v>6825.5000000000009</v>
      </c>
    </row>
    <row r="1996" spans="1:17" hidden="1" x14ac:dyDescent="0.4">
      <c r="A1996" s="4" t="s">
        <v>136</v>
      </c>
      <c r="B1996" s="4" t="s">
        <v>26</v>
      </c>
      <c r="C1996" s="32" t="s">
        <v>436</v>
      </c>
      <c r="D1996" s="4" t="s">
        <v>137</v>
      </c>
      <c r="E1996" s="4" t="s">
        <v>28</v>
      </c>
      <c r="F1996" s="4" t="s">
        <v>17</v>
      </c>
      <c r="G1996" s="4" t="s">
        <v>18</v>
      </c>
      <c r="H1996" s="4" t="s">
        <v>223</v>
      </c>
      <c r="I1996" s="5" t="str">
        <f t="shared" si="31"/>
        <v>2025-08</v>
      </c>
      <c r="J1996" s="4" t="s">
        <v>34</v>
      </c>
      <c r="K1996" s="5" t="s">
        <v>342</v>
      </c>
      <c r="L1996" s="2">
        <v>5548</v>
      </c>
      <c r="M1996" s="3">
        <v>2</v>
      </c>
      <c r="N1996" s="2">
        <v>11096</v>
      </c>
      <c r="O1996" s="2">
        <v>1110</v>
      </c>
      <c r="P1996" s="2">
        <v>12206</v>
      </c>
      <c r="Q1996" s="2">
        <f>P1996*8.5%</f>
        <v>1037.51</v>
      </c>
    </row>
    <row r="1997" spans="1:17" hidden="1" x14ac:dyDescent="0.4">
      <c r="A1997" s="4" t="s">
        <v>42</v>
      </c>
      <c r="B1997" s="4" t="s">
        <v>14</v>
      </c>
      <c r="C1997" s="30" t="s">
        <v>434</v>
      </c>
      <c r="D1997" s="4" t="s">
        <v>43</v>
      </c>
      <c r="E1997" s="4" t="s">
        <v>44</v>
      </c>
      <c r="F1997" s="4" t="s">
        <v>31</v>
      </c>
      <c r="G1997" s="4" t="s">
        <v>18</v>
      </c>
      <c r="H1997" s="4" t="s">
        <v>223</v>
      </c>
      <c r="I1997" s="5" t="str">
        <f t="shared" si="31"/>
        <v>2025-08</v>
      </c>
      <c r="J1997" s="4" t="s">
        <v>34</v>
      </c>
      <c r="K1997" s="5" t="s">
        <v>342</v>
      </c>
      <c r="L1997" s="2">
        <v>7300</v>
      </c>
      <c r="M1997" s="3">
        <v>47.7</v>
      </c>
      <c r="N1997" s="2">
        <v>348210</v>
      </c>
      <c r="O1997" s="2">
        <v>0</v>
      </c>
      <c r="P1997" s="2">
        <v>348210</v>
      </c>
      <c r="Q1997" s="2">
        <f>P1997*8.5%</f>
        <v>29597.850000000002</v>
      </c>
    </row>
    <row r="1998" spans="1:17" hidden="1" x14ac:dyDescent="0.4">
      <c r="A1998" s="4" t="s">
        <v>13</v>
      </c>
      <c r="B1998" s="4" t="s">
        <v>14</v>
      </c>
      <c r="C1998" s="30" t="s">
        <v>434</v>
      </c>
      <c r="D1998" s="4" t="s">
        <v>15</v>
      </c>
      <c r="E1998" s="4" t="s">
        <v>16</v>
      </c>
      <c r="F1998" s="4" t="s">
        <v>17</v>
      </c>
      <c r="G1998" s="4" t="s">
        <v>18</v>
      </c>
      <c r="H1998" s="4" t="s">
        <v>223</v>
      </c>
      <c r="I1998" s="5" t="str">
        <f t="shared" si="31"/>
        <v>2025-08</v>
      </c>
      <c r="J1998" s="4" t="s">
        <v>59</v>
      </c>
      <c r="K1998" s="5" t="s">
        <v>343</v>
      </c>
      <c r="L1998" s="2">
        <v>42000</v>
      </c>
      <c r="M1998" s="3">
        <v>8</v>
      </c>
      <c r="N1998" s="2">
        <v>336000</v>
      </c>
      <c r="O1998" s="2">
        <v>33600</v>
      </c>
      <c r="P1998" s="2">
        <v>369600</v>
      </c>
      <c r="Q1998" s="2">
        <f>P1998*12%</f>
        <v>44352</v>
      </c>
    </row>
    <row r="1999" spans="1:17" hidden="1" x14ac:dyDescent="0.4">
      <c r="A1999" s="4" t="s">
        <v>35</v>
      </c>
      <c r="B1999" s="4" t="s">
        <v>14</v>
      </c>
      <c r="C1999" s="30" t="s">
        <v>434</v>
      </c>
      <c r="D1999" s="4" t="s">
        <v>36</v>
      </c>
      <c r="E1999" s="4" t="s">
        <v>16</v>
      </c>
      <c r="F1999" s="4" t="s">
        <v>17</v>
      </c>
      <c r="G1999" s="4" t="s">
        <v>18</v>
      </c>
      <c r="H1999" s="4" t="s">
        <v>223</v>
      </c>
      <c r="I1999" s="5" t="str">
        <f t="shared" si="31"/>
        <v>2025-08</v>
      </c>
      <c r="J1999" s="4" t="s">
        <v>59</v>
      </c>
      <c r="K1999" s="5" t="s">
        <v>343</v>
      </c>
      <c r="L1999" s="2">
        <v>116220</v>
      </c>
      <c r="M1999" s="3">
        <v>1</v>
      </c>
      <c r="N1999" s="2">
        <v>116220</v>
      </c>
      <c r="O1999" s="2">
        <v>11622</v>
      </c>
      <c r="P1999" s="2">
        <v>127842</v>
      </c>
      <c r="Q1999" s="2">
        <f>P1999*12%</f>
        <v>15341.039999999999</v>
      </c>
    </row>
    <row r="2000" spans="1:17" hidden="1" x14ac:dyDescent="0.4">
      <c r="A2000" s="4" t="s">
        <v>23</v>
      </c>
      <c r="B2000" s="4" t="s">
        <v>14</v>
      </c>
      <c r="C2000" s="31" t="s">
        <v>435</v>
      </c>
      <c r="D2000" s="4" t="s">
        <v>24</v>
      </c>
      <c r="E2000" s="4" t="s">
        <v>16</v>
      </c>
      <c r="F2000" s="4" t="s">
        <v>17</v>
      </c>
      <c r="G2000" s="4" t="s">
        <v>18</v>
      </c>
      <c r="H2000" s="4" t="s">
        <v>223</v>
      </c>
      <c r="I2000" s="5" t="str">
        <f t="shared" si="31"/>
        <v>2025-08</v>
      </c>
      <c r="J2000" s="4" t="s">
        <v>59</v>
      </c>
      <c r="K2000" s="5" t="s">
        <v>343</v>
      </c>
      <c r="L2000" s="2">
        <v>55500</v>
      </c>
      <c r="M2000" s="3">
        <v>3</v>
      </c>
      <c r="N2000" s="2">
        <v>166500</v>
      </c>
      <c r="O2000" s="2">
        <v>16650</v>
      </c>
      <c r="P2000" s="2">
        <v>183150</v>
      </c>
      <c r="Q2000" s="2">
        <f>P2000*12%</f>
        <v>21978</v>
      </c>
    </row>
    <row r="2001" spans="1:17" hidden="1" x14ac:dyDescent="0.4">
      <c r="A2001" s="4" t="s">
        <v>51</v>
      </c>
      <c r="B2001" s="4" t="s">
        <v>14</v>
      </c>
      <c r="C2001" s="30" t="s">
        <v>434</v>
      </c>
      <c r="D2001" s="4" t="s">
        <v>52</v>
      </c>
      <c r="E2001" s="4" t="s">
        <v>16</v>
      </c>
      <c r="F2001" s="4" t="s">
        <v>17</v>
      </c>
      <c r="G2001" s="4" t="s">
        <v>18</v>
      </c>
      <c r="H2001" s="4" t="s">
        <v>223</v>
      </c>
      <c r="I2001" s="5" t="str">
        <f t="shared" si="31"/>
        <v>2025-08</v>
      </c>
      <c r="J2001" s="4" t="s">
        <v>59</v>
      </c>
      <c r="K2001" s="5" t="s">
        <v>343</v>
      </c>
      <c r="L2001" s="2">
        <v>73000</v>
      </c>
      <c r="M2001" s="3">
        <v>1</v>
      </c>
      <c r="N2001" s="2">
        <v>73000</v>
      </c>
      <c r="O2001" s="2">
        <v>7300</v>
      </c>
      <c r="P2001" s="2">
        <v>80300</v>
      </c>
      <c r="Q2001" s="2">
        <f>P2001*12%</f>
        <v>9636</v>
      </c>
    </row>
    <row r="2002" spans="1:17" hidden="1" x14ac:dyDescent="0.4">
      <c r="A2002" s="4" t="s">
        <v>58</v>
      </c>
      <c r="B2002" s="4" t="s">
        <v>14</v>
      </c>
      <c r="C2002" s="30" t="s">
        <v>434</v>
      </c>
      <c r="D2002" s="4" t="s">
        <v>36</v>
      </c>
      <c r="E2002" s="4" t="s">
        <v>16</v>
      </c>
      <c r="F2002" s="4" t="s">
        <v>17</v>
      </c>
      <c r="G2002" s="4" t="s">
        <v>18</v>
      </c>
      <c r="H2002" s="4" t="s">
        <v>223</v>
      </c>
      <c r="I2002" s="5" t="str">
        <f t="shared" si="31"/>
        <v>2025-08</v>
      </c>
      <c r="J2002" s="4" t="s">
        <v>153</v>
      </c>
      <c r="K2002" s="5" t="s">
        <v>343</v>
      </c>
      <c r="L2002" s="2">
        <v>120880</v>
      </c>
      <c r="M2002" s="3">
        <v>1</v>
      </c>
      <c r="N2002" s="2">
        <v>120880</v>
      </c>
      <c r="O2002" s="2">
        <v>12088</v>
      </c>
      <c r="P2002" s="2">
        <v>132968</v>
      </c>
      <c r="Q2002" s="2">
        <f>P2002*12%</f>
        <v>15956.16</v>
      </c>
    </row>
    <row r="2003" spans="1:17" hidden="1" x14ac:dyDescent="0.4">
      <c r="A2003" s="4" t="s">
        <v>13</v>
      </c>
      <c r="B2003" s="4" t="s">
        <v>14</v>
      </c>
      <c r="C2003" s="30" t="s">
        <v>434</v>
      </c>
      <c r="D2003" s="4" t="s">
        <v>15</v>
      </c>
      <c r="E2003" s="4" t="s">
        <v>16</v>
      </c>
      <c r="F2003" s="4" t="s">
        <v>17</v>
      </c>
      <c r="G2003" s="4" t="s">
        <v>18</v>
      </c>
      <c r="H2003" s="4" t="s">
        <v>223</v>
      </c>
      <c r="I2003" s="5" t="str">
        <f t="shared" si="31"/>
        <v>2025-08</v>
      </c>
      <c r="J2003" s="4" t="s">
        <v>153</v>
      </c>
      <c r="K2003" s="5" t="s">
        <v>343</v>
      </c>
      <c r="L2003" s="2">
        <v>42000</v>
      </c>
      <c r="M2003" s="3">
        <v>4</v>
      </c>
      <c r="N2003" s="2">
        <v>168000</v>
      </c>
      <c r="O2003" s="2">
        <v>16800</v>
      </c>
      <c r="P2003" s="2">
        <v>184800</v>
      </c>
      <c r="Q2003" s="2">
        <f>P2003*12%</f>
        <v>22176</v>
      </c>
    </row>
    <row r="2004" spans="1:17" hidden="1" x14ac:dyDescent="0.4">
      <c r="A2004" s="4" t="s">
        <v>23</v>
      </c>
      <c r="B2004" s="4" t="s">
        <v>14</v>
      </c>
      <c r="C2004" s="31" t="s">
        <v>435</v>
      </c>
      <c r="D2004" s="4" t="s">
        <v>24</v>
      </c>
      <c r="E2004" s="4" t="s">
        <v>16</v>
      </c>
      <c r="F2004" s="4" t="s">
        <v>17</v>
      </c>
      <c r="G2004" s="4" t="s">
        <v>18</v>
      </c>
      <c r="H2004" s="4" t="s">
        <v>223</v>
      </c>
      <c r="I2004" s="5" t="str">
        <f t="shared" si="31"/>
        <v>2025-08</v>
      </c>
      <c r="J2004" s="4" t="s">
        <v>153</v>
      </c>
      <c r="K2004" s="5" t="s">
        <v>343</v>
      </c>
      <c r="L2004" s="2">
        <v>55500</v>
      </c>
      <c r="M2004" s="3">
        <v>3</v>
      </c>
      <c r="N2004" s="2">
        <v>166500</v>
      </c>
      <c r="O2004" s="2">
        <v>16650</v>
      </c>
      <c r="P2004" s="2">
        <v>183150</v>
      </c>
      <c r="Q2004" s="2">
        <f>P2004*12%</f>
        <v>21978</v>
      </c>
    </row>
    <row r="2005" spans="1:17" hidden="1" x14ac:dyDescent="0.4">
      <c r="A2005" s="4" t="s">
        <v>23</v>
      </c>
      <c r="B2005" s="4" t="s">
        <v>14</v>
      </c>
      <c r="C2005" s="31" t="s">
        <v>435</v>
      </c>
      <c r="D2005" s="4" t="s">
        <v>24</v>
      </c>
      <c r="E2005" s="4" t="s">
        <v>16</v>
      </c>
      <c r="F2005" s="4" t="s">
        <v>17</v>
      </c>
      <c r="G2005" s="4" t="s">
        <v>18</v>
      </c>
      <c r="H2005" s="4" t="s">
        <v>223</v>
      </c>
      <c r="I2005" s="5" t="str">
        <f t="shared" si="31"/>
        <v>2025-08</v>
      </c>
      <c r="J2005" s="4" t="s">
        <v>60</v>
      </c>
      <c r="K2005" s="5" t="s">
        <v>343</v>
      </c>
      <c r="L2005" s="2">
        <v>55500</v>
      </c>
      <c r="M2005" s="3">
        <v>10</v>
      </c>
      <c r="N2005" s="2">
        <v>555000</v>
      </c>
      <c r="O2005" s="2">
        <v>55500</v>
      </c>
      <c r="P2005" s="2">
        <v>610500</v>
      </c>
      <c r="Q2005" s="2">
        <f>P2005*12%</f>
        <v>73260</v>
      </c>
    </row>
    <row r="2006" spans="1:17" hidden="1" x14ac:dyDescent="0.4">
      <c r="A2006" s="4" t="s">
        <v>51</v>
      </c>
      <c r="B2006" s="4" t="s">
        <v>14</v>
      </c>
      <c r="C2006" s="30" t="s">
        <v>434</v>
      </c>
      <c r="D2006" s="4" t="s">
        <v>52</v>
      </c>
      <c r="E2006" s="4" t="s">
        <v>16</v>
      </c>
      <c r="F2006" s="4" t="s">
        <v>17</v>
      </c>
      <c r="G2006" s="4" t="s">
        <v>18</v>
      </c>
      <c r="H2006" s="4" t="s">
        <v>223</v>
      </c>
      <c r="I2006" s="5" t="str">
        <f t="shared" si="31"/>
        <v>2025-08</v>
      </c>
      <c r="J2006" s="4" t="s">
        <v>60</v>
      </c>
      <c r="K2006" s="5" t="s">
        <v>343</v>
      </c>
      <c r="L2006" s="2">
        <v>73000</v>
      </c>
      <c r="M2006" s="3">
        <v>1</v>
      </c>
      <c r="N2006" s="2">
        <v>73000</v>
      </c>
      <c r="O2006" s="2">
        <v>7300</v>
      </c>
      <c r="P2006" s="2">
        <v>80300</v>
      </c>
      <c r="Q2006" s="2">
        <f>P2006*12%</f>
        <v>9636</v>
      </c>
    </row>
    <row r="2007" spans="1:17" hidden="1" x14ac:dyDescent="0.4">
      <c r="A2007" s="4" t="s">
        <v>32</v>
      </c>
      <c r="B2007" s="4" t="s">
        <v>14</v>
      </c>
      <c r="C2007" s="31" t="s">
        <v>435</v>
      </c>
      <c r="D2007" s="4" t="s">
        <v>33</v>
      </c>
      <c r="E2007" s="4" t="s">
        <v>16</v>
      </c>
      <c r="F2007" s="4" t="s">
        <v>17</v>
      </c>
      <c r="G2007" s="4" t="s">
        <v>18</v>
      </c>
      <c r="H2007" s="4" t="s">
        <v>223</v>
      </c>
      <c r="I2007" s="5" t="str">
        <f t="shared" si="31"/>
        <v>2025-08</v>
      </c>
      <c r="J2007" s="4" t="s">
        <v>49</v>
      </c>
      <c r="K2007" s="5" t="s">
        <v>343</v>
      </c>
      <c r="L2007" s="2">
        <v>44000</v>
      </c>
      <c r="M2007" s="3">
        <v>2</v>
      </c>
      <c r="N2007" s="2">
        <v>88000</v>
      </c>
      <c r="O2007" s="2">
        <v>8800</v>
      </c>
      <c r="P2007" s="2">
        <v>96800</v>
      </c>
      <c r="Q2007" s="2">
        <f>P2007*12%</f>
        <v>11616</v>
      </c>
    </row>
    <row r="2008" spans="1:17" hidden="1" x14ac:dyDescent="0.4">
      <c r="A2008" s="4" t="s">
        <v>13</v>
      </c>
      <c r="B2008" s="4" t="s">
        <v>14</v>
      </c>
      <c r="C2008" s="30" t="s">
        <v>434</v>
      </c>
      <c r="D2008" s="4" t="s">
        <v>15</v>
      </c>
      <c r="E2008" s="4" t="s">
        <v>16</v>
      </c>
      <c r="F2008" s="4" t="s">
        <v>17</v>
      </c>
      <c r="G2008" s="4" t="s">
        <v>18</v>
      </c>
      <c r="H2008" s="4" t="s">
        <v>223</v>
      </c>
      <c r="I2008" s="5" t="str">
        <f t="shared" si="31"/>
        <v>2025-08</v>
      </c>
      <c r="J2008" s="4" t="s">
        <v>49</v>
      </c>
      <c r="K2008" s="5" t="s">
        <v>343</v>
      </c>
      <c r="L2008" s="2">
        <v>42000</v>
      </c>
      <c r="M2008" s="3">
        <v>5</v>
      </c>
      <c r="N2008" s="2">
        <v>210000</v>
      </c>
      <c r="O2008" s="2">
        <v>21000</v>
      </c>
      <c r="P2008" s="2">
        <v>231000</v>
      </c>
      <c r="Q2008" s="2">
        <f>P2008*12%</f>
        <v>27720</v>
      </c>
    </row>
    <row r="2009" spans="1:17" hidden="1" x14ac:dyDescent="0.4">
      <c r="A2009" s="4" t="s">
        <v>35</v>
      </c>
      <c r="B2009" s="4" t="s">
        <v>14</v>
      </c>
      <c r="C2009" s="30" t="s">
        <v>434</v>
      </c>
      <c r="D2009" s="4" t="s">
        <v>36</v>
      </c>
      <c r="E2009" s="4" t="s">
        <v>16</v>
      </c>
      <c r="F2009" s="4" t="s">
        <v>17</v>
      </c>
      <c r="G2009" s="4" t="s">
        <v>18</v>
      </c>
      <c r="H2009" s="4" t="s">
        <v>223</v>
      </c>
      <c r="I2009" s="5" t="str">
        <f t="shared" si="31"/>
        <v>2025-08</v>
      </c>
      <c r="J2009" s="4" t="s">
        <v>49</v>
      </c>
      <c r="K2009" s="5" t="s">
        <v>343</v>
      </c>
      <c r="L2009" s="2">
        <v>116220</v>
      </c>
      <c r="M2009" s="3">
        <v>1</v>
      </c>
      <c r="N2009" s="2">
        <v>116220</v>
      </c>
      <c r="O2009" s="2">
        <v>11622</v>
      </c>
      <c r="P2009" s="2">
        <v>127842</v>
      </c>
      <c r="Q2009" s="2">
        <f>P2009*12%</f>
        <v>15341.039999999999</v>
      </c>
    </row>
    <row r="2010" spans="1:17" hidden="1" x14ac:dyDescent="0.4">
      <c r="A2010" s="4" t="s">
        <v>23</v>
      </c>
      <c r="B2010" s="4" t="s">
        <v>14</v>
      </c>
      <c r="C2010" s="31" t="s">
        <v>435</v>
      </c>
      <c r="D2010" s="4" t="s">
        <v>24</v>
      </c>
      <c r="E2010" s="4" t="s">
        <v>16</v>
      </c>
      <c r="F2010" s="4" t="s">
        <v>17</v>
      </c>
      <c r="G2010" s="4" t="s">
        <v>18</v>
      </c>
      <c r="H2010" s="4" t="s">
        <v>223</v>
      </c>
      <c r="I2010" s="5" t="str">
        <f t="shared" si="31"/>
        <v>2025-08</v>
      </c>
      <c r="J2010" s="4" t="s">
        <v>49</v>
      </c>
      <c r="K2010" s="5" t="s">
        <v>343</v>
      </c>
      <c r="L2010" s="2">
        <v>55500</v>
      </c>
      <c r="M2010" s="3">
        <v>3</v>
      </c>
      <c r="N2010" s="2">
        <v>166500</v>
      </c>
      <c r="O2010" s="2">
        <v>16650</v>
      </c>
      <c r="P2010" s="2">
        <v>183150</v>
      </c>
      <c r="Q2010" s="2">
        <f>P2010*12%</f>
        <v>21978</v>
      </c>
    </row>
    <row r="2011" spans="1:17" hidden="1" x14ac:dyDescent="0.4">
      <c r="A2011" s="4" t="s">
        <v>51</v>
      </c>
      <c r="B2011" s="4" t="s">
        <v>14</v>
      </c>
      <c r="C2011" s="30" t="s">
        <v>434</v>
      </c>
      <c r="D2011" s="4" t="s">
        <v>52</v>
      </c>
      <c r="E2011" s="4" t="s">
        <v>16</v>
      </c>
      <c r="F2011" s="4" t="s">
        <v>17</v>
      </c>
      <c r="G2011" s="4" t="s">
        <v>18</v>
      </c>
      <c r="H2011" s="4" t="s">
        <v>223</v>
      </c>
      <c r="I2011" s="5" t="str">
        <f t="shared" si="31"/>
        <v>2025-08</v>
      </c>
      <c r="J2011" s="4" t="s">
        <v>49</v>
      </c>
      <c r="K2011" s="5" t="s">
        <v>343</v>
      </c>
      <c r="L2011" s="2">
        <v>73000</v>
      </c>
      <c r="M2011" s="3">
        <v>1</v>
      </c>
      <c r="N2011" s="2">
        <v>73000</v>
      </c>
      <c r="O2011" s="2">
        <v>7300</v>
      </c>
      <c r="P2011" s="2">
        <v>80300</v>
      </c>
      <c r="Q2011" s="2">
        <f>P2011*12%</f>
        <v>9636</v>
      </c>
    </row>
    <row r="2012" spans="1:17" hidden="1" x14ac:dyDescent="0.4">
      <c r="A2012" s="4" t="s">
        <v>32</v>
      </c>
      <c r="B2012" s="4" t="s">
        <v>14</v>
      </c>
      <c r="C2012" s="31" t="s">
        <v>435</v>
      </c>
      <c r="D2012" s="4" t="s">
        <v>33</v>
      </c>
      <c r="E2012" s="4" t="s">
        <v>16</v>
      </c>
      <c r="F2012" s="4" t="s">
        <v>17</v>
      </c>
      <c r="G2012" s="4" t="s">
        <v>18</v>
      </c>
      <c r="H2012" s="4" t="s">
        <v>223</v>
      </c>
      <c r="I2012" s="5" t="str">
        <f t="shared" si="31"/>
        <v>2025-08</v>
      </c>
      <c r="J2012" s="4" t="s">
        <v>50</v>
      </c>
      <c r="K2012" s="5" t="s">
        <v>343</v>
      </c>
      <c r="L2012" s="2">
        <v>44000</v>
      </c>
      <c r="M2012" s="3">
        <v>1</v>
      </c>
      <c r="N2012" s="2">
        <v>44000</v>
      </c>
      <c r="O2012" s="2">
        <v>4400</v>
      </c>
      <c r="P2012" s="2">
        <v>48400</v>
      </c>
      <c r="Q2012" s="2">
        <f>P2012*12%</f>
        <v>5808</v>
      </c>
    </row>
    <row r="2013" spans="1:17" hidden="1" x14ac:dyDescent="0.4">
      <c r="A2013" s="4" t="s">
        <v>13</v>
      </c>
      <c r="B2013" s="4" t="s">
        <v>14</v>
      </c>
      <c r="C2013" s="30" t="s">
        <v>434</v>
      </c>
      <c r="D2013" s="4" t="s">
        <v>15</v>
      </c>
      <c r="E2013" s="4" t="s">
        <v>16</v>
      </c>
      <c r="F2013" s="4" t="s">
        <v>17</v>
      </c>
      <c r="G2013" s="4" t="s">
        <v>18</v>
      </c>
      <c r="H2013" s="4" t="s">
        <v>223</v>
      </c>
      <c r="I2013" s="5" t="str">
        <f t="shared" si="31"/>
        <v>2025-08</v>
      </c>
      <c r="J2013" s="4" t="s">
        <v>50</v>
      </c>
      <c r="K2013" s="5" t="s">
        <v>343</v>
      </c>
      <c r="L2013" s="2">
        <v>42000</v>
      </c>
      <c r="M2013" s="3">
        <v>10</v>
      </c>
      <c r="N2013" s="2">
        <v>420000</v>
      </c>
      <c r="O2013" s="2">
        <v>42000</v>
      </c>
      <c r="P2013" s="2">
        <v>462000</v>
      </c>
      <c r="Q2013" s="2">
        <f>P2013*12%</f>
        <v>55440</v>
      </c>
    </row>
    <row r="2014" spans="1:17" hidden="1" x14ac:dyDescent="0.4">
      <c r="A2014" s="4" t="s">
        <v>23</v>
      </c>
      <c r="B2014" s="4" t="s">
        <v>14</v>
      </c>
      <c r="C2014" s="31" t="s">
        <v>435</v>
      </c>
      <c r="D2014" s="4" t="s">
        <v>24</v>
      </c>
      <c r="E2014" s="4" t="s">
        <v>16</v>
      </c>
      <c r="F2014" s="4" t="s">
        <v>17</v>
      </c>
      <c r="G2014" s="4" t="s">
        <v>18</v>
      </c>
      <c r="H2014" s="4" t="s">
        <v>223</v>
      </c>
      <c r="I2014" s="5" t="str">
        <f t="shared" si="31"/>
        <v>2025-08</v>
      </c>
      <c r="J2014" s="4" t="s">
        <v>50</v>
      </c>
      <c r="K2014" s="5" t="s">
        <v>343</v>
      </c>
      <c r="L2014" s="2">
        <v>55500</v>
      </c>
      <c r="M2014" s="3">
        <v>5</v>
      </c>
      <c r="N2014" s="2">
        <v>277500</v>
      </c>
      <c r="O2014" s="2">
        <v>27750</v>
      </c>
      <c r="P2014" s="2">
        <v>305250</v>
      </c>
      <c r="Q2014" s="2">
        <f>P2014*12%</f>
        <v>36630</v>
      </c>
    </row>
    <row r="2015" spans="1:17" hidden="1" x14ac:dyDescent="0.4">
      <c r="A2015" s="4" t="s">
        <v>51</v>
      </c>
      <c r="B2015" s="4" t="s">
        <v>14</v>
      </c>
      <c r="C2015" s="30" t="s">
        <v>434</v>
      </c>
      <c r="D2015" s="4" t="s">
        <v>52</v>
      </c>
      <c r="E2015" s="4" t="s">
        <v>16</v>
      </c>
      <c r="F2015" s="4" t="s">
        <v>17</v>
      </c>
      <c r="G2015" s="4" t="s">
        <v>18</v>
      </c>
      <c r="H2015" s="4" t="s">
        <v>223</v>
      </c>
      <c r="I2015" s="5" t="str">
        <f t="shared" si="31"/>
        <v>2025-08</v>
      </c>
      <c r="J2015" s="4" t="s">
        <v>50</v>
      </c>
      <c r="K2015" s="5" t="s">
        <v>343</v>
      </c>
      <c r="L2015" s="2">
        <v>73000</v>
      </c>
      <c r="M2015" s="3">
        <v>2</v>
      </c>
      <c r="N2015" s="2">
        <v>146000</v>
      </c>
      <c r="O2015" s="2">
        <v>14600</v>
      </c>
      <c r="P2015" s="2">
        <v>160600</v>
      </c>
      <c r="Q2015" s="2">
        <f>P2015*12%</f>
        <v>19272</v>
      </c>
    </row>
    <row r="2016" spans="1:17" x14ac:dyDescent="0.4">
      <c r="A2016" s="4" t="s">
        <v>58</v>
      </c>
      <c r="B2016" s="4" t="s">
        <v>14</v>
      </c>
      <c r="C2016" s="30" t="s">
        <v>434</v>
      </c>
      <c r="D2016" s="4" t="s">
        <v>36</v>
      </c>
      <c r="E2016" s="4" t="s">
        <v>16</v>
      </c>
      <c r="F2016" s="4" t="s">
        <v>17</v>
      </c>
      <c r="G2016" s="4" t="s">
        <v>18</v>
      </c>
      <c r="H2016" s="4" t="s">
        <v>224</v>
      </c>
      <c r="I2016" s="5" t="str">
        <f t="shared" si="31"/>
        <v>2025-08</v>
      </c>
      <c r="J2016" s="4" t="s">
        <v>20</v>
      </c>
      <c r="K2016" s="5" t="s">
        <v>342</v>
      </c>
      <c r="L2016" s="2">
        <v>120880</v>
      </c>
      <c r="M2016" s="3">
        <v>1</v>
      </c>
      <c r="N2016" s="2">
        <v>120880</v>
      </c>
      <c r="O2016" s="2">
        <v>12088</v>
      </c>
      <c r="P2016" s="2">
        <v>132968</v>
      </c>
      <c r="Q2016" s="2">
        <f>P2016*8.5%</f>
        <v>11302.28</v>
      </c>
    </row>
    <row r="2017" spans="1:17" x14ac:dyDescent="0.4">
      <c r="A2017" s="4" t="s">
        <v>23</v>
      </c>
      <c r="B2017" s="4" t="s">
        <v>14</v>
      </c>
      <c r="C2017" s="31" t="s">
        <v>435</v>
      </c>
      <c r="D2017" s="4" t="s">
        <v>24</v>
      </c>
      <c r="E2017" s="4" t="s">
        <v>16</v>
      </c>
      <c r="F2017" s="4" t="s">
        <v>17</v>
      </c>
      <c r="G2017" s="4" t="s">
        <v>18</v>
      </c>
      <c r="H2017" s="4" t="s">
        <v>224</v>
      </c>
      <c r="I2017" s="5" t="str">
        <f t="shared" si="31"/>
        <v>2025-08</v>
      </c>
      <c r="J2017" s="4" t="s">
        <v>20</v>
      </c>
      <c r="K2017" s="5" t="s">
        <v>342</v>
      </c>
      <c r="L2017" s="2">
        <v>55500</v>
      </c>
      <c r="M2017" s="3">
        <v>1</v>
      </c>
      <c r="N2017" s="2">
        <v>55500</v>
      </c>
      <c r="O2017" s="2">
        <v>5550</v>
      </c>
      <c r="P2017" s="2">
        <v>61050</v>
      </c>
      <c r="Q2017" s="2">
        <f>P2017*8.5%</f>
        <v>5189.25</v>
      </c>
    </row>
    <row r="2018" spans="1:17" x14ac:dyDescent="0.4">
      <c r="A2018" s="4" t="s">
        <v>13</v>
      </c>
      <c r="B2018" s="4" t="s">
        <v>14</v>
      </c>
      <c r="C2018" s="30" t="s">
        <v>434</v>
      </c>
      <c r="D2018" s="4" t="s">
        <v>15</v>
      </c>
      <c r="E2018" s="4" t="s">
        <v>16</v>
      </c>
      <c r="F2018" s="4" t="s">
        <v>17</v>
      </c>
      <c r="G2018" s="4" t="s">
        <v>18</v>
      </c>
      <c r="H2018" s="4" t="s">
        <v>225</v>
      </c>
      <c r="I2018" s="5" t="str">
        <f t="shared" si="31"/>
        <v>2025-08</v>
      </c>
      <c r="J2018" s="4" t="s">
        <v>20</v>
      </c>
      <c r="K2018" s="5" t="s">
        <v>342</v>
      </c>
      <c r="L2018" s="2">
        <v>42000</v>
      </c>
      <c r="M2018" s="3">
        <v>2</v>
      </c>
      <c r="N2018" s="2">
        <v>84000</v>
      </c>
      <c r="O2018" s="2">
        <v>8400</v>
      </c>
      <c r="P2018" s="2">
        <v>92400</v>
      </c>
      <c r="Q2018" s="2">
        <f>P2018*8.5%</f>
        <v>7854.0000000000009</v>
      </c>
    </row>
    <row r="2019" spans="1:17" x14ac:dyDescent="0.4">
      <c r="A2019" s="4" t="s">
        <v>21</v>
      </c>
      <c r="B2019" s="4" t="s">
        <v>14</v>
      </c>
      <c r="C2019" s="31" t="s">
        <v>435</v>
      </c>
      <c r="D2019" s="4" t="s">
        <v>22</v>
      </c>
      <c r="E2019" s="4" t="s">
        <v>16</v>
      </c>
      <c r="F2019" s="4" t="s">
        <v>17</v>
      </c>
      <c r="G2019" s="4" t="s">
        <v>18</v>
      </c>
      <c r="H2019" s="4" t="s">
        <v>225</v>
      </c>
      <c r="I2019" s="5" t="str">
        <f t="shared" si="31"/>
        <v>2025-08</v>
      </c>
      <c r="J2019" s="4" t="s">
        <v>20</v>
      </c>
      <c r="K2019" s="5" t="s">
        <v>342</v>
      </c>
      <c r="L2019" s="2">
        <v>55500</v>
      </c>
      <c r="M2019" s="3">
        <v>2</v>
      </c>
      <c r="N2019" s="2">
        <v>111000</v>
      </c>
      <c r="O2019" s="2">
        <v>11100</v>
      </c>
      <c r="P2019" s="2">
        <v>122100</v>
      </c>
      <c r="Q2019" s="2">
        <f>P2019*8.5%</f>
        <v>10378.5</v>
      </c>
    </row>
    <row r="2020" spans="1:17" x14ac:dyDescent="0.4">
      <c r="A2020" s="4" t="s">
        <v>23</v>
      </c>
      <c r="B2020" s="4" t="s">
        <v>14</v>
      </c>
      <c r="C2020" s="31" t="s">
        <v>435</v>
      </c>
      <c r="D2020" s="4" t="s">
        <v>24</v>
      </c>
      <c r="E2020" s="4" t="s">
        <v>16</v>
      </c>
      <c r="F2020" s="4" t="s">
        <v>17</v>
      </c>
      <c r="G2020" s="4" t="s">
        <v>18</v>
      </c>
      <c r="H2020" s="4" t="s">
        <v>225</v>
      </c>
      <c r="I2020" s="5" t="str">
        <f t="shared" si="31"/>
        <v>2025-08</v>
      </c>
      <c r="J2020" s="4" t="s">
        <v>20</v>
      </c>
      <c r="K2020" s="5" t="s">
        <v>342</v>
      </c>
      <c r="L2020" s="2">
        <v>55500</v>
      </c>
      <c r="M2020" s="3">
        <v>2</v>
      </c>
      <c r="N2020" s="2">
        <v>111000</v>
      </c>
      <c r="O2020" s="2">
        <v>11100</v>
      </c>
      <c r="P2020" s="2">
        <v>122100</v>
      </c>
      <c r="Q2020" s="2">
        <f>P2020*8.5%</f>
        <v>10378.5</v>
      </c>
    </row>
    <row r="2021" spans="1:17" x14ac:dyDescent="0.4">
      <c r="A2021" s="4" t="s">
        <v>100</v>
      </c>
      <c r="B2021" s="4" t="s">
        <v>26</v>
      </c>
      <c r="C2021" s="32" t="s">
        <v>436</v>
      </c>
      <c r="D2021" s="4" t="s">
        <v>101</v>
      </c>
      <c r="E2021" s="4" t="s">
        <v>28</v>
      </c>
      <c r="F2021" s="4" t="s">
        <v>17</v>
      </c>
      <c r="G2021" s="4" t="s">
        <v>18</v>
      </c>
      <c r="H2021" s="4" t="s">
        <v>225</v>
      </c>
      <c r="I2021" s="5" t="str">
        <f t="shared" si="31"/>
        <v>2025-08</v>
      </c>
      <c r="J2021" s="4" t="s">
        <v>20</v>
      </c>
      <c r="K2021" s="5" t="s">
        <v>342</v>
      </c>
      <c r="L2021" s="2">
        <v>5620</v>
      </c>
      <c r="M2021" s="3">
        <v>3</v>
      </c>
      <c r="N2021" s="2">
        <v>16860</v>
      </c>
      <c r="O2021" s="2">
        <v>1686</v>
      </c>
      <c r="P2021" s="2">
        <v>18546</v>
      </c>
      <c r="Q2021" s="2">
        <f>P2021*8.5%</f>
        <v>1576.41</v>
      </c>
    </row>
    <row r="2022" spans="1:17" x14ac:dyDescent="0.4">
      <c r="A2022" s="4" t="s">
        <v>127</v>
      </c>
      <c r="B2022" s="4" t="s">
        <v>26</v>
      </c>
      <c r="C2022" s="32" t="s">
        <v>436</v>
      </c>
      <c r="D2022" s="4" t="s">
        <v>128</v>
      </c>
      <c r="E2022" s="4" t="s">
        <v>28</v>
      </c>
      <c r="F2022" s="4" t="s">
        <v>17</v>
      </c>
      <c r="G2022" s="4" t="s">
        <v>18</v>
      </c>
      <c r="H2022" s="4" t="s">
        <v>225</v>
      </c>
      <c r="I2022" s="5" t="str">
        <f t="shared" si="31"/>
        <v>2025-08</v>
      </c>
      <c r="J2022" s="4" t="s">
        <v>20</v>
      </c>
      <c r="K2022" s="5" t="s">
        <v>342</v>
      </c>
      <c r="L2022" s="2">
        <v>2870</v>
      </c>
      <c r="M2022" s="3">
        <v>3</v>
      </c>
      <c r="N2022" s="2">
        <v>8610</v>
      </c>
      <c r="O2022" s="2">
        <v>861</v>
      </c>
      <c r="P2022" s="2">
        <v>9471</v>
      </c>
      <c r="Q2022" s="2">
        <f>P2022*8.5%</f>
        <v>805.03500000000008</v>
      </c>
    </row>
    <row r="2023" spans="1:17" x14ac:dyDescent="0.4">
      <c r="A2023" s="4" t="s">
        <v>56</v>
      </c>
      <c r="B2023" s="4" t="s">
        <v>26</v>
      </c>
      <c r="C2023" s="32" t="s">
        <v>436</v>
      </c>
      <c r="D2023" s="4" t="s">
        <v>57</v>
      </c>
      <c r="E2023" s="4" t="s">
        <v>44</v>
      </c>
      <c r="F2023" s="4" t="s">
        <v>31</v>
      </c>
      <c r="G2023" s="4" t="s">
        <v>18</v>
      </c>
      <c r="H2023" s="4" t="s">
        <v>225</v>
      </c>
      <c r="I2023" s="5" t="str">
        <f t="shared" si="31"/>
        <v>2025-08</v>
      </c>
      <c r="J2023" s="4" t="s">
        <v>20</v>
      </c>
      <c r="K2023" s="5" t="s">
        <v>342</v>
      </c>
      <c r="L2023" s="2">
        <v>2427</v>
      </c>
      <c r="M2023" s="3">
        <v>20</v>
      </c>
      <c r="N2023" s="2">
        <v>48540</v>
      </c>
      <c r="O2023" s="2">
        <v>0</v>
      </c>
      <c r="P2023" s="2">
        <v>48540</v>
      </c>
      <c r="Q2023" s="2">
        <f>P2023*8.5%</f>
        <v>4125.9000000000005</v>
      </c>
    </row>
    <row r="2024" spans="1:17" hidden="1" x14ac:dyDescent="0.4">
      <c r="A2024" s="4" t="s">
        <v>32</v>
      </c>
      <c r="B2024" s="4" t="s">
        <v>14</v>
      </c>
      <c r="C2024" s="31" t="s">
        <v>435</v>
      </c>
      <c r="D2024" s="4" t="s">
        <v>33</v>
      </c>
      <c r="E2024" s="4" t="s">
        <v>16</v>
      </c>
      <c r="F2024" s="4" t="s">
        <v>17</v>
      </c>
      <c r="G2024" s="4" t="s">
        <v>18</v>
      </c>
      <c r="H2024" s="4" t="s">
        <v>225</v>
      </c>
      <c r="I2024" s="5" t="str">
        <f t="shared" si="31"/>
        <v>2025-08</v>
      </c>
      <c r="J2024" s="4" t="s">
        <v>118</v>
      </c>
      <c r="K2024" s="5" t="s">
        <v>342</v>
      </c>
      <c r="L2024" s="2">
        <v>44000</v>
      </c>
      <c r="M2024" s="3">
        <v>2</v>
      </c>
      <c r="N2024" s="2">
        <v>88000</v>
      </c>
      <c r="O2024" s="2">
        <v>8800</v>
      </c>
      <c r="P2024" s="2">
        <v>96800</v>
      </c>
      <c r="Q2024" s="2">
        <f>P2024*8.5%</f>
        <v>8228</v>
      </c>
    </row>
    <row r="2025" spans="1:17" hidden="1" x14ac:dyDescent="0.4">
      <c r="A2025" s="4" t="s">
        <v>13</v>
      </c>
      <c r="B2025" s="4" t="s">
        <v>14</v>
      </c>
      <c r="C2025" s="30" t="s">
        <v>434</v>
      </c>
      <c r="D2025" s="4" t="s">
        <v>15</v>
      </c>
      <c r="E2025" s="4" t="s">
        <v>16</v>
      </c>
      <c r="F2025" s="4" t="s">
        <v>17</v>
      </c>
      <c r="G2025" s="4" t="s">
        <v>18</v>
      </c>
      <c r="H2025" s="4" t="s">
        <v>225</v>
      </c>
      <c r="I2025" s="5" t="str">
        <f t="shared" si="31"/>
        <v>2025-08</v>
      </c>
      <c r="J2025" s="4" t="s">
        <v>118</v>
      </c>
      <c r="K2025" s="5" t="s">
        <v>342</v>
      </c>
      <c r="L2025" s="2">
        <v>42000</v>
      </c>
      <c r="M2025" s="3">
        <v>4</v>
      </c>
      <c r="N2025" s="2">
        <v>168000</v>
      </c>
      <c r="O2025" s="2">
        <v>16800</v>
      </c>
      <c r="P2025" s="2">
        <v>184800</v>
      </c>
      <c r="Q2025" s="2">
        <f>P2025*8.5%</f>
        <v>15708.000000000002</v>
      </c>
    </row>
    <row r="2026" spans="1:17" hidden="1" x14ac:dyDescent="0.4">
      <c r="A2026" s="4" t="s">
        <v>23</v>
      </c>
      <c r="B2026" s="4" t="s">
        <v>14</v>
      </c>
      <c r="C2026" s="31" t="s">
        <v>435</v>
      </c>
      <c r="D2026" s="4" t="s">
        <v>24</v>
      </c>
      <c r="E2026" s="4" t="s">
        <v>16</v>
      </c>
      <c r="F2026" s="4" t="s">
        <v>17</v>
      </c>
      <c r="G2026" s="4" t="s">
        <v>18</v>
      </c>
      <c r="H2026" s="4" t="s">
        <v>225</v>
      </c>
      <c r="I2026" s="5" t="str">
        <f t="shared" si="31"/>
        <v>2025-08</v>
      </c>
      <c r="J2026" s="4" t="s">
        <v>118</v>
      </c>
      <c r="K2026" s="5" t="s">
        <v>342</v>
      </c>
      <c r="L2026" s="2">
        <v>55500</v>
      </c>
      <c r="M2026" s="3">
        <v>2</v>
      </c>
      <c r="N2026" s="2">
        <v>111000</v>
      </c>
      <c r="O2026" s="2">
        <v>11100</v>
      </c>
      <c r="P2026" s="2">
        <v>122100</v>
      </c>
      <c r="Q2026" s="2">
        <f>P2026*8.5%</f>
        <v>10378.5</v>
      </c>
    </row>
    <row r="2027" spans="1:17" hidden="1" x14ac:dyDescent="0.4">
      <c r="A2027" s="4" t="s">
        <v>51</v>
      </c>
      <c r="B2027" s="4" t="s">
        <v>14</v>
      </c>
      <c r="C2027" s="30" t="s">
        <v>434</v>
      </c>
      <c r="D2027" s="4" t="s">
        <v>52</v>
      </c>
      <c r="E2027" s="4" t="s">
        <v>16</v>
      </c>
      <c r="F2027" s="4" t="s">
        <v>17</v>
      </c>
      <c r="G2027" s="4" t="s">
        <v>18</v>
      </c>
      <c r="H2027" s="4" t="s">
        <v>225</v>
      </c>
      <c r="I2027" s="5" t="str">
        <f t="shared" si="31"/>
        <v>2025-08</v>
      </c>
      <c r="J2027" s="4" t="s">
        <v>118</v>
      </c>
      <c r="K2027" s="5" t="s">
        <v>342</v>
      </c>
      <c r="L2027" s="2">
        <v>73000</v>
      </c>
      <c r="M2027" s="3">
        <v>2</v>
      </c>
      <c r="N2027" s="2">
        <v>146000</v>
      </c>
      <c r="O2027" s="2">
        <v>14600</v>
      </c>
      <c r="P2027" s="2">
        <v>160600</v>
      </c>
      <c r="Q2027" s="2">
        <f>P2027*8.5%</f>
        <v>13651.000000000002</v>
      </c>
    </row>
    <row r="2028" spans="1:17" hidden="1" x14ac:dyDescent="0.4">
      <c r="A2028" s="4" t="s">
        <v>58</v>
      </c>
      <c r="B2028" s="4" t="s">
        <v>14</v>
      </c>
      <c r="C2028" s="30" t="s">
        <v>434</v>
      </c>
      <c r="D2028" s="4" t="s">
        <v>36</v>
      </c>
      <c r="E2028" s="4" t="s">
        <v>16</v>
      </c>
      <c r="F2028" s="4" t="s">
        <v>17</v>
      </c>
      <c r="G2028" s="4" t="s">
        <v>18</v>
      </c>
      <c r="H2028" s="4" t="s">
        <v>225</v>
      </c>
      <c r="I2028" s="5" t="str">
        <f t="shared" si="31"/>
        <v>2025-08</v>
      </c>
      <c r="J2028" s="4" t="s">
        <v>34</v>
      </c>
      <c r="K2028" s="5" t="s">
        <v>342</v>
      </c>
      <c r="L2028" s="2">
        <v>120880</v>
      </c>
      <c r="M2028" s="3">
        <v>1</v>
      </c>
      <c r="N2028" s="2">
        <v>120880</v>
      </c>
      <c r="O2028" s="2">
        <v>12088</v>
      </c>
      <c r="P2028" s="2">
        <v>132968</v>
      </c>
      <c r="Q2028" s="2">
        <f>P2028*8.5%</f>
        <v>11302.28</v>
      </c>
    </row>
    <row r="2029" spans="1:17" hidden="1" x14ac:dyDescent="0.4">
      <c r="A2029" s="4" t="s">
        <v>13</v>
      </c>
      <c r="B2029" s="4" t="s">
        <v>14</v>
      </c>
      <c r="C2029" s="30" t="s">
        <v>434</v>
      </c>
      <c r="D2029" s="4" t="s">
        <v>15</v>
      </c>
      <c r="E2029" s="4" t="s">
        <v>16</v>
      </c>
      <c r="F2029" s="4" t="s">
        <v>17</v>
      </c>
      <c r="G2029" s="4" t="s">
        <v>18</v>
      </c>
      <c r="H2029" s="4" t="s">
        <v>225</v>
      </c>
      <c r="I2029" s="5" t="str">
        <f t="shared" si="31"/>
        <v>2025-08</v>
      </c>
      <c r="J2029" s="4" t="s">
        <v>34</v>
      </c>
      <c r="K2029" s="5" t="s">
        <v>342</v>
      </c>
      <c r="L2029" s="2">
        <v>42000</v>
      </c>
      <c r="M2029" s="3">
        <v>7</v>
      </c>
      <c r="N2029" s="2">
        <v>294000</v>
      </c>
      <c r="O2029" s="2">
        <v>29400</v>
      </c>
      <c r="P2029" s="2">
        <v>323400</v>
      </c>
      <c r="Q2029" s="2">
        <f>P2029*8.5%</f>
        <v>27489.000000000004</v>
      </c>
    </row>
    <row r="2030" spans="1:17" hidden="1" x14ac:dyDescent="0.4">
      <c r="A2030" s="4" t="s">
        <v>21</v>
      </c>
      <c r="B2030" s="4" t="s">
        <v>14</v>
      </c>
      <c r="C2030" s="31" t="s">
        <v>435</v>
      </c>
      <c r="D2030" s="4" t="s">
        <v>22</v>
      </c>
      <c r="E2030" s="4" t="s">
        <v>16</v>
      </c>
      <c r="F2030" s="4" t="s">
        <v>17</v>
      </c>
      <c r="G2030" s="4" t="s">
        <v>18</v>
      </c>
      <c r="H2030" s="4" t="s">
        <v>225</v>
      </c>
      <c r="I2030" s="5" t="str">
        <f t="shared" si="31"/>
        <v>2025-08</v>
      </c>
      <c r="J2030" s="4" t="s">
        <v>34</v>
      </c>
      <c r="K2030" s="5" t="s">
        <v>342</v>
      </c>
      <c r="L2030" s="2">
        <v>55500</v>
      </c>
      <c r="M2030" s="3">
        <v>2</v>
      </c>
      <c r="N2030" s="2">
        <v>111000</v>
      </c>
      <c r="O2030" s="2">
        <v>11100</v>
      </c>
      <c r="P2030" s="2">
        <v>122100</v>
      </c>
      <c r="Q2030" s="2">
        <f>P2030*8.5%</f>
        <v>10378.5</v>
      </c>
    </row>
    <row r="2031" spans="1:17" hidden="1" x14ac:dyDescent="0.4">
      <c r="A2031" s="4" t="s">
        <v>23</v>
      </c>
      <c r="B2031" s="4" t="s">
        <v>14</v>
      </c>
      <c r="C2031" s="31" t="s">
        <v>435</v>
      </c>
      <c r="D2031" s="4" t="s">
        <v>24</v>
      </c>
      <c r="E2031" s="4" t="s">
        <v>16</v>
      </c>
      <c r="F2031" s="4" t="s">
        <v>17</v>
      </c>
      <c r="G2031" s="4" t="s">
        <v>18</v>
      </c>
      <c r="H2031" s="4" t="s">
        <v>225</v>
      </c>
      <c r="I2031" s="5" t="str">
        <f t="shared" si="31"/>
        <v>2025-08</v>
      </c>
      <c r="J2031" s="4" t="s">
        <v>34</v>
      </c>
      <c r="K2031" s="5" t="s">
        <v>342</v>
      </c>
      <c r="L2031" s="2">
        <v>55500</v>
      </c>
      <c r="M2031" s="3">
        <v>5</v>
      </c>
      <c r="N2031" s="2">
        <v>277500</v>
      </c>
      <c r="O2031" s="2">
        <v>27750</v>
      </c>
      <c r="P2031" s="2">
        <v>305250</v>
      </c>
      <c r="Q2031" s="2">
        <f>P2031*8.5%</f>
        <v>25946.250000000004</v>
      </c>
    </row>
    <row r="2032" spans="1:17" hidden="1" x14ac:dyDescent="0.4">
      <c r="A2032" s="4" t="s">
        <v>51</v>
      </c>
      <c r="B2032" s="4" t="s">
        <v>14</v>
      </c>
      <c r="C2032" s="30" t="s">
        <v>434</v>
      </c>
      <c r="D2032" s="4" t="s">
        <v>52</v>
      </c>
      <c r="E2032" s="4" t="s">
        <v>16</v>
      </c>
      <c r="F2032" s="4" t="s">
        <v>17</v>
      </c>
      <c r="G2032" s="4" t="s">
        <v>18</v>
      </c>
      <c r="H2032" s="4" t="s">
        <v>225</v>
      </c>
      <c r="I2032" s="5" t="str">
        <f t="shared" si="31"/>
        <v>2025-08</v>
      </c>
      <c r="J2032" s="4" t="s">
        <v>34</v>
      </c>
      <c r="K2032" s="5" t="s">
        <v>342</v>
      </c>
      <c r="L2032" s="2">
        <v>73000</v>
      </c>
      <c r="M2032" s="3">
        <v>1</v>
      </c>
      <c r="N2032" s="2">
        <v>73000</v>
      </c>
      <c r="O2032" s="2">
        <v>7300</v>
      </c>
      <c r="P2032" s="2">
        <v>80300</v>
      </c>
      <c r="Q2032" s="2">
        <f>P2032*8.5%</f>
        <v>6825.5000000000009</v>
      </c>
    </row>
    <row r="2033" spans="1:17" hidden="1" x14ac:dyDescent="0.4">
      <c r="A2033" s="4" t="s">
        <v>40</v>
      </c>
      <c r="B2033" s="4" t="s">
        <v>26</v>
      </c>
      <c r="C2033" s="32" t="s">
        <v>436</v>
      </c>
      <c r="D2033" s="4" t="s">
        <v>41</v>
      </c>
      <c r="E2033" s="4" t="s">
        <v>28</v>
      </c>
      <c r="F2033" s="4" t="s">
        <v>17</v>
      </c>
      <c r="G2033" s="4" t="s">
        <v>18</v>
      </c>
      <c r="H2033" s="4" t="s">
        <v>225</v>
      </c>
      <c r="I2033" s="5" t="str">
        <f t="shared" si="31"/>
        <v>2025-08</v>
      </c>
      <c r="J2033" s="4" t="s">
        <v>34</v>
      </c>
      <c r="K2033" s="5" t="s">
        <v>342</v>
      </c>
      <c r="L2033" s="2">
        <v>17936</v>
      </c>
      <c r="M2033" s="3">
        <v>2</v>
      </c>
      <c r="N2033" s="2">
        <v>35872</v>
      </c>
      <c r="O2033" s="2">
        <v>3587</v>
      </c>
      <c r="P2033" s="2">
        <v>39459</v>
      </c>
      <c r="Q2033" s="2">
        <f>P2033*8.5%</f>
        <v>3354.0150000000003</v>
      </c>
    </row>
    <row r="2034" spans="1:17" hidden="1" x14ac:dyDescent="0.4">
      <c r="A2034" s="4" t="s">
        <v>42</v>
      </c>
      <c r="B2034" s="4" t="s">
        <v>14</v>
      </c>
      <c r="C2034" s="30" t="s">
        <v>434</v>
      </c>
      <c r="D2034" s="4" t="s">
        <v>43</v>
      </c>
      <c r="E2034" s="4" t="s">
        <v>44</v>
      </c>
      <c r="F2034" s="4" t="s">
        <v>31</v>
      </c>
      <c r="G2034" s="4" t="s">
        <v>18</v>
      </c>
      <c r="H2034" s="4" t="s">
        <v>225</v>
      </c>
      <c r="I2034" s="5" t="str">
        <f t="shared" si="31"/>
        <v>2025-08</v>
      </c>
      <c r="J2034" s="4" t="s">
        <v>34</v>
      </c>
      <c r="K2034" s="5" t="s">
        <v>342</v>
      </c>
      <c r="L2034" s="2">
        <v>7300</v>
      </c>
      <c r="M2034" s="3">
        <v>81.8</v>
      </c>
      <c r="N2034" s="2">
        <v>597140</v>
      </c>
      <c r="O2034" s="2">
        <v>0</v>
      </c>
      <c r="P2034" s="2">
        <v>597140</v>
      </c>
      <c r="Q2034" s="2">
        <f>P2034*8.5%</f>
        <v>50756.9</v>
      </c>
    </row>
    <row r="2035" spans="1:17" hidden="1" x14ac:dyDescent="0.4">
      <c r="A2035" s="4" t="s">
        <v>13</v>
      </c>
      <c r="B2035" s="4" t="s">
        <v>14</v>
      </c>
      <c r="C2035" s="30" t="s">
        <v>434</v>
      </c>
      <c r="D2035" s="4" t="s">
        <v>15</v>
      </c>
      <c r="E2035" s="4" t="s">
        <v>16</v>
      </c>
      <c r="F2035" s="4" t="s">
        <v>17</v>
      </c>
      <c r="G2035" s="4" t="s">
        <v>18</v>
      </c>
      <c r="H2035" s="4" t="s">
        <v>225</v>
      </c>
      <c r="I2035" s="5" t="str">
        <f t="shared" si="31"/>
        <v>2025-08</v>
      </c>
      <c r="J2035" s="4" t="s">
        <v>59</v>
      </c>
      <c r="K2035" s="5" t="s">
        <v>343</v>
      </c>
      <c r="L2035" s="2">
        <v>42000</v>
      </c>
      <c r="M2035" s="3">
        <v>4</v>
      </c>
      <c r="N2035" s="2">
        <v>168000</v>
      </c>
      <c r="O2035" s="2">
        <v>16800</v>
      </c>
      <c r="P2035" s="2">
        <v>184800</v>
      </c>
      <c r="Q2035" s="2">
        <f>P2035*12%</f>
        <v>22176</v>
      </c>
    </row>
    <row r="2036" spans="1:17" hidden="1" x14ac:dyDescent="0.4">
      <c r="A2036" s="4" t="s">
        <v>23</v>
      </c>
      <c r="B2036" s="4" t="s">
        <v>14</v>
      </c>
      <c r="C2036" s="31" t="s">
        <v>435</v>
      </c>
      <c r="D2036" s="4" t="s">
        <v>24</v>
      </c>
      <c r="E2036" s="4" t="s">
        <v>16</v>
      </c>
      <c r="F2036" s="4" t="s">
        <v>17</v>
      </c>
      <c r="G2036" s="4" t="s">
        <v>18</v>
      </c>
      <c r="H2036" s="4" t="s">
        <v>225</v>
      </c>
      <c r="I2036" s="5" t="str">
        <f t="shared" si="31"/>
        <v>2025-08</v>
      </c>
      <c r="J2036" s="4" t="s">
        <v>59</v>
      </c>
      <c r="K2036" s="5" t="s">
        <v>343</v>
      </c>
      <c r="L2036" s="2">
        <v>55500</v>
      </c>
      <c r="M2036" s="3">
        <v>2</v>
      </c>
      <c r="N2036" s="2">
        <v>111000</v>
      </c>
      <c r="O2036" s="2">
        <v>11100</v>
      </c>
      <c r="P2036" s="2">
        <v>122100</v>
      </c>
      <c r="Q2036" s="2">
        <f>P2036*12%</f>
        <v>14652</v>
      </c>
    </row>
    <row r="2037" spans="1:17" hidden="1" x14ac:dyDescent="0.4">
      <c r="A2037" s="4" t="s">
        <v>51</v>
      </c>
      <c r="B2037" s="4" t="s">
        <v>14</v>
      </c>
      <c r="C2037" s="30" t="s">
        <v>434</v>
      </c>
      <c r="D2037" s="4" t="s">
        <v>52</v>
      </c>
      <c r="E2037" s="4" t="s">
        <v>16</v>
      </c>
      <c r="F2037" s="4" t="s">
        <v>17</v>
      </c>
      <c r="G2037" s="4" t="s">
        <v>18</v>
      </c>
      <c r="H2037" s="4" t="s">
        <v>225</v>
      </c>
      <c r="I2037" s="5" t="str">
        <f t="shared" si="31"/>
        <v>2025-08</v>
      </c>
      <c r="J2037" s="4" t="s">
        <v>59</v>
      </c>
      <c r="K2037" s="5" t="s">
        <v>343</v>
      </c>
      <c r="L2037" s="2">
        <v>73000</v>
      </c>
      <c r="M2037" s="3">
        <v>1</v>
      </c>
      <c r="N2037" s="2">
        <v>73000</v>
      </c>
      <c r="O2037" s="2">
        <v>7300</v>
      </c>
      <c r="P2037" s="2">
        <v>80300</v>
      </c>
      <c r="Q2037" s="2">
        <f>P2037*12%</f>
        <v>9636</v>
      </c>
    </row>
    <row r="2038" spans="1:17" hidden="1" x14ac:dyDescent="0.4">
      <c r="A2038" s="4" t="s">
        <v>32</v>
      </c>
      <c r="B2038" s="4" t="s">
        <v>14</v>
      </c>
      <c r="C2038" s="31" t="s">
        <v>435</v>
      </c>
      <c r="D2038" s="4" t="s">
        <v>33</v>
      </c>
      <c r="E2038" s="4" t="s">
        <v>16</v>
      </c>
      <c r="F2038" s="4" t="s">
        <v>17</v>
      </c>
      <c r="G2038" s="4" t="s">
        <v>18</v>
      </c>
      <c r="H2038" s="4" t="s">
        <v>225</v>
      </c>
      <c r="I2038" s="5" t="str">
        <f t="shared" si="31"/>
        <v>2025-08</v>
      </c>
      <c r="J2038" s="4" t="s">
        <v>49</v>
      </c>
      <c r="K2038" s="5" t="s">
        <v>343</v>
      </c>
      <c r="L2038" s="2">
        <v>44000</v>
      </c>
      <c r="M2038" s="3">
        <v>4</v>
      </c>
      <c r="N2038" s="2">
        <v>176000</v>
      </c>
      <c r="O2038" s="2">
        <v>17600</v>
      </c>
      <c r="P2038" s="2">
        <v>193600</v>
      </c>
      <c r="Q2038" s="2">
        <f>P2038*12%</f>
        <v>23232</v>
      </c>
    </row>
    <row r="2039" spans="1:17" hidden="1" x14ac:dyDescent="0.4">
      <c r="A2039" s="4" t="s">
        <v>13</v>
      </c>
      <c r="B2039" s="4" t="s">
        <v>14</v>
      </c>
      <c r="C2039" s="30" t="s">
        <v>434</v>
      </c>
      <c r="D2039" s="4" t="s">
        <v>15</v>
      </c>
      <c r="E2039" s="4" t="s">
        <v>16</v>
      </c>
      <c r="F2039" s="4" t="s">
        <v>17</v>
      </c>
      <c r="G2039" s="4" t="s">
        <v>18</v>
      </c>
      <c r="H2039" s="4" t="s">
        <v>225</v>
      </c>
      <c r="I2039" s="5" t="str">
        <f t="shared" si="31"/>
        <v>2025-08</v>
      </c>
      <c r="J2039" s="4" t="s">
        <v>49</v>
      </c>
      <c r="K2039" s="5" t="s">
        <v>343</v>
      </c>
      <c r="L2039" s="2">
        <v>42000</v>
      </c>
      <c r="M2039" s="3">
        <v>5</v>
      </c>
      <c r="N2039" s="2">
        <v>210000</v>
      </c>
      <c r="O2039" s="2">
        <v>21000</v>
      </c>
      <c r="P2039" s="2">
        <v>231000</v>
      </c>
      <c r="Q2039" s="2">
        <f>P2039*12%</f>
        <v>27720</v>
      </c>
    </row>
    <row r="2040" spans="1:17" hidden="1" x14ac:dyDescent="0.4">
      <c r="A2040" s="4" t="s">
        <v>35</v>
      </c>
      <c r="B2040" s="4" t="s">
        <v>14</v>
      </c>
      <c r="C2040" s="30" t="s">
        <v>434</v>
      </c>
      <c r="D2040" s="4" t="s">
        <v>36</v>
      </c>
      <c r="E2040" s="4" t="s">
        <v>16</v>
      </c>
      <c r="F2040" s="4" t="s">
        <v>17</v>
      </c>
      <c r="G2040" s="4" t="s">
        <v>18</v>
      </c>
      <c r="H2040" s="4" t="s">
        <v>225</v>
      </c>
      <c r="I2040" s="5" t="str">
        <f t="shared" si="31"/>
        <v>2025-08</v>
      </c>
      <c r="J2040" s="4" t="s">
        <v>49</v>
      </c>
      <c r="K2040" s="5" t="s">
        <v>343</v>
      </c>
      <c r="L2040" s="2">
        <v>116220</v>
      </c>
      <c r="M2040" s="3">
        <v>2</v>
      </c>
      <c r="N2040" s="2">
        <v>232440</v>
      </c>
      <c r="O2040" s="2">
        <v>23244</v>
      </c>
      <c r="P2040" s="2">
        <v>255684</v>
      </c>
      <c r="Q2040" s="2">
        <f>P2040*12%</f>
        <v>30682.079999999998</v>
      </c>
    </row>
    <row r="2041" spans="1:17" hidden="1" x14ac:dyDescent="0.4">
      <c r="A2041" s="4" t="s">
        <v>23</v>
      </c>
      <c r="B2041" s="4" t="s">
        <v>14</v>
      </c>
      <c r="C2041" s="31" t="s">
        <v>435</v>
      </c>
      <c r="D2041" s="4" t="s">
        <v>24</v>
      </c>
      <c r="E2041" s="4" t="s">
        <v>16</v>
      </c>
      <c r="F2041" s="4" t="s">
        <v>17</v>
      </c>
      <c r="G2041" s="4" t="s">
        <v>18</v>
      </c>
      <c r="H2041" s="4" t="s">
        <v>225</v>
      </c>
      <c r="I2041" s="5" t="str">
        <f t="shared" si="31"/>
        <v>2025-08</v>
      </c>
      <c r="J2041" s="4" t="s">
        <v>49</v>
      </c>
      <c r="K2041" s="5" t="s">
        <v>343</v>
      </c>
      <c r="L2041" s="2">
        <v>55500</v>
      </c>
      <c r="M2041" s="3">
        <v>4</v>
      </c>
      <c r="N2041" s="2">
        <v>222000</v>
      </c>
      <c r="O2041" s="2">
        <v>22200</v>
      </c>
      <c r="P2041" s="2">
        <v>244200</v>
      </c>
      <c r="Q2041" s="2">
        <f>P2041*12%</f>
        <v>29304</v>
      </c>
    </row>
    <row r="2042" spans="1:17" hidden="1" x14ac:dyDescent="0.4">
      <c r="A2042" s="4" t="s">
        <v>51</v>
      </c>
      <c r="B2042" s="4" t="s">
        <v>14</v>
      </c>
      <c r="C2042" s="30" t="s">
        <v>434</v>
      </c>
      <c r="D2042" s="4" t="s">
        <v>52</v>
      </c>
      <c r="E2042" s="4" t="s">
        <v>16</v>
      </c>
      <c r="F2042" s="4" t="s">
        <v>17</v>
      </c>
      <c r="G2042" s="4" t="s">
        <v>18</v>
      </c>
      <c r="H2042" s="4" t="s">
        <v>225</v>
      </c>
      <c r="I2042" s="5" t="str">
        <f t="shared" si="31"/>
        <v>2025-08</v>
      </c>
      <c r="J2042" s="4" t="s">
        <v>49</v>
      </c>
      <c r="K2042" s="5" t="s">
        <v>343</v>
      </c>
      <c r="L2042" s="2">
        <v>73000</v>
      </c>
      <c r="M2042" s="3">
        <v>1</v>
      </c>
      <c r="N2042" s="2">
        <v>73000</v>
      </c>
      <c r="O2042" s="2">
        <v>7300</v>
      </c>
      <c r="P2042" s="2">
        <v>80300</v>
      </c>
      <c r="Q2042" s="2">
        <f>P2042*12%</f>
        <v>9636</v>
      </c>
    </row>
    <row r="2043" spans="1:17" x14ac:dyDescent="0.4">
      <c r="A2043" s="4" t="s">
        <v>58</v>
      </c>
      <c r="B2043" s="4" t="s">
        <v>14</v>
      </c>
      <c r="C2043" s="30" t="s">
        <v>434</v>
      </c>
      <c r="D2043" s="4" t="s">
        <v>36</v>
      </c>
      <c r="E2043" s="4" t="s">
        <v>16</v>
      </c>
      <c r="F2043" s="4" t="s">
        <v>17</v>
      </c>
      <c r="G2043" s="4" t="s">
        <v>18</v>
      </c>
      <c r="H2043" s="4" t="s">
        <v>226</v>
      </c>
      <c r="I2043" s="5" t="str">
        <f t="shared" si="31"/>
        <v>2025-08</v>
      </c>
      <c r="J2043" s="4" t="s">
        <v>20</v>
      </c>
      <c r="K2043" s="5" t="s">
        <v>342</v>
      </c>
      <c r="L2043" s="2">
        <v>120880</v>
      </c>
      <c r="M2043" s="3">
        <v>1</v>
      </c>
      <c r="N2043" s="2">
        <v>120880</v>
      </c>
      <c r="O2043" s="2">
        <v>12088</v>
      </c>
      <c r="P2043" s="2">
        <v>132968</v>
      </c>
      <c r="Q2043" s="2">
        <f>P2043*8.5%</f>
        <v>11302.28</v>
      </c>
    </row>
    <row r="2044" spans="1:17" x14ac:dyDescent="0.4">
      <c r="A2044" s="4" t="s">
        <v>13</v>
      </c>
      <c r="B2044" s="4" t="s">
        <v>14</v>
      </c>
      <c r="C2044" s="30" t="s">
        <v>434</v>
      </c>
      <c r="D2044" s="4" t="s">
        <v>15</v>
      </c>
      <c r="E2044" s="4" t="s">
        <v>16</v>
      </c>
      <c r="F2044" s="4" t="s">
        <v>17</v>
      </c>
      <c r="G2044" s="4" t="s">
        <v>18</v>
      </c>
      <c r="H2044" s="4" t="s">
        <v>226</v>
      </c>
      <c r="I2044" s="5" t="str">
        <f t="shared" si="31"/>
        <v>2025-08</v>
      </c>
      <c r="J2044" s="4" t="s">
        <v>20</v>
      </c>
      <c r="K2044" s="5" t="s">
        <v>342</v>
      </c>
      <c r="L2044" s="2">
        <v>42000</v>
      </c>
      <c r="M2044" s="3">
        <v>3</v>
      </c>
      <c r="N2044" s="2">
        <v>126000</v>
      </c>
      <c r="O2044" s="2">
        <v>12600</v>
      </c>
      <c r="P2044" s="2">
        <v>138600</v>
      </c>
      <c r="Q2044" s="2">
        <f>P2044*8.5%</f>
        <v>11781</v>
      </c>
    </row>
    <row r="2045" spans="1:17" x14ac:dyDescent="0.4">
      <c r="A2045" s="4" t="s">
        <v>21</v>
      </c>
      <c r="B2045" s="4" t="s">
        <v>14</v>
      </c>
      <c r="C2045" s="31" t="s">
        <v>435</v>
      </c>
      <c r="D2045" s="4" t="s">
        <v>22</v>
      </c>
      <c r="E2045" s="4" t="s">
        <v>16</v>
      </c>
      <c r="F2045" s="4" t="s">
        <v>17</v>
      </c>
      <c r="G2045" s="4" t="s">
        <v>18</v>
      </c>
      <c r="H2045" s="4" t="s">
        <v>226</v>
      </c>
      <c r="I2045" s="5" t="str">
        <f t="shared" si="31"/>
        <v>2025-08</v>
      </c>
      <c r="J2045" s="4" t="s">
        <v>20</v>
      </c>
      <c r="K2045" s="5" t="s">
        <v>342</v>
      </c>
      <c r="L2045" s="2">
        <v>55500</v>
      </c>
      <c r="M2045" s="3">
        <v>1</v>
      </c>
      <c r="N2045" s="2">
        <v>55500</v>
      </c>
      <c r="O2045" s="2">
        <v>5550</v>
      </c>
      <c r="P2045" s="2">
        <v>61050</v>
      </c>
      <c r="Q2045" s="2">
        <f>P2045*8.5%</f>
        <v>5189.25</v>
      </c>
    </row>
    <row r="2046" spans="1:17" x14ac:dyDescent="0.4">
      <c r="A2046" s="4" t="s">
        <v>23</v>
      </c>
      <c r="B2046" s="4" t="s">
        <v>14</v>
      </c>
      <c r="C2046" s="31" t="s">
        <v>435</v>
      </c>
      <c r="D2046" s="4" t="s">
        <v>24</v>
      </c>
      <c r="E2046" s="4" t="s">
        <v>16</v>
      </c>
      <c r="F2046" s="4" t="s">
        <v>17</v>
      </c>
      <c r="G2046" s="4" t="s">
        <v>18</v>
      </c>
      <c r="H2046" s="4" t="s">
        <v>226</v>
      </c>
      <c r="I2046" s="5" t="str">
        <f t="shared" si="31"/>
        <v>2025-08</v>
      </c>
      <c r="J2046" s="4" t="s">
        <v>20</v>
      </c>
      <c r="K2046" s="5" t="s">
        <v>342</v>
      </c>
      <c r="L2046" s="2">
        <v>55500</v>
      </c>
      <c r="M2046" s="3">
        <v>3</v>
      </c>
      <c r="N2046" s="2">
        <v>166500</v>
      </c>
      <c r="O2046" s="2">
        <v>16650</v>
      </c>
      <c r="P2046" s="2">
        <v>183150</v>
      </c>
      <c r="Q2046" s="2">
        <f>P2046*8.5%</f>
        <v>15567.750000000002</v>
      </c>
    </row>
    <row r="2047" spans="1:17" x14ac:dyDescent="0.4">
      <c r="A2047" s="4" t="s">
        <v>56</v>
      </c>
      <c r="B2047" s="4" t="s">
        <v>26</v>
      </c>
      <c r="C2047" s="32" t="s">
        <v>436</v>
      </c>
      <c r="D2047" s="4" t="s">
        <v>57</v>
      </c>
      <c r="E2047" s="4" t="s">
        <v>44</v>
      </c>
      <c r="F2047" s="4" t="s">
        <v>31</v>
      </c>
      <c r="G2047" s="4" t="s">
        <v>18</v>
      </c>
      <c r="H2047" s="4" t="s">
        <v>226</v>
      </c>
      <c r="I2047" s="5" t="str">
        <f t="shared" si="31"/>
        <v>2025-08</v>
      </c>
      <c r="J2047" s="4" t="s">
        <v>20</v>
      </c>
      <c r="K2047" s="5" t="s">
        <v>342</v>
      </c>
      <c r="L2047" s="2">
        <v>2427</v>
      </c>
      <c r="M2047" s="3">
        <v>27</v>
      </c>
      <c r="N2047" s="2">
        <v>65529</v>
      </c>
      <c r="O2047" s="2">
        <v>0</v>
      </c>
      <c r="P2047" s="2">
        <v>65529</v>
      </c>
      <c r="Q2047" s="2">
        <f>P2047*8.5%</f>
        <v>5569.9650000000001</v>
      </c>
    </row>
    <row r="2048" spans="1:17" hidden="1" x14ac:dyDescent="0.4">
      <c r="A2048" s="4" t="s">
        <v>32</v>
      </c>
      <c r="B2048" s="4" t="s">
        <v>14</v>
      </c>
      <c r="C2048" s="31" t="s">
        <v>435</v>
      </c>
      <c r="D2048" s="4" t="s">
        <v>33</v>
      </c>
      <c r="E2048" s="4" t="s">
        <v>16</v>
      </c>
      <c r="F2048" s="4" t="s">
        <v>17</v>
      </c>
      <c r="G2048" s="4" t="s">
        <v>18</v>
      </c>
      <c r="H2048" s="4" t="s">
        <v>226</v>
      </c>
      <c r="I2048" s="5" t="str">
        <f t="shared" si="31"/>
        <v>2025-08</v>
      </c>
      <c r="J2048" s="4" t="s">
        <v>118</v>
      </c>
      <c r="K2048" s="5" t="s">
        <v>342</v>
      </c>
      <c r="L2048" s="2">
        <v>44000</v>
      </c>
      <c r="M2048" s="3">
        <v>2</v>
      </c>
      <c r="N2048" s="2">
        <v>88000</v>
      </c>
      <c r="O2048" s="2">
        <v>8800</v>
      </c>
      <c r="P2048" s="2">
        <v>96800</v>
      </c>
      <c r="Q2048" s="2">
        <f>P2048*8.5%</f>
        <v>8228</v>
      </c>
    </row>
    <row r="2049" spans="1:17" hidden="1" x14ac:dyDescent="0.4">
      <c r="A2049" s="4" t="s">
        <v>13</v>
      </c>
      <c r="B2049" s="4" t="s">
        <v>14</v>
      </c>
      <c r="C2049" s="30" t="s">
        <v>434</v>
      </c>
      <c r="D2049" s="4" t="s">
        <v>15</v>
      </c>
      <c r="E2049" s="4" t="s">
        <v>16</v>
      </c>
      <c r="F2049" s="4" t="s">
        <v>17</v>
      </c>
      <c r="G2049" s="4" t="s">
        <v>18</v>
      </c>
      <c r="H2049" s="4" t="s">
        <v>226</v>
      </c>
      <c r="I2049" s="5" t="str">
        <f t="shared" si="31"/>
        <v>2025-08</v>
      </c>
      <c r="J2049" s="4" t="s">
        <v>118</v>
      </c>
      <c r="K2049" s="5" t="s">
        <v>342</v>
      </c>
      <c r="L2049" s="2">
        <v>42000</v>
      </c>
      <c r="M2049" s="3">
        <v>2</v>
      </c>
      <c r="N2049" s="2">
        <v>84000</v>
      </c>
      <c r="O2049" s="2">
        <v>8400</v>
      </c>
      <c r="P2049" s="2">
        <v>92400</v>
      </c>
      <c r="Q2049" s="2">
        <f>P2049*8.5%</f>
        <v>7854.0000000000009</v>
      </c>
    </row>
    <row r="2050" spans="1:17" hidden="1" x14ac:dyDescent="0.4">
      <c r="A2050" s="4" t="s">
        <v>23</v>
      </c>
      <c r="B2050" s="4" t="s">
        <v>14</v>
      </c>
      <c r="C2050" s="31" t="s">
        <v>435</v>
      </c>
      <c r="D2050" s="4" t="s">
        <v>24</v>
      </c>
      <c r="E2050" s="4" t="s">
        <v>16</v>
      </c>
      <c r="F2050" s="4" t="s">
        <v>17</v>
      </c>
      <c r="G2050" s="4" t="s">
        <v>18</v>
      </c>
      <c r="H2050" s="4" t="s">
        <v>226</v>
      </c>
      <c r="I2050" s="5" t="str">
        <f t="shared" ref="I2050:I2113" si="32">TEXT(H2050,"yyyy-mm")</f>
        <v>2025-08</v>
      </c>
      <c r="J2050" s="4" t="s">
        <v>118</v>
      </c>
      <c r="K2050" s="5" t="s">
        <v>342</v>
      </c>
      <c r="L2050" s="2">
        <v>55500</v>
      </c>
      <c r="M2050" s="3">
        <v>2</v>
      </c>
      <c r="N2050" s="2">
        <v>111000</v>
      </c>
      <c r="O2050" s="2">
        <v>11100</v>
      </c>
      <c r="P2050" s="2">
        <v>122100</v>
      </c>
      <c r="Q2050" s="2">
        <f>P2050*8.5%</f>
        <v>10378.5</v>
      </c>
    </row>
    <row r="2051" spans="1:17" hidden="1" x14ac:dyDescent="0.4">
      <c r="A2051" s="4" t="s">
        <v>82</v>
      </c>
      <c r="B2051" s="4" t="s">
        <v>26</v>
      </c>
      <c r="C2051" s="32" t="s">
        <v>436</v>
      </c>
      <c r="D2051" s="4" t="s">
        <v>81</v>
      </c>
      <c r="E2051" s="4" t="s">
        <v>16</v>
      </c>
      <c r="F2051" s="4" t="s">
        <v>17</v>
      </c>
      <c r="G2051" s="4" t="s">
        <v>18</v>
      </c>
      <c r="H2051" s="4" t="s">
        <v>226</v>
      </c>
      <c r="I2051" s="5" t="str">
        <f t="shared" si="32"/>
        <v>2025-08</v>
      </c>
      <c r="J2051" s="4" t="s">
        <v>34</v>
      </c>
      <c r="K2051" s="5" t="s">
        <v>342</v>
      </c>
      <c r="L2051" s="2">
        <v>20925</v>
      </c>
      <c r="M2051" s="3">
        <v>1</v>
      </c>
      <c r="N2051" s="2">
        <v>20925</v>
      </c>
      <c r="O2051" s="2">
        <v>2093</v>
      </c>
      <c r="P2051" s="2">
        <v>23018</v>
      </c>
      <c r="Q2051" s="2">
        <f>P2051*8.5%</f>
        <v>1956.5300000000002</v>
      </c>
    </row>
    <row r="2052" spans="1:17" hidden="1" x14ac:dyDescent="0.4">
      <c r="A2052" s="4" t="s">
        <v>32</v>
      </c>
      <c r="B2052" s="4" t="s">
        <v>14</v>
      </c>
      <c r="C2052" s="31" t="s">
        <v>435</v>
      </c>
      <c r="D2052" s="4" t="s">
        <v>33</v>
      </c>
      <c r="E2052" s="4" t="s">
        <v>16</v>
      </c>
      <c r="F2052" s="4" t="s">
        <v>17</v>
      </c>
      <c r="G2052" s="4" t="s">
        <v>18</v>
      </c>
      <c r="H2052" s="4" t="s">
        <v>226</v>
      </c>
      <c r="I2052" s="5" t="str">
        <f t="shared" si="32"/>
        <v>2025-08</v>
      </c>
      <c r="J2052" s="4" t="s">
        <v>34</v>
      </c>
      <c r="K2052" s="5" t="s">
        <v>342</v>
      </c>
      <c r="L2052" s="2">
        <v>44000</v>
      </c>
      <c r="M2052" s="3">
        <v>3</v>
      </c>
      <c r="N2052" s="2">
        <v>132000</v>
      </c>
      <c r="O2052" s="2">
        <v>13200</v>
      </c>
      <c r="P2052" s="2">
        <v>145200</v>
      </c>
      <c r="Q2052" s="2">
        <f>P2052*8.5%</f>
        <v>12342</v>
      </c>
    </row>
    <row r="2053" spans="1:17" hidden="1" x14ac:dyDescent="0.4">
      <c r="A2053" s="4" t="s">
        <v>58</v>
      </c>
      <c r="B2053" s="4" t="s">
        <v>14</v>
      </c>
      <c r="C2053" s="30" t="s">
        <v>434</v>
      </c>
      <c r="D2053" s="4" t="s">
        <v>36</v>
      </c>
      <c r="E2053" s="4" t="s">
        <v>16</v>
      </c>
      <c r="F2053" s="4" t="s">
        <v>17</v>
      </c>
      <c r="G2053" s="4" t="s">
        <v>18</v>
      </c>
      <c r="H2053" s="4" t="s">
        <v>226</v>
      </c>
      <c r="I2053" s="5" t="str">
        <f t="shared" si="32"/>
        <v>2025-08</v>
      </c>
      <c r="J2053" s="4" t="s">
        <v>34</v>
      </c>
      <c r="K2053" s="5" t="s">
        <v>342</v>
      </c>
      <c r="L2053" s="2">
        <v>120880</v>
      </c>
      <c r="M2053" s="3">
        <v>1</v>
      </c>
      <c r="N2053" s="2">
        <v>120880</v>
      </c>
      <c r="O2053" s="2">
        <v>12088</v>
      </c>
      <c r="P2053" s="2">
        <v>132968</v>
      </c>
      <c r="Q2053" s="2">
        <f>P2053*8.5%</f>
        <v>11302.28</v>
      </c>
    </row>
    <row r="2054" spans="1:17" hidden="1" x14ac:dyDescent="0.4">
      <c r="A2054" s="4" t="s">
        <v>13</v>
      </c>
      <c r="B2054" s="4" t="s">
        <v>14</v>
      </c>
      <c r="C2054" s="30" t="s">
        <v>434</v>
      </c>
      <c r="D2054" s="4" t="s">
        <v>15</v>
      </c>
      <c r="E2054" s="4" t="s">
        <v>16</v>
      </c>
      <c r="F2054" s="4" t="s">
        <v>17</v>
      </c>
      <c r="G2054" s="4" t="s">
        <v>18</v>
      </c>
      <c r="H2054" s="4" t="s">
        <v>226</v>
      </c>
      <c r="I2054" s="5" t="str">
        <f t="shared" si="32"/>
        <v>2025-08</v>
      </c>
      <c r="J2054" s="4" t="s">
        <v>34</v>
      </c>
      <c r="K2054" s="5" t="s">
        <v>342</v>
      </c>
      <c r="L2054" s="2">
        <v>42000</v>
      </c>
      <c r="M2054" s="3">
        <v>7</v>
      </c>
      <c r="N2054" s="2">
        <v>294000</v>
      </c>
      <c r="O2054" s="2">
        <v>29400</v>
      </c>
      <c r="P2054" s="2">
        <v>323400</v>
      </c>
      <c r="Q2054" s="2">
        <f>P2054*8.5%</f>
        <v>27489.000000000004</v>
      </c>
    </row>
    <row r="2055" spans="1:17" hidden="1" x14ac:dyDescent="0.4">
      <c r="A2055" s="4" t="s">
        <v>21</v>
      </c>
      <c r="B2055" s="4" t="s">
        <v>14</v>
      </c>
      <c r="C2055" s="31" t="s">
        <v>435</v>
      </c>
      <c r="D2055" s="4" t="s">
        <v>22</v>
      </c>
      <c r="E2055" s="4" t="s">
        <v>16</v>
      </c>
      <c r="F2055" s="4" t="s">
        <v>17</v>
      </c>
      <c r="G2055" s="4" t="s">
        <v>18</v>
      </c>
      <c r="H2055" s="4" t="s">
        <v>226</v>
      </c>
      <c r="I2055" s="5" t="str">
        <f t="shared" si="32"/>
        <v>2025-08</v>
      </c>
      <c r="J2055" s="4" t="s">
        <v>34</v>
      </c>
      <c r="K2055" s="5" t="s">
        <v>342</v>
      </c>
      <c r="L2055" s="2">
        <v>55500</v>
      </c>
      <c r="M2055" s="3">
        <v>2</v>
      </c>
      <c r="N2055" s="2">
        <v>111000</v>
      </c>
      <c r="O2055" s="2">
        <v>11100</v>
      </c>
      <c r="P2055" s="2">
        <v>122100</v>
      </c>
      <c r="Q2055" s="2">
        <f>P2055*8.5%</f>
        <v>10378.5</v>
      </c>
    </row>
    <row r="2056" spans="1:17" hidden="1" x14ac:dyDescent="0.4">
      <c r="A2056" s="4" t="s">
        <v>23</v>
      </c>
      <c r="B2056" s="4" t="s">
        <v>14</v>
      </c>
      <c r="C2056" s="31" t="s">
        <v>435</v>
      </c>
      <c r="D2056" s="4" t="s">
        <v>24</v>
      </c>
      <c r="E2056" s="4" t="s">
        <v>16</v>
      </c>
      <c r="F2056" s="4" t="s">
        <v>17</v>
      </c>
      <c r="G2056" s="4" t="s">
        <v>18</v>
      </c>
      <c r="H2056" s="4" t="s">
        <v>226</v>
      </c>
      <c r="I2056" s="5" t="str">
        <f t="shared" si="32"/>
        <v>2025-08</v>
      </c>
      <c r="J2056" s="4" t="s">
        <v>34</v>
      </c>
      <c r="K2056" s="5" t="s">
        <v>342</v>
      </c>
      <c r="L2056" s="2">
        <v>55500</v>
      </c>
      <c r="M2056" s="3">
        <v>6</v>
      </c>
      <c r="N2056" s="2">
        <v>333000</v>
      </c>
      <c r="O2056" s="2">
        <v>33300</v>
      </c>
      <c r="P2056" s="2">
        <v>366300</v>
      </c>
      <c r="Q2056" s="2">
        <f>P2056*8.5%</f>
        <v>31135.500000000004</v>
      </c>
    </row>
    <row r="2057" spans="1:17" hidden="1" x14ac:dyDescent="0.4">
      <c r="A2057" s="4" t="s">
        <v>51</v>
      </c>
      <c r="B2057" s="4" t="s">
        <v>14</v>
      </c>
      <c r="C2057" s="30" t="s">
        <v>434</v>
      </c>
      <c r="D2057" s="4" t="s">
        <v>52</v>
      </c>
      <c r="E2057" s="4" t="s">
        <v>16</v>
      </c>
      <c r="F2057" s="4" t="s">
        <v>17</v>
      </c>
      <c r="G2057" s="4" t="s">
        <v>18</v>
      </c>
      <c r="H2057" s="4" t="s">
        <v>226</v>
      </c>
      <c r="I2057" s="5" t="str">
        <f t="shared" si="32"/>
        <v>2025-08</v>
      </c>
      <c r="J2057" s="4" t="s">
        <v>34</v>
      </c>
      <c r="K2057" s="5" t="s">
        <v>342</v>
      </c>
      <c r="L2057" s="2">
        <v>73000</v>
      </c>
      <c r="M2057" s="3">
        <v>2</v>
      </c>
      <c r="N2057" s="2">
        <v>146000</v>
      </c>
      <c r="O2057" s="2">
        <v>14600</v>
      </c>
      <c r="P2057" s="2">
        <v>160600</v>
      </c>
      <c r="Q2057" s="2">
        <f>P2057*8.5%</f>
        <v>13651.000000000002</v>
      </c>
    </row>
    <row r="2058" spans="1:17" hidden="1" x14ac:dyDescent="0.4">
      <c r="A2058" s="4" t="s">
        <v>67</v>
      </c>
      <c r="B2058" s="4" t="s">
        <v>26</v>
      </c>
      <c r="C2058" s="32" t="s">
        <v>436</v>
      </c>
      <c r="D2058" s="4" t="s">
        <v>63</v>
      </c>
      <c r="E2058" s="4" t="s">
        <v>28</v>
      </c>
      <c r="F2058" s="4" t="s">
        <v>17</v>
      </c>
      <c r="G2058" s="4" t="s">
        <v>18</v>
      </c>
      <c r="H2058" s="4" t="s">
        <v>226</v>
      </c>
      <c r="I2058" s="5" t="str">
        <f t="shared" si="32"/>
        <v>2025-08</v>
      </c>
      <c r="J2058" s="4" t="s">
        <v>34</v>
      </c>
      <c r="K2058" s="5" t="s">
        <v>342</v>
      </c>
      <c r="L2058" s="2">
        <v>7558</v>
      </c>
      <c r="M2058" s="3">
        <v>1</v>
      </c>
      <c r="N2058" s="2">
        <v>7558</v>
      </c>
      <c r="O2058" s="2">
        <v>756</v>
      </c>
      <c r="P2058" s="2">
        <v>8314</v>
      </c>
      <c r="Q2058" s="2">
        <f>P2058*8.5%</f>
        <v>706.69</v>
      </c>
    </row>
    <row r="2059" spans="1:17" hidden="1" x14ac:dyDescent="0.4">
      <c r="A2059" s="4" t="s">
        <v>42</v>
      </c>
      <c r="B2059" s="4" t="s">
        <v>14</v>
      </c>
      <c r="C2059" s="30" t="s">
        <v>434</v>
      </c>
      <c r="D2059" s="4" t="s">
        <v>43</v>
      </c>
      <c r="E2059" s="4" t="s">
        <v>44</v>
      </c>
      <c r="F2059" s="4" t="s">
        <v>31</v>
      </c>
      <c r="G2059" s="4" t="s">
        <v>18</v>
      </c>
      <c r="H2059" s="4" t="s">
        <v>226</v>
      </c>
      <c r="I2059" s="5" t="str">
        <f t="shared" si="32"/>
        <v>2025-08</v>
      </c>
      <c r="J2059" s="4" t="s">
        <v>34</v>
      </c>
      <c r="K2059" s="5" t="s">
        <v>342</v>
      </c>
      <c r="L2059" s="2">
        <v>7300</v>
      </c>
      <c r="M2059" s="3">
        <v>83.7</v>
      </c>
      <c r="N2059" s="2">
        <v>611010</v>
      </c>
      <c r="O2059" s="2">
        <v>0</v>
      </c>
      <c r="P2059" s="2">
        <v>611010</v>
      </c>
      <c r="Q2059" s="2">
        <f>P2059*8.5%</f>
        <v>51935.850000000006</v>
      </c>
    </row>
    <row r="2060" spans="1:17" hidden="1" x14ac:dyDescent="0.4">
      <c r="A2060" s="4" t="s">
        <v>58</v>
      </c>
      <c r="B2060" s="4" t="s">
        <v>14</v>
      </c>
      <c r="C2060" s="30" t="s">
        <v>434</v>
      </c>
      <c r="D2060" s="4" t="s">
        <v>36</v>
      </c>
      <c r="E2060" s="4" t="s">
        <v>16</v>
      </c>
      <c r="F2060" s="4" t="s">
        <v>17</v>
      </c>
      <c r="G2060" s="4" t="s">
        <v>18</v>
      </c>
      <c r="H2060" s="4" t="s">
        <v>226</v>
      </c>
      <c r="I2060" s="5" t="str">
        <f t="shared" si="32"/>
        <v>2025-08</v>
      </c>
      <c r="J2060" s="4" t="s">
        <v>153</v>
      </c>
      <c r="K2060" s="5" t="s">
        <v>343</v>
      </c>
      <c r="L2060" s="2">
        <v>120880</v>
      </c>
      <c r="M2060" s="3">
        <v>1</v>
      </c>
      <c r="N2060" s="2">
        <v>120880</v>
      </c>
      <c r="O2060" s="2">
        <v>12088</v>
      </c>
      <c r="P2060" s="2">
        <v>132968</v>
      </c>
      <c r="Q2060" s="2">
        <f>P2060*12%</f>
        <v>15956.16</v>
      </c>
    </row>
    <row r="2061" spans="1:17" hidden="1" x14ac:dyDescent="0.4">
      <c r="A2061" s="4" t="s">
        <v>13</v>
      </c>
      <c r="B2061" s="4" t="s">
        <v>14</v>
      </c>
      <c r="C2061" s="30" t="s">
        <v>434</v>
      </c>
      <c r="D2061" s="4" t="s">
        <v>15</v>
      </c>
      <c r="E2061" s="4" t="s">
        <v>16</v>
      </c>
      <c r="F2061" s="4" t="s">
        <v>17</v>
      </c>
      <c r="G2061" s="4" t="s">
        <v>18</v>
      </c>
      <c r="H2061" s="4" t="s">
        <v>226</v>
      </c>
      <c r="I2061" s="5" t="str">
        <f t="shared" si="32"/>
        <v>2025-08</v>
      </c>
      <c r="J2061" s="4" t="s">
        <v>153</v>
      </c>
      <c r="K2061" s="5" t="s">
        <v>343</v>
      </c>
      <c r="L2061" s="2">
        <v>42000</v>
      </c>
      <c r="M2061" s="3">
        <v>5</v>
      </c>
      <c r="N2061" s="2">
        <v>210000</v>
      </c>
      <c r="O2061" s="2">
        <v>21000</v>
      </c>
      <c r="P2061" s="2">
        <v>231000</v>
      </c>
      <c r="Q2061" s="2">
        <f>P2061*12%</f>
        <v>27720</v>
      </c>
    </row>
    <row r="2062" spans="1:17" hidden="1" x14ac:dyDescent="0.4">
      <c r="A2062" s="4" t="s">
        <v>23</v>
      </c>
      <c r="B2062" s="4" t="s">
        <v>14</v>
      </c>
      <c r="C2062" s="31" t="s">
        <v>435</v>
      </c>
      <c r="D2062" s="4" t="s">
        <v>24</v>
      </c>
      <c r="E2062" s="4" t="s">
        <v>16</v>
      </c>
      <c r="F2062" s="4" t="s">
        <v>17</v>
      </c>
      <c r="G2062" s="4" t="s">
        <v>18</v>
      </c>
      <c r="H2062" s="4" t="s">
        <v>226</v>
      </c>
      <c r="I2062" s="5" t="str">
        <f t="shared" si="32"/>
        <v>2025-08</v>
      </c>
      <c r="J2062" s="4" t="s">
        <v>153</v>
      </c>
      <c r="K2062" s="5" t="s">
        <v>343</v>
      </c>
      <c r="L2062" s="2">
        <v>55500</v>
      </c>
      <c r="M2062" s="3">
        <v>5</v>
      </c>
      <c r="N2062" s="2">
        <v>277500</v>
      </c>
      <c r="O2062" s="2">
        <v>27750</v>
      </c>
      <c r="P2062" s="2">
        <v>305250</v>
      </c>
      <c r="Q2062" s="2">
        <f>P2062*12%</f>
        <v>36630</v>
      </c>
    </row>
    <row r="2063" spans="1:17" hidden="1" x14ac:dyDescent="0.4">
      <c r="A2063" s="4" t="s">
        <v>112</v>
      </c>
      <c r="B2063" s="4" t="s">
        <v>26</v>
      </c>
      <c r="C2063" s="32" t="s">
        <v>436</v>
      </c>
      <c r="D2063" s="4" t="s">
        <v>113</v>
      </c>
      <c r="E2063" s="4" t="s">
        <v>28</v>
      </c>
      <c r="F2063" s="4" t="s">
        <v>17</v>
      </c>
      <c r="G2063" s="4" t="s">
        <v>18</v>
      </c>
      <c r="H2063" s="4" t="s">
        <v>226</v>
      </c>
      <c r="I2063" s="5" t="str">
        <f t="shared" si="32"/>
        <v>2025-08</v>
      </c>
      <c r="J2063" s="4" t="s">
        <v>153</v>
      </c>
      <c r="K2063" s="5" t="s">
        <v>343</v>
      </c>
      <c r="L2063" s="2">
        <v>375</v>
      </c>
      <c r="M2063" s="3">
        <v>30</v>
      </c>
      <c r="N2063" s="2">
        <v>11250</v>
      </c>
      <c r="O2063" s="2">
        <v>1125</v>
      </c>
      <c r="P2063" s="2">
        <v>12375</v>
      </c>
      <c r="Q2063" s="2">
        <f>P2063*12%</f>
        <v>1485</v>
      </c>
    </row>
    <row r="2064" spans="1:17" hidden="1" x14ac:dyDescent="0.4">
      <c r="A2064" s="4" t="s">
        <v>32</v>
      </c>
      <c r="B2064" s="4" t="s">
        <v>14</v>
      </c>
      <c r="C2064" s="31" t="s">
        <v>435</v>
      </c>
      <c r="D2064" s="4" t="s">
        <v>33</v>
      </c>
      <c r="E2064" s="4" t="s">
        <v>16</v>
      </c>
      <c r="F2064" s="4" t="s">
        <v>17</v>
      </c>
      <c r="G2064" s="4" t="s">
        <v>18</v>
      </c>
      <c r="H2064" s="4" t="s">
        <v>226</v>
      </c>
      <c r="I2064" s="5" t="str">
        <f t="shared" si="32"/>
        <v>2025-08</v>
      </c>
      <c r="J2064" s="4" t="s">
        <v>49</v>
      </c>
      <c r="K2064" s="5" t="s">
        <v>343</v>
      </c>
      <c r="L2064" s="2">
        <v>44000</v>
      </c>
      <c r="M2064" s="3">
        <v>5</v>
      </c>
      <c r="N2064" s="2">
        <v>220000</v>
      </c>
      <c r="O2064" s="2">
        <v>22000</v>
      </c>
      <c r="P2064" s="2">
        <v>242000</v>
      </c>
      <c r="Q2064" s="2">
        <f>P2064*12%</f>
        <v>29040</v>
      </c>
    </row>
    <row r="2065" spans="1:17" hidden="1" x14ac:dyDescent="0.4">
      <c r="A2065" s="4" t="s">
        <v>13</v>
      </c>
      <c r="B2065" s="4" t="s">
        <v>14</v>
      </c>
      <c r="C2065" s="30" t="s">
        <v>434</v>
      </c>
      <c r="D2065" s="4" t="s">
        <v>15</v>
      </c>
      <c r="E2065" s="4" t="s">
        <v>16</v>
      </c>
      <c r="F2065" s="4" t="s">
        <v>17</v>
      </c>
      <c r="G2065" s="4" t="s">
        <v>18</v>
      </c>
      <c r="H2065" s="4" t="s">
        <v>226</v>
      </c>
      <c r="I2065" s="5" t="str">
        <f t="shared" si="32"/>
        <v>2025-08</v>
      </c>
      <c r="J2065" s="4" t="s">
        <v>49</v>
      </c>
      <c r="K2065" s="5" t="s">
        <v>343</v>
      </c>
      <c r="L2065" s="2">
        <v>42000</v>
      </c>
      <c r="M2065" s="3">
        <v>8</v>
      </c>
      <c r="N2065" s="2">
        <v>336000</v>
      </c>
      <c r="O2065" s="2">
        <v>33600</v>
      </c>
      <c r="P2065" s="2">
        <v>369600</v>
      </c>
      <c r="Q2065" s="2">
        <f>P2065*12%</f>
        <v>44352</v>
      </c>
    </row>
    <row r="2066" spans="1:17" hidden="1" x14ac:dyDescent="0.4">
      <c r="A2066" s="4" t="s">
        <v>35</v>
      </c>
      <c r="B2066" s="4" t="s">
        <v>14</v>
      </c>
      <c r="C2066" s="30" t="s">
        <v>434</v>
      </c>
      <c r="D2066" s="4" t="s">
        <v>36</v>
      </c>
      <c r="E2066" s="4" t="s">
        <v>16</v>
      </c>
      <c r="F2066" s="4" t="s">
        <v>17</v>
      </c>
      <c r="G2066" s="4" t="s">
        <v>18</v>
      </c>
      <c r="H2066" s="4" t="s">
        <v>226</v>
      </c>
      <c r="I2066" s="5" t="str">
        <f t="shared" si="32"/>
        <v>2025-08</v>
      </c>
      <c r="J2066" s="4" t="s">
        <v>49</v>
      </c>
      <c r="K2066" s="5" t="s">
        <v>343</v>
      </c>
      <c r="L2066" s="2">
        <v>116220</v>
      </c>
      <c r="M2066" s="3">
        <v>2</v>
      </c>
      <c r="N2066" s="2">
        <v>232440</v>
      </c>
      <c r="O2066" s="2">
        <v>23244</v>
      </c>
      <c r="P2066" s="2">
        <v>255684</v>
      </c>
      <c r="Q2066" s="2">
        <f>P2066*12%</f>
        <v>30682.079999999998</v>
      </c>
    </row>
    <row r="2067" spans="1:17" hidden="1" x14ac:dyDescent="0.4">
      <c r="A2067" s="4" t="s">
        <v>23</v>
      </c>
      <c r="B2067" s="4" t="s">
        <v>14</v>
      </c>
      <c r="C2067" s="31" t="s">
        <v>435</v>
      </c>
      <c r="D2067" s="4" t="s">
        <v>24</v>
      </c>
      <c r="E2067" s="4" t="s">
        <v>16</v>
      </c>
      <c r="F2067" s="4" t="s">
        <v>17</v>
      </c>
      <c r="G2067" s="4" t="s">
        <v>18</v>
      </c>
      <c r="H2067" s="4" t="s">
        <v>226</v>
      </c>
      <c r="I2067" s="5" t="str">
        <f t="shared" si="32"/>
        <v>2025-08</v>
      </c>
      <c r="J2067" s="4" t="s">
        <v>49</v>
      </c>
      <c r="K2067" s="5" t="s">
        <v>343</v>
      </c>
      <c r="L2067" s="2">
        <v>55500</v>
      </c>
      <c r="M2067" s="3">
        <v>4</v>
      </c>
      <c r="N2067" s="2">
        <v>222000</v>
      </c>
      <c r="O2067" s="2">
        <v>22200</v>
      </c>
      <c r="P2067" s="2">
        <v>244200</v>
      </c>
      <c r="Q2067" s="2">
        <f>P2067*12%</f>
        <v>29304</v>
      </c>
    </row>
    <row r="2068" spans="1:17" hidden="1" x14ac:dyDescent="0.4">
      <c r="A2068" s="4" t="s">
        <v>51</v>
      </c>
      <c r="B2068" s="4" t="s">
        <v>14</v>
      </c>
      <c r="C2068" s="30" t="s">
        <v>434</v>
      </c>
      <c r="D2068" s="4" t="s">
        <v>52</v>
      </c>
      <c r="E2068" s="4" t="s">
        <v>16</v>
      </c>
      <c r="F2068" s="4" t="s">
        <v>17</v>
      </c>
      <c r="G2068" s="4" t="s">
        <v>18</v>
      </c>
      <c r="H2068" s="4" t="s">
        <v>226</v>
      </c>
      <c r="I2068" s="5" t="str">
        <f t="shared" si="32"/>
        <v>2025-08</v>
      </c>
      <c r="J2068" s="4" t="s">
        <v>49</v>
      </c>
      <c r="K2068" s="5" t="s">
        <v>343</v>
      </c>
      <c r="L2068" s="2">
        <v>73000</v>
      </c>
      <c r="M2068" s="3">
        <v>1</v>
      </c>
      <c r="N2068" s="2">
        <v>73000</v>
      </c>
      <c r="O2068" s="2">
        <v>7300</v>
      </c>
      <c r="P2068" s="2">
        <v>80300</v>
      </c>
      <c r="Q2068" s="2">
        <f>P2068*12%</f>
        <v>9636</v>
      </c>
    </row>
    <row r="2069" spans="1:17" hidden="1" x14ac:dyDescent="0.4">
      <c r="A2069" s="4" t="s">
        <v>32</v>
      </c>
      <c r="B2069" s="4" t="s">
        <v>14</v>
      </c>
      <c r="C2069" s="31" t="s">
        <v>435</v>
      </c>
      <c r="D2069" s="4" t="s">
        <v>33</v>
      </c>
      <c r="E2069" s="4" t="s">
        <v>16</v>
      </c>
      <c r="F2069" s="4" t="s">
        <v>17</v>
      </c>
      <c r="G2069" s="4" t="s">
        <v>18</v>
      </c>
      <c r="H2069" s="4" t="s">
        <v>226</v>
      </c>
      <c r="I2069" s="5" t="str">
        <f t="shared" si="32"/>
        <v>2025-08</v>
      </c>
      <c r="J2069" s="4" t="s">
        <v>50</v>
      </c>
      <c r="K2069" s="5" t="s">
        <v>343</v>
      </c>
      <c r="L2069" s="2">
        <v>44000</v>
      </c>
      <c r="M2069" s="3">
        <v>1</v>
      </c>
      <c r="N2069" s="2">
        <v>44000</v>
      </c>
      <c r="O2069" s="2">
        <v>4400</v>
      </c>
      <c r="P2069" s="2">
        <v>48400</v>
      </c>
      <c r="Q2069" s="2">
        <f>P2069*12%</f>
        <v>5808</v>
      </c>
    </row>
    <row r="2070" spans="1:17" hidden="1" x14ac:dyDescent="0.4">
      <c r="A2070" s="4" t="s">
        <v>13</v>
      </c>
      <c r="B2070" s="4" t="s">
        <v>14</v>
      </c>
      <c r="C2070" s="30" t="s">
        <v>434</v>
      </c>
      <c r="D2070" s="4" t="s">
        <v>15</v>
      </c>
      <c r="E2070" s="4" t="s">
        <v>16</v>
      </c>
      <c r="F2070" s="4" t="s">
        <v>17</v>
      </c>
      <c r="G2070" s="4" t="s">
        <v>18</v>
      </c>
      <c r="H2070" s="4" t="s">
        <v>226</v>
      </c>
      <c r="I2070" s="5" t="str">
        <f t="shared" si="32"/>
        <v>2025-08</v>
      </c>
      <c r="J2070" s="4" t="s">
        <v>50</v>
      </c>
      <c r="K2070" s="5" t="s">
        <v>343</v>
      </c>
      <c r="L2070" s="2">
        <v>42000</v>
      </c>
      <c r="M2070" s="3">
        <v>10</v>
      </c>
      <c r="N2070" s="2">
        <v>420000</v>
      </c>
      <c r="O2070" s="2">
        <v>42000</v>
      </c>
      <c r="P2070" s="2">
        <v>462000</v>
      </c>
      <c r="Q2070" s="2">
        <f>P2070*12%</f>
        <v>55440</v>
      </c>
    </row>
    <row r="2071" spans="1:17" hidden="1" x14ac:dyDescent="0.4">
      <c r="A2071" s="4" t="s">
        <v>23</v>
      </c>
      <c r="B2071" s="4" t="s">
        <v>14</v>
      </c>
      <c r="C2071" s="31" t="s">
        <v>435</v>
      </c>
      <c r="D2071" s="4" t="s">
        <v>24</v>
      </c>
      <c r="E2071" s="4" t="s">
        <v>16</v>
      </c>
      <c r="F2071" s="4" t="s">
        <v>17</v>
      </c>
      <c r="G2071" s="4" t="s">
        <v>18</v>
      </c>
      <c r="H2071" s="4" t="s">
        <v>226</v>
      </c>
      <c r="I2071" s="5" t="str">
        <f t="shared" si="32"/>
        <v>2025-08</v>
      </c>
      <c r="J2071" s="4" t="s">
        <v>50</v>
      </c>
      <c r="K2071" s="5" t="s">
        <v>343</v>
      </c>
      <c r="L2071" s="2">
        <v>55500</v>
      </c>
      <c r="M2071" s="3">
        <v>5</v>
      </c>
      <c r="N2071" s="2">
        <v>277500</v>
      </c>
      <c r="O2071" s="2">
        <v>27750</v>
      </c>
      <c r="P2071" s="2">
        <v>305250</v>
      </c>
      <c r="Q2071" s="2">
        <f>P2071*12%</f>
        <v>36630</v>
      </c>
    </row>
    <row r="2072" spans="1:17" hidden="1" x14ac:dyDescent="0.4">
      <c r="A2072" s="4" t="s">
        <v>51</v>
      </c>
      <c r="B2072" s="4" t="s">
        <v>14</v>
      </c>
      <c r="C2072" s="30" t="s">
        <v>434</v>
      </c>
      <c r="D2072" s="4" t="s">
        <v>52</v>
      </c>
      <c r="E2072" s="4" t="s">
        <v>16</v>
      </c>
      <c r="F2072" s="4" t="s">
        <v>17</v>
      </c>
      <c r="G2072" s="4" t="s">
        <v>18</v>
      </c>
      <c r="H2072" s="4" t="s">
        <v>226</v>
      </c>
      <c r="I2072" s="5" t="str">
        <f t="shared" si="32"/>
        <v>2025-08</v>
      </c>
      <c r="J2072" s="4" t="s">
        <v>50</v>
      </c>
      <c r="K2072" s="5" t="s">
        <v>343</v>
      </c>
      <c r="L2072" s="2">
        <v>73000</v>
      </c>
      <c r="M2072" s="3">
        <v>1</v>
      </c>
      <c r="N2072" s="2">
        <v>73000</v>
      </c>
      <c r="O2072" s="2">
        <v>7300</v>
      </c>
      <c r="P2072" s="2">
        <v>80300</v>
      </c>
      <c r="Q2072" s="2">
        <f>P2072*12%</f>
        <v>9636</v>
      </c>
    </row>
    <row r="2073" spans="1:17" x14ac:dyDescent="0.4">
      <c r="A2073" s="4" t="s">
        <v>23</v>
      </c>
      <c r="B2073" s="4" t="s">
        <v>14</v>
      </c>
      <c r="C2073" s="31" t="s">
        <v>435</v>
      </c>
      <c r="D2073" s="4" t="s">
        <v>24</v>
      </c>
      <c r="E2073" s="4" t="s">
        <v>16</v>
      </c>
      <c r="F2073" s="4" t="s">
        <v>17</v>
      </c>
      <c r="G2073" s="4" t="s">
        <v>18</v>
      </c>
      <c r="H2073" s="4" t="s">
        <v>227</v>
      </c>
      <c r="I2073" s="5" t="str">
        <f t="shared" si="32"/>
        <v>2025-08</v>
      </c>
      <c r="J2073" s="4" t="s">
        <v>20</v>
      </c>
      <c r="K2073" s="5" t="s">
        <v>342</v>
      </c>
      <c r="L2073" s="2">
        <v>55500</v>
      </c>
      <c r="M2073" s="3">
        <v>1</v>
      </c>
      <c r="N2073" s="2">
        <v>55500</v>
      </c>
      <c r="O2073" s="2">
        <v>5550</v>
      </c>
      <c r="P2073" s="2">
        <v>61050</v>
      </c>
      <c r="Q2073" s="2">
        <f>P2073*8.5%</f>
        <v>5189.25</v>
      </c>
    </row>
    <row r="2074" spans="1:17" x14ac:dyDescent="0.4">
      <c r="A2074" s="4" t="s">
        <v>51</v>
      </c>
      <c r="B2074" s="4" t="s">
        <v>14</v>
      </c>
      <c r="C2074" s="30" t="s">
        <v>434</v>
      </c>
      <c r="D2074" s="4" t="s">
        <v>52</v>
      </c>
      <c r="E2074" s="4" t="s">
        <v>16</v>
      </c>
      <c r="F2074" s="4" t="s">
        <v>17</v>
      </c>
      <c r="G2074" s="4" t="s">
        <v>18</v>
      </c>
      <c r="H2074" s="4" t="s">
        <v>227</v>
      </c>
      <c r="I2074" s="5" t="str">
        <f t="shared" si="32"/>
        <v>2025-08</v>
      </c>
      <c r="J2074" s="4" t="s">
        <v>20</v>
      </c>
      <c r="K2074" s="5" t="s">
        <v>342</v>
      </c>
      <c r="L2074" s="2">
        <v>73000</v>
      </c>
      <c r="M2074" s="3">
        <v>1</v>
      </c>
      <c r="N2074" s="2">
        <v>73000</v>
      </c>
      <c r="O2074" s="2">
        <v>7300</v>
      </c>
      <c r="P2074" s="2">
        <v>80300</v>
      </c>
      <c r="Q2074" s="2">
        <f>P2074*8.5%</f>
        <v>6825.5000000000009</v>
      </c>
    </row>
    <row r="2075" spans="1:17" x14ac:dyDescent="0.4">
      <c r="A2075" s="4" t="s">
        <v>100</v>
      </c>
      <c r="B2075" s="4" t="s">
        <v>26</v>
      </c>
      <c r="C2075" s="32" t="s">
        <v>436</v>
      </c>
      <c r="D2075" s="4" t="s">
        <v>101</v>
      </c>
      <c r="E2075" s="4" t="s">
        <v>28</v>
      </c>
      <c r="F2075" s="4" t="s">
        <v>17</v>
      </c>
      <c r="G2075" s="4" t="s">
        <v>18</v>
      </c>
      <c r="H2075" s="4" t="s">
        <v>227</v>
      </c>
      <c r="I2075" s="5" t="str">
        <f t="shared" si="32"/>
        <v>2025-08</v>
      </c>
      <c r="J2075" s="4" t="s">
        <v>20</v>
      </c>
      <c r="K2075" s="5" t="s">
        <v>342</v>
      </c>
      <c r="L2075" s="2">
        <v>5620</v>
      </c>
      <c r="M2075" s="3">
        <v>1</v>
      </c>
      <c r="N2075" s="2">
        <v>5620</v>
      </c>
      <c r="O2075" s="2">
        <v>562</v>
      </c>
      <c r="P2075" s="2">
        <v>6182</v>
      </c>
      <c r="Q2075" s="2">
        <f>P2075*8.5%</f>
        <v>525.47</v>
      </c>
    </row>
    <row r="2076" spans="1:17" x14ac:dyDescent="0.4">
      <c r="A2076" s="4" t="s">
        <v>127</v>
      </c>
      <c r="B2076" s="4" t="s">
        <v>26</v>
      </c>
      <c r="C2076" s="32" t="s">
        <v>436</v>
      </c>
      <c r="D2076" s="4" t="s">
        <v>128</v>
      </c>
      <c r="E2076" s="4" t="s">
        <v>28</v>
      </c>
      <c r="F2076" s="4" t="s">
        <v>17</v>
      </c>
      <c r="G2076" s="4" t="s">
        <v>18</v>
      </c>
      <c r="H2076" s="4" t="s">
        <v>227</v>
      </c>
      <c r="I2076" s="5" t="str">
        <f t="shared" si="32"/>
        <v>2025-08</v>
      </c>
      <c r="J2076" s="4" t="s">
        <v>20</v>
      </c>
      <c r="K2076" s="5" t="s">
        <v>342</v>
      </c>
      <c r="L2076" s="2">
        <v>2870</v>
      </c>
      <c r="M2076" s="3">
        <v>1</v>
      </c>
      <c r="N2076" s="2">
        <v>2870</v>
      </c>
      <c r="O2076" s="2">
        <v>287</v>
      </c>
      <c r="P2076" s="2">
        <v>3157</v>
      </c>
      <c r="Q2076" s="2">
        <f>P2076*8.5%</f>
        <v>268.34500000000003</v>
      </c>
    </row>
    <row r="2077" spans="1:17" x14ac:dyDescent="0.4">
      <c r="A2077" s="4" t="s">
        <v>13</v>
      </c>
      <c r="B2077" s="4" t="s">
        <v>14</v>
      </c>
      <c r="C2077" s="30" t="s">
        <v>434</v>
      </c>
      <c r="D2077" s="4" t="s">
        <v>15</v>
      </c>
      <c r="E2077" s="4" t="s">
        <v>16</v>
      </c>
      <c r="F2077" s="4" t="s">
        <v>17</v>
      </c>
      <c r="G2077" s="4" t="s">
        <v>18</v>
      </c>
      <c r="H2077" s="4" t="s">
        <v>228</v>
      </c>
      <c r="I2077" s="5" t="str">
        <f t="shared" si="32"/>
        <v>2025-08</v>
      </c>
      <c r="J2077" s="4" t="s">
        <v>20</v>
      </c>
      <c r="K2077" s="5" t="s">
        <v>342</v>
      </c>
      <c r="L2077" s="2">
        <v>42000</v>
      </c>
      <c r="M2077" s="3">
        <v>2</v>
      </c>
      <c r="N2077" s="2">
        <v>84000</v>
      </c>
      <c r="O2077" s="2">
        <v>8400</v>
      </c>
      <c r="P2077" s="2">
        <v>92400</v>
      </c>
      <c r="Q2077" s="2">
        <f>P2077*8.5%</f>
        <v>7854.0000000000009</v>
      </c>
    </row>
    <row r="2078" spans="1:17" x14ac:dyDescent="0.4">
      <c r="A2078" s="4" t="s">
        <v>21</v>
      </c>
      <c r="B2078" s="4" t="s">
        <v>14</v>
      </c>
      <c r="C2078" s="31" t="s">
        <v>435</v>
      </c>
      <c r="D2078" s="4" t="s">
        <v>22</v>
      </c>
      <c r="E2078" s="4" t="s">
        <v>16</v>
      </c>
      <c r="F2078" s="4" t="s">
        <v>17</v>
      </c>
      <c r="G2078" s="4" t="s">
        <v>18</v>
      </c>
      <c r="H2078" s="4" t="s">
        <v>228</v>
      </c>
      <c r="I2078" s="5" t="str">
        <f t="shared" si="32"/>
        <v>2025-08</v>
      </c>
      <c r="J2078" s="4" t="s">
        <v>20</v>
      </c>
      <c r="K2078" s="5" t="s">
        <v>342</v>
      </c>
      <c r="L2078" s="2">
        <v>55500</v>
      </c>
      <c r="M2078" s="3">
        <v>2</v>
      </c>
      <c r="N2078" s="2">
        <v>111000</v>
      </c>
      <c r="O2078" s="2">
        <v>11100</v>
      </c>
      <c r="P2078" s="2">
        <v>122100</v>
      </c>
      <c r="Q2078" s="2">
        <f>P2078*8.5%</f>
        <v>10378.5</v>
      </c>
    </row>
    <row r="2079" spans="1:17" x14ac:dyDescent="0.4">
      <c r="A2079" s="4" t="s">
        <v>23</v>
      </c>
      <c r="B2079" s="4" t="s">
        <v>14</v>
      </c>
      <c r="C2079" s="31" t="s">
        <v>435</v>
      </c>
      <c r="D2079" s="4" t="s">
        <v>24</v>
      </c>
      <c r="E2079" s="4" t="s">
        <v>16</v>
      </c>
      <c r="F2079" s="4" t="s">
        <v>17</v>
      </c>
      <c r="G2079" s="4" t="s">
        <v>18</v>
      </c>
      <c r="H2079" s="4" t="s">
        <v>228</v>
      </c>
      <c r="I2079" s="5" t="str">
        <f t="shared" si="32"/>
        <v>2025-08</v>
      </c>
      <c r="J2079" s="4" t="s">
        <v>20</v>
      </c>
      <c r="K2079" s="5" t="s">
        <v>342</v>
      </c>
      <c r="L2079" s="2">
        <v>55500</v>
      </c>
      <c r="M2079" s="3">
        <v>2</v>
      </c>
      <c r="N2079" s="2">
        <v>111000</v>
      </c>
      <c r="O2079" s="2">
        <v>11100</v>
      </c>
      <c r="P2079" s="2">
        <v>122100</v>
      </c>
      <c r="Q2079" s="2">
        <f>P2079*8.5%</f>
        <v>10378.5</v>
      </c>
    </row>
    <row r="2080" spans="1:17" hidden="1" x14ac:dyDescent="0.4">
      <c r="A2080" s="4" t="s">
        <v>32</v>
      </c>
      <c r="B2080" s="4" t="s">
        <v>14</v>
      </c>
      <c r="C2080" s="31" t="s">
        <v>435</v>
      </c>
      <c r="D2080" s="4" t="s">
        <v>33</v>
      </c>
      <c r="E2080" s="4" t="s">
        <v>16</v>
      </c>
      <c r="F2080" s="4" t="s">
        <v>17</v>
      </c>
      <c r="G2080" s="4" t="s">
        <v>18</v>
      </c>
      <c r="H2080" s="4" t="s">
        <v>228</v>
      </c>
      <c r="I2080" s="5" t="str">
        <f t="shared" si="32"/>
        <v>2025-08</v>
      </c>
      <c r="J2080" s="4" t="s">
        <v>118</v>
      </c>
      <c r="K2080" s="5" t="s">
        <v>342</v>
      </c>
      <c r="L2080" s="2">
        <v>44000</v>
      </c>
      <c r="M2080" s="3">
        <v>2</v>
      </c>
      <c r="N2080" s="2">
        <v>88000</v>
      </c>
      <c r="O2080" s="2">
        <v>8800</v>
      </c>
      <c r="P2080" s="2">
        <v>96800</v>
      </c>
      <c r="Q2080" s="2">
        <f>P2080*8.5%</f>
        <v>8228</v>
      </c>
    </row>
    <row r="2081" spans="1:17" hidden="1" x14ac:dyDescent="0.4">
      <c r="A2081" s="4" t="s">
        <v>13</v>
      </c>
      <c r="B2081" s="4" t="s">
        <v>14</v>
      </c>
      <c r="C2081" s="30" t="s">
        <v>434</v>
      </c>
      <c r="D2081" s="4" t="s">
        <v>15</v>
      </c>
      <c r="E2081" s="4" t="s">
        <v>16</v>
      </c>
      <c r="F2081" s="4" t="s">
        <v>17</v>
      </c>
      <c r="G2081" s="4" t="s">
        <v>18</v>
      </c>
      <c r="H2081" s="4" t="s">
        <v>228</v>
      </c>
      <c r="I2081" s="5" t="str">
        <f t="shared" si="32"/>
        <v>2025-08</v>
      </c>
      <c r="J2081" s="4" t="s">
        <v>118</v>
      </c>
      <c r="K2081" s="5" t="s">
        <v>342</v>
      </c>
      <c r="L2081" s="2">
        <v>42000</v>
      </c>
      <c r="M2081" s="3">
        <v>2</v>
      </c>
      <c r="N2081" s="2">
        <v>84000</v>
      </c>
      <c r="O2081" s="2">
        <v>8400</v>
      </c>
      <c r="P2081" s="2">
        <v>92400</v>
      </c>
      <c r="Q2081" s="2">
        <f>P2081*8.5%</f>
        <v>7854.0000000000009</v>
      </c>
    </row>
    <row r="2082" spans="1:17" hidden="1" x14ac:dyDescent="0.4">
      <c r="A2082" s="4" t="s">
        <v>23</v>
      </c>
      <c r="B2082" s="4" t="s">
        <v>14</v>
      </c>
      <c r="C2082" s="31" t="s">
        <v>435</v>
      </c>
      <c r="D2082" s="4" t="s">
        <v>24</v>
      </c>
      <c r="E2082" s="4" t="s">
        <v>16</v>
      </c>
      <c r="F2082" s="4" t="s">
        <v>17</v>
      </c>
      <c r="G2082" s="4" t="s">
        <v>18</v>
      </c>
      <c r="H2082" s="4" t="s">
        <v>228</v>
      </c>
      <c r="I2082" s="5" t="str">
        <f t="shared" si="32"/>
        <v>2025-08</v>
      </c>
      <c r="J2082" s="4" t="s">
        <v>118</v>
      </c>
      <c r="K2082" s="5" t="s">
        <v>342</v>
      </c>
      <c r="L2082" s="2">
        <v>55500</v>
      </c>
      <c r="M2082" s="3">
        <v>4</v>
      </c>
      <c r="N2082" s="2">
        <v>222000</v>
      </c>
      <c r="O2082" s="2">
        <v>22200</v>
      </c>
      <c r="P2082" s="2">
        <v>244200</v>
      </c>
      <c r="Q2082" s="2">
        <f>P2082*8.5%</f>
        <v>20757</v>
      </c>
    </row>
    <row r="2083" spans="1:17" hidden="1" x14ac:dyDescent="0.4">
      <c r="A2083" s="4" t="s">
        <v>64</v>
      </c>
      <c r="B2083" s="4" t="s">
        <v>65</v>
      </c>
      <c r="C2083" s="32" t="s">
        <v>436</v>
      </c>
      <c r="D2083" s="4" t="s">
        <v>66</v>
      </c>
      <c r="E2083" s="4" t="s">
        <v>16</v>
      </c>
      <c r="F2083" s="4" t="s">
        <v>17</v>
      </c>
      <c r="G2083" s="4" t="s">
        <v>18</v>
      </c>
      <c r="H2083" s="4" t="s">
        <v>228</v>
      </c>
      <c r="I2083" s="5" t="str">
        <f t="shared" si="32"/>
        <v>2025-08</v>
      </c>
      <c r="J2083" s="4" t="s">
        <v>34</v>
      </c>
      <c r="K2083" s="5" t="s">
        <v>342</v>
      </c>
      <c r="L2083" s="2">
        <v>10283</v>
      </c>
      <c r="M2083" s="3">
        <v>1</v>
      </c>
      <c r="N2083" s="2">
        <v>10283</v>
      </c>
      <c r="O2083" s="2">
        <v>1028</v>
      </c>
      <c r="P2083" s="2">
        <v>11311</v>
      </c>
      <c r="Q2083" s="2">
        <f>P2083*8.5%</f>
        <v>961.43500000000006</v>
      </c>
    </row>
    <row r="2084" spans="1:17" hidden="1" x14ac:dyDescent="0.4">
      <c r="A2084" s="4" t="s">
        <v>32</v>
      </c>
      <c r="B2084" s="4" t="s">
        <v>14</v>
      </c>
      <c r="C2084" s="31" t="s">
        <v>435</v>
      </c>
      <c r="D2084" s="4" t="s">
        <v>33</v>
      </c>
      <c r="E2084" s="4" t="s">
        <v>16</v>
      </c>
      <c r="F2084" s="4" t="s">
        <v>17</v>
      </c>
      <c r="G2084" s="4" t="s">
        <v>18</v>
      </c>
      <c r="H2084" s="4" t="s">
        <v>228</v>
      </c>
      <c r="I2084" s="5" t="str">
        <f t="shared" si="32"/>
        <v>2025-08</v>
      </c>
      <c r="J2084" s="4" t="s">
        <v>34</v>
      </c>
      <c r="K2084" s="5" t="s">
        <v>342</v>
      </c>
      <c r="L2084" s="2">
        <v>44000</v>
      </c>
      <c r="M2084" s="3">
        <v>2</v>
      </c>
      <c r="N2084" s="2">
        <v>88000</v>
      </c>
      <c r="O2084" s="2">
        <v>8800</v>
      </c>
      <c r="P2084" s="2">
        <v>96800</v>
      </c>
      <c r="Q2084" s="2">
        <f>P2084*8.5%</f>
        <v>8228</v>
      </c>
    </row>
    <row r="2085" spans="1:17" hidden="1" x14ac:dyDescent="0.4">
      <c r="A2085" s="4" t="s">
        <v>13</v>
      </c>
      <c r="B2085" s="4" t="s">
        <v>14</v>
      </c>
      <c r="C2085" s="30" t="s">
        <v>434</v>
      </c>
      <c r="D2085" s="4" t="s">
        <v>15</v>
      </c>
      <c r="E2085" s="4" t="s">
        <v>16</v>
      </c>
      <c r="F2085" s="4" t="s">
        <v>17</v>
      </c>
      <c r="G2085" s="4" t="s">
        <v>18</v>
      </c>
      <c r="H2085" s="4" t="s">
        <v>228</v>
      </c>
      <c r="I2085" s="5" t="str">
        <f t="shared" si="32"/>
        <v>2025-08</v>
      </c>
      <c r="J2085" s="4" t="s">
        <v>34</v>
      </c>
      <c r="K2085" s="5" t="s">
        <v>342</v>
      </c>
      <c r="L2085" s="2">
        <v>42000</v>
      </c>
      <c r="M2085" s="3">
        <v>5</v>
      </c>
      <c r="N2085" s="2">
        <v>210000</v>
      </c>
      <c r="O2085" s="2">
        <v>21000</v>
      </c>
      <c r="P2085" s="2">
        <v>231000</v>
      </c>
      <c r="Q2085" s="2">
        <f>P2085*8.5%</f>
        <v>19635</v>
      </c>
    </row>
    <row r="2086" spans="1:17" hidden="1" x14ac:dyDescent="0.4">
      <c r="A2086" s="4" t="s">
        <v>21</v>
      </c>
      <c r="B2086" s="4" t="s">
        <v>14</v>
      </c>
      <c r="C2086" s="31" t="s">
        <v>435</v>
      </c>
      <c r="D2086" s="4" t="s">
        <v>22</v>
      </c>
      <c r="E2086" s="4" t="s">
        <v>16</v>
      </c>
      <c r="F2086" s="4" t="s">
        <v>17</v>
      </c>
      <c r="G2086" s="4" t="s">
        <v>18</v>
      </c>
      <c r="H2086" s="4" t="s">
        <v>228</v>
      </c>
      <c r="I2086" s="5" t="str">
        <f t="shared" si="32"/>
        <v>2025-08</v>
      </c>
      <c r="J2086" s="4" t="s">
        <v>34</v>
      </c>
      <c r="K2086" s="5" t="s">
        <v>342</v>
      </c>
      <c r="L2086" s="2">
        <v>55500</v>
      </c>
      <c r="M2086" s="3">
        <v>1</v>
      </c>
      <c r="N2086" s="2">
        <v>55500</v>
      </c>
      <c r="O2086" s="2">
        <v>5550</v>
      </c>
      <c r="P2086" s="2">
        <v>61050</v>
      </c>
      <c r="Q2086" s="2">
        <f>P2086*8.5%</f>
        <v>5189.25</v>
      </c>
    </row>
    <row r="2087" spans="1:17" hidden="1" x14ac:dyDescent="0.4">
      <c r="A2087" s="4" t="s">
        <v>35</v>
      </c>
      <c r="B2087" s="4" t="s">
        <v>14</v>
      </c>
      <c r="C2087" s="30" t="s">
        <v>434</v>
      </c>
      <c r="D2087" s="4" t="s">
        <v>36</v>
      </c>
      <c r="E2087" s="4" t="s">
        <v>16</v>
      </c>
      <c r="F2087" s="4" t="s">
        <v>17</v>
      </c>
      <c r="G2087" s="4" t="s">
        <v>18</v>
      </c>
      <c r="H2087" s="4" t="s">
        <v>228</v>
      </c>
      <c r="I2087" s="5" t="str">
        <f t="shared" si="32"/>
        <v>2025-08</v>
      </c>
      <c r="J2087" s="4" t="s">
        <v>34</v>
      </c>
      <c r="K2087" s="5" t="s">
        <v>342</v>
      </c>
      <c r="L2087" s="2">
        <v>116220</v>
      </c>
      <c r="M2087" s="3">
        <v>1</v>
      </c>
      <c r="N2087" s="2">
        <v>116220</v>
      </c>
      <c r="O2087" s="2">
        <v>11622</v>
      </c>
      <c r="P2087" s="2">
        <v>127842</v>
      </c>
      <c r="Q2087" s="2">
        <f>P2087*8.5%</f>
        <v>10866.570000000002</v>
      </c>
    </row>
    <row r="2088" spans="1:17" hidden="1" x14ac:dyDescent="0.4">
      <c r="A2088" s="4" t="s">
        <v>23</v>
      </c>
      <c r="B2088" s="4" t="s">
        <v>14</v>
      </c>
      <c r="C2088" s="31" t="s">
        <v>435</v>
      </c>
      <c r="D2088" s="4" t="s">
        <v>24</v>
      </c>
      <c r="E2088" s="4" t="s">
        <v>16</v>
      </c>
      <c r="F2088" s="4" t="s">
        <v>17</v>
      </c>
      <c r="G2088" s="4" t="s">
        <v>18</v>
      </c>
      <c r="H2088" s="4" t="s">
        <v>228</v>
      </c>
      <c r="I2088" s="5" t="str">
        <f t="shared" si="32"/>
        <v>2025-08</v>
      </c>
      <c r="J2088" s="4" t="s">
        <v>34</v>
      </c>
      <c r="K2088" s="5" t="s">
        <v>342</v>
      </c>
      <c r="L2088" s="2">
        <v>55500</v>
      </c>
      <c r="M2088" s="3">
        <v>4</v>
      </c>
      <c r="N2088" s="2">
        <v>222000</v>
      </c>
      <c r="O2088" s="2">
        <v>22200</v>
      </c>
      <c r="P2088" s="2">
        <v>244200</v>
      </c>
      <c r="Q2088" s="2">
        <f>P2088*8.5%</f>
        <v>20757</v>
      </c>
    </row>
    <row r="2089" spans="1:17" hidden="1" x14ac:dyDescent="0.4">
      <c r="A2089" s="4" t="s">
        <v>51</v>
      </c>
      <c r="B2089" s="4" t="s">
        <v>14</v>
      </c>
      <c r="C2089" s="30" t="s">
        <v>434</v>
      </c>
      <c r="D2089" s="4" t="s">
        <v>52</v>
      </c>
      <c r="E2089" s="4" t="s">
        <v>16</v>
      </c>
      <c r="F2089" s="4" t="s">
        <v>17</v>
      </c>
      <c r="G2089" s="4" t="s">
        <v>18</v>
      </c>
      <c r="H2089" s="4" t="s">
        <v>228</v>
      </c>
      <c r="I2089" s="5" t="str">
        <f t="shared" si="32"/>
        <v>2025-08</v>
      </c>
      <c r="J2089" s="4" t="s">
        <v>34</v>
      </c>
      <c r="K2089" s="5" t="s">
        <v>342</v>
      </c>
      <c r="L2089" s="2">
        <v>73000</v>
      </c>
      <c r="M2089" s="3">
        <v>1</v>
      </c>
      <c r="N2089" s="2">
        <v>73000</v>
      </c>
      <c r="O2089" s="2">
        <v>7300</v>
      </c>
      <c r="P2089" s="2">
        <v>80300</v>
      </c>
      <c r="Q2089" s="2">
        <f>P2089*8.5%</f>
        <v>6825.5000000000009</v>
      </c>
    </row>
    <row r="2090" spans="1:17" hidden="1" x14ac:dyDescent="0.4">
      <c r="A2090" s="4" t="s">
        <v>84</v>
      </c>
      <c r="B2090" s="4" t="s">
        <v>26</v>
      </c>
      <c r="C2090" s="32" t="s">
        <v>436</v>
      </c>
      <c r="D2090" s="4" t="s">
        <v>85</v>
      </c>
      <c r="E2090" s="4" t="s">
        <v>28</v>
      </c>
      <c r="F2090" s="4" t="s">
        <v>17</v>
      </c>
      <c r="G2090" s="4" t="s">
        <v>18</v>
      </c>
      <c r="H2090" s="4" t="s">
        <v>228</v>
      </c>
      <c r="I2090" s="5" t="str">
        <f t="shared" si="32"/>
        <v>2025-08</v>
      </c>
      <c r="J2090" s="4" t="s">
        <v>34</v>
      </c>
      <c r="K2090" s="5" t="s">
        <v>342</v>
      </c>
      <c r="L2090" s="2">
        <v>5032</v>
      </c>
      <c r="M2090" s="3">
        <v>1</v>
      </c>
      <c r="N2090" s="2">
        <v>5032</v>
      </c>
      <c r="O2090" s="2">
        <v>503</v>
      </c>
      <c r="P2090" s="2">
        <v>5535</v>
      </c>
      <c r="Q2090" s="2">
        <f>P2090*8.5%</f>
        <v>470.47500000000002</v>
      </c>
    </row>
    <row r="2091" spans="1:17" hidden="1" x14ac:dyDescent="0.4">
      <c r="A2091" s="4" t="s">
        <v>73</v>
      </c>
      <c r="B2091" s="4" t="s">
        <v>26</v>
      </c>
      <c r="C2091" s="32" t="s">
        <v>436</v>
      </c>
      <c r="D2091" s="4" t="s">
        <v>57</v>
      </c>
      <c r="E2091" s="4" t="s">
        <v>28</v>
      </c>
      <c r="F2091" s="4" t="s">
        <v>17</v>
      </c>
      <c r="G2091" s="4" t="s">
        <v>18</v>
      </c>
      <c r="H2091" s="4" t="s">
        <v>228</v>
      </c>
      <c r="I2091" s="5" t="str">
        <f t="shared" si="32"/>
        <v>2025-08</v>
      </c>
      <c r="J2091" s="4" t="s">
        <v>34</v>
      </c>
      <c r="K2091" s="5" t="s">
        <v>342</v>
      </c>
      <c r="L2091" s="2">
        <v>7055</v>
      </c>
      <c r="M2091" s="3">
        <v>2</v>
      </c>
      <c r="N2091" s="2">
        <v>14110</v>
      </c>
      <c r="O2091" s="2">
        <v>1411</v>
      </c>
      <c r="P2091" s="2">
        <v>15521</v>
      </c>
      <c r="Q2091" s="2">
        <f>P2091*8.5%</f>
        <v>1319.2850000000001</v>
      </c>
    </row>
    <row r="2092" spans="1:17" hidden="1" x14ac:dyDescent="0.4">
      <c r="A2092" s="4" t="s">
        <v>42</v>
      </c>
      <c r="B2092" s="4" t="s">
        <v>14</v>
      </c>
      <c r="C2092" s="30" t="s">
        <v>434</v>
      </c>
      <c r="D2092" s="4" t="s">
        <v>43</v>
      </c>
      <c r="E2092" s="4" t="s">
        <v>44</v>
      </c>
      <c r="F2092" s="4" t="s">
        <v>31</v>
      </c>
      <c r="G2092" s="4" t="s">
        <v>18</v>
      </c>
      <c r="H2092" s="4" t="s">
        <v>228</v>
      </c>
      <c r="I2092" s="5" t="str">
        <f t="shared" si="32"/>
        <v>2025-08</v>
      </c>
      <c r="J2092" s="4" t="s">
        <v>34</v>
      </c>
      <c r="K2092" s="5" t="s">
        <v>342</v>
      </c>
      <c r="L2092" s="2">
        <v>7300</v>
      </c>
      <c r="M2092" s="3">
        <v>64.5</v>
      </c>
      <c r="N2092" s="2">
        <v>470850</v>
      </c>
      <c r="O2092" s="2">
        <v>0</v>
      </c>
      <c r="P2092" s="2">
        <v>470850</v>
      </c>
      <c r="Q2092" s="2">
        <f>P2092*8.5%</f>
        <v>40022.25</v>
      </c>
    </row>
    <row r="2093" spans="1:17" hidden="1" x14ac:dyDescent="0.4">
      <c r="A2093" s="4" t="s">
        <v>13</v>
      </c>
      <c r="B2093" s="4" t="s">
        <v>14</v>
      </c>
      <c r="C2093" s="30" t="s">
        <v>434</v>
      </c>
      <c r="D2093" s="4" t="s">
        <v>15</v>
      </c>
      <c r="E2093" s="4" t="s">
        <v>16</v>
      </c>
      <c r="F2093" s="4" t="s">
        <v>17</v>
      </c>
      <c r="G2093" s="4" t="s">
        <v>18</v>
      </c>
      <c r="H2093" s="4" t="s">
        <v>228</v>
      </c>
      <c r="I2093" s="5" t="str">
        <f t="shared" si="32"/>
        <v>2025-08</v>
      </c>
      <c r="J2093" s="4" t="s">
        <v>59</v>
      </c>
      <c r="K2093" s="5" t="s">
        <v>343</v>
      </c>
      <c r="L2093" s="2">
        <v>42000</v>
      </c>
      <c r="M2093" s="3">
        <v>6</v>
      </c>
      <c r="N2093" s="2">
        <v>252000</v>
      </c>
      <c r="O2093" s="2">
        <v>25200</v>
      </c>
      <c r="P2093" s="2">
        <v>277200</v>
      </c>
      <c r="Q2093" s="2">
        <f>P2093*12%</f>
        <v>33264</v>
      </c>
    </row>
    <row r="2094" spans="1:17" hidden="1" x14ac:dyDescent="0.4">
      <c r="A2094" s="4" t="s">
        <v>35</v>
      </c>
      <c r="B2094" s="4" t="s">
        <v>14</v>
      </c>
      <c r="C2094" s="30" t="s">
        <v>434</v>
      </c>
      <c r="D2094" s="4" t="s">
        <v>36</v>
      </c>
      <c r="E2094" s="4" t="s">
        <v>16</v>
      </c>
      <c r="F2094" s="4" t="s">
        <v>17</v>
      </c>
      <c r="G2094" s="4" t="s">
        <v>18</v>
      </c>
      <c r="H2094" s="4" t="s">
        <v>228</v>
      </c>
      <c r="I2094" s="5" t="str">
        <f t="shared" si="32"/>
        <v>2025-08</v>
      </c>
      <c r="J2094" s="4" t="s">
        <v>59</v>
      </c>
      <c r="K2094" s="5" t="s">
        <v>343</v>
      </c>
      <c r="L2094" s="2">
        <v>116220</v>
      </c>
      <c r="M2094" s="3">
        <v>1</v>
      </c>
      <c r="N2094" s="2">
        <v>116220</v>
      </c>
      <c r="O2094" s="2">
        <v>11622</v>
      </c>
      <c r="P2094" s="2">
        <v>127842</v>
      </c>
      <c r="Q2094" s="2">
        <f>P2094*12%</f>
        <v>15341.039999999999</v>
      </c>
    </row>
    <row r="2095" spans="1:17" hidden="1" x14ac:dyDescent="0.4">
      <c r="A2095" s="4" t="s">
        <v>23</v>
      </c>
      <c r="B2095" s="4" t="s">
        <v>14</v>
      </c>
      <c r="C2095" s="31" t="s">
        <v>435</v>
      </c>
      <c r="D2095" s="4" t="s">
        <v>24</v>
      </c>
      <c r="E2095" s="4" t="s">
        <v>16</v>
      </c>
      <c r="F2095" s="4" t="s">
        <v>17</v>
      </c>
      <c r="G2095" s="4" t="s">
        <v>18</v>
      </c>
      <c r="H2095" s="4" t="s">
        <v>228</v>
      </c>
      <c r="I2095" s="5" t="str">
        <f t="shared" si="32"/>
        <v>2025-08</v>
      </c>
      <c r="J2095" s="4" t="s">
        <v>59</v>
      </c>
      <c r="K2095" s="5" t="s">
        <v>343</v>
      </c>
      <c r="L2095" s="2">
        <v>55500</v>
      </c>
      <c r="M2095" s="3">
        <v>4</v>
      </c>
      <c r="N2095" s="2">
        <v>222000</v>
      </c>
      <c r="O2095" s="2">
        <v>22200</v>
      </c>
      <c r="P2095" s="2">
        <v>244200</v>
      </c>
      <c r="Q2095" s="2">
        <f>P2095*12%</f>
        <v>29304</v>
      </c>
    </row>
    <row r="2096" spans="1:17" hidden="1" x14ac:dyDescent="0.4">
      <c r="A2096" s="4" t="s">
        <v>100</v>
      </c>
      <c r="B2096" s="4" t="s">
        <v>26</v>
      </c>
      <c r="C2096" s="32" t="s">
        <v>436</v>
      </c>
      <c r="D2096" s="4" t="s">
        <v>101</v>
      </c>
      <c r="E2096" s="4" t="s">
        <v>28</v>
      </c>
      <c r="F2096" s="4" t="s">
        <v>17</v>
      </c>
      <c r="G2096" s="4" t="s">
        <v>18</v>
      </c>
      <c r="H2096" s="4" t="s">
        <v>228</v>
      </c>
      <c r="I2096" s="5" t="str">
        <f t="shared" si="32"/>
        <v>2025-08</v>
      </c>
      <c r="J2096" s="4" t="s">
        <v>59</v>
      </c>
      <c r="K2096" s="5" t="s">
        <v>343</v>
      </c>
      <c r="L2096" s="2">
        <v>5620</v>
      </c>
      <c r="M2096" s="3">
        <v>8</v>
      </c>
      <c r="N2096" s="2">
        <v>44960</v>
      </c>
      <c r="O2096" s="2">
        <v>4496</v>
      </c>
      <c r="P2096" s="2">
        <v>49456</v>
      </c>
      <c r="Q2096" s="2">
        <f>P2096*12%</f>
        <v>5934.7199999999993</v>
      </c>
    </row>
    <row r="2097" spans="1:17" hidden="1" x14ac:dyDescent="0.4">
      <c r="A2097" s="4" t="s">
        <v>39</v>
      </c>
      <c r="B2097" s="4" t="s">
        <v>26</v>
      </c>
      <c r="C2097" s="32" t="s">
        <v>436</v>
      </c>
      <c r="D2097" s="4" t="s">
        <v>27</v>
      </c>
      <c r="E2097" s="4" t="s">
        <v>28</v>
      </c>
      <c r="F2097" s="4" t="s">
        <v>17</v>
      </c>
      <c r="G2097" s="4" t="s">
        <v>18</v>
      </c>
      <c r="H2097" s="4" t="s">
        <v>228</v>
      </c>
      <c r="I2097" s="5" t="str">
        <f t="shared" si="32"/>
        <v>2025-08</v>
      </c>
      <c r="J2097" s="4" t="s">
        <v>59</v>
      </c>
      <c r="K2097" s="5" t="s">
        <v>343</v>
      </c>
      <c r="L2097" s="2">
        <v>4018</v>
      </c>
      <c r="M2097" s="3">
        <v>4</v>
      </c>
      <c r="N2097" s="2">
        <v>16072</v>
      </c>
      <c r="O2097" s="2">
        <v>1607</v>
      </c>
      <c r="P2097" s="2">
        <v>17679</v>
      </c>
      <c r="Q2097" s="2">
        <f>P2097*12%</f>
        <v>2121.48</v>
      </c>
    </row>
    <row r="2098" spans="1:17" hidden="1" x14ac:dyDescent="0.4">
      <c r="A2098" s="4" t="s">
        <v>32</v>
      </c>
      <c r="B2098" s="4" t="s">
        <v>14</v>
      </c>
      <c r="C2098" s="31" t="s">
        <v>435</v>
      </c>
      <c r="D2098" s="4" t="s">
        <v>33</v>
      </c>
      <c r="E2098" s="4" t="s">
        <v>16</v>
      </c>
      <c r="F2098" s="4" t="s">
        <v>17</v>
      </c>
      <c r="G2098" s="4" t="s">
        <v>18</v>
      </c>
      <c r="H2098" s="4" t="s">
        <v>228</v>
      </c>
      <c r="I2098" s="5" t="str">
        <f t="shared" si="32"/>
        <v>2025-08</v>
      </c>
      <c r="J2098" s="4" t="s">
        <v>49</v>
      </c>
      <c r="K2098" s="5" t="s">
        <v>343</v>
      </c>
      <c r="L2098" s="2">
        <v>44000</v>
      </c>
      <c r="M2098" s="3">
        <v>5</v>
      </c>
      <c r="N2098" s="2">
        <v>220000</v>
      </c>
      <c r="O2098" s="2">
        <v>22000</v>
      </c>
      <c r="P2098" s="2">
        <v>242000</v>
      </c>
      <c r="Q2098" s="2">
        <f>P2098*12%</f>
        <v>29040</v>
      </c>
    </row>
    <row r="2099" spans="1:17" hidden="1" x14ac:dyDescent="0.4">
      <c r="A2099" s="4" t="s">
        <v>13</v>
      </c>
      <c r="B2099" s="4" t="s">
        <v>14</v>
      </c>
      <c r="C2099" s="30" t="s">
        <v>434</v>
      </c>
      <c r="D2099" s="4" t="s">
        <v>15</v>
      </c>
      <c r="E2099" s="4" t="s">
        <v>16</v>
      </c>
      <c r="F2099" s="4" t="s">
        <v>17</v>
      </c>
      <c r="G2099" s="4" t="s">
        <v>18</v>
      </c>
      <c r="H2099" s="4" t="s">
        <v>228</v>
      </c>
      <c r="I2099" s="5" t="str">
        <f t="shared" si="32"/>
        <v>2025-08</v>
      </c>
      <c r="J2099" s="4" t="s">
        <v>49</v>
      </c>
      <c r="K2099" s="5" t="s">
        <v>343</v>
      </c>
      <c r="L2099" s="2">
        <v>42000</v>
      </c>
      <c r="M2099" s="3">
        <v>8</v>
      </c>
      <c r="N2099" s="2">
        <v>336000</v>
      </c>
      <c r="O2099" s="2">
        <v>33600</v>
      </c>
      <c r="P2099" s="2">
        <v>369600</v>
      </c>
      <c r="Q2099" s="2">
        <f>P2099*12%</f>
        <v>44352</v>
      </c>
    </row>
    <row r="2100" spans="1:17" hidden="1" x14ac:dyDescent="0.4">
      <c r="A2100" s="4" t="s">
        <v>35</v>
      </c>
      <c r="B2100" s="4" t="s">
        <v>14</v>
      </c>
      <c r="C2100" s="30" t="s">
        <v>434</v>
      </c>
      <c r="D2100" s="4" t="s">
        <v>36</v>
      </c>
      <c r="E2100" s="4" t="s">
        <v>16</v>
      </c>
      <c r="F2100" s="4" t="s">
        <v>17</v>
      </c>
      <c r="G2100" s="4" t="s">
        <v>18</v>
      </c>
      <c r="H2100" s="4" t="s">
        <v>228</v>
      </c>
      <c r="I2100" s="5" t="str">
        <f t="shared" si="32"/>
        <v>2025-08</v>
      </c>
      <c r="J2100" s="4" t="s">
        <v>49</v>
      </c>
      <c r="K2100" s="5" t="s">
        <v>343</v>
      </c>
      <c r="L2100" s="2">
        <v>116220</v>
      </c>
      <c r="M2100" s="3">
        <v>2</v>
      </c>
      <c r="N2100" s="2">
        <v>232440</v>
      </c>
      <c r="O2100" s="2">
        <v>23244</v>
      </c>
      <c r="P2100" s="2">
        <v>255684</v>
      </c>
      <c r="Q2100" s="2">
        <f>P2100*12%</f>
        <v>30682.079999999998</v>
      </c>
    </row>
    <row r="2101" spans="1:17" hidden="1" x14ac:dyDescent="0.4">
      <c r="A2101" s="4" t="s">
        <v>23</v>
      </c>
      <c r="B2101" s="4" t="s">
        <v>14</v>
      </c>
      <c r="C2101" s="31" t="s">
        <v>435</v>
      </c>
      <c r="D2101" s="4" t="s">
        <v>24</v>
      </c>
      <c r="E2101" s="4" t="s">
        <v>16</v>
      </c>
      <c r="F2101" s="4" t="s">
        <v>17</v>
      </c>
      <c r="G2101" s="4" t="s">
        <v>18</v>
      </c>
      <c r="H2101" s="4" t="s">
        <v>228</v>
      </c>
      <c r="I2101" s="5" t="str">
        <f t="shared" si="32"/>
        <v>2025-08</v>
      </c>
      <c r="J2101" s="4" t="s">
        <v>49</v>
      </c>
      <c r="K2101" s="5" t="s">
        <v>343</v>
      </c>
      <c r="L2101" s="2">
        <v>55500</v>
      </c>
      <c r="M2101" s="3">
        <v>4</v>
      </c>
      <c r="N2101" s="2">
        <v>222000</v>
      </c>
      <c r="O2101" s="2">
        <v>22200</v>
      </c>
      <c r="P2101" s="2">
        <v>244200</v>
      </c>
      <c r="Q2101" s="2">
        <f>P2101*12%</f>
        <v>29304</v>
      </c>
    </row>
    <row r="2102" spans="1:17" hidden="1" x14ac:dyDescent="0.4">
      <c r="A2102" s="4" t="s">
        <v>51</v>
      </c>
      <c r="B2102" s="4" t="s">
        <v>14</v>
      </c>
      <c r="C2102" s="30" t="s">
        <v>434</v>
      </c>
      <c r="D2102" s="4" t="s">
        <v>52</v>
      </c>
      <c r="E2102" s="4" t="s">
        <v>16</v>
      </c>
      <c r="F2102" s="4" t="s">
        <v>17</v>
      </c>
      <c r="G2102" s="4" t="s">
        <v>18</v>
      </c>
      <c r="H2102" s="4" t="s">
        <v>228</v>
      </c>
      <c r="I2102" s="5" t="str">
        <f t="shared" si="32"/>
        <v>2025-08</v>
      </c>
      <c r="J2102" s="4" t="s">
        <v>49</v>
      </c>
      <c r="K2102" s="5" t="s">
        <v>343</v>
      </c>
      <c r="L2102" s="2">
        <v>73000</v>
      </c>
      <c r="M2102" s="3">
        <v>1</v>
      </c>
      <c r="N2102" s="2">
        <v>73000</v>
      </c>
      <c r="O2102" s="2">
        <v>7300</v>
      </c>
      <c r="P2102" s="2">
        <v>80300</v>
      </c>
      <c r="Q2102" s="2">
        <f>P2102*12%</f>
        <v>9636</v>
      </c>
    </row>
    <row r="2103" spans="1:17" hidden="1" x14ac:dyDescent="0.4">
      <c r="A2103" s="4" t="s">
        <v>13</v>
      </c>
      <c r="B2103" s="4" t="s">
        <v>14</v>
      </c>
      <c r="C2103" s="30" t="s">
        <v>434</v>
      </c>
      <c r="D2103" s="4" t="s">
        <v>15</v>
      </c>
      <c r="E2103" s="4" t="s">
        <v>16</v>
      </c>
      <c r="F2103" s="4" t="s">
        <v>17</v>
      </c>
      <c r="G2103" s="4" t="s">
        <v>18</v>
      </c>
      <c r="H2103" s="4" t="s">
        <v>228</v>
      </c>
      <c r="I2103" s="5" t="str">
        <f t="shared" si="32"/>
        <v>2025-08</v>
      </c>
      <c r="J2103" s="4" t="s">
        <v>50</v>
      </c>
      <c r="K2103" s="5" t="s">
        <v>343</v>
      </c>
      <c r="L2103" s="2">
        <v>42000</v>
      </c>
      <c r="M2103" s="3">
        <v>10</v>
      </c>
      <c r="N2103" s="2">
        <v>420000</v>
      </c>
      <c r="O2103" s="2">
        <v>42000</v>
      </c>
      <c r="P2103" s="2">
        <v>462000</v>
      </c>
      <c r="Q2103" s="2">
        <f>P2103*12%</f>
        <v>55440</v>
      </c>
    </row>
    <row r="2104" spans="1:17" hidden="1" x14ac:dyDescent="0.4">
      <c r="A2104" s="4" t="s">
        <v>23</v>
      </c>
      <c r="B2104" s="4" t="s">
        <v>14</v>
      </c>
      <c r="C2104" s="31" t="s">
        <v>435</v>
      </c>
      <c r="D2104" s="4" t="s">
        <v>24</v>
      </c>
      <c r="E2104" s="4" t="s">
        <v>16</v>
      </c>
      <c r="F2104" s="4" t="s">
        <v>17</v>
      </c>
      <c r="G2104" s="4" t="s">
        <v>18</v>
      </c>
      <c r="H2104" s="4" t="s">
        <v>228</v>
      </c>
      <c r="I2104" s="5" t="str">
        <f t="shared" si="32"/>
        <v>2025-08</v>
      </c>
      <c r="J2104" s="4" t="s">
        <v>50</v>
      </c>
      <c r="K2104" s="5" t="s">
        <v>343</v>
      </c>
      <c r="L2104" s="2">
        <v>55500</v>
      </c>
      <c r="M2104" s="3">
        <v>5</v>
      </c>
      <c r="N2104" s="2">
        <v>277500</v>
      </c>
      <c r="O2104" s="2">
        <v>27750</v>
      </c>
      <c r="P2104" s="2">
        <v>305250</v>
      </c>
      <c r="Q2104" s="2">
        <f>P2104*12%</f>
        <v>36630</v>
      </c>
    </row>
    <row r="2105" spans="1:17" hidden="1" x14ac:dyDescent="0.4">
      <c r="A2105" s="4" t="s">
        <v>51</v>
      </c>
      <c r="B2105" s="4" t="s">
        <v>14</v>
      </c>
      <c r="C2105" s="30" t="s">
        <v>434</v>
      </c>
      <c r="D2105" s="4" t="s">
        <v>52</v>
      </c>
      <c r="E2105" s="4" t="s">
        <v>16</v>
      </c>
      <c r="F2105" s="4" t="s">
        <v>17</v>
      </c>
      <c r="G2105" s="4" t="s">
        <v>18</v>
      </c>
      <c r="H2105" s="4" t="s">
        <v>228</v>
      </c>
      <c r="I2105" s="5" t="str">
        <f t="shared" si="32"/>
        <v>2025-08</v>
      </c>
      <c r="J2105" s="4" t="s">
        <v>50</v>
      </c>
      <c r="K2105" s="5" t="s">
        <v>343</v>
      </c>
      <c r="L2105" s="2">
        <v>73000</v>
      </c>
      <c r="M2105" s="3">
        <v>1</v>
      </c>
      <c r="N2105" s="2">
        <v>73000</v>
      </c>
      <c r="O2105" s="2">
        <v>7300</v>
      </c>
      <c r="P2105" s="2">
        <v>80300</v>
      </c>
      <c r="Q2105" s="2">
        <f>P2105*12%</f>
        <v>9636</v>
      </c>
    </row>
    <row r="2106" spans="1:17" x14ac:dyDescent="0.4">
      <c r="A2106" s="4" t="s">
        <v>58</v>
      </c>
      <c r="B2106" s="4" t="s">
        <v>14</v>
      </c>
      <c r="C2106" s="30" t="s">
        <v>434</v>
      </c>
      <c r="D2106" s="4" t="s">
        <v>36</v>
      </c>
      <c r="E2106" s="4" t="s">
        <v>16</v>
      </c>
      <c r="F2106" s="4" t="s">
        <v>17</v>
      </c>
      <c r="G2106" s="4" t="s">
        <v>18</v>
      </c>
      <c r="H2106" s="4" t="s">
        <v>229</v>
      </c>
      <c r="I2106" s="5" t="str">
        <f t="shared" si="32"/>
        <v>2025-08</v>
      </c>
      <c r="J2106" s="4" t="s">
        <v>20</v>
      </c>
      <c r="K2106" s="5" t="s">
        <v>342</v>
      </c>
      <c r="L2106" s="2">
        <v>120880</v>
      </c>
      <c r="M2106" s="3">
        <v>1</v>
      </c>
      <c r="N2106" s="2">
        <v>120880</v>
      </c>
      <c r="O2106" s="2">
        <v>12088</v>
      </c>
      <c r="P2106" s="2">
        <v>132968</v>
      </c>
      <c r="Q2106" s="2">
        <f>P2106*8.5%</f>
        <v>11302.28</v>
      </c>
    </row>
    <row r="2107" spans="1:17" x14ac:dyDescent="0.4">
      <c r="A2107" s="4" t="s">
        <v>13</v>
      </c>
      <c r="B2107" s="4" t="s">
        <v>14</v>
      </c>
      <c r="C2107" s="30" t="s">
        <v>434</v>
      </c>
      <c r="D2107" s="4" t="s">
        <v>15</v>
      </c>
      <c r="E2107" s="4" t="s">
        <v>16</v>
      </c>
      <c r="F2107" s="4" t="s">
        <v>17</v>
      </c>
      <c r="G2107" s="4" t="s">
        <v>18</v>
      </c>
      <c r="H2107" s="4" t="s">
        <v>229</v>
      </c>
      <c r="I2107" s="5" t="str">
        <f t="shared" si="32"/>
        <v>2025-08</v>
      </c>
      <c r="J2107" s="4" t="s">
        <v>20</v>
      </c>
      <c r="K2107" s="5" t="s">
        <v>342</v>
      </c>
      <c r="L2107" s="2">
        <v>42000</v>
      </c>
      <c r="M2107" s="3">
        <v>2</v>
      </c>
      <c r="N2107" s="2">
        <v>84000</v>
      </c>
      <c r="O2107" s="2">
        <v>8400</v>
      </c>
      <c r="P2107" s="2">
        <v>92400</v>
      </c>
      <c r="Q2107" s="2">
        <f>P2107*8.5%</f>
        <v>7854.0000000000009</v>
      </c>
    </row>
    <row r="2108" spans="1:17" x14ac:dyDescent="0.4">
      <c r="A2108" s="4" t="s">
        <v>21</v>
      </c>
      <c r="B2108" s="4" t="s">
        <v>14</v>
      </c>
      <c r="C2108" s="31" t="s">
        <v>435</v>
      </c>
      <c r="D2108" s="4" t="s">
        <v>22</v>
      </c>
      <c r="E2108" s="4" t="s">
        <v>16</v>
      </c>
      <c r="F2108" s="4" t="s">
        <v>17</v>
      </c>
      <c r="G2108" s="4" t="s">
        <v>18</v>
      </c>
      <c r="H2108" s="4" t="s">
        <v>229</v>
      </c>
      <c r="I2108" s="5" t="str">
        <f t="shared" si="32"/>
        <v>2025-08</v>
      </c>
      <c r="J2108" s="4" t="s">
        <v>20</v>
      </c>
      <c r="K2108" s="5" t="s">
        <v>342</v>
      </c>
      <c r="L2108" s="2">
        <v>55500</v>
      </c>
      <c r="M2108" s="3">
        <v>1</v>
      </c>
      <c r="N2108" s="2">
        <v>55500</v>
      </c>
      <c r="O2108" s="2">
        <v>5550</v>
      </c>
      <c r="P2108" s="2">
        <v>61050</v>
      </c>
      <c r="Q2108" s="2">
        <f>P2108*8.5%</f>
        <v>5189.25</v>
      </c>
    </row>
    <row r="2109" spans="1:17" x14ac:dyDescent="0.4">
      <c r="A2109" s="4" t="s">
        <v>23</v>
      </c>
      <c r="B2109" s="4" t="s">
        <v>14</v>
      </c>
      <c r="C2109" s="31" t="s">
        <v>435</v>
      </c>
      <c r="D2109" s="4" t="s">
        <v>24</v>
      </c>
      <c r="E2109" s="4" t="s">
        <v>16</v>
      </c>
      <c r="F2109" s="4" t="s">
        <v>17</v>
      </c>
      <c r="G2109" s="4" t="s">
        <v>18</v>
      </c>
      <c r="H2109" s="4" t="s">
        <v>229</v>
      </c>
      <c r="I2109" s="5" t="str">
        <f t="shared" si="32"/>
        <v>2025-08</v>
      </c>
      <c r="J2109" s="4" t="s">
        <v>20</v>
      </c>
      <c r="K2109" s="5" t="s">
        <v>342</v>
      </c>
      <c r="L2109" s="2">
        <v>55500</v>
      </c>
      <c r="M2109" s="3">
        <v>3</v>
      </c>
      <c r="N2109" s="2">
        <v>166500</v>
      </c>
      <c r="O2109" s="2">
        <v>16650</v>
      </c>
      <c r="P2109" s="2">
        <v>183150</v>
      </c>
      <c r="Q2109" s="2">
        <f>P2109*8.5%</f>
        <v>15567.750000000002</v>
      </c>
    </row>
    <row r="2110" spans="1:17" x14ac:dyDescent="0.4">
      <c r="A2110" s="4" t="s">
        <v>54</v>
      </c>
      <c r="B2110" s="4" t="s">
        <v>26</v>
      </c>
      <c r="C2110" s="32" t="s">
        <v>436</v>
      </c>
      <c r="D2110" s="4" t="s">
        <v>55</v>
      </c>
      <c r="E2110" s="4" t="s">
        <v>28</v>
      </c>
      <c r="F2110" s="4" t="s">
        <v>31</v>
      </c>
      <c r="G2110" s="4" t="s">
        <v>18</v>
      </c>
      <c r="H2110" s="4" t="s">
        <v>229</v>
      </c>
      <c r="I2110" s="5" t="str">
        <f t="shared" si="32"/>
        <v>2025-08</v>
      </c>
      <c r="J2110" s="4" t="s">
        <v>20</v>
      </c>
      <c r="K2110" s="5" t="s">
        <v>342</v>
      </c>
      <c r="L2110" s="2">
        <v>5919</v>
      </c>
      <c r="M2110" s="3">
        <v>1</v>
      </c>
      <c r="N2110" s="2">
        <v>5919</v>
      </c>
      <c r="O2110" s="2">
        <v>0</v>
      </c>
      <c r="P2110" s="2">
        <v>5919</v>
      </c>
      <c r="Q2110" s="2">
        <f>P2110*8.5%</f>
        <v>503.11500000000001</v>
      </c>
    </row>
    <row r="2111" spans="1:17" hidden="1" x14ac:dyDescent="0.4">
      <c r="A2111" s="4" t="s">
        <v>32</v>
      </c>
      <c r="B2111" s="4" t="s">
        <v>14</v>
      </c>
      <c r="C2111" s="31" t="s">
        <v>435</v>
      </c>
      <c r="D2111" s="4" t="s">
        <v>33</v>
      </c>
      <c r="E2111" s="4" t="s">
        <v>16</v>
      </c>
      <c r="F2111" s="4" t="s">
        <v>17</v>
      </c>
      <c r="G2111" s="4" t="s">
        <v>18</v>
      </c>
      <c r="H2111" s="4" t="s">
        <v>229</v>
      </c>
      <c r="I2111" s="5" t="str">
        <f t="shared" si="32"/>
        <v>2025-08</v>
      </c>
      <c r="J2111" s="4" t="s">
        <v>118</v>
      </c>
      <c r="K2111" s="5" t="s">
        <v>342</v>
      </c>
      <c r="L2111" s="2">
        <v>44000</v>
      </c>
      <c r="M2111" s="3">
        <v>1</v>
      </c>
      <c r="N2111" s="2">
        <v>44000</v>
      </c>
      <c r="O2111" s="2">
        <v>4400</v>
      </c>
      <c r="P2111" s="2">
        <v>48400</v>
      </c>
      <c r="Q2111" s="2">
        <f>P2111*8.5%</f>
        <v>4114</v>
      </c>
    </row>
    <row r="2112" spans="1:17" hidden="1" x14ac:dyDescent="0.4">
      <c r="A2112" s="4" t="s">
        <v>13</v>
      </c>
      <c r="B2112" s="4" t="s">
        <v>14</v>
      </c>
      <c r="C2112" s="30" t="s">
        <v>434</v>
      </c>
      <c r="D2112" s="4" t="s">
        <v>15</v>
      </c>
      <c r="E2112" s="4" t="s">
        <v>16</v>
      </c>
      <c r="F2112" s="4" t="s">
        <v>17</v>
      </c>
      <c r="G2112" s="4" t="s">
        <v>18</v>
      </c>
      <c r="H2112" s="4" t="s">
        <v>229</v>
      </c>
      <c r="I2112" s="5" t="str">
        <f t="shared" si="32"/>
        <v>2025-08</v>
      </c>
      <c r="J2112" s="4" t="s">
        <v>118</v>
      </c>
      <c r="K2112" s="5" t="s">
        <v>342</v>
      </c>
      <c r="L2112" s="2">
        <v>42000</v>
      </c>
      <c r="M2112" s="3">
        <v>4</v>
      </c>
      <c r="N2112" s="2">
        <v>168000</v>
      </c>
      <c r="O2112" s="2">
        <v>16800</v>
      </c>
      <c r="P2112" s="2">
        <v>184800</v>
      </c>
      <c r="Q2112" s="2">
        <f>P2112*8.5%</f>
        <v>15708.000000000002</v>
      </c>
    </row>
    <row r="2113" spans="1:17" hidden="1" x14ac:dyDescent="0.4">
      <c r="A2113" s="4" t="s">
        <v>58</v>
      </c>
      <c r="B2113" s="4" t="s">
        <v>14</v>
      </c>
      <c r="C2113" s="30" t="s">
        <v>434</v>
      </c>
      <c r="D2113" s="4" t="s">
        <v>36</v>
      </c>
      <c r="E2113" s="4" t="s">
        <v>16</v>
      </c>
      <c r="F2113" s="4" t="s">
        <v>17</v>
      </c>
      <c r="G2113" s="4" t="s">
        <v>18</v>
      </c>
      <c r="H2113" s="4" t="s">
        <v>229</v>
      </c>
      <c r="I2113" s="5" t="str">
        <f t="shared" si="32"/>
        <v>2025-08</v>
      </c>
      <c r="J2113" s="4" t="s">
        <v>34</v>
      </c>
      <c r="K2113" s="5" t="s">
        <v>342</v>
      </c>
      <c r="L2113" s="2">
        <v>120880</v>
      </c>
      <c r="M2113" s="3">
        <v>1</v>
      </c>
      <c r="N2113" s="2">
        <v>120880</v>
      </c>
      <c r="O2113" s="2">
        <v>12088</v>
      </c>
      <c r="P2113" s="2">
        <v>132968</v>
      </c>
      <c r="Q2113" s="2">
        <f>P2113*8.5%</f>
        <v>11302.28</v>
      </c>
    </row>
    <row r="2114" spans="1:17" hidden="1" x14ac:dyDescent="0.4">
      <c r="A2114" s="4" t="s">
        <v>13</v>
      </c>
      <c r="B2114" s="4" t="s">
        <v>14</v>
      </c>
      <c r="C2114" s="30" t="s">
        <v>434</v>
      </c>
      <c r="D2114" s="4" t="s">
        <v>15</v>
      </c>
      <c r="E2114" s="4" t="s">
        <v>16</v>
      </c>
      <c r="F2114" s="4" t="s">
        <v>17</v>
      </c>
      <c r="G2114" s="4" t="s">
        <v>18</v>
      </c>
      <c r="H2114" s="4" t="s">
        <v>229</v>
      </c>
      <c r="I2114" s="5" t="str">
        <f t="shared" ref="I2114:I2177" si="33">TEXT(H2114,"yyyy-mm")</f>
        <v>2025-08</v>
      </c>
      <c r="J2114" s="4" t="s">
        <v>34</v>
      </c>
      <c r="K2114" s="5" t="s">
        <v>342</v>
      </c>
      <c r="L2114" s="2">
        <v>42000</v>
      </c>
      <c r="M2114" s="3">
        <v>7</v>
      </c>
      <c r="N2114" s="2">
        <v>294000</v>
      </c>
      <c r="O2114" s="2">
        <v>29400</v>
      </c>
      <c r="P2114" s="2">
        <v>323400</v>
      </c>
      <c r="Q2114" s="2">
        <f>P2114*8.5%</f>
        <v>27489.000000000004</v>
      </c>
    </row>
    <row r="2115" spans="1:17" hidden="1" x14ac:dyDescent="0.4">
      <c r="A2115" s="4" t="s">
        <v>21</v>
      </c>
      <c r="B2115" s="4" t="s">
        <v>14</v>
      </c>
      <c r="C2115" s="31" t="s">
        <v>435</v>
      </c>
      <c r="D2115" s="4" t="s">
        <v>22</v>
      </c>
      <c r="E2115" s="4" t="s">
        <v>16</v>
      </c>
      <c r="F2115" s="4" t="s">
        <v>17</v>
      </c>
      <c r="G2115" s="4" t="s">
        <v>18</v>
      </c>
      <c r="H2115" s="4" t="s">
        <v>229</v>
      </c>
      <c r="I2115" s="5" t="str">
        <f t="shared" si="33"/>
        <v>2025-08</v>
      </c>
      <c r="J2115" s="4" t="s">
        <v>34</v>
      </c>
      <c r="K2115" s="5" t="s">
        <v>342</v>
      </c>
      <c r="L2115" s="2">
        <v>55500</v>
      </c>
      <c r="M2115" s="3">
        <v>1</v>
      </c>
      <c r="N2115" s="2">
        <v>55500</v>
      </c>
      <c r="O2115" s="2">
        <v>5550</v>
      </c>
      <c r="P2115" s="2">
        <v>61050</v>
      </c>
      <c r="Q2115" s="2">
        <f>P2115*8.5%</f>
        <v>5189.25</v>
      </c>
    </row>
    <row r="2116" spans="1:17" hidden="1" x14ac:dyDescent="0.4">
      <c r="A2116" s="4" t="s">
        <v>23</v>
      </c>
      <c r="B2116" s="4" t="s">
        <v>14</v>
      </c>
      <c r="C2116" s="31" t="s">
        <v>435</v>
      </c>
      <c r="D2116" s="4" t="s">
        <v>24</v>
      </c>
      <c r="E2116" s="4" t="s">
        <v>16</v>
      </c>
      <c r="F2116" s="4" t="s">
        <v>17</v>
      </c>
      <c r="G2116" s="4" t="s">
        <v>18</v>
      </c>
      <c r="H2116" s="4" t="s">
        <v>229</v>
      </c>
      <c r="I2116" s="5" t="str">
        <f t="shared" si="33"/>
        <v>2025-08</v>
      </c>
      <c r="J2116" s="4" t="s">
        <v>34</v>
      </c>
      <c r="K2116" s="5" t="s">
        <v>342</v>
      </c>
      <c r="L2116" s="2">
        <v>55500</v>
      </c>
      <c r="M2116" s="3">
        <v>3</v>
      </c>
      <c r="N2116" s="2">
        <v>166500</v>
      </c>
      <c r="O2116" s="2">
        <v>16650</v>
      </c>
      <c r="P2116" s="2">
        <v>183150</v>
      </c>
      <c r="Q2116" s="2">
        <f>P2116*8.5%</f>
        <v>15567.750000000002</v>
      </c>
    </row>
    <row r="2117" spans="1:17" hidden="1" x14ac:dyDescent="0.4">
      <c r="A2117" s="4" t="s">
        <v>42</v>
      </c>
      <c r="B2117" s="4" t="s">
        <v>14</v>
      </c>
      <c r="C2117" s="30" t="s">
        <v>434</v>
      </c>
      <c r="D2117" s="4" t="s">
        <v>43</v>
      </c>
      <c r="E2117" s="4" t="s">
        <v>44</v>
      </c>
      <c r="F2117" s="4" t="s">
        <v>31</v>
      </c>
      <c r="G2117" s="4" t="s">
        <v>18</v>
      </c>
      <c r="H2117" s="4" t="s">
        <v>229</v>
      </c>
      <c r="I2117" s="5" t="str">
        <f t="shared" si="33"/>
        <v>2025-08</v>
      </c>
      <c r="J2117" s="4" t="s">
        <v>34</v>
      </c>
      <c r="K2117" s="5" t="s">
        <v>342</v>
      </c>
      <c r="L2117" s="2">
        <v>7300</v>
      </c>
      <c r="M2117" s="3">
        <v>65</v>
      </c>
      <c r="N2117" s="2">
        <v>474500</v>
      </c>
      <c r="O2117" s="2">
        <v>0</v>
      </c>
      <c r="P2117" s="2">
        <v>474500</v>
      </c>
      <c r="Q2117" s="2">
        <f>P2117*8.5%</f>
        <v>40332.5</v>
      </c>
    </row>
    <row r="2118" spans="1:17" hidden="1" x14ac:dyDescent="0.4">
      <c r="A2118" s="4" t="s">
        <v>13</v>
      </c>
      <c r="B2118" s="4" t="s">
        <v>14</v>
      </c>
      <c r="C2118" s="30" t="s">
        <v>434</v>
      </c>
      <c r="D2118" s="4" t="s">
        <v>15</v>
      </c>
      <c r="E2118" s="4" t="s">
        <v>16</v>
      </c>
      <c r="F2118" s="4" t="s">
        <v>17</v>
      </c>
      <c r="G2118" s="4" t="s">
        <v>18</v>
      </c>
      <c r="H2118" s="4" t="s">
        <v>229</v>
      </c>
      <c r="I2118" s="5" t="str">
        <f t="shared" si="33"/>
        <v>2025-08</v>
      </c>
      <c r="J2118" s="4" t="s">
        <v>59</v>
      </c>
      <c r="K2118" s="5" t="s">
        <v>343</v>
      </c>
      <c r="L2118" s="2">
        <v>42000</v>
      </c>
      <c r="M2118" s="3">
        <v>2</v>
      </c>
      <c r="N2118" s="2">
        <v>84000</v>
      </c>
      <c r="O2118" s="2">
        <v>8400</v>
      </c>
      <c r="P2118" s="2">
        <v>92400</v>
      </c>
      <c r="Q2118" s="2">
        <f>P2118*12%</f>
        <v>11088</v>
      </c>
    </row>
    <row r="2119" spans="1:17" hidden="1" x14ac:dyDescent="0.4">
      <c r="A2119" s="4" t="s">
        <v>35</v>
      </c>
      <c r="B2119" s="4" t="s">
        <v>14</v>
      </c>
      <c r="C2119" s="30" t="s">
        <v>434</v>
      </c>
      <c r="D2119" s="4" t="s">
        <v>36</v>
      </c>
      <c r="E2119" s="4" t="s">
        <v>16</v>
      </c>
      <c r="F2119" s="4" t="s">
        <v>17</v>
      </c>
      <c r="G2119" s="4" t="s">
        <v>18</v>
      </c>
      <c r="H2119" s="4" t="s">
        <v>229</v>
      </c>
      <c r="I2119" s="5" t="str">
        <f t="shared" si="33"/>
        <v>2025-08</v>
      </c>
      <c r="J2119" s="4" t="s">
        <v>59</v>
      </c>
      <c r="K2119" s="5" t="s">
        <v>343</v>
      </c>
      <c r="L2119" s="2">
        <v>116220</v>
      </c>
      <c r="M2119" s="3">
        <v>1</v>
      </c>
      <c r="N2119" s="2">
        <v>116220</v>
      </c>
      <c r="O2119" s="2">
        <v>11622</v>
      </c>
      <c r="P2119" s="2">
        <v>127842</v>
      </c>
      <c r="Q2119" s="2">
        <f>P2119*12%</f>
        <v>15341.039999999999</v>
      </c>
    </row>
    <row r="2120" spans="1:17" hidden="1" x14ac:dyDescent="0.4">
      <c r="A2120" s="4" t="s">
        <v>51</v>
      </c>
      <c r="B2120" s="4" t="s">
        <v>14</v>
      </c>
      <c r="C2120" s="30" t="s">
        <v>434</v>
      </c>
      <c r="D2120" s="4" t="s">
        <v>52</v>
      </c>
      <c r="E2120" s="4" t="s">
        <v>16</v>
      </c>
      <c r="F2120" s="4" t="s">
        <v>17</v>
      </c>
      <c r="G2120" s="4" t="s">
        <v>18</v>
      </c>
      <c r="H2120" s="4" t="s">
        <v>229</v>
      </c>
      <c r="I2120" s="5" t="str">
        <f t="shared" si="33"/>
        <v>2025-08</v>
      </c>
      <c r="J2120" s="4" t="s">
        <v>59</v>
      </c>
      <c r="K2120" s="5" t="s">
        <v>343</v>
      </c>
      <c r="L2120" s="2">
        <v>73000</v>
      </c>
      <c r="M2120" s="3">
        <v>1</v>
      </c>
      <c r="N2120" s="2">
        <v>73000</v>
      </c>
      <c r="O2120" s="2">
        <v>7300</v>
      </c>
      <c r="P2120" s="2">
        <v>80300</v>
      </c>
      <c r="Q2120" s="2">
        <f>P2120*12%</f>
        <v>9636</v>
      </c>
    </row>
    <row r="2121" spans="1:17" hidden="1" x14ac:dyDescent="0.4">
      <c r="A2121" s="4" t="s">
        <v>215</v>
      </c>
      <c r="B2121" s="4" t="s">
        <v>26</v>
      </c>
      <c r="C2121" s="32" t="s">
        <v>436</v>
      </c>
      <c r="D2121" s="4" t="s">
        <v>216</v>
      </c>
      <c r="E2121" s="4" t="s">
        <v>28</v>
      </c>
      <c r="F2121" s="4" t="s">
        <v>17</v>
      </c>
      <c r="G2121" s="4" t="s">
        <v>18</v>
      </c>
      <c r="H2121" s="4" t="s">
        <v>229</v>
      </c>
      <c r="I2121" s="5" t="str">
        <f t="shared" si="33"/>
        <v>2025-08</v>
      </c>
      <c r="J2121" s="4" t="s">
        <v>59</v>
      </c>
      <c r="K2121" s="5" t="s">
        <v>343</v>
      </c>
      <c r="L2121" s="2">
        <v>4472</v>
      </c>
      <c r="M2121" s="3">
        <v>2</v>
      </c>
      <c r="N2121" s="2">
        <v>8944</v>
      </c>
      <c r="O2121" s="2">
        <v>894</v>
      </c>
      <c r="P2121" s="2">
        <v>9838</v>
      </c>
      <c r="Q2121" s="2">
        <f>P2121*12%</f>
        <v>1180.56</v>
      </c>
    </row>
    <row r="2122" spans="1:17" hidden="1" x14ac:dyDescent="0.4">
      <c r="A2122" s="4" t="s">
        <v>112</v>
      </c>
      <c r="B2122" s="4" t="s">
        <v>26</v>
      </c>
      <c r="C2122" s="32" t="s">
        <v>436</v>
      </c>
      <c r="D2122" s="4" t="s">
        <v>113</v>
      </c>
      <c r="E2122" s="4" t="s">
        <v>28</v>
      </c>
      <c r="F2122" s="4" t="s">
        <v>17</v>
      </c>
      <c r="G2122" s="4" t="s">
        <v>18</v>
      </c>
      <c r="H2122" s="4" t="s">
        <v>229</v>
      </c>
      <c r="I2122" s="5" t="str">
        <f t="shared" si="33"/>
        <v>2025-08</v>
      </c>
      <c r="J2122" s="4" t="s">
        <v>59</v>
      </c>
      <c r="K2122" s="5" t="s">
        <v>343</v>
      </c>
      <c r="L2122" s="2">
        <v>375</v>
      </c>
      <c r="M2122" s="3">
        <v>20</v>
      </c>
      <c r="N2122" s="2">
        <v>7500</v>
      </c>
      <c r="O2122" s="2">
        <v>750</v>
      </c>
      <c r="P2122" s="2">
        <v>8250</v>
      </c>
      <c r="Q2122" s="2">
        <f>P2122*12%</f>
        <v>990</v>
      </c>
    </row>
    <row r="2123" spans="1:17" hidden="1" x14ac:dyDescent="0.4">
      <c r="A2123" s="4" t="s">
        <v>32</v>
      </c>
      <c r="B2123" s="4" t="s">
        <v>14</v>
      </c>
      <c r="C2123" s="31" t="s">
        <v>435</v>
      </c>
      <c r="D2123" s="4" t="s">
        <v>33</v>
      </c>
      <c r="E2123" s="4" t="s">
        <v>16</v>
      </c>
      <c r="F2123" s="4" t="s">
        <v>17</v>
      </c>
      <c r="G2123" s="4" t="s">
        <v>18</v>
      </c>
      <c r="H2123" s="4" t="s">
        <v>229</v>
      </c>
      <c r="I2123" s="5" t="str">
        <f t="shared" si="33"/>
        <v>2025-08</v>
      </c>
      <c r="J2123" s="4" t="s">
        <v>49</v>
      </c>
      <c r="K2123" s="5" t="s">
        <v>343</v>
      </c>
      <c r="L2123" s="2">
        <v>44000</v>
      </c>
      <c r="M2123" s="3">
        <v>5</v>
      </c>
      <c r="N2123" s="2">
        <v>220000</v>
      </c>
      <c r="O2123" s="2">
        <v>22000</v>
      </c>
      <c r="P2123" s="2">
        <v>242000</v>
      </c>
      <c r="Q2123" s="2">
        <f>P2123*12%</f>
        <v>29040</v>
      </c>
    </row>
    <row r="2124" spans="1:17" hidden="1" x14ac:dyDescent="0.4">
      <c r="A2124" s="4" t="s">
        <v>13</v>
      </c>
      <c r="B2124" s="4" t="s">
        <v>14</v>
      </c>
      <c r="C2124" s="30" t="s">
        <v>434</v>
      </c>
      <c r="D2124" s="4" t="s">
        <v>15</v>
      </c>
      <c r="E2124" s="4" t="s">
        <v>16</v>
      </c>
      <c r="F2124" s="4" t="s">
        <v>17</v>
      </c>
      <c r="G2124" s="4" t="s">
        <v>18</v>
      </c>
      <c r="H2124" s="4" t="s">
        <v>229</v>
      </c>
      <c r="I2124" s="5" t="str">
        <f t="shared" si="33"/>
        <v>2025-08</v>
      </c>
      <c r="J2124" s="4" t="s">
        <v>49</v>
      </c>
      <c r="K2124" s="5" t="s">
        <v>343</v>
      </c>
      <c r="L2124" s="2">
        <v>42000</v>
      </c>
      <c r="M2124" s="3">
        <v>9</v>
      </c>
      <c r="N2124" s="2">
        <v>378000</v>
      </c>
      <c r="O2124" s="2">
        <v>37800</v>
      </c>
      <c r="P2124" s="2">
        <v>415800</v>
      </c>
      <c r="Q2124" s="2">
        <f>P2124*12%</f>
        <v>49896</v>
      </c>
    </row>
    <row r="2125" spans="1:17" hidden="1" x14ac:dyDescent="0.4">
      <c r="A2125" s="4" t="s">
        <v>23</v>
      </c>
      <c r="B2125" s="4" t="s">
        <v>14</v>
      </c>
      <c r="C2125" s="31" t="s">
        <v>435</v>
      </c>
      <c r="D2125" s="4" t="s">
        <v>24</v>
      </c>
      <c r="E2125" s="4" t="s">
        <v>16</v>
      </c>
      <c r="F2125" s="4" t="s">
        <v>17</v>
      </c>
      <c r="G2125" s="4" t="s">
        <v>18</v>
      </c>
      <c r="H2125" s="4" t="s">
        <v>229</v>
      </c>
      <c r="I2125" s="5" t="str">
        <f t="shared" si="33"/>
        <v>2025-08</v>
      </c>
      <c r="J2125" s="4" t="s">
        <v>49</v>
      </c>
      <c r="K2125" s="5" t="s">
        <v>343</v>
      </c>
      <c r="L2125" s="2">
        <v>55500</v>
      </c>
      <c r="M2125" s="3">
        <v>4</v>
      </c>
      <c r="N2125" s="2">
        <v>222000</v>
      </c>
      <c r="O2125" s="2">
        <v>22200</v>
      </c>
      <c r="P2125" s="2">
        <v>244200</v>
      </c>
      <c r="Q2125" s="2">
        <f>P2125*12%</f>
        <v>29304</v>
      </c>
    </row>
    <row r="2126" spans="1:17" hidden="1" x14ac:dyDescent="0.4">
      <c r="A2126" s="4" t="s">
        <v>51</v>
      </c>
      <c r="B2126" s="4" t="s">
        <v>14</v>
      </c>
      <c r="C2126" s="30" t="s">
        <v>434</v>
      </c>
      <c r="D2126" s="4" t="s">
        <v>52</v>
      </c>
      <c r="E2126" s="4" t="s">
        <v>16</v>
      </c>
      <c r="F2126" s="4" t="s">
        <v>17</v>
      </c>
      <c r="G2126" s="4" t="s">
        <v>18</v>
      </c>
      <c r="H2126" s="4" t="s">
        <v>229</v>
      </c>
      <c r="I2126" s="5" t="str">
        <f t="shared" si="33"/>
        <v>2025-08</v>
      </c>
      <c r="J2126" s="4" t="s">
        <v>49</v>
      </c>
      <c r="K2126" s="5" t="s">
        <v>343</v>
      </c>
      <c r="L2126" s="2">
        <v>73000</v>
      </c>
      <c r="M2126" s="3">
        <v>1</v>
      </c>
      <c r="N2126" s="2">
        <v>73000</v>
      </c>
      <c r="O2126" s="2">
        <v>7300</v>
      </c>
      <c r="P2126" s="2">
        <v>80300</v>
      </c>
      <c r="Q2126" s="2">
        <f>P2126*12%</f>
        <v>9636</v>
      </c>
    </row>
    <row r="2127" spans="1:17" x14ac:dyDescent="0.4">
      <c r="A2127" s="4" t="s">
        <v>13</v>
      </c>
      <c r="B2127" s="4" t="s">
        <v>14</v>
      </c>
      <c r="C2127" s="30" t="s">
        <v>434</v>
      </c>
      <c r="D2127" s="4" t="s">
        <v>15</v>
      </c>
      <c r="E2127" s="4" t="s">
        <v>16</v>
      </c>
      <c r="F2127" s="4" t="s">
        <v>17</v>
      </c>
      <c r="G2127" s="4" t="s">
        <v>18</v>
      </c>
      <c r="H2127" s="4" t="s">
        <v>230</v>
      </c>
      <c r="I2127" s="5" t="str">
        <f t="shared" si="33"/>
        <v>2025-08</v>
      </c>
      <c r="J2127" s="4" t="s">
        <v>20</v>
      </c>
      <c r="K2127" s="5" t="s">
        <v>342</v>
      </c>
      <c r="L2127" s="2">
        <v>42000</v>
      </c>
      <c r="M2127" s="3">
        <v>2</v>
      </c>
      <c r="N2127" s="2">
        <v>84000</v>
      </c>
      <c r="O2127" s="2">
        <v>8400</v>
      </c>
      <c r="P2127" s="2">
        <v>92400</v>
      </c>
      <c r="Q2127" s="2">
        <f>P2127*8.5%</f>
        <v>7854.0000000000009</v>
      </c>
    </row>
    <row r="2128" spans="1:17" x14ac:dyDescent="0.4">
      <c r="A2128" s="4" t="s">
        <v>21</v>
      </c>
      <c r="B2128" s="4" t="s">
        <v>14</v>
      </c>
      <c r="C2128" s="31" t="s">
        <v>435</v>
      </c>
      <c r="D2128" s="4" t="s">
        <v>22</v>
      </c>
      <c r="E2128" s="4" t="s">
        <v>16</v>
      </c>
      <c r="F2128" s="4" t="s">
        <v>17</v>
      </c>
      <c r="G2128" s="4" t="s">
        <v>18</v>
      </c>
      <c r="H2128" s="4" t="s">
        <v>230</v>
      </c>
      <c r="I2128" s="5" t="str">
        <f t="shared" si="33"/>
        <v>2025-08</v>
      </c>
      <c r="J2128" s="4" t="s">
        <v>20</v>
      </c>
      <c r="K2128" s="5" t="s">
        <v>342</v>
      </c>
      <c r="L2128" s="2">
        <v>55500</v>
      </c>
      <c r="M2128" s="3">
        <v>2</v>
      </c>
      <c r="N2128" s="2">
        <v>111000</v>
      </c>
      <c r="O2128" s="2">
        <v>11100</v>
      </c>
      <c r="P2128" s="2">
        <v>122100</v>
      </c>
      <c r="Q2128" s="2">
        <f>P2128*8.5%</f>
        <v>10378.5</v>
      </c>
    </row>
    <row r="2129" spans="1:17" x14ac:dyDescent="0.4">
      <c r="A2129" s="4" t="s">
        <v>23</v>
      </c>
      <c r="B2129" s="4" t="s">
        <v>14</v>
      </c>
      <c r="C2129" s="31" t="s">
        <v>435</v>
      </c>
      <c r="D2129" s="4" t="s">
        <v>24</v>
      </c>
      <c r="E2129" s="4" t="s">
        <v>16</v>
      </c>
      <c r="F2129" s="4" t="s">
        <v>17</v>
      </c>
      <c r="G2129" s="4" t="s">
        <v>18</v>
      </c>
      <c r="H2129" s="4" t="s">
        <v>230</v>
      </c>
      <c r="I2129" s="5" t="str">
        <f t="shared" si="33"/>
        <v>2025-08</v>
      </c>
      <c r="J2129" s="4" t="s">
        <v>20</v>
      </c>
      <c r="K2129" s="5" t="s">
        <v>342</v>
      </c>
      <c r="L2129" s="2">
        <v>55500</v>
      </c>
      <c r="M2129" s="3">
        <v>2</v>
      </c>
      <c r="N2129" s="2">
        <v>111000</v>
      </c>
      <c r="O2129" s="2">
        <v>11100</v>
      </c>
      <c r="P2129" s="2">
        <v>122100</v>
      </c>
      <c r="Q2129" s="2">
        <f>P2129*8.5%</f>
        <v>10378.5</v>
      </c>
    </row>
    <row r="2130" spans="1:17" x14ac:dyDescent="0.4">
      <c r="A2130" s="4" t="s">
        <v>51</v>
      </c>
      <c r="B2130" s="4" t="s">
        <v>14</v>
      </c>
      <c r="C2130" s="30" t="s">
        <v>434</v>
      </c>
      <c r="D2130" s="4" t="s">
        <v>52</v>
      </c>
      <c r="E2130" s="4" t="s">
        <v>16</v>
      </c>
      <c r="F2130" s="4" t="s">
        <v>17</v>
      </c>
      <c r="G2130" s="4" t="s">
        <v>18</v>
      </c>
      <c r="H2130" s="4" t="s">
        <v>230</v>
      </c>
      <c r="I2130" s="5" t="str">
        <f t="shared" si="33"/>
        <v>2025-08</v>
      </c>
      <c r="J2130" s="4" t="s">
        <v>20</v>
      </c>
      <c r="K2130" s="5" t="s">
        <v>342</v>
      </c>
      <c r="L2130" s="2">
        <v>73000</v>
      </c>
      <c r="M2130" s="3">
        <v>1</v>
      </c>
      <c r="N2130" s="2">
        <v>73000</v>
      </c>
      <c r="O2130" s="2">
        <v>7300</v>
      </c>
      <c r="P2130" s="2">
        <v>80300</v>
      </c>
      <c r="Q2130" s="2">
        <f>P2130*8.5%</f>
        <v>6825.5000000000009</v>
      </c>
    </row>
    <row r="2131" spans="1:17" x14ac:dyDescent="0.4">
      <c r="A2131" s="4" t="s">
        <v>56</v>
      </c>
      <c r="B2131" s="4" t="s">
        <v>26</v>
      </c>
      <c r="C2131" s="32" t="s">
        <v>436</v>
      </c>
      <c r="D2131" s="4" t="s">
        <v>57</v>
      </c>
      <c r="E2131" s="4" t="s">
        <v>44</v>
      </c>
      <c r="F2131" s="4" t="s">
        <v>31</v>
      </c>
      <c r="G2131" s="4" t="s">
        <v>18</v>
      </c>
      <c r="H2131" s="4" t="s">
        <v>230</v>
      </c>
      <c r="I2131" s="5" t="str">
        <f t="shared" si="33"/>
        <v>2025-08</v>
      </c>
      <c r="J2131" s="4" t="s">
        <v>20</v>
      </c>
      <c r="K2131" s="5" t="s">
        <v>342</v>
      </c>
      <c r="L2131" s="2">
        <v>2427</v>
      </c>
      <c r="M2131" s="3">
        <v>25</v>
      </c>
      <c r="N2131" s="2">
        <v>60675</v>
      </c>
      <c r="O2131" s="2">
        <v>0</v>
      </c>
      <c r="P2131" s="2">
        <v>60675</v>
      </c>
      <c r="Q2131" s="2">
        <f>P2131*8.5%</f>
        <v>5157.375</v>
      </c>
    </row>
    <row r="2132" spans="1:17" hidden="1" x14ac:dyDescent="0.4">
      <c r="A2132" s="4" t="s">
        <v>13</v>
      </c>
      <c r="B2132" s="4" t="s">
        <v>14</v>
      </c>
      <c r="C2132" s="30" t="s">
        <v>434</v>
      </c>
      <c r="D2132" s="4" t="s">
        <v>15</v>
      </c>
      <c r="E2132" s="4" t="s">
        <v>16</v>
      </c>
      <c r="F2132" s="4" t="s">
        <v>17</v>
      </c>
      <c r="G2132" s="4" t="s">
        <v>18</v>
      </c>
      <c r="H2132" s="4" t="s">
        <v>230</v>
      </c>
      <c r="I2132" s="5" t="str">
        <f t="shared" si="33"/>
        <v>2025-08</v>
      </c>
      <c r="J2132" s="4" t="s">
        <v>118</v>
      </c>
      <c r="K2132" s="5" t="s">
        <v>342</v>
      </c>
      <c r="L2132" s="2">
        <v>42000</v>
      </c>
      <c r="M2132" s="3">
        <v>1</v>
      </c>
      <c r="N2132" s="2">
        <v>42000</v>
      </c>
      <c r="O2132" s="2">
        <v>4200</v>
      </c>
      <c r="P2132" s="2">
        <v>46200</v>
      </c>
      <c r="Q2132" s="2">
        <f>P2132*8.5%</f>
        <v>3927.0000000000005</v>
      </c>
    </row>
    <row r="2133" spans="1:17" hidden="1" x14ac:dyDescent="0.4">
      <c r="A2133" s="4" t="s">
        <v>35</v>
      </c>
      <c r="B2133" s="4" t="s">
        <v>14</v>
      </c>
      <c r="C2133" s="30" t="s">
        <v>434</v>
      </c>
      <c r="D2133" s="4" t="s">
        <v>36</v>
      </c>
      <c r="E2133" s="4" t="s">
        <v>16</v>
      </c>
      <c r="F2133" s="4" t="s">
        <v>17</v>
      </c>
      <c r="G2133" s="4" t="s">
        <v>18</v>
      </c>
      <c r="H2133" s="4" t="s">
        <v>230</v>
      </c>
      <c r="I2133" s="5" t="str">
        <f t="shared" si="33"/>
        <v>2025-08</v>
      </c>
      <c r="J2133" s="4" t="s">
        <v>118</v>
      </c>
      <c r="K2133" s="5" t="s">
        <v>342</v>
      </c>
      <c r="L2133" s="2">
        <v>116220</v>
      </c>
      <c r="M2133" s="3">
        <v>1</v>
      </c>
      <c r="N2133" s="2">
        <v>116220</v>
      </c>
      <c r="O2133" s="2">
        <v>11622</v>
      </c>
      <c r="P2133" s="2">
        <v>127842</v>
      </c>
      <c r="Q2133" s="2">
        <f>P2133*8.5%</f>
        <v>10866.570000000002</v>
      </c>
    </row>
    <row r="2134" spans="1:17" hidden="1" x14ac:dyDescent="0.4">
      <c r="A2134" s="4" t="s">
        <v>32</v>
      </c>
      <c r="B2134" s="4" t="s">
        <v>14</v>
      </c>
      <c r="C2134" s="31" t="s">
        <v>435</v>
      </c>
      <c r="D2134" s="4" t="s">
        <v>33</v>
      </c>
      <c r="E2134" s="4" t="s">
        <v>16</v>
      </c>
      <c r="F2134" s="4" t="s">
        <v>17</v>
      </c>
      <c r="G2134" s="4" t="s">
        <v>18</v>
      </c>
      <c r="H2134" s="4" t="s">
        <v>230</v>
      </c>
      <c r="I2134" s="5" t="str">
        <f t="shared" si="33"/>
        <v>2025-08</v>
      </c>
      <c r="J2134" s="4" t="s">
        <v>34</v>
      </c>
      <c r="K2134" s="5" t="s">
        <v>342</v>
      </c>
      <c r="L2134" s="2">
        <v>44000</v>
      </c>
      <c r="M2134" s="3">
        <v>3</v>
      </c>
      <c r="N2134" s="2">
        <v>132000</v>
      </c>
      <c r="O2134" s="2">
        <v>13200</v>
      </c>
      <c r="P2134" s="2">
        <v>145200</v>
      </c>
      <c r="Q2134" s="2">
        <f>P2134*8.5%</f>
        <v>12342</v>
      </c>
    </row>
    <row r="2135" spans="1:17" hidden="1" x14ac:dyDescent="0.4">
      <c r="A2135" s="4" t="s">
        <v>58</v>
      </c>
      <c r="B2135" s="4" t="s">
        <v>14</v>
      </c>
      <c r="C2135" s="30" t="s">
        <v>434</v>
      </c>
      <c r="D2135" s="4" t="s">
        <v>36</v>
      </c>
      <c r="E2135" s="4" t="s">
        <v>16</v>
      </c>
      <c r="F2135" s="4" t="s">
        <v>17</v>
      </c>
      <c r="G2135" s="4" t="s">
        <v>18</v>
      </c>
      <c r="H2135" s="4" t="s">
        <v>230</v>
      </c>
      <c r="I2135" s="5" t="str">
        <f t="shared" si="33"/>
        <v>2025-08</v>
      </c>
      <c r="J2135" s="4" t="s">
        <v>34</v>
      </c>
      <c r="K2135" s="5" t="s">
        <v>342</v>
      </c>
      <c r="L2135" s="2">
        <v>120880</v>
      </c>
      <c r="M2135" s="3">
        <v>1</v>
      </c>
      <c r="N2135" s="2">
        <v>120880</v>
      </c>
      <c r="O2135" s="2">
        <v>12088</v>
      </c>
      <c r="P2135" s="2">
        <v>132968</v>
      </c>
      <c r="Q2135" s="2">
        <f>P2135*8.5%</f>
        <v>11302.28</v>
      </c>
    </row>
    <row r="2136" spans="1:17" hidden="1" x14ac:dyDescent="0.4">
      <c r="A2136" s="4" t="s">
        <v>13</v>
      </c>
      <c r="B2136" s="4" t="s">
        <v>14</v>
      </c>
      <c r="C2136" s="30" t="s">
        <v>434</v>
      </c>
      <c r="D2136" s="4" t="s">
        <v>15</v>
      </c>
      <c r="E2136" s="4" t="s">
        <v>16</v>
      </c>
      <c r="F2136" s="4" t="s">
        <v>17</v>
      </c>
      <c r="G2136" s="4" t="s">
        <v>18</v>
      </c>
      <c r="H2136" s="4" t="s">
        <v>230</v>
      </c>
      <c r="I2136" s="5" t="str">
        <f t="shared" si="33"/>
        <v>2025-08</v>
      </c>
      <c r="J2136" s="4" t="s">
        <v>34</v>
      </c>
      <c r="K2136" s="5" t="s">
        <v>342</v>
      </c>
      <c r="L2136" s="2">
        <v>42000</v>
      </c>
      <c r="M2136" s="3">
        <v>6</v>
      </c>
      <c r="N2136" s="2">
        <v>252000</v>
      </c>
      <c r="O2136" s="2">
        <v>25200</v>
      </c>
      <c r="P2136" s="2">
        <v>277200</v>
      </c>
      <c r="Q2136" s="2">
        <f>P2136*8.5%</f>
        <v>23562</v>
      </c>
    </row>
    <row r="2137" spans="1:17" hidden="1" x14ac:dyDescent="0.4">
      <c r="A2137" s="4" t="s">
        <v>21</v>
      </c>
      <c r="B2137" s="4" t="s">
        <v>14</v>
      </c>
      <c r="C2137" s="31" t="s">
        <v>435</v>
      </c>
      <c r="D2137" s="4" t="s">
        <v>22</v>
      </c>
      <c r="E2137" s="4" t="s">
        <v>16</v>
      </c>
      <c r="F2137" s="4" t="s">
        <v>17</v>
      </c>
      <c r="G2137" s="4" t="s">
        <v>18</v>
      </c>
      <c r="H2137" s="4" t="s">
        <v>230</v>
      </c>
      <c r="I2137" s="5" t="str">
        <f t="shared" si="33"/>
        <v>2025-08</v>
      </c>
      <c r="J2137" s="4" t="s">
        <v>34</v>
      </c>
      <c r="K2137" s="5" t="s">
        <v>342</v>
      </c>
      <c r="L2137" s="2">
        <v>55500</v>
      </c>
      <c r="M2137" s="3">
        <v>2</v>
      </c>
      <c r="N2137" s="2">
        <v>111000</v>
      </c>
      <c r="O2137" s="2">
        <v>11100</v>
      </c>
      <c r="P2137" s="2">
        <v>122100</v>
      </c>
      <c r="Q2137" s="2">
        <f>P2137*8.5%</f>
        <v>10378.5</v>
      </c>
    </row>
    <row r="2138" spans="1:17" hidden="1" x14ac:dyDescent="0.4">
      <c r="A2138" s="4" t="s">
        <v>35</v>
      </c>
      <c r="B2138" s="4" t="s">
        <v>14</v>
      </c>
      <c r="C2138" s="30" t="s">
        <v>434</v>
      </c>
      <c r="D2138" s="4" t="s">
        <v>36</v>
      </c>
      <c r="E2138" s="4" t="s">
        <v>16</v>
      </c>
      <c r="F2138" s="4" t="s">
        <v>17</v>
      </c>
      <c r="G2138" s="4" t="s">
        <v>18</v>
      </c>
      <c r="H2138" s="4" t="s">
        <v>230</v>
      </c>
      <c r="I2138" s="5" t="str">
        <f t="shared" si="33"/>
        <v>2025-08</v>
      </c>
      <c r="J2138" s="4" t="s">
        <v>34</v>
      </c>
      <c r="K2138" s="5" t="s">
        <v>342</v>
      </c>
      <c r="L2138" s="2">
        <v>116220</v>
      </c>
      <c r="M2138" s="3">
        <v>1</v>
      </c>
      <c r="N2138" s="2">
        <v>116220</v>
      </c>
      <c r="O2138" s="2">
        <v>11622</v>
      </c>
      <c r="P2138" s="2">
        <v>127842</v>
      </c>
      <c r="Q2138" s="2">
        <f>P2138*8.5%</f>
        <v>10866.570000000002</v>
      </c>
    </row>
    <row r="2139" spans="1:17" hidden="1" x14ac:dyDescent="0.4">
      <c r="A2139" s="4" t="s">
        <v>23</v>
      </c>
      <c r="B2139" s="4" t="s">
        <v>14</v>
      </c>
      <c r="C2139" s="31" t="s">
        <v>435</v>
      </c>
      <c r="D2139" s="4" t="s">
        <v>24</v>
      </c>
      <c r="E2139" s="4" t="s">
        <v>16</v>
      </c>
      <c r="F2139" s="4" t="s">
        <v>17</v>
      </c>
      <c r="G2139" s="4" t="s">
        <v>18</v>
      </c>
      <c r="H2139" s="4" t="s">
        <v>230</v>
      </c>
      <c r="I2139" s="5" t="str">
        <f t="shared" si="33"/>
        <v>2025-08</v>
      </c>
      <c r="J2139" s="4" t="s">
        <v>34</v>
      </c>
      <c r="K2139" s="5" t="s">
        <v>342</v>
      </c>
      <c r="L2139" s="2">
        <v>55500</v>
      </c>
      <c r="M2139" s="3">
        <v>4</v>
      </c>
      <c r="N2139" s="2">
        <v>222000</v>
      </c>
      <c r="O2139" s="2">
        <v>22200</v>
      </c>
      <c r="P2139" s="2">
        <v>244200</v>
      </c>
      <c r="Q2139" s="2">
        <f>P2139*8.5%</f>
        <v>20757</v>
      </c>
    </row>
    <row r="2140" spans="1:17" hidden="1" x14ac:dyDescent="0.4">
      <c r="A2140" s="4" t="s">
        <v>51</v>
      </c>
      <c r="B2140" s="4" t="s">
        <v>14</v>
      </c>
      <c r="C2140" s="30" t="s">
        <v>434</v>
      </c>
      <c r="D2140" s="4" t="s">
        <v>52</v>
      </c>
      <c r="E2140" s="4" t="s">
        <v>16</v>
      </c>
      <c r="F2140" s="4" t="s">
        <v>17</v>
      </c>
      <c r="G2140" s="4" t="s">
        <v>18</v>
      </c>
      <c r="H2140" s="4" t="s">
        <v>230</v>
      </c>
      <c r="I2140" s="5" t="str">
        <f t="shared" si="33"/>
        <v>2025-08</v>
      </c>
      <c r="J2140" s="4" t="s">
        <v>34</v>
      </c>
      <c r="K2140" s="5" t="s">
        <v>342</v>
      </c>
      <c r="L2140" s="2">
        <v>73000</v>
      </c>
      <c r="M2140" s="3">
        <v>1</v>
      </c>
      <c r="N2140" s="2">
        <v>73000</v>
      </c>
      <c r="O2140" s="2">
        <v>7300</v>
      </c>
      <c r="P2140" s="2">
        <v>80300</v>
      </c>
      <c r="Q2140" s="2">
        <f>P2140*8.5%</f>
        <v>6825.5000000000009</v>
      </c>
    </row>
    <row r="2141" spans="1:17" hidden="1" x14ac:dyDescent="0.4">
      <c r="A2141" s="4" t="s">
        <v>37</v>
      </c>
      <c r="B2141" s="4" t="s">
        <v>26</v>
      </c>
      <c r="C2141" s="32" t="s">
        <v>436</v>
      </c>
      <c r="D2141" s="4" t="s">
        <v>38</v>
      </c>
      <c r="E2141" s="4" t="s">
        <v>28</v>
      </c>
      <c r="F2141" s="4" t="s">
        <v>17</v>
      </c>
      <c r="G2141" s="4" t="s">
        <v>18</v>
      </c>
      <c r="H2141" s="4" t="s">
        <v>230</v>
      </c>
      <c r="I2141" s="5" t="str">
        <f t="shared" si="33"/>
        <v>2025-08</v>
      </c>
      <c r="J2141" s="4" t="s">
        <v>34</v>
      </c>
      <c r="K2141" s="5" t="s">
        <v>342</v>
      </c>
      <c r="L2141" s="2">
        <v>395</v>
      </c>
      <c r="M2141" s="3">
        <v>20</v>
      </c>
      <c r="N2141" s="2">
        <v>7900</v>
      </c>
      <c r="O2141" s="2">
        <v>790</v>
      </c>
      <c r="P2141" s="2">
        <v>8690</v>
      </c>
      <c r="Q2141" s="2">
        <f>P2141*8.5%</f>
        <v>738.65000000000009</v>
      </c>
    </row>
    <row r="2142" spans="1:17" hidden="1" x14ac:dyDescent="0.4">
      <c r="A2142" s="4" t="s">
        <v>70</v>
      </c>
      <c r="B2142" s="4" t="s">
        <v>26</v>
      </c>
      <c r="C2142" s="32" t="s">
        <v>436</v>
      </c>
      <c r="D2142" s="4" t="s">
        <v>71</v>
      </c>
      <c r="E2142" s="4" t="s">
        <v>28</v>
      </c>
      <c r="F2142" s="4" t="s">
        <v>31</v>
      </c>
      <c r="G2142" s="4" t="s">
        <v>18</v>
      </c>
      <c r="H2142" s="4" t="s">
        <v>230</v>
      </c>
      <c r="I2142" s="5" t="str">
        <f t="shared" si="33"/>
        <v>2025-08</v>
      </c>
      <c r="J2142" s="4" t="s">
        <v>34</v>
      </c>
      <c r="K2142" s="5" t="s">
        <v>342</v>
      </c>
      <c r="L2142" s="2">
        <v>6624</v>
      </c>
      <c r="M2142" s="3">
        <v>2</v>
      </c>
      <c r="N2142" s="2">
        <v>13248</v>
      </c>
      <c r="O2142" s="2">
        <v>0</v>
      </c>
      <c r="P2142" s="2">
        <v>13248</v>
      </c>
      <c r="Q2142" s="2">
        <f>P2142*8.5%</f>
        <v>1126.0800000000002</v>
      </c>
    </row>
    <row r="2143" spans="1:17" hidden="1" x14ac:dyDescent="0.4">
      <c r="A2143" s="4" t="s">
        <v>42</v>
      </c>
      <c r="B2143" s="4" t="s">
        <v>14</v>
      </c>
      <c r="C2143" s="30" t="s">
        <v>434</v>
      </c>
      <c r="D2143" s="4" t="s">
        <v>43</v>
      </c>
      <c r="E2143" s="4" t="s">
        <v>44</v>
      </c>
      <c r="F2143" s="4" t="s">
        <v>31</v>
      </c>
      <c r="G2143" s="4" t="s">
        <v>18</v>
      </c>
      <c r="H2143" s="4" t="s">
        <v>230</v>
      </c>
      <c r="I2143" s="5" t="str">
        <f t="shared" si="33"/>
        <v>2025-08</v>
      </c>
      <c r="J2143" s="4" t="s">
        <v>34</v>
      </c>
      <c r="K2143" s="5" t="s">
        <v>342</v>
      </c>
      <c r="L2143" s="2">
        <v>7300</v>
      </c>
      <c r="M2143" s="3">
        <v>62.8</v>
      </c>
      <c r="N2143" s="2">
        <v>458440</v>
      </c>
      <c r="O2143" s="2">
        <v>0</v>
      </c>
      <c r="P2143" s="2">
        <v>458440</v>
      </c>
      <c r="Q2143" s="2">
        <f>P2143*8.5%</f>
        <v>38967.4</v>
      </c>
    </row>
    <row r="2144" spans="1:17" hidden="1" x14ac:dyDescent="0.4">
      <c r="A2144" s="4" t="s">
        <v>35</v>
      </c>
      <c r="B2144" s="4" t="s">
        <v>14</v>
      </c>
      <c r="C2144" s="30" t="s">
        <v>434</v>
      </c>
      <c r="D2144" s="4" t="s">
        <v>36</v>
      </c>
      <c r="E2144" s="4" t="s">
        <v>16</v>
      </c>
      <c r="F2144" s="4" t="s">
        <v>17</v>
      </c>
      <c r="G2144" s="4" t="s">
        <v>18</v>
      </c>
      <c r="H2144" s="4" t="s">
        <v>230</v>
      </c>
      <c r="I2144" s="5" t="str">
        <f t="shared" si="33"/>
        <v>2025-08</v>
      </c>
      <c r="J2144" s="4" t="s">
        <v>60</v>
      </c>
      <c r="K2144" s="5" t="s">
        <v>343</v>
      </c>
      <c r="L2144" s="2">
        <v>116220</v>
      </c>
      <c r="M2144" s="3">
        <v>1</v>
      </c>
      <c r="N2144" s="2">
        <v>116220</v>
      </c>
      <c r="O2144" s="2">
        <v>11622</v>
      </c>
      <c r="P2144" s="2">
        <v>127842</v>
      </c>
      <c r="Q2144" s="2">
        <f>P2144*12%</f>
        <v>15341.039999999999</v>
      </c>
    </row>
    <row r="2145" spans="1:17" hidden="1" x14ac:dyDescent="0.4">
      <c r="A2145" s="4" t="s">
        <v>23</v>
      </c>
      <c r="B2145" s="4" t="s">
        <v>14</v>
      </c>
      <c r="C2145" s="31" t="s">
        <v>435</v>
      </c>
      <c r="D2145" s="4" t="s">
        <v>24</v>
      </c>
      <c r="E2145" s="4" t="s">
        <v>16</v>
      </c>
      <c r="F2145" s="4" t="s">
        <v>17</v>
      </c>
      <c r="G2145" s="4" t="s">
        <v>18</v>
      </c>
      <c r="H2145" s="4" t="s">
        <v>230</v>
      </c>
      <c r="I2145" s="5" t="str">
        <f t="shared" si="33"/>
        <v>2025-08</v>
      </c>
      <c r="J2145" s="4" t="s">
        <v>60</v>
      </c>
      <c r="K2145" s="5" t="s">
        <v>343</v>
      </c>
      <c r="L2145" s="2">
        <v>55500</v>
      </c>
      <c r="M2145" s="3">
        <v>10</v>
      </c>
      <c r="N2145" s="2">
        <v>555000</v>
      </c>
      <c r="O2145" s="2">
        <v>55500</v>
      </c>
      <c r="P2145" s="2">
        <v>610500</v>
      </c>
      <c r="Q2145" s="2">
        <f>P2145*12%</f>
        <v>73260</v>
      </c>
    </row>
    <row r="2146" spans="1:17" hidden="1" x14ac:dyDescent="0.4">
      <c r="A2146" s="4" t="s">
        <v>32</v>
      </c>
      <c r="B2146" s="4" t="s">
        <v>14</v>
      </c>
      <c r="C2146" s="31" t="s">
        <v>435</v>
      </c>
      <c r="D2146" s="4" t="s">
        <v>33</v>
      </c>
      <c r="E2146" s="4" t="s">
        <v>16</v>
      </c>
      <c r="F2146" s="4" t="s">
        <v>17</v>
      </c>
      <c r="G2146" s="4" t="s">
        <v>18</v>
      </c>
      <c r="H2146" s="4" t="s">
        <v>230</v>
      </c>
      <c r="I2146" s="5" t="str">
        <f t="shared" si="33"/>
        <v>2025-08</v>
      </c>
      <c r="J2146" s="4" t="s">
        <v>49</v>
      </c>
      <c r="K2146" s="5" t="s">
        <v>343</v>
      </c>
      <c r="L2146" s="2">
        <v>44000</v>
      </c>
      <c r="M2146" s="3">
        <v>4</v>
      </c>
      <c r="N2146" s="2">
        <v>176000</v>
      </c>
      <c r="O2146" s="2">
        <v>17600</v>
      </c>
      <c r="P2146" s="2">
        <v>193600</v>
      </c>
      <c r="Q2146" s="2">
        <f>P2146*12%</f>
        <v>23232</v>
      </c>
    </row>
    <row r="2147" spans="1:17" hidden="1" x14ac:dyDescent="0.4">
      <c r="A2147" s="4" t="s">
        <v>13</v>
      </c>
      <c r="B2147" s="4" t="s">
        <v>14</v>
      </c>
      <c r="C2147" s="30" t="s">
        <v>434</v>
      </c>
      <c r="D2147" s="4" t="s">
        <v>15</v>
      </c>
      <c r="E2147" s="4" t="s">
        <v>16</v>
      </c>
      <c r="F2147" s="4" t="s">
        <v>17</v>
      </c>
      <c r="G2147" s="4" t="s">
        <v>18</v>
      </c>
      <c r="H2147" s="4" t="s">
        <v>230</v>
      </c>
      <c r="I2147" s="5" t="str">
        <f t="shared" si="33"/>
        <v>2025-08</v>
      </c>
      <c r="J2147" s="4" t="s">
        <v>49</v>
      </c>
      <c r="K2147" s="5" t="s">
        <v>343</v>
      </c>
      <c r="L2147" s="2">
        <v>42000</v>
      </c>
      <c r="M2147" s="3">
        <v>5</v>
      </c>
      <c r="N2147" s="2">
        <v>210000</v>
      </c>
      <c r="O2147" s="2">
        <v>21000</v>
      </c>
      <c r="P2147" s="2">
        <v>231000</v>
      </c>
      <c r="Q2147" s="2">
        <f>P2147*12%</f>
        <v>27720</v>
      </c>
    </row>
    <row r="2148" spans="1:17" hidden="1" x14ac:dyDescent="0.4">
      <c r="A2148" s="4" t="s">
        <v>35</v>
      </c>
      <c r="B2148" s="4" t="s">
        <v>14</v>
      </c>
      <c r="C2148" s="30" t="s">
        <v>434</v>
      </c>
      <c r="D2148" s="4" t="s">
        <v>36</v>
      </c>
      <c r="E2148" s="4" t="s">
        <v>16</v>
      </c>
      <c r="F2148" s="4" t="s">
        <v>17</v>
      </c>
      <c r="G2148" s="4" t="s">
        <v>18</v>
      </c>
      <c r="H2148" s="4" t="s">
        <v>230</v>
      </c>
      <c r="I2148" s="5" t="str">
        <f t="shared" si="33"/>
        <v>2025-08</v>
      </c>
      <c r="J2148" s="4" t="s">
        <v>49</v>
      </c>
      <c r="K2148" s="5" t="s">
        <v>343</v>
      </c>
      <c r="L2148" s="2">
        <v>116220</v>
      </c>
      <c r="M2148" s="3">
        <v>1</v>
      </c>
      <c r="N2148" s="2">
        <v>116220</v>
      </c>
      <c r="O2148" s="2">
        <v>11622</v>
      </c>
      <c r="P2148" s="2">
        <v>127842</v>
      </c>
      <c r="Q2148" s="2">
        <f>P2148*12%</f>
        <v>15341.039999999999</v>
      </c>
    </row>
    <row r="2149" spans="1:17" hidden="1" x14ac:dyDescent="0.4">
      <c r="A2149" s="4" t="s">
        <v>23</v>
      </c>
      <c r="B2149" s="4" t="s">
        <v>14</v>
      </c>
      <c r="C2149" s="31" t="s">
        <v>435</v>
      </c>
      <c r="D2149" s="4" t="s">
        <v>24</v>
      </c>
      <c r="E2149" s="4" t="s">
        <v>16</v>
      </c>
      <c r="F2149" s="4" t="s">
        <v>17</v>
      </c>
      <c r="G2149" s="4" t="s">
        <v>18</v>
      </c>
      <c r="H2149" s="4" t="s">
        <v>230</v>
      </c>
      <c r="I2149" s="5" t="str">
        <f t="shared" si="33"/>
        <v>2025-08</v>
      </c>
      <c r="J2149" s="4" t="s">
        <v>49</v>
      </c>
      <c r="K2149" s="5" t="s">
        <v>343</v>
      </c>
      <c r="L2149" s="2">
        <v>55500</v>
      </c>
      <c r="M2149" s="3">
        <v>3</v>
      </c>
      <c r="N2149" s="2">
        <v>166500</v>
      </c>
      <c r="O2149" s="2">
        <v>16650</v>
      </c>
      <c r="P2149" s="2">
        <v>183150</v>
      </c>
      <c r="Q2149" s="2">
        <f>P2149*12%</f>
        <v>21978</v>
      </c>
    </row>
    <row r="2150" spans="1:17" hidden="1" x14ac:dyDescent="0.4">
      <c r="A2150" s="4" t="s">
        <v>32</v>
      </c>
      <c r="B2150" s="4" t="s">
        <v>14</v>
      </c>
      <c r="C2150" s="31" t="s">
        <v>435</v>
      </c>
      <c r="D2150" s="4" t="s">
        <v>33</v>
      </c>
      <c r="E2150" s="4" t="s">
        <v>16</v>
      </c>
      <c r="F2150" s="4" t="s">
        <v>17</v>
      </c>
      <c r="G2150" s="4" t="s">
        <v>18</v>
      </c>
      <c r="H2150" s="4" t="s">
        <v>230</v>
      </c>
      <c r="I2150" s="5" t="str">
        <f t="shared" si="33"/>
        <v>2025-08</v>
      </c>
      <c r="J2150" s="4" t="s">
        <v>50</v>
      </c>
      <c r="K2150" s="5" t="s">
        <v>343</v>
      </c>
      <c r="L2150" s="2">
        <v>44000</v>
      </c>
      <c r="M2150" s="3">
        <v>1</v>
      </c>
      <c r="N2150" s="2">
        <v>44000</v>
      </c>
      <c r="O2150" s="2">
        <v>4400</v>
      </c>
      <c r="P2150" s="2">
        <v>48400</v>
      </c>
      <c r="Q2150" s="2">
        <f>P2150*12%</f>
        <v>5808</v>
      </c>
    </row>
    <row r="2151" spans="1:17" hidden="1" x14ac:dyDescent="0.4">
      <c r="A2151" s="4" t="s">
        <v>13</v>
      </c>
      <c r="B2151" s="4" t="s">
        <v>14</v>
      </c>
      <c r="C2151" s="30" t="s">
        <v>434</v>
      </c>
      <c r="D2151" s="4" t="s">
        <v>15</v>
      </c>
      <c r="E2151" s="4" t="s">
        <v>16</v>
      </c>
      <c r="F2151" s="4" t="s">
        <v>17</v>
      </c>
      <c r="G2151" s="4" t="s">
        <v>18</v>
      </c>
      <c r="H2151" s="4" t="s">
        <v>230</v>
      </c>
      <c r="I2151" s="5" t="str">
        <f t="shared" si="33"/>
        <v>2025-08</v>
      </c>
      <c r="J2151" s="4" t="s">
        <v>50</v>
      </c>
      <c r="K2151" s="5" t="s">
        <v>343</v>
      </c>
      <c r="L2151" s="2">
        <v>42000</v>
      </c>
      <c r="M2151" s="3">
        <v>10</v>
      </c>
      <c r="N2151" s="2">
        <v>420000</v>
      </c>
      <c r="O2151" s="2">
        <v>42000</v>
      </c>
      <c r="P2151" s="2">
        <v>462000</v>
      </c>
      <c r="Q2151" s="2">
        <f>P2151*12%</f>
        <v>55440</v>
      </c>
    </row>
    <row r="2152" spans="1:17" hidden="1" x14ac:dyDescent="0.4">
      <c r="A2152" s="4" t="s">
        <v>23</v>
      </c>
      <c r="B2152" s="4" t="s">
        <v>14</v>
      </c>
      <c r="C2152" s="31" t="s">
        <v>435</v>
      </c>
      <c r="D2152" s="4" t="s">
        <v>24</v>
      </c>
      <c r="E2152" s="4" t="s">
        <v>16</v>
      </c>
      <c r="F2152" s="4" t="s">
        <v>17</v>
      </c>
      <c r="G2152" s="4" t="s">
        <v>18</v>
      </c>
      <c r="H2152" s="4" t="s">
        <v>230</v>
      </c>
      <c r="I2152" s="5" t="str">
        <f t="shared" si="33"/>
        <v>2025-08</v>
      </c>
      <c r="J2152" s="4" t="s">
        <v>50</v>
      </c>
      <c r="K2152" s="5" t="s">
        <v>343</v>
      </c>
      <c r="L2152" s="2">
        <v>55500</v>
      </c>
      <c r="M2152" s="3">
        <v>3</v>
      </c>
      <c r="N2152" s="2">
        <v>166500</v>
      </c>
      <c r="O2152" s="2">
        <v>16650</v>
      </c>
      <c r="P2152" s="2">
        <v>183150</v>
      </c>
      <c r="Q2152" s="2">
        <f>P2152*12%</f>
        <v>21978</v>
      </c>
    </row>
    <row r="2153" spans="1:17" hidden="1" x14ac:dyDescent="0.4">
      <c r="A2153" s="4" t="s">
        <v>51</v>
      </c>
      <c r="B2153" s="4" t="s">
        <v>14</v>
      </c>
      <c r="C2153" s="30" t="s">
        <v>434</v>
      </c>
      <c r="D2153" s="4" t="s">
        <v>52</v>
      </c>
      <c r="E2153" s="4" t="s">
        <v>16</v>
      </c>
      <c r="F2153" s="4" t="s">
        <v>17</v>
      </c>
      <c r="G2153" s="4" t="s">
        <v>18</v>
      </c>
      <c r="H2153" s="4" t="s">
        <v>230</v>
      </c>
      <c r="I2153" s="5" t="str">
        <f t="shared" si="33"/>
        <v>2025-08</v>
      </c>
      <c r="J2153" s="4" t="s">
        <v>50</v>
      </c>
      <c r="K2153" s="5" t="s">
        <v>343</v>
      </c>
      <c r="L2153" s="2">
        <v>73000</v>
      </c>
      <c r="M2153" s="3">
        <v>1</v>
      </c>
      <c r="N2153" s="2">
        <v>73000</v>
      </c>
      <c r="O2153" s="2">
        <v>7300</v>
      </c>
      <c r="P2153" s="2">
        <v>80300</v>
      </c>
      <c r="Q2153" s="2">
        <f>P2153*12%</f>
        <v>9636</v>
      </c>
    </row>
    <row r="2154" spans="1:17" x14ac:dyDescent="0.4">
      <c r="A2154" s="4" t="s">
        <v>13</v>
      </c>
      <c r="B2154" s="4" t="s">
        <v>14</v>
      </c>
      <c r="C2154" s="30" t="s">
        <v>434</v>
      </c>
      <c r="D2154" s="4" t="s">
        <v>15</v>
      </c>
      <c r="E2154" s="4" t="s">
        <v>16</v>
      </c>
      <c r="F2154" s="4" t="s">
        <v>17</v>
      </c>
      <c r="G2154" s="4" t="s">
        <v>18</v>
      </c>
      <c r="H2154" s="4" t="s">
        <v>231</v>
      </c>
      <c r="I2154" s="5" t="str">
        <f t="shared" si="33"/>
        <v>2025-08</v>
      </c>
      <c r="J2154" s="4" t="s">
        <v>20</v>
      </c>
      <c r="K2154" s="5" t="s">
        <v>342</v>
      </c>
      <c r="L2154" s="2">
        <v>42000</v>
      </c>
      <c r="M2154" s="3">
        <v>2</v>
      </c>
      <c r="N2154" s="2">
        <v>84000</v>
      </c>
      <c r="O2154" s="2">
        <v>8400</v>
      </c>
      <c r="P2154" s="2">
        <v>92400</v>
      </c>
      <c r="Q2154" s="2">
        <f>P2154*8.5%</f>
        <v>7854.0000000000009</v>
      </c>
    </row>
    <row r="2155" spans="1:17" x14ac:dyDescent="0.4">
      <c r="A2155" s="4" t="s">
        <v>21</v>
      </c>
      <c r="B2155" s="4" t="s">
        <v>14</v>
      </c>
      <c r="C2155" s="31" t="s">
        <v>435</v>
      </c>
      <c r="D2155" s="4" t="s">
        <v>22</v>
      </c>
      <c r="E2155" s="4" t="s">
        <v>16</v>
      </c>
      <c r="F2155" s="4" t="s">
        <v>17</v>
      </c>
      <c r="G2155" s="4" t="s">
        <v>18</v>
      </c>
      <c r="H2155" s="4" t="s">
        <v>231</v>
      </c>
      <c r="I2155" s="5" t="str">
        <f t="shared" si="33"/>
        <v>2025-08</v>
      </c>
      <c r="J2155" s="4" t="s">
        <v>20</v>
      </c>
      <c r="K2155" s="5" t="s">
        <v>342</v>
      </c>
      <c r="L2155" s="2">
        <v>55500</v>
      </c>
      <c r="M2155" s="3">
        <v>1</v>
      </c>
      <c r="N2155" s="2">
        <v>55500</v>
      </c>
      <c r="O2155" s="2">
        <v>5550</v>
      </c>
      <c r="P2155" s="2">
        <v>61050</v>
      </c>
      <c r="Q2155" s="2">
        <f>P2155*8.5%</f>
        <v>5189.25</v>
      </c>
    </row>
    <row r="2156" spans="1:17" x14ac:dyDescent="0.4">
      <c r="A2156" s="4" t="s">
        <v>23</v>
      </c>
      <c r="B2156" s="4" t="s">
        <v>14</v>
      </c>
      <c r="C2156" s="31" t="s">
        <v>435</v>
      </c>
      <c r="D2156" s="4" t="s">
        <v>24</v>
      </c>
      <c r="E2156" s="4" t="s">
        <v>16</v>
      </c>
      <c r="F2156" s="4" t="s">
        <v>17</v>
      </c>
      <c r="G2156" s="4" t="s">
        <v>18</v>
      </c>
      <c r="H2156" s="4" t="s">
        <v>231</v>
      </c>
      <c r="I2156" s="5" t="str">
        <f t="shared" si="33"/>
        <v>2025-08</v>
      </c>
      <c r="J2156" s="4" t="s">
        <v>20</v>
      </c>
      <c r="K2156" s="5" t="s">
        <v>342</v>
      </c>
      <c r="L2156" s="2">
        <v>55500</v>
      </c>
      <c r="M2156" s="3">
        <v>3</v>
      </c>
      <c r="N2156" s="2">
        <v>166500</v>
      </c>
      <c r="O2156" s="2">
        <v>16650</v>
      </c>
      <c r="P2156" s="2">
        <v>183150</v>
      </c>
      <c r="Q2156" s="2">
        <f>P2156*8.5%</f>
        <v>15567.750000000002</v>
      </c>
    </row>
    <row r="2157" spans="1:17" hidden="1" x14ac:dyDescent="0.4">
      <c r="A2157" s="4" t="s">
        <v>32</v>
      </c>
      <c r="B2157" s="4" t="s">
        <v>14</v>
      </c>
      <c r="C2157" s="31" t="s">
        <v>435</v>
      </c>
      <c r="D2157" s="4" t="s">
        <v>33</v>
      </c>
      <c r="E2157" s="4" t="s">
        <v>16</v>
      </c>
      <c r="F2157" s="4" t="s">
        <v>17</v>
      </c>
      <c r="G2157" s="4" t="s">
        <v>18</v>
      </c>
      <c r="H2157" s="4" t="s">
        <v>231</v>
      </c>
      <c r="I2157" s="5" t="str">
        <f t="shared" si="33"/>
        <v>2025-08</v>
      </c>
      <c r="J2157" s="4" t="s">
        <v>118</v>
      </c>
      <c r="K2157" s="5" t="s">
        <v>342</v>
      </c>
      <c r="L2157" s="2">
        <v>44000</v>
      </c>
      <c r="M2157" s="3">
        <v>1</v>
      </c>
      <c r="N2157" s="2">
        <v>44000</v>
      </c>
      <c r="O2157" s="2">
        <v>4400</v>
      </c>
      <c r="P2157" s="2">
        <v>48400</v>
      </c>
      <c r="Q2157" s="2">
        <f>P2157*8.5%</f>
        <v>4114</v>
      </c>
    </row>
    <row r="2158" spans="1:17" hidden="1" x14ac:dyDescent="0.4">
      <c r="A2158" s="4" t="s">
        <v>13</v>
      </c>
      <c r="B2158" s="4" t="s">
        <v>14</v>
      </c>
      <c r="C2158" s="30" t="s">
        <v>434</v>
      </c>
      <c r="D2158" s="4" t="s">
        <v>15</v>
      </c>
      <c r="E2158" s="4" t="s">
        <v>16</v>
      </c>
      <c r="F2158" s="4" t="s">
        <v>17</v>
      </c>
      <c r="G2158" s="4" t="s">
        <v>18</v>
      </c>
      <c r="H2158" s="4" t="s">
        <v>231</v>
      </c>
      <c r="I2158" s="5" t="str">
        <f t="shared" si="33"/>
        <v>2025-08</v>
      </c>
      <c r="J2158" s="4" t="s">
        <v>118</v>
      </c>
      <c r="K2158" s="5" t="s">
        <v>342</v>
      </c>
      <c r="L2158" s="2">
        <v>42000</v>
      </c>
      <c r="M2158" s="3">
        <v>9</v>
      </c>
      <c r="N2158" s="2">
        <v>378000</v>
      </c>
      <c r="O2158" s="2">
        <v>37800</v>
      </c>
      <c r="P2158" s="2">
        <v>415800</v>
      </c>
      <c r="Q2158" s="2">
        <f>P2158*8.5%</f>
        <v>35343</v>
      </c>
    </row>
    <row r="2159" spans="1:17" hidden="1" x14ac:dyDescent="0.4">
      <c r="A2159" s="4" t="s">
        <v>23</v>
      </c>
      <c r="B2159" s="4" t="s">
        <v>14</v>
      </c>
      <c r="C2159" s="31" t="s">
        <v>435</v>
      </c>
      <c r="D2159" s="4" t="s">
        <v>24</v>
      </c>
      <c r="E2159" s="4" t="s">
        <v>16</v>
      </c>
      <c r="F2159" s="4" t="s">
        <v>17</v>
      </c>
      <c r="G2159" s="4" t="s">
        <v>18</v>
      </c>
      <c r="H2159" s="4" t="s">
        <v>231</v>
      </c>
      <c r="I2159" s="5" t="str">
        <f t="shared" si="33"/>
        <v>2025-08</v>
      </c>
      <c r="J2159" s="4" t="s">
        <v>118</v>
      </c>
      <c r="K2159" s="5" t="s">
        <v>342</v>
      </c>
      <c r="L2159" s="2">
        <v>55500</v>
      </c>
      <c r="M2159" s="3">
        <v>3</v>
      </c>
      <c r="N2159" s="2">
        <v>166500</v>
      </c>
      <c r="O2159" s="2">
        <v>16650</v>
      </c>
      <c r="P2159" s="2">
        <v>183150</v>
      </c>
      <c r="Q2159" s="2">
        <f>P2159*8.5%</f>
        <v>15567.750000000002</v>
      </c>
    </row>
    <row r="2160" spans="1:17" hidden="1" x14ac:dyDescent="0.4">
      <c r="A2160" s="4" t="s">
        <v>51</v>
      </c>
      <c r="B2160" s="4" t="s">
        <v>14</v>
      </c>
      <c r="C2160" s="30" t="s">
        <v>434</v>
      </c>
      <c r="D2160" s="4" t="s">
        <v>52</v>
      </c>
      <c r="E2160" s="4" t="s">
        <v>16</v>
      </c>
      <c r="F2160" s="4" t="s">
        <v>17</v>
      </c>
      <c r="G2160" s="4" t="s">
        <v>18</v>
      </c>
      <c r="H2160" s="4" t="s">
        <v>231</v>
      </c>
      <c r="I2160" s="5" t="str">
        <f t="shared" si="33"/>
        <v>2025-08</v>
      </c>
      <c r="J2160" s="4" t="s">
        <v>118</v>
      </c>
      <c r="K2160" s="5" t="s">
        <v>342</v>
      </c>
      <c r="L2160" s="2">
        <v>73000</v>
      </c>
      <c r="M2160" s="3">
        <v>2</v>
      </c>
      <c r="N2160" s="2">
        <v>146000</v>
      </c>
      <c r="O2160" s="2">
        <v>14600</v>
      </c>
      <c r="P2160" s="2">
        <v>160600</v>
      </c>
      <c r="Q2160" s="2">
        <f>P2160*8.5%</f>
        <v>13651.000000000002</v>
      </c>
    </row>
    <row r="2161" spans="1:17" hidden="1" x14ac:dyDescent="0.4">
      <c r="A2161" s="4" t="s">
        <v>13</v>
      </c>
      <c r="B2161" s="4" t="s">
        <v>14</v>
      </c>
      <c r="C2161" s="30" t="s">
        <v>434</v>
      </c>
      <c r="D2161" s="4" t="s">
        <v>15</v>
      </c>
      <c r="E2161" s="4" t="s">
        <v>16</v>
      </c>
      <c r="F2161" s="4" t="s">
        <v>17</v>
      </c>
      <c r="G2161" s="4" t="s">
        <v>18</v>
      </c>
      <c r="H2161" s="4" t="s">
        <v>231</v>
      </c>
      <c r="I2161" s="5" t="str">
        <f t="shared" si="33"/>
        <v>2025-08</v>
      </c>
      <c r="J2161" s="4" t="s">
        <v>59</v>
      </c>
      <c r="K2161" s="5" t="s">
        <v>343</v>
      </c>
      <c r="L2161" s="2">
        <v>42000</v>
      </c>
      <c r="M2161" s="3">
        <v>4</v>
      </c>
      <c r="N2161" s="2">
        <v>168000</v>
      </c>
      <c r="O2161" s="2">
        <v>16800</v>
      </c>
      <c r="P2161" s="2">
        <v>184800</v>
      </c>
      <c r="Q2161" s="2">
        <f>P2161*12%</f>
        <v>22176</v>
      </c>
    </row>
    <row r="2162" spans="1:17" hidden="1" x14ac:dyDescent="0.4">
      <c r="A2162" s="4" t="s">
        <v>35</v>
      </c>
      <c r="B2162" s="4" t="s">
        <v>14</v>
      </c>
      <c r="C2162" s="30" t="s">
        <v>434</v>
      </c>
      <c r="D2162" s="4" t="s">
        <v>36</v>
      </c>
      <c r="E2162" s="4" t="s">
        <v>16</v>
      </c>
      <c r="F2162" s="4" t="s">
        <v>17</v>
      </c>
      <c r="G2162" s="4" t="s">
        <v>18</v>
      </c>
      <c r="H2162" s="4" t="s">
        <v>231</v>
      </c>
      <c r="I2162" s="5" t="str">
        <f t="shared" si="33"/>
        <v>2025-08</v>
      </c>
      <c r="J2162" s="4" t="s">
        <v>59</v>
      </c>
      <c r="K2162" s="5" t="s">
        <v>343</v>
      </c>
      <c r="L2162" s="2">
        <v>116220</v>
      </c>
      <c r="M2162" s="3">
        <v>1</v>
      </c>
      <c r="N2162" s="2">
        <v>116220</v>
      </c>
      <c r="O2162" s="2">
        <v>11622</v>
      </c>
      <c r="P2162" s="2">
        <v>127842</v>
      </c>
      <c r="Q2162" s="2">
        <f>P2162*12%</f>
        <v>15341.039999999999</v>
      </c>
    </row>
    <row r="2163" spans="1:17" hidden="1" x14ac:dyDescent="0.4">
      <c r="A2163" s="4" t="s">
        <v>23</v>
      </c>
      <c r="B2163" s="4" t="s">
        <v>14</v>
      </c>
      <c r="C2163" s="31" t="s">
        <v>435</v>
      </c>
      <c r="D2163" s="4" t="s">
        <v>24</v>
      </c>
      <c r="E2163" s="4" t="s">
        <v>16</v>
      </c>
      <c r="F2163" s="4" t="s">
        <v>17</v>
      </c>
      <c r="G2163" s="4" t="s">
        <v>18</v>
      </c>
      <c r="H2163" s="4" t="s">
        <v>231</v>
      </c>
      <c r="I2163" s="5" t="str">
        <f t="shared" si="33"/>
        <v>2025-08</v>
      </c>
      <c r="J2163" s="4" t="s">
        <v>59</v>
      </c>
      <c r="K2163" s="5" t="s">
        <v>343</v>
      </c>
      <c r="L2163" s="2">
        <v>55500</v>
      </c>
      <c r="M2163" s="3">
        <v>2</v>
      </c>
      <c r="N2163" s="2">
        <v>111000</v>
      </c>
      <c r="O2163" s="2">
        <v>11100</v>
      </c>
      <c r="P2163" s="2">
        <v>122100</v>
      </c>
      <c r="Q2163" s="2">
        <f>P2163*12%</f>
        <v>14652</v>
      </c>
    </row>
    <row r="2164" spans="1:17" hidden="1" x14ac:dyDescent="0.4">
      <c r="A2164" s="4" t="s">
        <v>51</v>
      </c>
      <c r="B2164" s="4" t="s">
        <v>14</v>
      </c>
      <c r="C2164" s="30" t="s">
        <v>434</v>
      </c>
      <c r="D2164" s="4" t="s">
        <v>52</v>
      </c>
      <c r="E2164" s="4" t="s">
        <v>16</v>
      </c>
      <c r="F2164" s="4" t="s">
        <v>17</v>
      </c>
      <c r="G2164" s="4" t="s">
        <v>18</v>
      </c>
      <c r="H2164" s="4" t="s">
        <v>231</v>
      </c>
      <c r="I2164" s="5" t="str">
        <f t="shared" si="33"/>
        <v>2025-08</v>
      </c>
      <c r="J2164" s="4" t="s">
        <v>59</v>
      </c>
      <c r="K2164" s="5" t="s">
        <v>343</v>
      </c>
      <c r="L2164" s="2">
        <v>73000</v>
      </c>
      <c r="M2164" s="3">
        <v>1</v>
      </c>
      <c r="N2164" s="2">
        <v>73000</v>
      </c>
      <c r="O2164" s="2">
        <v>7300</v>
      </c>
      <c r="P2164" s="2">
        <v>80300</v>
      </c>
      <c r="Q2164" s="2">
        <f>P2164*12%</f>
        <v>9636</v>
      </c>
    </row>
    <row r="2165" spans="1:17" hidden="1" x14ac:dyDescent="0.4">
      <c r="A2165" s="4" t="s">
        <v>32</v>
      </c>
      <c r="B2165" s="4" t="s">
        <v>14</v>
      </c>
      <c r="C2165" s="31" t="s">
        <v>435</v>
      </c>
      <c r="D2165" s="4" t="s">
        <v>33</v>
      </c>
      <c r="E2165" s="4" t="s">
        <v>16</v>
      </c>
      <c r="F2165" s="4" t="s">
        <v>17</v>
      </c>
      <c r="G2165" s="4" t="s">
        <v>18</v>
      </c>
      <c r="H2165" s="4" t="s">
        <v>231</v>
      </c>
      <c r="I2165" s="5" t="str">
        <f t="shared" si="33"/>
        <v>2025-08</v>
      </c>
      <c r="J2165" s="4" t="s">
        <v>49</v>
      </c>
      <c r="K2165" s="5" t="s">
        <v>343</v>
      </c>
      <c r="L2165" s="2">
        <v>44000</v>
      </c>
      <c r="M2165" s="3">
        <v>4</v>
      </c>
      <c r="N2165" s="2">
        <v>176000</v>
      </c>
      <c r="O2165" s="2">
        <v>17600</v>
      </c>
      <c r="P2165" s="2">
        <v>193600</v>
      </c>
      <c r="Q2165" s="2">
        <f>P2165*12%</f>
        <v>23232</v>
      </c>
    </row>
    <row r="2166" spans="1:17" hidden="1" x14ac:dyDescent="0.4">
      <c r="A2166" s="4" t="s">
        <v>13</v>
      </c>
      <c r="B2166" s="4" t="s">
        <v>14</v>
      </c>
      <c r="C2166" s="30" t="s">
        <v>434</v>
      </c>
      <c r="D2166" s="4" t="s">
        <v>15</v>
      </c>
      <c r="E2166" s="4" t="s">
        <v>16</v>
      </c>
      <c r="F2166" s="4" t="s">
        <v>17</v>
      </c>
      <c r="G2166" s="4" t="s">
        <v>18</v>
      </c>
      <c r="H2166" s="4" t="s">
        <v>231</v>
      </c>
      <c r="I2166" s="5" t="str">
        <f t="shared" si="33"/>
        <v>2025-08</v>
      </c>
      <c r="J2166" s="4" t="s">
        <v>49</v>
      </c>
      <c r="K2166" s="5" t="s">
        <v>343</v>
      </c>
      <c r="L2166" s="2">
        <v>42000</v>
      </c>
      <c r="M2166" s="3">
        <v>4</v>
      </c>
      <c r="N2166" s="2">
        <v>168000</v>
      </c>
      <c r="O2166" s="2">
        <v>16800</v>
      </c>
      <c r="P2166" s="2">
        <v>184800</v>
      </c>
      <c r="Q2166" s="2">
        <f>P2166*12%</f>
        <v>22176</v>
      </c>
    </row>
    <row r="2167" spans="1:17" hidden="1" x14ac:dyDescent="0.4">
      <c r="A2167" s="4" t="s">
        <v>35</v>
      </c>
      <c r="B2167" s="4" t="s">
        <v>14</v>
      </c>
      <c r="C2167" s="30" t="s">
        <v>434</v>
      </c>
      <c r="D2167" s="4" t="s">
        <v>36</v>
      </c>
      <c r="E2167" s="4" t="s">
        <v>16</v>
      </c>
      <c r="F2167" s="4" t="s">
        <v>17</v>
      </c>
      <c r="G2167" s="4" t="s">
        <v>18</v>
      </c>
      <c r="H2167" s="4" t="s">
        <v>231</v>
      </c>
      <c r="I2167" s="5" t="str">
        <f t="shared" si="33"/>
        <v>2025-08</v>
      </c>
      <c r="J2167" s="4" t="s">
        <v>49</v>
      </c>
      <c r="K2167" s="5" t="s">
        <v>343</v>
      </c>
      <c r="L2167" s="2">
        <v>116220</v>
      </c>
      <c r="M2167" s="3">
        <v>1</v>
      </c>
      <c r="N2167" s="2">
        <v>116220</v>
      </c>
      <c r="O2167" s="2">
        <v>11622</v>
      </c>
      <c r="P2167" s="2">
        <v>127842</v>
      </c>
      <c r="Q2167" s="2">
        <f>P2167*12%</f>
        <v>15341.039999999999</v>
      </c>
    </row>
    <row r="2168" spans="1:17" hidden="1" x14ac:dyDescent="0.4">
      <c r="A2168" s="4" t="s">
        <v>23</v>
      </c>
      <c r="B2168" s="4" t="s">
        <v>14</v>
      </c>
      <c r="C2168" s="31" t="s">
        <v>435</v>
      </c>
      <c r="D2168" s="4" t="s">
        <v>24</v>
      </c>
      <c r="E2168" s="4" t="s">
        <v>16</v>
      </c>
      <c r="F2168" s="4" t="s">
        <v>17</v>
      </c>
      <c r="G2168" s="4" t="s">
        <v>18</v>
      </c>
      <c r="H2168" s="4" t="s">
        <v>231</v>
      </c>
      <c r="I2168" s="5" t="str">
        <f t="shared" si="33"/>
        <v>2025-08</v>
      </c>
      <c r="J2168" s="4" t="s">
        <v>49</v>
      </c>
      <c r="K2168" s="5" t="s">
        <v>343</v>
      </c>
      <c r="L2168" s="2">
        <v>55500</v>
      </c>
      <c r="M2168" s="3">
        <v>1</v>
      </c>
      <c r="N2168" s="2">
        <v>55500</v>
      </c>
      <c r="O2168" s="2">
        <v>5550</v>
      </c>
      <c r="P2168" s="2">
        <v>61050</v>
      </c>
      <c r="Q2168" s="2">
        <f>P2168*12%</f>
        <v>7326</v>
      </c>
    </row>
    <row r="2169" spans="1:17" hidden="1" x14ac:dyDescent="0.4">
      <c r="A2169" s="4" t="s">
        <v>13</v>
      </c>
      <c r="B2169" s="4" t="s">
        <v>14</v>
      </c>
      <c r="C2169" s="30" t="s">
        <v>434</v>
      </c>
      <c r="D2169" s="4" t="s">
        <v>15</v>
      </c>
      <c r="E2169" s="4" t="s">
        <v>16</v>
      </c>
      <c r="F2169" s="4" t="s">
        <v>17</v>
      </c>
      <c r="G2169" s="4" t="s">
        <v>18</v>
      </c>
      <c r="H2169" s="4" t="s">
        <v>231</v>
      </c>
      <c r="I2169" s="5" t="str">
        <f t="shared" si="33"/>
        <v>2025-08</v>
      </c>
      <c r="J2169" s="4" t="s">
        <v>50</v>
      </c>
      <c r="K2169" s="5" t="s">
        <v>343</v>
      </c>
      <c r="L2169" s="2">
        <v>42000</v>
      </c>
      <c r="M2169" s="3">
        <v>10</v>
      </c>
      <c r="N2169" s="2">
        <v>420000</v>
      </c>
      <c r="O2169" s="2">
        <v>42000</v>
      </c>
      <c r="P2169" s="2">
        <v>462000</v>
      </c>
      <c r="Q2169" s="2">
        <f>P2169*12%</f>
        <v>55440</v>
      </c>
    </row>
    <row r="2170" spans="1:17" hidden="1" x14ac:dyDescent="0.4">
      <c r="A2170" s="4" t="s">
        <v>23</v>
      </c>
      <c r="B2170" s="4" t="s">
        <v>14</v>
      </c>
      <c r="C2170" s="31" t="s">
        <v>435</v>
      </c>
      <c r="D2170" s="4" t="s">
        <v>24</v>
      </c>
      <c r="E2170" s="4" t="s">
        <v>16</v>
      </c>
      <c r="F2170" s="4" t="s">
        <v>17</v>
      </c>
      <c r="G2170" s="4" t="s">
        <v>18</v>
      </c>
      <c r="H2170" s="4" t="s">
        <v>231</v>
      </c>
      <c r="I2170" s="5" t="str">
        <f t="shared" si="33"/>
        <v>2025-08</v>
      </c>
      <c r="J2170" s="4" t="s">
        <v>50</v>
      </c>
      <c r="K2170" s="5" t="s">
        <v>343</v>
      </c>
      <c r="L2170" s="2">
        <v>55500</v>
      </c>
      <c r="M2170" s="3">
        <v>5</v>
      </c>
      <c r="N2170" s="2">
        <v>277500</v>
      </c>
      <c r="O2170" s="2">
        <v>27750</v>
      </c>
      <c r="P2170" s="2">
        <v>305250</v>
      </c>
      <c r="Q2170" s="2">
        <f>P2170*12%</f>
        <v>36630</v>
      </c>
    </row>
    <row r="2171" spans="1:17" hidden="1" x14ac:dyDescent="0.4">
      <c r="A2171" s="4" t="s">
        <v>51</v>
      </c>
      <c r="B2171" s="4" t="s">
        <v>14</v>
      </c>
      <c r="C2171" s="30" t="s">
        <v>434</v>
      </c>
      <c r="D2171" s="4" t="s">
        <v>52</v>
      </c>
      <c r="E2171" s="4" t="s">
        <v>16</v>
      </c>
      <c r="F2171" s="4" t="s">
        <v>17</v>
      </c>
      <c r="G2171" s="4" t="s">
        <v>18</v>
      </c>
      <c r="H2171" s="4" t="s">
        <v>231</v>
      </c>
      <c r="I2171" s="5" t="str">
        <f t="shared" si="33"/>
        <v>2025-08</v>
      </c>
      <c r="J2171" s="4" t="s">
        <v>50</v>
      </c>
      <c r="K2171" s="5" t="s">
        <v>343</v>
      </c>
      <c r="L2171" s="2">
        <v>73000</v>
      </c>
      <c r="M2171" s="3">
        <v>2</v>
      </c>
      <c r="N2171" s="2">
        <v>146000</v>
      </c>
      <c r="O2171" s="2">
        <v>14600</v>
      </c>
      <c r="P2171" s="2">
        <v>160600</v>
      </c>
      <c r="Q2171" s="2">
        <f>P2171*12%</f>
        <v>19272</v>
      </c>
    </row>
    <row r="2172" spans="1:17" x14ac:dyDescent="0.4">
      <c r="A2172" s="4" t="s">
        <v>13</v>
      </c>
      <c r="B2172" s="4" t="s">
        <v>14</v>
      </c>
      <c r="C2172" s="30" t="s">
        <v>434</v>
      </c>
      <c r="D2172" s="4" t="s">
        <v>15</v>
      </c>
      <c r="E2172" s="4" t="s">
        <v>16</v>
      </c>
      <c r="F2172" s="4" t="s">
        <v>17</v>
      </c>
      <c r="G2172" s="4" t="s">
        <v>18</v>
      </c>
      <c r="H2172" s="4" t="s">
        <v>232</v>
      </c>
      <c r="I2172" s="5" t="str">
        <f t="shared" si="33"/>
        <v>2025-08</v>
      </c>
      <c r="J2172" s="4" t="s">
        <v>20</v>
      </c>
      <c r="K2172" s="5" t="s">
        <v>342</v>
      </c>
      <c r="L2172" s="2">
        <v>42000</v>
      </c>
      <c r="M2172" s="3">
        <v>1</v>
      </c>
      <c r="N2172" s="2">
        <v>42000</v>
      </c>
      <c r="O2172" s="2">
        <v>4200</v>
      </c>
      <c r="P2172" s="2">
        <v>46200</v>
      </c>
      <c r="Q2172" s="2">
        <f>P2172*8.5%</f>
        <v>3927.0000000000005</v>
      </c>
    </row>
    <row r="2173" spans="1:17" x14ac:dyDescent="0.4">
      <c r="A2173" s="4" t="s">
        <v>21</v>
      </c>
      <c r="B2173" s="4" t="s">
        <v>14</v>
      </c>
      <c r="C2173" s="31" t="s">
        <v>435</v>
      </c>
      <c r="D2173" s="4" t="s">
        <v>22</v>
      </c>
      <c r="E2173" s="4" t="s">
        <v>16</v>
      </c>
      <c r="F2173" s="4" t="s">
        <v>17</v>
      </c>
      <c r="G2173" s="4" t="s">
        <v>18</v>
      </c>
      <c r="H2173" s="4" t="s">
        <v>232</v>
      </c>
      <c r="I2173" s="5" t="str">
        <f t="shared" si="33"/>
        <v>2025-08</v>
      </c>
      <c r="J2173" s="4" t="s">
        <v>20</v>
      </c>
      <c r="K2173" s="5" t="s">
        <v>342</v>
      </c>
      <c r="L2173" s="2">
        <v>55500</v>
      </c>
      <c r="M2173" s="3">
        <v>1</v>
      </c>
      <c r="N2173" s="2">
        <v>55500</v>
      </c>
      <c r="O2173" s="2">
        <v>5550</v>
      </c>
      <c r="P2173" s="2">
        <v>61050</v>
      </c>
      <c r="Q2173" s="2">
        <f>P2173*8.5%</f>
        <v>5189.25</v>
      </c>
    </row>
    <row r="2174" spans="1:17" x14ac:dyDescent="0.4">
      <c r="A2174" s="4" t="s">
        <v>23</v>
      </c>
      <c r="B2174" s="4" t="s">
        <v>14</v>
      </c>
      <c r="C2174" s="31" t="s">
        <v>435</v>
      </c>
      <c r="D2174" s="4" t="s">
        <v>24</v>
      </c>
      <c r="E2174" s="4" t="s">
        <v>16</v>
      </c>
      <c r="F2174" s="4" t="s">
        <v>17</v>
      </c>
      <c r="G2174" s="4" t="s">
        <v>18</v>
      </c>
      <c r="H2174" s="4" t="s">
        <v>232</v>
      </c>
      <c r="I2174" s="5" t="str">
        <f t="shared" si="33"/>
        <v>2025-08</v>
      </c>
      <c r="J2174" s="4" t="s">
        <v>20</v>
      </c>
      <c r="K2174" s="5" t="s">
        <v>342</v>
      </c>
      <c r="L2174" s="2">
        <v>55500</v>
      </c>
      <c r="M2174" s="3">
        <v>3</v>
      </c>
      <c r="N2174" s="2">
        <v>166500</v>
      </c>
      <c r="O2174" s="2">
        <v>16650</v>
      </c>
      <c r="P2174" s="2">
        <v>183150</v>
      </c>
      <c r="Q2174" s="2">
        <f>P2174*8.5%</f>
        <v>15567.750000000002</v>
      </c>
    </row>
    <row r="2175" spans="1:17" x14ac:dyDescent="0.4">
      <c r="A2175" s="4" t="s">
        <v>76</v>
      </c>
      <c r="B2175" s="4" t="s">
        <v>65</v>
      </c>
      <c r="C2175" s="32" t="s">
        <v>436</v>
      </c>
      <c r="D2175" s="4" t="s">
        <v>27</v>
      </c>
      <c r="E2175" s="4" t="s">
        <v>28</v>
      </c>
      <c r="F2175" s="4" t="s">
        <v>17</v>
      </c>
      <c r="G2175" s="4" t="s">
        <v>18</v>
      </c>
      <c r="H2175" s="4" t="s">
        <v>232</v>
      </c>
      <c r="I2175" s="5" t="str">
        <f t="shared" si="33"/>
        <v>2025-08</v>
      </c>
      <c r="J2175" s="4" t="s">
        <v>20</v>
      </c>
      <c r="K2175" s="5" t="s">
        <v>342</v>
      </c>
      <c r="L2175" s="2">
        <v>17338</v>
      </c>
      <c r="M2175" s="3">
        <v>1</v>
      </c>
      <c r="N2175" s="2">
        <v>17338</v>
      </c>
      <c r="O2175" s="2">
        <v>1734</v>
      </c>
      <c r="P2175" s="2">
        <v>19072</v>
      </c>
      <c r="Q2175" s="2">
        <f>P2175*8.5%</f>
        <v>1621.1200000000001</v>
      </c>
    </row>
    <row r="2176" spans="1:17" x14ac:dyDescent="0.4">
      <c r="A2176" s="4" t="s">
        <v>54</v>
      </c>
      <c r="B2176" s="4" t="s">
        <v>26</v>
      </c>
      <c r="C2176" s="32" t="s">
        <v>436</v>
      </c>
      <c r="D2176" s="4" t="s">
        <v>55</v>
      </c>
      <c r="E2176" s="4" t="s">
        <v>28</v>
      </c>
      <c r="F2176" s="4" t="s">
        <v>31</v>
      </c>
      <c r="G2176" s="4" t="s">
        <v>18</v>
      </c>
      <c r="H2176" s="4" t="s">
        <v>232</v>
      </c>
      <c r="I2176" s="5" t="str">
        <f t="shared" si="33"/>
        <v>2025-08</v>
      </c>
      <c r="J2176" s="4" t="s">
        <v>20</v>
      </c>
      <c r="K2176" s="5" t="s">
        <v>342</v>
      </c>
      <c r="L2176" s="2">
        <v>5919</v>
      </c>
      <c r="M2176" s="3">
        <v>1</v>
      </c>
      <c r="N2176" s="2">
        <v>5919</v>
      </c>
      <c r="O2176" s="2">
        <v>0</v>
      </c>
      <c r="P2176" s="2">
        <v>5919</v>
      </c>
      <c r="Q2176" s="2">
        <f>P2176*8.5%</f>
        <v>503.11500000000001</v>
      </c>
    </row>
    <row r="2177" spans="1:17" x14ac:dyDescent="0.4">
      <c r="A2177" s="4" t="s">
        <v>25</v>
      </c>
      <c r="B2177" s="4" t="s">
        <v>26</v>
      </c>
      <c r="C2177" s="32" t="s">
        <v>436</v>
      </c>
      <c r="D2177" s="4" t="s">
        <v>27</v>
      </c>
      <c r="E2177" s="4" t="s">
        <v>28</v>
      </c>
      <c r="F2177" s="4" t="s">
        <v>17</v>
      </c>
      <c r="G2177" s="4" t="s">
        <v>18</v>
      </c>
      <c r="H2177" s="4" t="s">
        <v>232</v>
      </c>
      <c r="I2177" s="5" t="str">
        <f t="shared" si="33"/>
        <v>2025-08</v>
      </c>
      <c r="J2177" s="4" t="s">
        <v>20</v>
      </c>
      <c r="K2177" s="5" t="s">
        <v>342</v>
      </c>
      <c r="L2177" s="2">
        <v>2631</v>
      </c>
      <c r="M2177" s="3">
        <v>2</v>
      </c>
      <c r="N2177" s="2">
        <v>5262</v>
      </c>
      <c r="O2177" s="2">
        <v>526</v>
      </c>
      <c r="P2177" s="2">
        <v>5788</v>
      </c>
      <c r="Q2177" s="2">
        <f>P2177*8.5%</f>
        <v>491.98</v>
      </c>
    </row>
    <row r="2178" spans="1:17" x14ac:dyDescent="0.4">
      <c r="A2178" s="4" t="s">
        <v>56</v>
      </c>
      <c r="B2178" s="4" t="s">
        <v>26</v>
      </c>
      <c r="C2178" s="32" t="s">
        <v>436</v>
      </c>
      <c r="D2178" s="4" t="s">
        <v>57</v>
      </c>
      <c r="E2178" s="4" t="s">
        <v>44</v>
      </c>
      <c r="F2178" s="4" t="s">
        <v>31</v>
      </c>
      <c r="G2178" s="4" t="s">
        <v>18</v>
      </c>
      <c r="H2178" s="4" t="s">
        <v>232</v>
      </c>
      <c r="I2178" s="5" t="str">
        <f t="shared" ref="I2178:I2241" si="34">TEXT(H2178,"yyyy-mm")</f>
        <v>2025-08</v>
      </c>
      <c r="J2178" s="4" t="s">
        <v>20</v>
      </c>
      <c r="K2178" s="5" t="s">
        <v>342</v>
      </c>
      <c r="L2178" s="2">
        <v>3049</v>
      </c>
      <c r="M2178" s="3">
        <v>20</v>
      </c>
      <c r="N2178" s="2">
        <v>60980</v>
      </c>
      <c r="O2178" s="2">
        <v>0</v>
      </c>
      <c r="P2178" s="2">
        <v>60980</v>
      </c>
      <c r="Q2178" s="2">
        <f>P2178*8.5%</f>
        <v>5183.3</v>
      </c>
    </row>
    <row r="2179" spans="1:17" x14ac:dyDescent="0.4">
      <c r="A2179" s="4" t="s">
        <v>56</v>
      </c>
      <c r="B2179" s="4" t="s">
        <v>26</v>
      </c>
      <c r="C2179" s="32" t="s">
        <v>436</v>
      </c>
      <c r="D2179" s="4" t="s">
        <v>57</v>
      </c>
      <c r="E2179" s="4" t="s">
        <v>44</v>
      </c>
      <c r="F2179" s="4" t="s">
        <v>31</v>
      </c>
      <c r="G2179" s="4" t="s">
        <v>233</v>
      </c>
      <c r="H2179" s="4" t="s">
        <v>232</v>
      </c>
      <c r="I2179" s="5" t="str">
        <f t="shared" si="34"/>
        <v>2025-08</v>
      </c>
      <c r="J2179" s="4" t="s">
        <v>20</v>
      </c>
      <c r="K2179" s="5" t="s">
        <v>342</v>
      </c>
      <c r="L2179" s="2">
        <v>3049</v>
      </c>
      <c r="M2179" s="3">
        <v>-4</v>
      </c>
      <c r="N2179" s="2">
        <v>-12196</v>
      </c>
      <c r="O2179" s="2">
        <v>0</v>
      </c>
      <c r="P2179" s="2">
        <v>-12196</v>
      </c>
      <c r="Q2179" s="2">
        <f>P2179*8.5%</f>
        <v>-1036.6600000000001</v>
      </c>
    </row>
    <row r="2180" spans="1:17" hidden="1" x14ac:dyDescent="0.4">
      <c r="A2180" s="4" t="s">
        <v>32</v>
      </c>
      <c r="B2180" s="4" t="s">
        <v>14</v>
      </c>
      <c r="C2180" s="31" t="s">
        <v>435</v>
      </c>
      <c r="D2180" s="4" t="s">
        <v>33</v>
      </c>
      <c r="E2180" s="4" t="s">
        <v>16</v>
      </c>
      <c r="F2180" s="4" t="s">
        <v>17</v>
      </c>
      <c r="G2180" s="4" t="s">
        <v>18</v>
      </c>
      <c r="H2180" s="4" t="s">
        <v>232</v>
      </c>
      <c r="I2180" s="5" t="str">
        <f t="shared" si="34"/>
        <v>2025-08</v>
      </c>
      <c r="J2180" s="4" t="s">
        <v>118</v>
      </c>
      <c r="K2180" s="5" t="s">
        <v>342</v>
      </c>
      <c r="L2180" s="2">
        <v>44000</v>
      </c>
      <c r="M2180" s="3">
        <v>1</v>
      </c>
      <c r="N2180" s="2">
        <v>44000</v>
      </c>
      <c r="O2180" s="2">
        <v>4400</v>
      </c>
      <c r="P2180" s="2">
        <v>48400</v>
      </c>
      <c r="Q2180" s="2">
        <f>P2180*8.5%</f>
        <v>4114</v>
      </c>
    </row>
    <row r="2181" spans="1:17" hidden="1" x14ac:dyDescent="0.4">
      <c r="A2181" s="4" t="s">
        <v>13</v>
      </c>
      <c r="B2181" s="4" t="s">
        <v>14</v>
      </c>
      <c r="C2181" s="30" t="s">
        <v>434</v>
      </c>
      <c r="D2181" s="4" t="s">
        <v>15</v>
      </c>
      <c r="E2181" s="4" t="s">
        <v>16</v>
      </c>
      <c r="F2181" s="4" t="s">
        <v>17</v>
      </c>
      <c r="G2181" s="4" t="s">
        <v>18</v>
      </c>
      <c r="H2181" s="4" t="s">
        <v>232</v>
      </c>
      <c r="I2181" s="5" t="str">
        <f t="shared" si="34"/>
        <v>2025-08</v>
      </c>
      <c r="J2181" s="4" t="s">
        <v>118</v>
      </c>
      <c r="K2181" s="5" t="s">
        <v>342</v>
      </c>
      <c r="L2181" s="2">
        <v>42000</v>
      </c>
      <c r="M2181" s="3">
        <v>4</v>
      </c>
      <c r="N2181" s="2">
        <v>168000</v>
      </c>
      <c r="O2181" s="2">
        <v>16800</v>
      </c>
      <c r="P2181" s="2">
        <v>184800</v>
      </c>
      <c r="Q2181" s="2">
        <f>P2181*8.5%</f>
        <v>15708.000000000002</v>
      </c>
    </row>
    <row r="2182" spans="1:17" hidden="1" x14ac:dyDescent="0.4">
      <c r="A2182" s="4" t="s">
        <v>23</v>
      </c>
      <c r="B2182" s="4" t="s">
        <v>14</v>
      </c>
      <c r="C2182" s="31" t="s">
        <v>435</v>
      </c>
      <c r="D2182" s="4" t="s">
        <v>24</v>
      </c>
      <c r="E2182" s="4" t="s">
        <v>16</v>
      </c>
      <c r="F2182" s="4" t="s">
        <v>17</v>
      </c>
      <c r="G2182" s="4" t="s">
        <v>18</v>
      </c>
      <c r="H2182" s="4" t="s">
        <v>232</v>
      </c>
      <c r="I2182" s="5" t="str">
        <f t="shared" si="34"/>
        <v>2025-08</v>
      </c>
      <c r="J2182" s="4" t="s">
        <v>118</v>
      </c>
      <c r="K2182" s="5" t="s">
        <v>342</v>
      </c>
      <c r="L2182" s="2">
        <v>55500</v>
      </c>
      <c r="M2182" s="3">
        <v>1</v>
      </c>
      <c r="N2182" s="2">
        <v>55500</v>
      </c>
      <c r="O2182" s="2">
        <v>5550</v>
      </c>
      <c r="P2182" s="2">
        <v>61050</v>
      </c>
      <c r="Q2182" s="2">
        <f>P2182*8.5%</f>
        <v>5189.25</v>
      </c>
    </row>
    <row r="2183" spans="1:17" hidden="1" x14ac:dyDescent="0.4">
      <c r="A2183" s="4" t="s">
        <v>64</v>
      </c>
      <c r="B2183" s="4" t="s">
        <v>65</v>
      </c>
      <c r="C2183" s="32" t="s">
        <v>436</v>
      </c>
      <c r="D2183" s="4" t="s">
        <v>66</v>
      </c>
      <c r="E2183" s="4" t="s">
        <v>16</v>
      </c>
      <c r="F2183" s="4" t="s">
        <v>17</v>
      </c>
      <c r="G2183" s="4" t="s">
        <v>18</v>
      </c>
      <c r="H2183" s="4" t="s">
        <v>232</v>
      </c>
      <c r="I2183" s="5" t="str">
        <f t="shared" si="34"/>
        <v>2025-08</v>
      </c>
      <c r="J2183" s="4" t="s">
        <v>34</v>
      </c>
      <c r="K2183" s="5" t="s">
        <v>342</v>
      </c>
      <c r="L2183" s="2">
        <v>10283</v>
      </c>
      <c r="M2183" s="3">
        <v>1</v>
      </c>
      <c r="N2183" s="2">
        <v>10283</v>
      </c>
      <c r="O2183" s="2">
        <v>1028</v>
      </c>
      <c r="P2183" s="2">
        <v>11311</v>
      </c>
      <c r="Q2183" s="2">
        <f>P2183*8.5%</f>
        <v>961.43500000000006</v>
      </c>
    </row>
    <row r="2184" spans="1:17" hidden="1" x14ac:dyDescent="0.4">
      <c r="A2184" s="4" t="s">
        <v>32</v>
      </c>
      <c r="B2184" s="4" t="s">
        <v>14</v>
      </c>
      <c r="C2184" s="31" t="s">
        <v>435</v>
      </c>
      <c r="D2184" s="4" t="s">
        <v>33</v>
      </c>
      <c r="E2184" s="4" t="s">
        <v>16</v>
      </c>
      <c r="F2184" s="4" t="s">
        <v>17</v>
      </c>
      <c r="G2184" s="4" t="s">
        <v>18</v>
      </c>
      <c r="H2184" s="4" t="s">
        <v>232</v>
      </c>
      <c r="I2184" s="5" t="str">
        <f t="shared" si="34"/>
        <v>2025-08</v>
      </c>
      <c r="J2184" s="4" t="s">
        <v>34</v>
      </c>
      <c r="K2184" s="5" t="s">
        <v>342</v>
      </c>
      <c r="L2184" s="2">
        <v>44000</v>
      </c>
      <c r="M2184" s="3">
        <v>2</v>
      </c>
      <c r="N2184" s="2">
        <v>88000</v>
      </c>
      <c r="O2184" s="2">
        <v>8800</v>
      </c>
      <c r="P2184" s="2">
        <v>96800</v>
      </c>
      <c r="Q2184" s="2">
        <f>P2184*8.5%</f>
        <v>8228</v>
      </c>
    </row>
    <row r="2185" spans="1:17" hidden="1" x14ac:dyDescent="0.4">
      <c r="A2185" s="4" t="s">
        <v>13</v>
      </c>
      <c r="B2185" s="4" t="s">
        <v>14</v>
      </c>
      <c r="C2185" s="30" t="s">
        <v>434</v>
      </c>
      <c r="D2185" s="4" t="s">
        <v>15</v>
      </c>
      <c r="E2185" s="4" t="s">
        <v>16</v>
      </c>
      <c r="F2185" s="4" t="s">
        <v>17</v>
      </c>
      <c r="G2185" s="4" t="s">
        <v>18</v>
      </c>
      <c r="H2185" s="4" t="s">
        <v>232</v>
      </c>
      <c r="I2185" s="5" t="str">
        <f t="shared" si="34"/>
        <v>2025-08</v>
      </c>
      <c r="J2185" s="4" t="s">
        <v>34</v>
      </c>
      <c r="K2185" s="5" t="s">
        <v>342</v>
      </c>
      <c r="L2185" s="2">
        <v>42000</v>
      </c>
      <c r="M2185" s="3">
        <v>7</v>
      </c>
      <c r="N2185" s="2">
        <v>294000</v>
      </c>
      <c r="O2185" s="2">
        <v>29400</v>
      </c>
      <c r="P2185" s="2">
        <v>323400</v>
      </c>
      <c r="Q2185" s="2">
        <f>P2185*8.5%</f>
        <v>27489.000000000004</v>
      </c>
    </row>
    <row r="2186" spans="1:17" hidden="1" x14ac:dyDescent="0.4">
      <c r="A2186" s="4" t="s">
        <v>21</v>
      </c>
      <c r="B2186" s="4" t="s">
        <v>14</v>
      </c>
      <c r="C2186" s="31" t="s">
        <v>435</v>
      </c>
      <c r="D2186" s="4" t="s">
        <v>22</v>
      </c>
      <c r="E2186" s="4" t="s">
        <v>16</v>
      </c>
      <c r="F2186" s="4" t="s">
        <v>17</v>
      </c>
      <c r="G2186" s="4" t="s">
        <v>18</v>
      </c>
      <c r="H2186" s="4" t="s">
        <v>232</v>
      </c>
      <c r="I2186" s="5" t="str">
        <f t="shared" si="34"/>
        <v>2025-08</v>
      </c>
      <c r="J2186" s="4" t="s">
        <v>34</v>
      </c>
      <c r="K2186" s="5" t="s">
        <v>342</v>
      </c>
      <c r="L2186" s="2">
        <v>55500</v>
      </c>
      <c r="M2186" s="3">
        <v>2</v>
      </c>
      <c r="N2186" s="2">
        <v>111000</v>
      </c>
      <c r="O2186" s="2">
        <v>11100</v>
      </c>
      <c r="P2186" s="2">
        <v>122100</v>
      </c>
      <c r="Q2186" s="2">
        <f>P2186*8.5%</f>
        <v>10378.5</v>
      </c>
    </row>
    <row r="2187" spans="1:17" hidden="1" x14ac:dyDescent="0.4">
      <c r="A2187" s="4" t="s">
        <v>23</v>
      </c>
      <c r="B2187" s="4" t="s">
        <v>14</v>
      </c>
      <c r="C2187" s="31" t="s">
        <v>435</v>
      </c>
      <c r="D2187" s="4" t="s">
        <v>24</v>
      </c>
      <c r="E2187" s="4" t="s">
        <v>16</v>
      </c>
      <c r="F2187" s="4" t="s">
        <v>17</v>
      </c>
      <c r="G2187" s="4" t="s">
        <v>18</v>
      </c>
      <c r="H2187" s="4" t="s">
        <v>232</v>
      </c>
      <c r="I2187" s="5" t="str">
        <f t="shared" si="34"/>
        <v>2025-08</v>
      </c>
      <c r="J2187" s="4" t="s">
        <v>34</v>
      </c>
      <c r="K2187" s="5" t="s">
        <v>342</v>
      </c>
      <c r="L2187" s="2">
        <v>55500</v>
      </c>
      <c r="M2187" s="3">
        <v>4</v>
      </c>
      <c r="N2187" s="2">
        <v>222000</v>
      </c>
      <c r="O2187" s="2">
        <v>22200</v>
      </c>
      <c r="P2187" s="2">
        <v>244200</v>
      </c>
      <c r="Q2187" s="2">
        <f>P2187*8.5%</f>
        <v>20757</v>
      </c>
    </row>
    <row r="2188" spans="1:17" hidden="1" x14ac:dyDescent="0.4">
      <c r="A2188" s="4" t="s">
        <v>51</v>
      </c>
      <c r="B2188" s="4" t="s">
        <v>14</v>
      </c>
      <c r="C2188" s="30" t="s">
        <v>434</v>
      </c>
      <c r="D2188" s="4" t="s">
        <v>52</v>
      </c>
      <c r="E2188" s="4" t="s">
        <v>16</v>
      </c>
      <c r="F2188" s="4" t="s">
        <v>17</v>
      </c>
      <c r="G2188" s="4" t="s">
        <v>18</v>
      </c>
      <c r="H2188" s="4" t="s">
        <v>232</v>
      </c>
      <c r="I2188" s="5" t="str">
        <f t="shared" si="34"/>
        <v>2025-08</v>
      </c>
      <c r="J2188" s="4" t="s">
        <v>34</v>
      </c>
      <c r="K2188" s="5" t="s">
        <v>342</v>
      </c>
      <c r="L2188" s="2">
        <v>73000</v>
      </c>
      <c r="M2188" s="3">
        <v>1</v>
      </c>
      <c r="N2188" s="2">
        <v>73000</v>
      </c>
      <c r="O2188" s="2">
        <v>7300</v>
      </c>
      <c r="P2188" s="2">
        <v>80300</v>
      </c>
      <c r="Q2188" s="2">
        <f>P2188*8.5%</f>
        <v>6825.5000000000009</v>
      </c>
    </row>
    <row r="2189" spans="1:17" hidden="1" x14ac:dyDescent="0.4">
      <c r="A2189" s="4" t="s">
        <v>234</v>
      </c>
      <c r="B2189" s="4" t="s">
        <v>26</v>
      </c>
      <c r="C2189" s="32" t="s">
        <v>436</v>
      </c>
      <c r="D2189" s="4" t="s">
        <v>235</v>
      </c>
      <c r="E2189" s="4" t="s">
        <v>28</v>
      </c>
      <c r="F2189" s="4" t="s">
        <v>17</v>
      </c>
      <c r="G2189" s="4" t="s">
        <v>18</v>
      </c>
      <c r="H2189" s="4" t="s">
        <v>232</v>
      </c>
      <c r="I2189" s="5" t="str">
        <f t="shared" si="34"/>
        <v>2025-08</v>
      </c>
      <c r="J2189" s="4" t="s">
        <v>34</v>
      </c>
      <c r="K2189" s="5" t="s">
        <v>342</v>
      </c>
      <c r="L2189" s="2">
        <v>8370</v>
      </c>
      <c r="M2189" s="3">
        <v>1</v>
      </c>
      <c r="N2189" s="2">
        <v>8370</v>
      </c>
      <c r="O2189" s="2">
        <v>837</v>
      </c>
      <c r="P2189" s="2">
        <v>9207</v>
      </c>
      <c r="Q2189" s="2">
        <f>P2189*8.5%</f>
        <v>782.59500000000003</v>
      </c>
    </row>
    <row r="2190" spans="1:17" hidden="1" x14ac:dyDescent="0.4">
      <c r="A2190" s="4" t="s">
        <v>42</v>
      </c>
      <c r="B2190" s="4" t="s">
        <v>14</v>
      </c>
      <c r="C2190" s="30" t="s">
        <v>434</v>
      </c>
      <c r="D2190" s="4" t="s">
        <v>43</v>
      </c>
      <c r="E2190" s="4" t="s">
        <v>44</v>
      </c>
      <c r="F2190" s="4" t="s">
        <v>31</v>
      </c>
      <c r="G2190" s="4" t="s">
        <v>18</v>
      </c>
      <c r="H2190" s="4" t="s">
        <v>232</v>
      </c>
      <c r="I2190" s="5" t="str">
        <f t="shared" si="34"/>
        <v>2025-08</v>
      </c>
      <c r="J2190" s="4" t="s">
        <v>34</v>
      </c>
      <c r="K2190" s="5" t="s">
        <v>342</v>
      </c>
      <c r="L2190" s="2">
        <v>7300</v>
      </c>
      <c r="M2190" s="3">
        <v>92.6</v>
      </c>
      <c r="N2190" s="2">
        <v>675980</v>
      </c>
      <c r="O2190" s="2">
        <v>0</v>
      </c>
      <c r="P2190" s="2">
        <v>675980</v>
      </c>
      <c r="Q2190" s="2">
        <f>P2190*8.5%</f>
        <v>57458.3</v>
      </c>
    </row>
    <row r="2191" spans="1:17" hidden="1" x14ac:dyDescent="0.4">
      <c r="A2191" s="4" t="s">
        <v>222</v>
      </c>
      <c r="B2191" s="4" t="s">
        <v>26</v>
      </c>
      <c r="C2191" s="32" t="s">
        <v>436</v>
      </c>
      <c r="D2191" s="4" t="s">
        <v>203</v>
      </c>
      <c r="E2191" s="4" t="s">
        <v>47</v>
      </c>
      <c r="F2191" s="4" t="s">
        <v>17</v>
      </c>
      <c r="G2191" s="4" t="s">
        <v>18</v>
      </c>
      <c r="H2191" s="4" t="s">
        <v>232</v>
      </c>
      <c r="I2191" s="5" t="str">
        <f t="shared" si="34"/>
        <v>2025-08</v>
      </c>
      <c r="J2191" s="4" t="s">
        <v>34</v>
      </c>
      <c r="K2191" s="5" t="s">
        <v>342</v>
      </c>
      <c r="L2191" s="2">
        <v>13153</v>
      </c>
      <c r="M2191" s="3">
        <v>1</v>
      </c>
      <c r="N2191" s="2">
        <v>13153</v>
      </c>
      <c r="O2191" s="2">
        <v>1315</v>
      </c>
      <c r="P2191" s="2">
        <v>14468</v>
      </c>
      <c r="Q2191" s="2">
        <f>P2191*8.5%</f>
        <v>1229.7800000000002</v>
      </c>
    </row>
    <row r="2192" spans="1:17" hidden="1" x14ac:dyDescent="0.4">
      <c r="A2192" s="4" t="s">
        <v>202</v>
      </c>
      <c r="B2192" s="4" t="s">
        <v>26</v>
      </c>
      <c r="C2192" s="32" t="s">
        <v>436</v>
      </c>
      <c r="D2192" s="4" t="s">
        <v>203</v>
      </c>
      <c r="E2192" s="4" t="s">
        <v>47</v>
      </c>
      <c r="F2192" s="4" t="s">
        <v>17</v>
      </c>
      <c r="G2192" s="4" t="s">
        <v>18</v>
      </c>
      <c r="H2192" s="4" t="s">
        <v>232</v>
      </c>
      <c r="I2192" s="5" t="str">
        <f t="shared" si="34"/>
        <v>2025-08</v>
      </c>
      <c r="J2192" s="4" t="s">
        <v>34</v>
      </c>
      <c r="K2192" s="5" t="s">
        <v>342</v>
      </c>
      <c r="L2192" s="2">
        <v>13153</v>
      </c>
      <c r="M2192" s="3">
        <v>1</v>
      </c>
      <c r="N2192" s="2">
        <v>13153</v>
      </c>
      <c r="O2192" s="2">
        <v>1315</v>
      </c>
      <c r="P2192" s="2">
        <v>14468</v>
      </c>
      <c r="Q2192" s="2">
        <f>P2192*8.5%</f>
        <v>1229.7800000000002</v>
      </c>
    </row>
    <row r="2193" spans="1:17" hidden="1" x14ac:dyDescent="0.4">
      <c r="A2193" s="4" t="s">
        <v>13</v>
      </c>
      <c r="B2193" s="4" t="s">
        <v>14</v>
      </c>
      <c r="C2193" s="30" t="s">
        <v>434</v>
      </c>
      <c r="D2193" s="4" t="s">
        <v>15</v>
      </c>
      <c r="E2193" s="4" t="s">
        <v>16</v>
      </c>
      <c r="F2193" s="4" t="s">
        <v>17</v>
      </c>
      <c r="G2193" s="4" t="s">
        <v>18</v>
      </c>
      <c r="H2193" s="4" t="s">
        <v>232</v>
      </c>
      <c r="I2193" s="5" t="str">
        <f t="shared" si="34"/>
        <v>2025-08</v>
      </c>
      <c r="J2193" s="4" t="s">
        <v>59</v>
      </c>
      <c r="K2193" s="5" t="s">
        <v>343</v>
      </c>
      <c r="L2193" s="2">
        <v>42000</v>
      </c>
      <c r="M2193" s="3">
        <v>4</v>
      </c>
      <c r="N2193" s="2">
        <v>168000</v>
      </c>
      <c r="O2193" s="2">
        <v>16800</v>
      </c>
      <c r="P2193" s="2">
        <v>184800</v>
      </c>
      <c r="Q2193" s="2">
        <f>P2193*12%</f>
        <v>22176</v>
      </c>
    </row>
    <row r="2194" spans="1:17" hidden="1" x14ac:dyDescent="0.4">
      <c r="A2194" s="4" t="s">
        <v>23</v>
      </c>
      <c r="B2194" s="4" t="s">
        <v>14</v>
      </c>
      <c r="C2194" s="31" t="s">
        <v>435</v>
      </c>
      <c r="D2194" s="4" t="s">
        <v>24</v>
      </c>
      <c r="E2194" s="4" t="s">
        <v>16</v>
      </c>
      <c r="F2194" s="4" t="s">
        <v>17</v>
      </c>
      <c r="G2194" s="4" t="s">
        <v>18</v>
      </c>
      <c r="H2194" s="4" t="s">
        <v>232</v>
      </c>
      <c r="I2194" s="5" t="str">
        <f t="shared" si="34"/>
        <v>2025-08</v>
      </c>
      <c r="J2194" s="4" t="s">
        <v>59</v>
      </c>
      <c r="K2194" s="5" t="s">
        <v>343</v>
      </c>
      <c r="L2194" s="2">
        <v>55500</v>
      </c>
      <c r="M2194" s="3">
        <v>2</v>
      </c>
      <c r="N2194" s="2">
        <v>111000</v>
      </c>
      <c r="O2194" s="2">
        <v>11100</v>
      </c>
      <c r="P2194" s="2">
        <v>122100</v>
      </c>
      <c r="Q2194" s="2">
        <f>P2194*12%</f>
        <v>14652</v>
      </c>
    </row>
    <row r="2195" spans="1:17" hidden="1" x14ac:dyDescent="0.4">
      <c r="A2195" s="4" t="s">
        <v>51</v>
      </c>
      <c r="B2195" s="4" t="s">
        <v>14</v>
      </c>
      <c r="C2195" s="30" t="s">
        <v>434</v>
      </c>
      <c r="D2195" s="4" t="s">
        <v>52</v>
      </c>
      <c r="E2195" s="4" t="s">
        <v>16</v>
      </c>
      <c r="F2195" s="4" t="s">
        <v>17</v>
      </c>
      <c r="G2195" s="4" t="s">
        <v>18</v>
      </c>
      <c r="H2195" s="4" t="s">
        <v>232</v>
      </c>
      <c r="I2195" s="5" t="str">
        <f t="shared" si="34"/>
        <v>2025-08</v>
      </c>
      <c r="J2195" s="4" t="s">
        <v>59</v>
      </c>
      <c r="K2195" s="5" t="s">
        <v>343</v>
      </c>
      <c r="L2195" s="2">
        <v>73000</v>
      </c>
      <c r="M2195" s="3">
        <v>1</v>
      </c>
      <c r="N2195" s="2">
        <v>73000</v>
      </c>
      <c r="O2195" s="2">
        <v>7300</v>
      </c>
      <c r="P2195" s="2">
        <v>80300</v>
      </c>
      <c r="Q2195" s="2">
        <f>P2195*12%</f>
        <v>9636</v>
      </c>
    </row>
    <row r="2196" spans="1:17" hidden="1" x14ac:dyDescent="0.4">
      <c r="A2196" s="4" t="s">
        <v>58</v>
      </c>
      <c r="B2196" s="4" t="s">
        <v>14</v>
      </c>
      <c r="C2196" s="30" t="s">
        <v>434</v>
      </c>
      <c r="D2196" s="4" t="s">
        <v>36</v>
      </c>
      <c r="E2196" s="4" t="s">
        <v>16</v>
      </c>
      <c r="F2196" s="4" t="s">
        <v>17</v>
      </c>
      <c r="G2196" s="4" t="s">
        <v>18</v>
      </c>
      <c r="H2196" s="4" t="s">
        <v>232</v>
      </c>
      <c r="I2196" s="5" t="str">
        <f t="shared" si="34"/>
        <v>2025-08</v>
      </c>
      <c r="J2196" s="4" t="s">
        <v>153</v>
      </c>
      <c r="K2196" s="5" t="s">
        <v>343</v>
      </c>
      <c r="L2196" s="2">
        <v>120880</v>
      </c>
      <c r="M2196" s="3">
        <v>1</v>
      </c>
      <c r="N2196" s="2">
        <v>120880</v>
      </c>
      <c r="O2196" s="2">
        <v>12088</v>
      </c>
      <c r="P2196" s="2">
        <v>132968</v>
      </c>
      <c r="Q2196" s="2">
        <f>P2196*12%</f>
        <v>15956.16</v>
      </c>
    </row>
    <row r="2197" spans="1:17" hidden="1" x14ac:dyDescent="0.4">
      <c r="A2197" s="4" t="s">
        <v>13</v>
      </c>
      <c r="B2197" s="4" t="s">
        <v>14</v>
      </c>
      <c r="C2197" s="30" t="s">
        <v>434</v>
      </c>
      <c r="D2197" s="4" t="s">
        <v>15</v>
      </c>
      <c r="E2197" s="4" t="s">
        <v>16</v>
      </c>
      <c r="F2197" s="4" t="s">
        <v>17</v>
      </c>
      <c r="G2197" s="4" t="s">
        <v>18</v>
      </c>
      <c r="H2197" s="4" t="s">
        <v>232</v>
      </c>
      <c r="I2197" s="5" t="str">
        <f t="shared" si="34"/>
        <v>2025-08</v>
      </c>
      <c r="J2197" s="4" t="s">
        <v>153</v>
      </c>
      <c r="K2197" s="5" t="s">
        <v>343</v>
      </c>
      <c r="L2197" s="2">
        <v>42000</v>
      </c>
      <c r="M2197" s="3">
        <v>5</v>
      </c>
      <c r="N2197" s="2">
        <v>210000</v>
      </c>
      <c r="O2197" s="2">
        <v>21000</v>
      </c>
      <c r="P2197" s="2">
        <v>231000</v>
      </c>
      <c r="Q2197" s="2">
        <f>P2197*12%</f>
        <v>27720</v>
      </c>
    </row>
    <row r="2198" spans="1:17" hidden="1" x14ac:dyDescent="0.4">
      <c r="A2198" s="4" t="s">
        <v>23</v>
      </c>
      <c r="B2198" s="4" t="s">
        <v>14</v>
      </c>
      <c r="C2198" s="31" t="s">
        <v>435</v>
      </c>
      <c r="D2198" s="4" t="s">
        <v>24</v>
      </c>
      <c r="E2198" s="4" t="s">
        <v>16</v>
      </c>
      <c r="F2198" s="4" t="s">
        <v>17</v>
      </c>
      <c r="G2198" s="4" t="s">
        <v>18</v>
      </c>
      <c r="H2198" s="4" t="s">
        <v>232</v>
      </c>
      <c r="I2198" s="5" t="str">
        <f t="shared" si="34"/>
        <v>2025-08</v>
      </c>
      <c r="J2198" s="4" t="s">
        <v>153</v>
      </c>
      <c r="K2198" s="5" t="s">
        <v>343</v>
      </c>
      <c r="L2198" s="2">
        <v>55500</v>
      </c>
      <c r="M2198" s="3">
        <v>2</v>
      </c>
      <c r="N2198" s="2">
        <v>111000</v>
      </c>
      <c r="O2198" s="2">
        <v>11100</v>
      </c>
      <c r="P2198" s="2">
        <v>122100</v>
      </c>
      <c r="Q2198" s="2">
        <f>P2198*12%</f>
        <v>14652</v>
      </c>
    </row>
    <row r="2199" spans="1:17" hidden="1" x14ac:dyDescent="0.4">
      <c r="A2199" s="4" t="s">
        <v>32</v>
      </c>
      <c r="B2199" s="4" t="s">
        <v>14</v>
      </c>
      <c r="C2199" s="31" t="s">
        <v>435</v>
      </c>
      <c r="D2199" s="4" t="s">
        <v>33</v>
      </c>
      <c r="E2199" s="4" t="s">
        <v>16</v>
      </c>
      <c r="F2199" s="4" t="s">
        <v>17</v>
      </c>
      <c r="G2199" s="4" t="s">
        <v>18</v>
      </c>
      <c r="H2199" s="4" t="s">
        <v>232</v>
      </c>
      <c r="I2199" s="5" t="str">
        <f t="shared" si="34"/>
        <v>2025-08</v>
      </c>
      <c r="J2199" s="4" t="s">
        <v>49</v>
      </c>
      <c r="K2199" s="5" t="s">
        <v>343</v>
      </c>
      <c r="L2199" s="2">
        <v>44000</v>
      </c>
      <c r="M2199" s="3">
        <v>4</v>
      </c>
      <c r="N2199" s="2">
        <v>176000</v>
      </c>
      <c r="O2199" s="2">
        <v>17600</v>
      </c>
      <c r="P2199" s="2">
        <v>193600</v>
      </c>
      <c r="Q2199" s="2">
        <f>P2199*12%</f>
        <v>23232</v>
      </c>
    </row>
    <row r="2200" spans="1:17" hidden="1" x14ac:dyDescent="0.4">
      <c r="A2200" s="4" t="s">
        <v>13</v>
      </c>
      <c r="B2200" s="4" t="s">
        <v>14</v>
      </c>
      <c r="C2200" s="30" t="s">
        <v>434</v>
      </c>
      <c r="D2200" s="4" t="s">
        <v>15</v>
      </c>
      <c r="E2200" s="4" t="s">
        <v>16</v>
      </c>
      <c r="F2200" s="4" t="s">
        <v>17</v>
      </c>
      <c r="G2200" s="4" t="s">
        <v>18</v>
      </c>
      <c r="H2200" s="4" t="s">
        <v>232</v>
      </c>
      <c r="I2200" s="5" t="str">
        <f t="shared" si="34"/>
        <v>2025-08</v>
      </c>
      <c r="J2200" s="4" t="s">
        <v>49</v>
      </c>
      <c r="K2200" s="5" t="s">
        <v>343</v>
      </c>
      <c r="L2200" s="2">
        <v>42000</v>
      </c>
      <c r="M2200" s="3">
        <v>9</v>
      </c>
      <c r="N2200" s="2">
        <v>378000</v>
      </c>
      <c r="O2200" s="2">
        <v>37800</v>
      </c>
      <c r="P2200" s="2">
        <v>415800</v>
      </c>
      <c r="Q2200" s="2">
        <f>P2200*12%</f>
        <v>49896</v>
      </c>
    </row>
    <row r="2201" spans="1:17" hidden="1" x14ac:dyDescent="0.4">
      <c r="A2201" s="4" t="s">
        <v>35</v>
      </c>
      <c r="B2201" s="4" t="s">
        <v>14</v>
      </c>
      <c r="C2201" s="30" t="s">
        <v>434</v>
      </c>
      <c r="D2201" s="4" t="s">
        <v>36</v>
      </c>
      <c r="E2201" s="4" t="s">
        <v>16</v>
      </c>
      <c r="F2201" s="4" t="s">
        <v>17</v>
      </c>
      <c r="G2201" s="4" t="s">
        <v>18</v>
      </c>
      <c r="H2201" s="4" t="s">
        <v>232</v>
      </c>
      <c r="I2201" s="5" t="str">
        <f t="shared" si="34"/>
        <v>2025-08</v>
      </c>
      <c r="J2201" s="4" t="s">
        <v>49</v>
      </c>
      <c r="K2201" s="5" t="s">
        <v>343</v>
      </c>
      <c r="L2201" s="2">
        <v>116220</v>
      </c>
      <c r="M2201" s="3">
        <v>2</v>
      </c>
      <c r="N2201" s="2">
        <v>232440</v>
      </c>
      <c r="O2201" s="2">
        <v>23244</v>
      </c>
      <c r="P2201" s="2">
        <v>255684</v>
      </c>
      <c r="Q2201" s="2">
        <f>P2201*12%</f>
        <v>30682.079999999998</v>
      </c>
    </row>
    <row r="2202" spans="1:17" hidden="1" x14ac:dyDescent="0.4">
      <c r="A2202" s="4" t="s">
        <v>23</v>
      </c>
      <c r="B2202" s="4" t="s">
        <v>14</v>
      </c>
      <c r="C2202" s="31" t="s">
        <v>435</v>
      </c>
      <c r="D2202" s="4" t="s">
        <v>24</v>
      </c>
      <c r="E2202" s="4" t="s">
        <v>16</v>
      </c>
      <c r="F2202" s="4" t="s">
        <v>17</v>
      </c>
      <c r="G2202" s="4" t="s">
        <v>18</v>
      </c>
      <c r="H2202" s="4" t="s">
        <v>232</v>
      </c>
      <c r="I2202" s="5" t="str">
        <f t="shared" si="34"/>
        <v>2025-08</v>
      </c>
      <c r="J2202" s="4" t="s">
        <v>49</v>
      </c>
      <c r="K2202" s="5" t="s">
        <v>343</v>
      </c>
      <c r="L2202" s="2">
        <v>55500</v>
      </c>
      <c r="M2202" s="3">
        <v>4</v>
      </c>
      <c r="N2202" s="2">
        <v>222000</v>
      </c>
      <c r="O2202" s="2">
        <v>22200</v>
      </c>
      <c r="P2202" s="2">
        <v>244200</v>
      </c>
      <c r="Q2202" s="2">
        <f>P2202*12%</f>
        <v>29304</v>
      </c>
    </row>
    <row r="2203" spans="1:17" hidden="1" x14ac:dyDescent="0.4">
      <c r="A2203" s="4" t="s">
        <v>51</v>
      </c>
      <c r="B2203" s="4" t="s">
        <v>14</v>
      </c>
      <c r="C2203" s="30" t="s">
        <v>434</v>
      </c>
      <c r="D2203" s="4" t="s">
        <v>52</v>
      </c>
      <c r="E2203" s="4" t="s">
        <v>16</v>
      </c>
      <c r="F2203" s="4" t="s">
        <v>17</v>
      </c>
      <c r="G2203" s="4" t="s">
        <v>18</v>
      </c>
      <c r="H2203" s="4" t="s">
        <v>232</v>
      </c>
      <c r="I2203" s="5" t="str">
        <f t="shared" si="34"/>
        <v>2025-08</v>
      </c>
      <c r="J2203" s="4" t="s">
        <v>49</v>
      </c>
      <c r="K2203" s="5" t="s">
        <v>343</v>
      </c>
      <c r="L2203" s="2">
        <v>73000</v>
      </c>
      <c r="M2203" s="3">
        <v>2</v>
      </c>
      <c r="N2203" s="2">
        <v>146000</v>
      </c>
      <c r="O2203" s="2">
        <v>14600</v>
      </c>
      <c r="P2203" s="2">
        <v>160600</v>
      </c>
      <c r="Q2203" s="2">
        <f>P2203*12%</f>
        <v>19272</v>
      </c>
    </row>
    <row r="2204" spans="1:17" x14ac:dyDescent="0.4">
      <c r="A2204" s="4" t="s">
        <v>58</v>
      </c>
      <c r="B2204" s="4" t="s">
        <v>14</v>
      </c>
      <c r="C2204" s="30" t="s">
        <v>434</v>
      </c>
      <c r="D2204" s="4" t="s">
        <v>36</v>
      </c>
      <c r="E2204" s="4" t="s">
        <v>16</v>
      </c>
      <c r="F2204" s="4" t="s">
        <v>17</v>
      </c>
      <c r="G2204" s="4" t="s">
        <v>18</v>
      </c>
      <c r="H2204" s="4" t="s">
        <v>236</v>
      </c>
      <c r="I2204" s="5" t="str">
        <f t="shared" si="34"/>
        <v>2025-08</v>
      </c>
      <c r="J2204" s="4" t="s">
        <v>20</v>
      </c>
      <c r="K2204" s="5" t="s">
        <v>342</v>
      </c>
      <c r="L2204" s="2">
        <v>120880</v>
      </c>
      <c r="M2204" s="3">
        <v>1</v>
      </c>
      <c r="N2204" s="2">
        <v>120880</v>
      </c>
      <c r="O2204" s="2">
        <v>12088</v>
      </c>
      <c r="P2204" s="2">
        <v>132968</v>
      </c>
      <c r="Q2204" s="2">
        <f>P2204*8.5%</f>
        <v>11302.28</v>
      </c>
    </row>
    <row r="2205" spans="1:17" x14ac:dyDescent="0.4">
      <c r="A2205" s="4" t="s">
        <v>13</v>
      </c>
      <c r="B2205" s="4" t="s">
        <v>14</v>
      </c>
      <c r="C2205" s="30" t="s">
        <v>434</v>
      </c>
      <c r="D2205" s="4" t="s">
        <v>15</v>
      </c>
      <c r="E2205" s="4" t="s">
        <v>16</v>
      </c>
      <c r="F2205" s="4" t="s">
        <v>17</v>
      </c>
      <c r="G2205" s="4" t="s">
        <v>18</v>
      </c>
      <c r="H2205" s="4" t="s">
        <v>236</v>
      </c>
      <c r="I2205" s="5" t="str">
        <f t="shared" si="34"/>
        <v>2025-08</v>
      </c>
      <c r="J2205" s="4" t="s">
        <v>20</v>
      </c>
      <c r="K2205" s="5" t="s">
        <v>342</v>
      </c>
      <c r="L2205" s="2">
        <v>42000</v>
      </c>
      <c r="M2205" s="3">
        <v>2</v>
      </c>
      <c r="N2205" s="2">
        <v>84000</v>
      </c>
      <c r="O2205" s="2">
        <v>8400</v>
      </c>
      <c r="P2205" s="2">
        <v>92400</v>
      </c>
      <c r="Q2205" s="2">
        <f>P2205*8.5%</f>
        <v>7854.0000000000009</v>
      </c>
    </row>
    <row r="2206" spans="1:17" x14ac:dyDescent="0.4">
      <c r="A2206" s="4" t="s">
        <v>21</v>
      </c>
      <c r="B2206" s="4" t="s">
        <v>14</v>
      </c>
      <c r="C2206" s="31" t="s">
        <v>435</v>
      </c>
      <c r="D2206" s="4" t="s">
        <v>22</v>
      </c>
      <c r="E2206" s="4" t="s">
        <v>16</v>
      </c>
      <c r="F2206" s="4" t="s">
        <v>17</v>
      </c>
      <c r="G2206" s="4" t="s">
        <v>18</v>
      </c>
      <c r="H2206" s="4" t="s">
        <v>236</v>
      </c>
      <c r="I2206" s="5" t="str">
        <f t="shared" si="34"/>
        <v>2025-08</v>
      </c>
      <c r="J2206" s="4" t="s">
        <v>20</v>
      </c>
      <c r="K2206" s="5" t="s">
        <v>342</v>
      </c>
      <c r="L2206" s="2">
        <v>55500</v>
      </c>
      <c r="M2206" s="3">
        <v>2</v>
      </c>
      <c r="N2206" s="2">
        <v>111000</v>
      </c>
      <c r="O2206" s="2">
        <v>11100</v>
      </c>
      <c r="P2206" s="2">
        <v>122100</v>
      </c>
      <c r="Q2206" s="2">
        <f>P2206*8.5%</f>
        <v>10378.5</v>
      </c>
    </row>
    <row r="2207" spans="1:17" x14ac:dyDescent="0.4">
      <c r="A2207" s="4" t="s">
        <v>23</v>
      </c>
      <c r="B2207" s="4" t="s">
        <v>14</v>
      </c>
      <c r="C2207" s="31" t="s">
        <v>435</v>
      </c>
      <c r="D2207" s="4" t="s">
        <v>24</v>
      </c>
      <c r="E2207" s="4" t="s">
        <v>16</v>
      </c>
      <c r="F2207" s="4" t="s">
        <v>17</v>
      </c>
      <c r="G2207" s="4" t="s">
        <v>18</v>
      </c>
      <c r="H2207" s="4" t="s">
        <v>236</v>
      </c>
      <c r="I2207" s="5" t="str">
        <f t="shared" si="34"/>
        <v>2025-08</v>
      </c>
      <c r="J2207" s="4" t="s">
        <v>20</v>
      </c>
      <c r="K2207" s="5" t="s">
        <v>342</v>
      </c>
      <c r="L2207" s="2">
        <v>55500</v>
      </c>
      <c r="M2207" s="3">
        <v>3</v>
      </c>
      <c r="N2207" s="2">
        <v>166500</v>
      </c>
      <c r="O2207" s="2">
        <v>16650</v>
      </c>
      <c r="P2207" s="2">
        <v>183150</v>
      </c>
      <c r="Q2207" s="2">
        <f>P2207*8.5%</f>
        <v>15567.750000000002</v>
      </c>
    </row>
    <row r="2208" spans="1:17" x14ac:dyDescent="0.4">
      <c r="A2208" s="4" t="s">
        <v>56</v>
      </c>
      <c r="B2208" s="4" t="s">
        <v>26</v>
      </c>
      <c r="C2208" s="32" t="s">
        <v>436</v>
      </c>
      <c r="D2208" s="4" t="s">
        <v>57</v>
      </c>
      <c r="E2208" s="4" t="s">
        <v>44</v>
      </c>
      <c r="F2208" s="4" t="s">
        <v>31</v>
      </c>
      <c r="G2208" s="4" t="s">
        <v>18</v>
      </c>
      <c r="H2208" s="4" t="s">
        <v>236</v>
      </c>
      <c r="I2208" s="5" t="str">
        <f t="shared" si="34"/>
        <v>2025-08</v>
      </c>
      <c r="J2208" s="4" t="s">
        <v>20</v>
      </c>
      <c r="K2208" s="5" t="s">
        <v>342</v>
      </c>
      <c r="L2208" s="2">
        <v>3049</v>
      </c>
      <c r="M2208" s="3">
        <v>27</v>
      </c>
      <c r="N2208" s="2">
        <v>82323</v>
      </c>
      <c r="O2208" s="2">
        <v>0</v>
      </c>
      <c r="P2208" s="2">
        <v>82323</v>
      </c>
      <c r="Q2208" s="2">
        <f>P2208*8.5%</f>
        <v>6997.4550000000008</v>
      </c>
    </row>
    <row r="2209" spans="1:17" hidden="1" x14ac:dyDescent="0.4">
      <c r="A2209" s="4" t="s">
        <v>32</v>
      </c>
      <c r="B2209" s="4" t="s">
        <v>14</v>
      </c>
      <c r="C2209" s="31" t="s">
        <v>435</v>
      </c>
      <c r="D2209" s="4" t="s">
        <v>33</v>
      </c>
      <c r="E2209" s="4" t="s">
        <v>16</v>
      </c>
      <c r="F2209" s="4" t="s">
        <v>17</v>
      </c>
      <c r="G2209" s="4" t="s">
        <v>18</v>
      </c>
      <c r="H2209" s="4" t="s">
        <v>236</v>
      </c>
      <c r="I2209" s="5" t="str">
        <f t="shared" si="34"/>
        <v>2025-08</v>
      </c>
      <c r="J2209" s="4" t="s">
        <v>118</v>
      </c>
      <c r="K2209" s="5" t="s">
        <v>342</v>
      </c>
      <c r="L2209" s="2">
        <v>44000</v>
      </c>
      <c r="M2209" s="3">
        <v>1</v>
      </c>
      <c r="N2209" s="2">
        <v>44000</v>
      </c>
      <c r="O2209" s="2">
        <v>4400</v>
      </c>
      <c r="P2209" s="2">
        <v>48400</v>
      </c>
      <c r="Q2209" s="2">
        <f>P2209*8.5%</f>
        <v>4114</v>
      </c>
    </row>
    <row r="2210" spans="1:17" hidden="1" x14ac:dyDescent="0.4">
      <c r="A2210" s="4" t="s">
        <v>13</v>
      </c>
      <c r="B2210" s="4" t="s">
        <v>14</v>
      </c>
      <c r="C2210" s="30" t="s">
        <v>434</v>
      </c>
      <c r="D2210" s="4" t="s">
        <v>15</v>
      </c>
      <c r="E2210" s="4" t="s">
        <v>16</v>
      </c>
      <c r="F2210" s="4" t="s">
        <v>17</v>
      </c>
      <c r="G2210" s="4" t="s">
        <v>18</v>
      </c>
      <c r="H2210" s="4" t="s">
        <v>236</v>
      </c>
      <c r="I2210" s="5" t="str">
        <f t="shared" si="34"/>
        <v>2025-08</v>
      </c>
      <c r="J2210" s="4" t="s">
        <v>118</v>
      </c>
      <c r="K2210" s="5" t="s">
        <v>342</v>
      </c>
      <c r="L2210" s="2">
        <v>42000</v>
      </c>
      <c r="M2210" s="3">
        <v>2</v>
      </c>
      <c r="N2210" s="2">
        <v>84000</v>
      </c>
      <c r="O2210" s="2">
        <v>8400</v>
      </c>
      <c r="P2210" s="2">
        <v>92400</v>
      </c>
      <c r="Q2210" s="2">
        <f>P2210*8.5%</f>
        <v>7854.0000000000009</v>
      </c>
    </row>
    <row r="2211" spans="1:17" hidden="1" x14ac:dyDescent="0.4">
      <c r="A2211" s="4" t="s">
        <v>23</v>
      </c>
      <c r="B2211" s="4" t="s">
        <v>14</v>
      </c>
      <c r="C2211" s="31" t="s">
        <v>435</v>
      </c>
      <c r="D2211" s="4" t="s">
        <v>24</v>
      </c>
      <c r="E2211" s="4" t="s">
        <v>16</v>
      </c>
      <c r="F2211" s="4" t="s">
        <v>17</v>
      </c>
      <c r="G2211" s="4" t="s">
        <v>18</v>
      </c>
      <c r="H2211" s="4" t="s">
        <v>236</v>
      </c>
      <c r="I2211" s="5" t="str">
        <f t="shared" si="34"/>
        <v>2025-08</v>
      </c>
      <c r="J2211" s="4" t="s">
        <v>118</v>
      </c>
      <c r="K2211" s="5" t="s">
        <v>342</v>
      </c>
      <c r="L2211" s="2">
        <v>55500</v>
      </c>
      <c r="M2211" s="3">
        <v>1</v>
      </c>
      <c r="N2211" s="2">
        <v>55500</v>
      </c>
      <c r="O2211" s="2">
        <v>5550</v>
      </c>
      <c r="P2211" s="2">
        <v>61050</v>
      </c>
      <c r="Q2211" s="2">
        <f>P2211*8.5%</f>
        <v>5189.25</v>
      </c>
    </row>
    <row r="2212" spans="1:17" hidden="1" x14ac:dyDescent="0.4">
      <c r="A2212" s="4" t="s">
        <v>51</v>
      </c>
      <c r="B2212" s="4" t="s">
        <v>14</v>
      </c>
      <c r="C2212" s="30" t="s">
        <v>434</v>
      </c>
      <c r="D2212" s="4" t="s">
        <v>52</v>
      </c>
      <c r="E2212" s="4" t="s">
        <v>16</v>
      </c>
      <c r="F2212" s="4" t="s">
        <v>17</v>
      </c>
      <c r="G2212" s="4" t="s">
        <v>18</v>
      </c>
      <c r="H2212" s="4" t="s">
        <v>236</v>
      </c>
      <c r="I2212" s="5" t="str">
        <f t="shared" si="34"/>
        <v>2025-08</v>
      </c>
      <c r="J2212" s="4" t="s">
        <v>118</v>
      </c>
      <c r="K2212" s="5" t="s">
        <v>342</v>
      </c>
      <c r="L2212" s="2">
        <v>73000</v>
      </c>
      <c r="M2212" s="3">
        <v>1</v>
      </c>
      <c r="N2212" s="2">
        <v>73000</v>
      </c>
      <c r="O2212" s="2">
        <v>7300</v>
      </c>
      <c r="P2212" s="2">
        <v>80300</v>
      </c>
      <c r="Q2212" s="2">
        <f>P2212*8.5%</f>
        <v>6825.5000000000009</v>
      </c>
    </row>
    <row r="2213" spans="1:17" hidden="1" x14ac:dyDescent="0.4">
      <c r="A2213" s="4" t="s">
        <v>82</v>
      </c>
      <c r="B2213" s="4" t="s">
        <v>26</v>
      </c>
      <c r="C2213" s="32" t="s">
        <v>436</v>
      </c>
      <c r="D2213" s="4" t="s">
        <v>81</v>
      </c>
      <c r="E2213" s="4" t="s">
        <v>16</v>
      </c>
      <c r="F2213" s="4" t="s">
        <v>17</v>
      </c>
      <c r="G2213" s="4" t="s">
        <v>18</v>
      </c>
      <c r="H2213" s="4" t="s">
        <v>236</v>
      </c>
      <c r="I2213" s="5" t="str">
        <f t="shared" si="34"/>
        <v>2025-08</v>
      </c>
      <c r="J2213" s="4" t="s">
        <v>34</v>
      </c>
      <c r="K2213" s="5" t="s">
        <v>342</v>
      </c>
      <c r="L2213" s="2">
        <v>20925</v>
      </c>
      <c r="M2213" s="3">
        <v>1</v>
      </c>
      <c r="N2213" s="2">
        <v>20925</v>
      </c>
      <c r="O2213" s="2">
        <v>2093</v>
      </c>
      <c r="P2213" s="2">
        <v>23018</v>
      </c>
      <c r="Q2213" s="2">
        <f>P2213*8.5%</f>
        <v>1956.5300000000002</v>
      </c>
    </row>
    <row r="2214" spans="1:17" hidden="1" x14ac:dyDescent="0.4">
      <c r="A2214" s="4" t="s">
        <v>32</v>
      </c>
      <c r="B2214" s="4" t="s">
        <v>14</v>
      </c>
      <c r="C2214" s="31" t="s">
        <v>435</v>
      </c>
      <c r="D2214" s="4" t="s">
        <v>33</v>
      </c>
      <c r="E2214" s="4" t="s">
        <v>16</v>
      </c>
      <c r="F2214" s="4" t="s">
        <v>17</v>
      </c>
      <c r="G2214" s="4" t="s">
        <v>18</v>
      </c>
      <c r="H2214" s="4" t="s">
        <v>236</v>
      </c>
      <c r="I2214" s="5" t="str">
        <f t="shared" si="34"/>
        <v>2025-08</v>
      </c>
      <c r="J2214" s="4" t="s">
        <v>34</v>
      </c>
      <c r="K2214" s="5" t="s">
        <v>342</v>
      </c>
      <c r="L2214" s="2">
        <v>44000</v>
      </c>
      <c r="M2214" s="3">
        <v>2</v>
      </c>
      <c r="N2214" s="2">
        <v>88000</v>
      </c>
      <c r="O2214" s="2">
        <v>8800</v>
      </c>
      <c r="P2214" s="2">
        <v>96800</v>
      </c>
      <c r="Q2214" s="2">
        <f>P2214*8.5%</f>
        <v>8228</v>
      </c>
    </row>
    <row r="2215" spans="1:17" hidden="1" x14ac:dyDescent="0.4">
      <c r="A2215" s="4" t="s">
        <v>58</v>
      </c>
      <c r="B2215" s="4" t="s">
        <v>14</v>
      </c>
      <c r="C2215" s="30" t="s">
        <v>434</v>
      </c>
      <c r="D2215" s="4" t="s">
        <v>36</v>
      </c>
      <c r="E2215" s="4" t="s">
        <v>16</v>
      </c>
      <c r="F2215" s="4" t="s">
        <v>17</v>
      </c>
      <c r="G2215" s="4" t="s">
        <v>18</v>
      </c>
      <c r="H2215" s="4" t="s">
        <v>236</v>
      </c>
      <c r="I2215" s="5" t="str">
        <f t="shared" si="34"/>
        <v>2025-08</v>
      </c>
      <c r="J2215" s="4" t="s">
        <v>34</v>
      </c>
      <c r="K2215" s="5" t="s">
        <v>342</v>
      </c>
      <c r="L2215" s="2">
        <v>120880</v>
      </c>
      <c r="M2215" s="3">
        <v>1</v>
      </c>
      <c r="N2215" s="2">
        <v>120880</v>
      </c>
      <c r="O2215" s="2">
        <v>12088</v>
      </c>
      <c r="P2215" s="2">
        <v>132968</v>
      </c>
      <c r="Q2215" s="2">
        <f>P2215*8.5%</f>
        <v>11302.28</v>
      </c>
    </row>
    <row r="2216" spans="1:17" hidden="1" x14ac:dyDescent="0.4">
      <c r="A2216" s="4" t="s">
        <v>13</v>
      </c>
      <c r="B2216" s="4" t="s">
        <v>14</v>
      </c>
      <c r="C2216" s="30" t="s">
        <v>434</v>
      </c>
      <c r="D2216" s="4" t="s">
        <v>15</v>
      </c>
      <c r="E2216" s="4" t="s">
        <v>16</v>
      </c>
      <c r="F2216" s="4" t="s">
        <v>17</v>
      </c>
      <c r="G2216" s="4" t="s">
        <v>18</v>
      </c>
      <c r="H2216" s="4" t="s">
        <v>236</v>
      </c>
      <c r="I2216" s="5" t="str">
        <f t="shared" si="34"/>
        <v>2025-08</v>
      </c>
      <c r="J2216" s="4" t="s">
        <v>34</v>
      </c>
      <c r="K2216" s="5" t="s">
        <v>342</v>
      </c>
      <c r="L2216" s="2">
        <v>42000</v>
      </c>
      <c r="M2216" s="3">
        <v>6</v>
      </c>
      <c r="N2216" s="2">
        <v>252000</v>
      </c>
      <c r="O2216" s="2">
        <v>25200</v>
      </c>
      <c r="P2216" s="2">
        <v>277200</v>
      </c>
      <c r="Q2216" s="2">
        <f>P2216*8.5%</f>
        <v>23562</v>
      </c>
    </row>
    <row r="2217" spans="1:17" hidden="1" x14ac:dyDescent="0.4">
      <c r="A2217" s="4" t="s">
        <v>23</v>
      </c>
      <c r="B2217" s="4" t="s">
        <v>14</v>
      </c>
      <c r="C2217" s="31" t="s">
        <v>435</v>
      </c>
      <c r="D2217" s="4" t="s">
        <v>24</v>
      </c>
      <c r="E2217" s="4" t="s">
        <v>16</v>
      </c>
      <c r="F2217" s="4" t="s">
        <v>17</v>
      </c>
      <c r="G2217" s="4" t="s">
        <v>18</v>
      </c>
      <c r="H2217" s="4" t="s">
        <v>236</v>
      </c>
      <c r="I2217" s="5" t="str">
        <f t="shared" si="34"/>
        <v>2025-08</v>
      </c>
      <c r="J2217" s="4" t="s">
        <v>34</v>
      </c>
      <c r="K2217" s="5" t="s">
        <v>342</v>
      </c>
      <c r="L2217" s="2">
        <v>55500</v>
      </c>
      <c r="M2217" s="3">
        <v>4</v>
      </c>
      <c r="N2217" s="2">
        <v>222000</v>
      </c>
      <c r="O2217" s="2">
        <v>22200</v>
      </c>
      <c r="P2217" s="2">
        <v>244200</v>
      </c>
      <c r="Q2217" s="2">
        <f>P2217*8.5%</f>
        <v>20757</v>
      </c>
    </row>
    <row r="2218" spans="1:17" hidden="1" x14ac:dyDescent="0.4">
      <c r="A2218" s="4" t="s">
        <v>51</v>
      </c>
      <c r="B2218" s="4" t="s">
        <v>14</v>
      </c>
      <c r="C2218" s="30" t="s">
        <v>434</v>
      </c>
      <c r="D2218" s="4" t="s">
        <v>52</v>
      </c>
      <c r="E2218" s="4" t="s">
        <v>16</v>
      </c>
      <c r="F2218" s="4" t="s">
        <v>17</v>
      </c>
      <c r="G2218" s="4" t="s">
        <v>18</v>
      </c>
      <c r="H2218" s="4" t="s">
        <v>236</v>
      </c>
      <c r="I2218" s="5" t="str">
        <f t="shared" si="34"/>
        <v>2025-08</v>
      </c>
      <c r="J2218" s="4" t="s">
        <v>34</v>
      </c>
      <c r="K2218" s="5" t="s">
        <v>342</v>
      </c>
      <c r="L2218" s="2">
        <v>73000</v>
      </c>
      <c r="M2218" s="3">
        <v>1</v>
      </c>
      <c r="N2218" s="2">
        <v>73000</v>
      </c>
      <c r="O2218" s="2">
        <v>7300</v>
      </c>
      <c r="P2218" s="2">
        <v>80300</v>
      </c>
      <c r="Q2218" s="2">
        <f>P2218*8.5%</f>
        <v>6825.5000000000009</v>
      </c>
    </row>
    <row r="2219" spans="1:17" hidden="1" x14ac:dyDescent="0.4">
      <c r="A2219" s="4" t="s">
        <v>84</v>
      </c>
      <c r="B2219" s="4" t="s">
        <v>26</v>
      </c>
      <c r="C2219" s="32" t="s">
        <v>436</v>
      </c>
      <c r="D2219" s="4" t="s">
        <v>85</v>
      </c>
      <c r="E2219" s="4" t="s">
        <v>28</v>
      </c>
      <c r="F2219" s="4" t="s">
        <v>17</v>
      </c>
      <c r="G2219" s="4" t="s">
        <v>18</v>
      </c>
      <c r="H2219" s="4" t="s">
        <v>236</v>
      </c>
      <c r="I2219" s="5" t="str">
        <f t="shared" si="34"/>
        <v>2025-08</v>
      </c>
      <c r="J2219" s="4" t="s">
        <v>34</v>
      </c>
      <c r="K2219" s="5" t="s">
        <v>342</v>
      </c>
      <c r="L2219" s="2">
        <v>5032</v>
      </c>
      <c r="M2219" s="3">
        <v>1</v>
      </c>
      <c r="N2219" s="2">
        <v>5032</v>
      </c>
      <c r="O2219" s="2">
        <v>503</v>
      </c>
      <c r="P2219" s="2">
        <v>5535</v>
      </c>
      <c r="Q2219" s="2">
        <f>P2219*8.5%</f>
        <v>470.47500000000002</v>
      </c>
    </row>
    <row r="2220" spans="1:17" hidden="1" x14ac:dyDescent="0.4">
      <c r="A2220" s="4" t="s">
        <v>86</v>
      </c>
      <c r="B2220" s="4" t="s">
        <v>26</v>
      </c>
      <c r="C2220" s="32" t="s">
        <v>436</v>
      </c>
      <c r="D2220" s="4" t="s">
        <v>78</v>
      </c>
      <c r="E2220" s="4" t="s">
        <v>28</v>
      </c>
      <c r="F2220" s="4" t="s">
        <v>17</v>
      </c>
      <c r="G2220" s="4" t="s">
        <v>18</v>
      </c>
      <c r="H2220" s="4" t="s">
        <v>236</v>
      </c>
      <c r="I2220" s="5" t="str">
        <f t="shared" si="34"/>
        <v>2025-08</v>
      </c>
      <c r="J2220" s="4" t="s">
        <v>34</v>
      </c>
      <c r="K2220" s="5" t="s">
        <v>342</v>
      </c>
      <c r="L2220" s="2">
        <v>15544</v>
      </c>
      <c r="M2220" s="3">
        <v>1</v>
      </c>
      <c r="N2220" s="2">
        <v>15544</v>
      </c>
      <c r="O2220" s="2">
        <v>1554</v>
      </c>
      <c r="P2220" s="2">
        <v>17098</v>
      </c>
      <c r="Q2220" s="2">
        <f>P2220*8.5%</f>
        <v>1453.3300000000002</v>
      </c>
    </row>
    <row r="2221" spans="1:17" hidden="1" x14ac:dyDescent="0.4">
      <c r="A2221" s="4" t="s">
        <v>87</v>
      </c>
      <c r="B2221" s="4" t="s">
        <v>26</v>
      </c>
      <c r="C2221" s="32" t="s">
        <v>436</v>
      </c>
      <c r="D2221" s="4" t="s">
        <v>88</v>
      </c>
      <c r="E2221" s="4" t="s">
        <v>28</v>
      </c>
      <c r="F2221" s="4" t="s">
        <v>17</v>
      </c>
      <c r="G2221" s="4" t="s">
        <v>18</v>
      </c>
      <c r="H2221" s="4" t="s">
        <v>236</v>
      </c>
      <c r="I2221" s="5" t="str">
        <f t="shared" si="34"/>
        <v>2025-08</v>
      </c>
      <c r="J2221" s="4" t="s">
        <v>34</v>
      </c>
      <c r="K2221" s="5" t="s">
        <v>342</v>
      </c>
      <c r="L2221" s="2">
        <v>14229</v>
      </c>
      <c r="M2221" s="3">
        <v>1</v>
      </c>
      <c r="N2221" s="2">
        <v>14229</v>
      </c>
      <c r="O2221" s="2">
        <v>1423</v>
      </c>
      <c r="P2221" s="2">
        <v>15652</v>
      </c>
      <c r="Q2221" s="2">
        <f>P2221*8.5%</f>
        <v>1330.42</v>
      </c>
    </row>
    <row r="2222" spans="1:17" hidden="1" x14ac:dyDescent="0.4">
      <c r="A2222" s="4" t="s">
        <v>40</v>
      </c>
      <c r="B2222" s="4" t="s">
        <v>26</v>
      </c>
      <c r="C2222" s="32" t="s">
        <v>436</v>
      </c>
      <c r="D2222" s="4" t="s">
        <v>41</v>
      </c>
      <c r="E2222" s="4" t="s">
        <v>28</v>
      </c>
      <c r="F2222" s="4" t="s">
        <v>17</v>
      </c>
      <c r="G2222" s="4" t="s">
        <v>18</v>
      </c>
      <c r="H2222" s="4" t="s">
        <v>236</v>
      </c>
      <c r="I2222" s="5" t="str">
        <f t="shared" si="34"/>
        <v>2025-08</v>
      </c>
      <c r="J2222" s="4" t="s">
        <v>34</v>
      </c>
      <c r="K2222" s="5" t="s">
        <v>342</v>
      </c>
      <c r="L2222" s="2">
        <v>17936</v>
      </c>
      <c r="M2222" s="3">
        <v>2</v>
      </c>
      <c r="N2222" s="2">
        <v>35872</v>
      </c>
      <c r="O2222" s="2">
        <v>3587</v>
      </c>
      <c r="P2222" s="2">
        <v>39459</v>
      </c>
      <c r="Q2222" s="2">
        <f>P2222*8.5%</f>
        <v>3354.0150000000003</v>
      </c>
    </row>
    <row r="2223" spans="1:17" hidden="1" x14ac:dyDescent="0.4">
      <c r="A2223" s="4" t="s">
        <v>42</v>
      </c>
      <c r="B2223" s="4" t="s">
        <v>14</v>
      </c>
      <c r="C2223" s="30" t="s">
        <v>434</v>
      </c>
      <c r="D2223" s="4" t="s">
        <v>43</v>
      </c>
      <c r="E2223" s="4" t="s">
        <v>44</v>
      </c>
      <c r="F2223" s="4" t="s">
        <v>31</v>
      </c>
      <c r="G2223" s="4" t="s">
        <v>18</v>
      </c>
      <c r="H2223" s="4" t="s">
        <v>236</v>
      </c>
      <c r="I2223" s="5" t="str">
        <f t="shared" si="34"/>
        <v>2025-08</v>
      </c>
      <c r="J2223" s="4" t="s">
        <v>34</v>
      </c>
      <c r="K2223" s="5" t="s">
        <v>342</v>
      </c>
      <c r="L2223" s="2">
        <v>7300</v>
      </c>
      <c r="M2223" s="3">
        <v>76.2</v>
      </c>
      <c r="N2223" s="2">
        <v>556260</v>
      </c>
      <c r="O2223" s="2">
        <v>0</v>
      </c>
      <c r="P2223" s="2">
        <v>556260</v>
      </c>
      <c r="Q2223" s="2">
        <f>P2223*8.5%</f>
        <v>47282.100000000006</v>
      </c>
    </row>
    <row r="2224" spans="1:17" hidden="1" x14ac:dyDescent="0.4">
      <c r="A2224" s="4" t="s">
        <v>35</v>
      </c>
      <c r="B2224" s="4" t="s">
        <v>14</v>
      </c>
      <c r="C2224" s="30" t="s">
        <v>434</v>
      </c>
      <c r="D2224" s="4" t="s">
        <v>36</v>
      </c>
      <c r="E2224" s="4" t="s">
        <v>16</v>
      </c>
      <c r="F2224" s="4" t="s">
        <v>17</v>
      </c>
      <c r="G2224" s="4" t="s">
        <v>18</v>
      </c>
      <c r="H2224" s="4" t="s">
        <v>236</v>
      </c>
      <c r="I2224" s="5" t="str">
        <f t="shared" si="34"/>
        <v>2025-08</v>
      </c>
      <c r="J2224" s="4" t="s">
        <v>60</v>
      </c>
      <c r="K2224" s="5" t="s">
        <v>343</v>
      </c>
      <c r="L2224" s="2">
        <v>116220</v>
      </c>
      <c r="M2224" s="3">
        <v>4</v>
      </c>
      <c r="N2224" s="2">
        <v>464880</v>
      </c>
      <c r="O2224" s="2">
        <v>46488</v>
      </c>
      <c r="P2224" s="2">
        <v>511368</v>
      </c>
      <c r="Q2224" s="2">
        <f>P2224*12%</f>
        <v>61364.159999999996</v>
      </c>
    </row>
    <row r="2225" spans="1:17" hidden="1" x14ac:dyDescent="0.4">
      <c r="A2225" s="4" t="s">
        <v>23</v>
      </c>
      <c r="B2225" s="4" t="s">
        <v>14</v>
      </c>
      <c r="C2225" s="31" t="s">
        <v>435</v>
      </c>
      <c r="D2225" s="4" t="s">
        <v>24</v>
      </c>
      <c r="E2225" s="4" t="s">
        <v>16</v>
      </c>
      <c r="F2225" s="4" t="s">
        <v>17</v>
      </c>
      <c r="G2225" s="4" t="s">
        <v>18</v>
      </c>
      <c r="H2225" s="4" t="s">
        <v>236</v>
      </c>
      <c r="I2225" s="5" t="str">
        <f t="shared" si="34"/>
        <v>2025-08</v>
      </c>
      <c r="J2225" s="4" t="s">
        <v>60</v>
      </c>
      <c r="K2225" s="5" t="s">
        <v>343</v>
      </c>
      <c r="L2225" s="2">
        <v>55500</v>
      </c>
      <c r="M2225" s="3">
        <v>5</v>
      </c>
      <c r="N2225" s="2">
        <v>277500</v>
      </c>
      <c r="O2225" s="2">
        <v>27750</v>
      </c>
      <c r="P2225" s="2">
        <v>305250</v>
      </c>
      <c r="Q2225" s="2">
        <f>P2225*12%</f>
        <v>36630</v>
      </c>
    </row>
    <row r="2226" spans="1:17" hidden="1" x14ac:dyDescent="0.4">
      <c r="A2226" s="4" t="s">
        <v>32</v>
      </c>
      <c r="B2226" s="4" t="s">
        <v>14</v>
      </c>
      <c r="C2226" s="31" t="s">
        <v>435</v>
      </c>
      <c r="D2226" s="4" t="s">
        <v>33</v>
      </c>
      <c r="E2226" s="4" t="s">
        <v>16</v>
      </c>
      <c r="F2226" s="4" t="s">
        <v>17</v>
      </c>
      <c r="G2226" s="4" t="s">
        <v>18</v>
      </c>
      <c r="H2226" s="4" t="s">
        <v>236</v>
      </c>
      <c r="I2226" s="5" t="str">
        <f t="shared" si="34"/>
        <v>2025-08</v>
      </c>
      <c r="J2226" s="4" t="s">
        <v>49</v>
      </c>
      <c r="K2226" s="5" t="s">
        <v>343</v>
      </c>
      <c r="L2226" s="2">
        <v>44000</v>
      </c>
      <c r="M2226" s="3">
        <v>5</v>
      </c>
      <c r="N2226" s="2">
        <v>220000</v>
      </c>
      <c r="O2226" s="2">
        <v>22000</v>
      </c>
      <c r="P2226" s="2">
        <v>242000</v>
      </c>
      <c r="Q2226" s="2">
        <f>P2226*12%</f>
        <v>29040</v>
      </c>
    </row>
    <row r="2227" spans="1:17" hidden="1" x14ac:dyDescent="0.4">
      <c r="A2227" s="4" t="s">
        <v>13</v>
      </c>
      <c r="B2227" s="4" t="s">
        <v>14</v>
      </c>
      <c r="C2227" s="30" t="s">
        <v>434</v>
      </c>
      <c r="D2227" s="4" t="s">
        <v>15</v>
      </c>
      <c r="E2227" s="4" t="s">
        <v>16</v>
      </c>
      <c r="F2227" s="4" t="s">
        <v>17</v>
      </c>
      <c r="G2227" s="4" t="s">
        <v>18</v>
      </c>
      <c r="H2227" s="4" t="s">
        <v>236</v>
      </c>
      <c r="I2227" s="5" t="str">
        <f t="shared" si="34"/>
        <v>2025-08</v>
      </c>
      <c r="J2227" s="4" t="s">
        <v>49</v>
      </c>
      <c r="K2227" s="5" t="s">
        <v>343</v>
      </c>
      <c r="L2227" s="2">
        <v>42000</v>
      </c>
      <c r="M2227" s="3">
        <v>9</v>
      </c>
      <c r="N2227" s="2">
        <v>378000</v>
      </c>
      <c r="O2227" s="2">
        <v>37800</v>
      </c>
      <c r="P2227" s="2">
        <v>415800</v>
      </c>
      <c r="Q2227" s="2">
        <f>P2227*12%</f>
        <v>49896</v>
      </c>
    </row>
    <row r="2228" spans="1:17" hidden="1" x14ac:dyDescent="0.4">
      <c r="A2228" s="4" t="s">
        <v>35</v>
      </c>
      <c r="B2228" s="4" t="s">
        <v>14</v>
      </c>
      <c r="C2228" s="30" t="s">
        <v>434</v>
      </c>
      <c r="D2228" s="4" t="s">
        <v>36</v>
      </c>
      <c r="E2228" s="4" t="s">
        <v>16</v>
      </c>
      <c r="F2228" s="4" t="s">
        <v>17</v>
      </c>
      <c r="G2228" s="4" t="s">
        <v>18</v>
      </c>
      <c r="H2228" s="4" t="s">
        <v>236</v>
      </c>
      <c r="I2228" s="5" t="str">
        <f t="shared" si="34"/>
        <v>2025-08</v>
      </c>
      <c r="J2228" s="4" t="s">
        <v>49</v>
      </c>
      <c r="K2228" s="5" t="s">
        <v>343</v>
      </c>
      <c r="L2228" s="2">
        <v>116220</v>
      </c>
      <c r="M2228" s="3">
        <v>2</v>
      </c>
      <c r="N2228" s="2">
        <v>232440</v>
      </c>
      <c r="O2228" s="2">
        <v>23244</v>
      </c>
      <c r="P2228" s="2">
        <v>255684</v>
      </c>
      <c r="Q2228" s="2">
        <f>P2228*12%</f>
        <v>30682.079999999998</v>
      </c>
    </row>
    <row r="2229" spans="1:17" hidden="1" x14ac:dyDescent="0.4">
      <c r="A2229" s="4" t="s">
        <v>23</v>
      </c>
      <c r="B2229" s="4" t="s">
        <v>14</v>
      </c>
      <c r="C2229" s="31" t="s">
        <v>435</v>
      </c>
      <c r="D2229" s="4" t="s">
        <v>24</v>
      </c>
      <c r="E2229" s="4" t="s">
        <v>16</v>
      </c>
      <c r="F2229" s="4" t="s">
        <v>17</v>
      </c>
      <c r="G2229" s="4" t="s">
        <v>18</v>
      </c>
      <c r="H2229" s="4" t="s">
        <v>236</v>
      </c>
      <c r="I2229" s="5" t="str">
        <f t="shared" si="34"/>
        <v>2025-08</v>
      </c>
      <c r="J2229" s="4" t="s">
        <v>49</v>
      </c>
      <c r="K2229" s="5" t="s">
        <v>343</v>
      </c>
      <c r="L2229" s="2">
        <v>55500</v>
      </c>
      <c r="M2229" s="3">
        <v>6</v>
      </c>
      <c r="N2229" s="2">
        <v>333000</v>
      </c>
      <c r="O2229" s="2">
        <v>33300</v>
      </c>
      <c r="P2229" s="2">
        <v>366300</v>
      </c>
      <c r="Q2229" s="2">
        <f>P2229*12%</f>
        <v>43956</v>
      </c>
    </row>
    <row r="2230" spans="1:17" hidden="1" x14ac:dyDescent="0.4">
      <c r="A2230" s="4" t="s">
        <v>51</v>
      </c>
      <c r="B2230" s="4" t="s">
        <v>14</v>
      </c>
      <c r="C2230" s="30" t="s">
        <v>434</v>
      </c>
      <c r="D2230" s="4" t="s">
        <v>52</v>
      </c>
      <c r="E2230" s="4" t="s">
        <v>16</v>
      </c>
      <c r="F2230" s="4" t="s">
        <v>17</v>
      </c>
      <c r="G2230" s="4" t="s">
        <v>18</v>
      </c>
      <c r="H2230" s="4" t="s">
        <v>236</v>
      </c>
      <c r="I2230" s="5" t="str">
        <f t="shared" si="34"/>
        <v>2025-08</v>
      </c>
      <c r="J2230" s="4" t="s">
        <v>49</v>
      </c>
      <c r="K2230" s="5" t="s">
        <v>343</v>
      </c>
      <c r="L2230" s="2">
        <v>73000</v>
      </c>
      <c r="M2230" s="3">
        <v>2</v>
      </c>
      <c r="N2230" s="2">
        <v>146000</v>
      </c>
      <c r="O2230" s="2">
        <v>14600</v>
      </c>
      <c r="P2230" s="2">
        <v>160600</v>
      </c>
      <c r="Q2230" s="2">
        <f>P2230*12%</f>
        <v>19272</v>
      </c>
    </row>
    <row r="2231" spans="1:17" hidden="1" x14ac:dyDescent="0.4">
      <c r="A2231" s="4" t="s">
        <v>32</v>
      </c>
      <c r="B2231" s="4" t="s">
        <v>14</v>
      </c>
      <c r="C2231" s="31" t="s">
        <v>435</v>
      </c>
      <c r="D2231" s="4" t="s">
        <v>33</v>
      </c>
      <c r="E2231" s="4" t="s">
        <v>16</v>
      </c>
      <c r="F2231" s="4" t="s">
        <v>17</v>
      </c>
      <c r="G2231" s="4" t="s">
        <v>18</v>
      </c>
      <c r="H2231" s="4" t="s">
        <v>236</v>
      </c>
      <c r="I2231" s="5" t="str">
        <f t="shared" si="34"/>
        <v>2025-08</v>
      </c>
      <c r="J2231" s="4" t="s">
        <v>50</v>
      </c>
      <c r="K2231" s="5" t="s">
        <v>343</v>
      </c>
      <c r="L2231" s="2">
        <v>44000</v>
      </c>
      <c r="M2231" s="3">
        <v>1</v>
      </c>
      <c r="N2231" s="2">
        <v>44000</v>
      </c>
      <c r="O2231" s="2">
        <v>4400</v>
      </c>
      <c r="P2231" s="2">
        <v>48400</v>
      </c>
      <c r="Q2231" s="2">
        <f>P2231*12%</f>
        <v>5808</v>
      </c>
    </row>
    <row r="2232" spans="1:17" hidden="1" x14ac:dyDescent="0.4">
      <c r="A2232" s="4" t="s">
        <v>13</v>
      </c>
      <c r="B2232" s="4" t="s">
        <v>14</v>
      </c>
      <c r="C2232" s="30" t="s">
        <v>434</v>
      </c>
      <c r="D2232" s="4" t="s">
        <v>15</v>
      </c>
      <c r="E2232" s="4" t="s">
        <v>16</v>
      </c>
      <c r="F2232" s="4" t="s">
        <v>17</v>
      </c>
      <c r="G2232" s="4" t="s">
        <v>18</v>
      </c>
      <c r="H2232" s="4" t="s">
        <v>236</v>
      </c>
      <c r="I2232" s="5" t="str">
        <f t="shared" si="34"/>
        <v>2025-08</v>
      </c>
      <c r="J2232" s="4" t="s">
        <v>50</v>
      </c>
      <c r="K2232" s="5" t="s">
        <v>343</v>
      </c>
      <c r="L2232" s="2">
        <v>42000</v>
      </c>
      <c r="M2232" s="3">
        <v>15</v>
      </c>
      <c r="N2232" s="2">
        <v>630000</v>
      </c>
      <c r="O2232" s="2">
        <v>63000</v>
      </c>
      <c r="P2232" s="2">
        <v>693000</v>
      </c>
      <c r="Q2232" s="2">
        <f>P2232*12%</f>
        <v>83160</v>
      </c>
    </row>
    <row r="2233" spans="1:17" hidden="1" x14ac:dyDescent="0.4">
      <c r="A2233" s="4" t="s">
        <v>23</v>
      </c>
      <c r="B2233" s="4" t="s">
        <v>14</v>
      </c>
      <c r="C2233" s="31" t="s">
        <v>435</v>
      </c>
      <c r="D2233" s="4" t="s">
        <v>24</v>
      </c>
      <c r="E2233" s="4" t="s">
        <v>16</v>
      </c>
      <c r="F2233" s="4" t="s">
        <v>17</v>
      </c>
      <c r="G2233" s="4" t="s">
        <v>18</v>
      </c>
      <c r="H2233" s="4" t="s">
        <v>236</v>
      </c>
      <c r="I2233" s="5" t="str">
        <f t="shared" si="34"/>
        <v>2025-08</v>
      </c>
      <c r="J2233" s="4" t="s">
        <v>50</v>
      </c>
      <c r="K2233" s="5" t="s">
        <v>343</v>
      </c>
      <c r="L2233" s="2">
        <v>55500</v>
      </c>
      <c r="M2233" s="3">
        <v>5</v>
      </c>
      <c r="N2233" s="2">
        <v>277500</v>
      </c>
      <c r="O2233" s="2">
        <v>27750</v>
      </c>
      <c r="P2233" s="2">
        <v>305250</v>
      </c>
      <c r="Q2233" s="2">
        <f>P2233*12%</f>
        <v>36630</v>
      </c>
    </row>
    <row r="2234" spans="1:17" hidden="1" x14ac:dyDescent="0.4">
      <c r="A2234" s="4" t="s">
        <v>51</v>
      </c>
      <c r="B2234" s="4" t="s">
        <v>14</v>
      </c>
      <c r="C2234" s="30" t="s">
        <v>434</v>
      </c>
      <c r="D2234" s="4" t="s">
        <v>52</v>
      </c>
      <c r="E2234" s="4" t="s">
        <v>16</v>
      </c>
      <c r="F2234" s="4" t="s">
        <v>17</v>
      </c>
      <c r="G2234" s="4" t="s">
        <v>18</v>
      </c>
      <c r="H2234" s="4" t="s">
        <v>236</v>
      </c>
      <c r="I2234" s="5" t="str">
        <f t="shared" si="34"/>
        <v>2025-08</v>
      </c>
      <c r="J2234" s="4" t="s">
        <v>50</v>
      </c>
      <c r="K2234" s="5" t="s">
        <v>343</v>
      </c>
      <c r="L2234" s="2">
        <v>73000</v>
      </c>
      <c r="M2234" s="3">
        <v>2</v>
      </c>
      <c r="N2234" s="2">
        <v>146000</v>
      </c>
      <c r="O2234" s="2">
        <v>14600</v>
      </c>
      <c r="P2234" s="2">
        <v>160600</v>
      </c>
      <c r="Q2234" s="2">
        <f>P2234*12%</f>
        <v>19272</v>
      </c>
    </row>
    <row r="2235" spans="1:17" x14ac:dyDescent="0.4">
      <c r="A2235" s="4" t="s">
        <v>13</v>
      </c>
      <c r="B2235" s="4" t="s">
        <v>14</v>
      </c>
      <c r="C2235" s="30" t="s">
        <v>434</v>
      </c>
      <c r="D2235" s="4" t="s">
        <v>15</v>
      </c>
      <c r="E2235" s="4" t="s">
        <v>16</v>
      </c>
      <c r="F2235" s="4" t="s">
        <v>17</v>
      </c>
      <c r="G2235" s="4" t="s">
        <v>18</v>
      </c>
      <c r="H2235" s="4" t="s">
        <v>237</v>
      </c>
      <c r="I2235" s="5" t="str">
        <f t="shared" si="34"/>
        <v>2025-08</v>
      </c>
      <c r="J2235" s="4" t="s">
        <v>20</v>
      </c>
      <c r="K2235" s="5" t="s">
        <v>342</v>
      </c>
      <c r="L2235" s="2">
        <v>42000</v>
      </c>
      <c r="M2235" s="3">
        <v>2</v>
      </c>
      <c r="N2235" s="2">
        <v>84000</v>
      </c>
      <c r="O2235" s="2">
        <v>8400</v>
      </c>
      <c r="P2235" s="2">
        <v>92400</v>
      </c>
      <c r="Q2235" s="2">
        <f>P2235*8.5%</f>
        <v>7854.0000000000009</v>
      </c>
    </row>
    <row r="2236" spans="1:17" x14ac:dyDescent="0.4">
      <c r="A2236" s="4" t="s">
        <v>21</v>
      </c>
      <c r="B2236" s="4" t="s">
        <v>14</v>
      </c>
      <c r="C2236" s="31" t="s">
        <v>435</v>
      </c>
      <c r="D2236" s="4" t="s">
        <v>22</v>
      </c>
      <c r="E2236" s="4" t="s">
        <v>16</v>
      </c>
      <c r="F2236" s="4" t="s">
        <v>17</v>
      </c>
      <c r="G2236" s="4" t="s">
        <v>18</v>
      </c>
      <c r="H2236" s="4" t="s">
        <v>237</v>
      </c>
      <c r="I2236" s="5" t="str">
        <f t="shared" si="34"/>
        <v>2025-08</v>
      </c>
      <c r="J2236" s="4" t="s">
        <v>20</v>
      </c>
      <c r="K2236" s="5" t="s">
        <v>342</v>
      </c>
      <c r="L2236" s="2">
        <v>55500</v>
      </c>
      <c r="M2236" s="3">
        <v>2</v>
      </c>
      <c r="N2236" s="2">
        <v>111000</v>
      </c>
      <c r="O2236" s="2">
        <v>11100</v>
      </c>
      <c r="P2236" s="2">
        <v>122100</v>
      </c>
      <c r="Q2236" s="2">
        <f>P2236*8.5%</f>
        <v>10378.5</v>
      </c>
    </row>
    <row r="2237" spans="1:17" x14ac:dyDescent="0.4">
      <c r="A2237" s="4" t="s">
        <v>23</v>
      </c>
      <c r="B2237" s="4" t="s">
        <v>14</v>
      </c>
      <c r="C2237" s="31" t="s">
        <v>435</v>
      </c>
      <c r="D2237" s="4" t="s">
        <v>24</v>
      </c>
      <c r="E2237" s="4" t="s">
        <v>16</v>
      </c>
      <c r="F2237" s="4" t="s">
        <v>17</v>
      </c>
      <c r="G2237" s="4" t="s">
        <v>18</v>
      </c>
      <c r="H2237" s="4" t="s">
        <v>237</v>
      </c>
      <c r="I2237" s="5" t="str">
        <f t="shared" si="34"/>
        <v>2025-08</v>
      </c>
      <c r="J2237" s="4" t="s">
        <v>20</v>
      </c>
      <c r="K2237" s="5" t="s">
        <v>342</v>
      </c>
      <c r="L2237" s="2">
        <v>55500</v>
      </c>
      <c r="M2237" s="3">
        <v>3</v>
      </c>
      <c r="N2237" s="2">
        <v>166500</v>
      </c>
      <c r="O2237" s="2">
        <v>16650</v>
      </c>
      <c r="P2237" s="2">
        <v>183150</v>
      </c>
      <c r="Q2237" s="2">
        <f>P2237*8.5%</f>
        <v>15567.750000000002</v>
      </c>
    </row>
    <row r="2238" spans="1:17" x14ac:dyDescent="0.4">
      <c r="A2238" s="4" t="s">
        <v>51</v>
      </c>
      <c r="B2238" s="4" t="s">
        <v>14</v>
      </c>
      <c r="C2238" s="30" t="s">
        <v>434</v>
      </c>
      <c r="D2238" s="4" t="s">
        <v>52</v>
      </c>
      <c r="E2238" s="4" t="s">
        <v>16</v>
      </c>
      <c r="F2238" s="4" t="s">
        <v>17</v>
      </c>
      <c r="G2238" s="4" t="s">
        <v>18</v>
      </c>
      <c r="H2238" s="4" t="s">
        <v>237</v>
      </c>
      <c r="I2238" s="5" t="str">
        <f t="shared" si="34"/>
        <v>2025-08</v>
      </c>
      <c r="J2238" s="4" t="s">
        <v>20</v>
      </c>
      <c r="K2238" s="5" t="s">
        <v>342</v>
      </c>
      <c r="L2238" s="2">
        <v>73000</v>
      </c>
      <c r="M2238" s="3">
        <v>1</v>
      </c>
      <c r="N2238" s="2">
        <v>73000</v>
      </c>
      <c r="O2238" s="2">
        <v>7300</v>
      </c>
      <c r="P2238" s="2">
        <v>80300</v>
      </c>
      <c r="Q2238" s="2">
        <f>P2238*8.5%</f>
        <v>6825.5000000000009</v>
      </c>
    </row>
    <row r="2239" spans="1:17" x14ac:dyDescent="0.4">
      <c r="A2239" s="4" t="s">
        <v>54</v>
      </c>
      <c r="B2239" s="4" t="s">
        <v>26</v>
      </c>
      <c r="C2239" s="32" t="s">
        <v>436</v>
      </c>
      <c r="D2239" s="4" t="s">
        <v>55</v>
      </c>
      <c r="E2239" s="4" t="s">
        <v>28</v>
      </c>
      <c r="F2239" s="4" t="s">
        <v>31</v>
      </c>
      <c r="G2239" s="4" t="s">
        <v>18</v>
      </c>
      <c r="H2239" s="4" t="s">
        <v>237</v>
      </c>
      <c r="I2239" s="5" t="str">
        <f t="shared" si="34"/>
        <v>2025-08</v>
      </c>
      <c r="J2239" s="4" t="s">
        <v>20</v>
      </c>
      <c r="K2239" s="5" t="s">
        <v>342</v>
      </c>
      <c r="L2239" s="2">
        <v>5919</v>
      </c>
      <c r="M2239" s="3">
        <v>1</v>
      </c>
      <c r="N2239" s="2">
        <v>5919</v>
      </c>
      <c r="O2239" s="2">
        <v>0</v>
      </c>
      <c r="P2239" s="2">
        <v>5919</v>
      </c>
      <c r="Q2239" s="2">
        <f>P2239*8.5%</f>
        <v>503.11500000000001</v>
      </c>
    </row>
    <row r="2240" spans="1:17" hidden="1" x14ac:dyDescent="0.4">
      <c r="A2240" s="4" t="s">
        <v>32</v>
      </c>
      <c r="B2240" s="4" t="s">
        <v>14</v>
      </c>
      <c r="C2240" s="31" t="s">
        <v>435</v>
      </c>
      <c r="D2240" s="4" t="s">
        <v>33</v>
      </c>
      <c r="E2240" s="4" t="s">
        <v>16</v>
      </c>
      <c r="F2240" s="4" t="s">
        <v>17</v>
      </c>
      <c r="G2240" s="4" t="s">
        <v>18</v>
      </c>
      <c r="H2240" s="4" t="s">
        <v>237</v>
      </c>
      <c r="I2240" s="5" t="str">
        <f t="shared" si="34"/>
        <v>2025-08</v>
      </c>
      <c r="J2240" s="4" t="s">
        <v>118</v>
      </c>
      <c r="K2240" s="5" t="s">
        <v>342</v>
      </c>
      <c r="L2240" s="2">
        <v>44000</v>
      </c>
      <c r="M2240" s="3">
        <v>1</v>
      </c>
      <c r="N2240" s="2">
        <v>44000</v>
      </c>
      <c r="O2240" s="2">
        <v>4400</v>
      </c>
      <c r="P2240" s="2">
        <v>48400</v>
      </c>
      <c r="Q2240" s="2">
        <f>P2240*8.5%</f>
        <v>4114</v>
      </c>
    </row>
    <row r="2241" spans="1:17" hidden="1" x14ac:dyDescent="0.4">
      <c r="A2241" s="4" t="s">
        <v>13</v>
      </c>
      <c r="B2241" s="4" t="s">
        <v>14</v>
      </c>
      <c r="C2241" s="30" t="s">
        <v>434</v>
      </c>
      <c r="D2241" s="4" t="s">
        <v>15</v>
      </c>
      <c r="E2241" s="4" t="s">
        <v>16</v>
      </c>
      <c r="F2241" s="4" t="s">
        <v>17</v>
      </c>
      <c r="G2241" s="4" t="s">
        <v>18</v>
      </c>
      <c r="H2241" s="4" t="s">
        <v>237</v>
      </c>
      <c r="I2241" s="5" t="str">
        <f t="shared" si="34"/>
        <v>2025-08</v>
      </c>
      <c r="J2241" s="4" t="s">
        <v>118</v>
      </c>
      <c r="K2241" s="5" t="s">
        <v>342</v>
      </c>
      <c r="L2241" s="2">
        <v>42000</v>
      </c>
      <c r="M2241" s="3">
        <v>6</v>
      </c>
      <c r="N2241" s="2">
        <v>252000</v>
      </c>
      <c r="O2241" s="2">
        <v>25200</v>
      </c>
      <c r="P2241" s="2">
        <v>277200</v>
      </c>
      <c r="Q2241" s="2">
        <f>P2241*8.5%</f>
        <v>23562</v>
      </c>
    </row>
    <row r="2242" spans="1:17" hidden="1" x14ac:dyDescent="0.4">
      <c r="A2242" s="4" t="s">
        <v>23</v>
      </c>
      <c r="B2242" s="4" t="s">
        <v>14</v>
      </c>
      <c r="C2242" s="31" t="s">
        <v>435</v>
      </c>
      <c r="D2242" s="4" t="s">
        <v>24</v>
      </c>
      <c r="E2242" s="4" t="s">
        <v>16</v>
      </c>
      <c r="F2242" s="4" t="s">
        <v>17</v>
      </c>
      <c r="G2242" s="4" t="s">
        <v>18</v>
      </c>
      <c r="H2242" s="4" t="s">
        <v>237</v>
      </c>
      <c r="I2242" s="5" t="str">
        <f t="shared" ref="I2242:I2305" si="35">TEXT(H2242,"yyyy-mm")</f>
        <v>2025-08</v>
      </c>
      <c r="J2242" s="4" t="s">
        <v>118</v>
      </c>
      <c r="K2242" s="5" t="s">
        <v>342</v>
      </c>
      <c r="L2242" s="2">
        <v>55500</v>
      </c>
      <c r="M2242" s="3">
        <v>1</v>
      </c>
      <c r="N2242" s="2">
        <v>55500</v>
      </c>
      <c r="O2242" s="2">
        <v>5550</v>
      </c>
      <c r="P2242" s="2">
        <v>61050</v>
      </c>
      <c r="Q2242" s="2">
        <f>P2242*8.5%</f>
        <v>5189.25</v>
      </c>
    </row>
    <row r="2243" spans="1:17" hidden="1" x14ac:dyDescent="0.4">
      <c r="A2243" s="4" t="s">
        <v>51</v>
      </c>
      <c r="B2243" s="4" t="s">
        <v>14</v>
      </c>
      <c r="C2243" s="30" t="s">
        <v>434</v>
      </c>
      <c r="D2243" s="4" t="s">
        <v>52</v>
      </c>
      <c r="E2243" s="4" t="s">
        <v>16</v>
      </c>
      <c r="F2243" s="4" t="s">
        <v>17</v>
      </c>
      <c r="G2243" s="4" t="s">
        <v>18</v>
      </c>
      <c r="H2243" s="4" t="s">
        <v>237</v>
      </c>
      <c r="I2243" s="5" t="str">
        <f t="shared" si="35"/>
        <v>2025-08</v>
      </c>
      <c r="J2243" s="4" t="s">
        <v>118</v>
      </c>
      <c r="K2243" s="5" t="s">
        <v>342</v>
      </c>
      <c r="L2243" s="2">
        <v>73000</v>
      </c>
      <c r="M2243" s="3">
        <v>1</v>
      </c>
      <c r="N2243" s="2">
        <v>73000</v>
      </c>
      <c r="O2243" s="2">
        <v>7300</v>
      </c>
      <c r="P2243" s="2">
        <v>80300</v>
      </c>
      <c r="Q2243" s="2">
        <f>P2243*8.5%</f>
        <v>6825.5000000000009</v>
      </c>
    </row>
    <row r="2244" spans="1:17" hidden="1" x14ac:dyDescent="0.4">
      <c r="A2244" s="4" t="s">
        <v>80</v>
      </c>
      <c r="B2244" s="4" t="s">
        <v>26</v>
      </c>
      <c r="C2244" s="32" t="s">
        <v>436</v>
      </c>
      <c r="D2244" s="4" t="s">
        <v>81</v>
      </c>
      <c r="E2244" s="4" t="s">
        <v>16</v>
      </c>
      <c r="F2244" s="4" t="s">
        <v>17</v>
      </c>
      <c r="G2244" s="4" t="s">
        <v>18</v>
      </c>
      <c r="H2244" s="4" t="s">
        <v>237</v>
      </c>
      <c r="I2244" s="5" t="str">
        <f t="shared" si="35"/>
        <v>2025-08</v>
      </c>
      <c r="J2244" s="4" t="s">
        <v>34</v>
      </c>
      <c r="K2244" s="5" t="s">
        <v>342</v>
      </c>
      <c r="L2244" s="2">
        <v>17696</v>
      </c>
      <c r="M2244" s="3">
        <v>1</v>
      </c>
      <c r="N2244" s="2">
        <v>17696</v>
      </c>
      <c r="O2244" s="2">
        <v>1770</v>
      </c>
      <c r="P2244" s="2">
        <v>19466</v>
      </c>
      <c r="Q2244" s="2">
        <f>P2244*8.5%</f>
        <v>1654.6100000000001</v>
      </c>
    </row>
    <row r="2245" spans="1:17" hidden="1" x14ac:dyDescent="0.4">
      <c r="A2245" s="4" t="s">
        <v>64</v>
      </c>
      <c r="B2245" s="4" t="s">
        <v>65</v>
      </c>
      <c r="C2245" s="32" t="s">
        <v>436</v>
      </c>
      <c r="D2245" s="4" t="s">
        <v>66</v>
      </c>
      <c r="E2245" s="4" t="s">
        <v>16</v>
      </c>
      <c r="F2245" s="4" t="s">
        <v>17</v>
      </c>
      <c r="G2245" s="4" t="s">
        <v>18</v>
      </c>
      <c r="H2245" s="4" t="s">
        <v>237</v>
      </c>
      <c r="I2245" s="5" t="str">
        <f t="shared" si="35"/>
        <v>2025-08</v>
      </c>
      <c r="J2245" s="4" t="s">
        <v>34</v>
      </c>
      <c r="K2245" s="5" t="s">
        <v>342</v>
      </c>
      <c r="L2245" s="2">
        <v>10283</v>
      </c>
      <c r="M2245" s="3">
        <v>1</v>
      </c>
      <c r="N2245" s="2">
        <v>10283</v>
      </c>
      <c r="O2245" s="2">
        <v>1028</v>
      </c>
      <c r="P2245" s="2">
        <v>11311</v>
      </c>
      <c r="Q2245" s="2">
        <f>P2245*8.5%</f>
        <v>961.43500000000006</v>
      </c>
    </row>
    <row r="2246" spans="1:17" hidden="1" x14ac:dyDescent="0.4">
      <c r="A2246" s="4" t="s">
        <v>32</v>
      </c>
      <c r="B2246" s="4" t="s">
        <v>14</v>
      </c>
      <c r="C2246" s="31" t="s">
        <v>435</v>
      </c>
      <c r="D2246" s="4" t="s">
        <v>33</v>
      </c>
      <c r="E2246" s="4" t="s">
        <v>16</v>
      </c>
      <c r="F2246" s="4" t="s">
        <v>17</v>
      </c>
      <c r="G2246" s="4" t="s">
        <v>18</v>
      </c>
      <c r="H2246" s="4" t="s">
        <v>237</v>
      </c>
      <c r="I2246" s="5" t="str">
        <f t="shared" si="35"/>
        <v>2025-08</v>
      </c>
      <c r="J2246" s="4" t="s">
        <v>34</v>
      </c>
      <c r="K2246" s="5" t="s">
        <v>342</v>
      </c>
      <c r="L2246" s="2">
        <v>44000</v>
      </c>
      <c r="M2246" s="3">
        <v>2</v>
      </c>
      <c r="N2246" s="2">
        <v>88000</v>
      </c>
      <c r="O2246" s="2">
        <v>8800</v>
      </c>
      <c r="P2246" s="2">
        <v>96800</v>
      </c>
      <c r="Q2246" s="2">
        <f>P2246*8.5%</f>
        <v>8228</v>
      </c>
    </row>
    <row r="2247" spans="1:17" hidden="1" x14ac:dyDescent="0.4">
      <c r="A2247" s="4" t="s">
        <v>58</v>
      </c>
      <c r="B2247" s="4" t="s">
        <v>14</v>
      </c>
      <c r="C2247" s="30" t="s">
        <v>434</v>
      </c>
      <c r="D2247" s="4" t="s">
        <v>36</v>
      </c>
      <c r="E2247" s="4" t="s">
        <v>16</v>
      </c>
      <c r="F2247" s="4" t="s">
        <v>17</v>
      </c>
      <c r="G2247" s="4" t="s">
        <v>18</v>
      </c>
      <c r="H2247" s="4" t="s">
        <v>237</v>
      </c>
      <c r="I2247" s="5" t="str">
        <f t="shared" si="35"/>
        <v>2025-08</v>
      </c>
      <c r="J2247" s="4" t="s">
        <v>34</v>
      </c>
      <c r="K2247" s="5" t="s">
        <v>342</v>
      </c>
      <c r="L2247" s="2">
        <v>120880</v>
      </c>
      <c r="M2247" s="3">
        <v>1</v>
      </c>
      <c r="N2247" s="2">
        <v>120880</v>
      </c>
      <c r="O2247" s="2">
        <v>12088</v>
      </c>
      <c r="P2247" s="2">
        <v>132968</v>
      </c>
      <c r="Q2247" s="2">
        <f>P2247*8.5%</f>
        <v>11302.28</v>
      </c>
    </row>
    <row r="2248" spans="1:17" hidden="1" x14ac:dyDescent="0.4">
      <c r="A2248" s="4" t="s">
        <v>13</v>
      </c>
      <c r="B2248" s="4" t="s">
        <v>14</v>
      </c>
      <c r="C2248" s="30" t="s">
        <v>434</v>
      </c>
      <c r="D2248" s="4" t="s">
        <v>15</v>
      </c>
      <c r="E2248" s="4" t="s">
        <v>16</v>
      </c>
      <c r="F2248" s="4" t="s">
        <v>17</v>
      </c>
      <c r="G2248" s="4" t="s">
        <v>18</v>
      </c>
      <c r="H2248" s="4" t="s">
        <v>237</v>
      </c>
      <c r="I2248" s="5" t="str">
        <f t="shared" si="35"/>
        <v>2025-08</v>
      </c>
      <c r="J2248" s="4" t="s">
        <v>34</v>
      </c>
      <c r="K2248" s="5" t="s">
        <v>342</v>
      </c>
      <c r="L2248" s="2">
        <v>42000</v>
      </c>
      <c r="M2248" s="3">
        <v>6</v>
      </c>
      <c r="N2248" s="2">
        <v>252000</v>
      </c>
      <c r="O2248" s="2">
        <v>25200</v>
      </c>
      <c r="P2248" s="2">
        <v>277200</v>
      </c>
      <c r="Q2248" s="2">
        <f>P2248*8.5%</f>
        <v>23562</v>
      </c>
    </row>
    <row r="2249" spans="1:17" hidden="1" x14ac:dyDescent="0.4">
      <c r="A2249" s="4" t="s">
        <v>21</v>
      </c>
      <c r="B2249" s="4" t="s">
        <v>14</v>
      </c>
      <c r="C2249" s="31" t="s">
        <v>435</v>
      </c>
      <c r="D2249" s="4" t="s">
        <v>22</v>
      </c>
      <c r="E2249" s="4" t="s">
        <v>16</v>
      </c>
      <c r="F2249" s="4" t="s">
        <v>17</v>
      </c>
      <c r="G2249" s="4" t="s">
        <v>18</v>
      </c>
      <c r="H2249" s="4" t="s">
        <v>237</v>
      </c>
      <c r="I2249" s="5" t="str">
        <f t="shared" si="35"/>
        <v>2025-08</v>
      </c>
      <c r="J2249" s="4" t="s">
        <v>34</v>
      </c>
      <c r="K2249" s="5" t="s">
        <v>342</v>
      </c>
      <c r="L2249" s="2">
        <v>55500</v>
      </c>
      <c r="M2249" s="3">
        <v>2</v>
      </c>
      <c r="N2249" s="2">
        <v>111000</v>
      </c>
      <c r="O2249" s="2">
        <v>11100</v>
      </c>
      <c r="P2249" s="2">
        <v>122100</v>
      </c>
      <c r="Q2249" s="2">
        <f>P2249*8.5%</f>
        <v>10378.5</v>
      </c>
    </row>
    <row r="2250" spans="1:17" hidden="1" x14ac:dyDescent="0.4">
      <c r="A2250" s="4" t="s">
        <v>23</v>
      </c>
      <c r="B2250" s="4" t="s">
        <v>14</v>
      </c>
      <c r="C2250" s="31" t="s">
        <v>435</v>
      </c>
      <c r="D2250" s="4" t="s">
        <v>24</v>
      </c>
      <c r="E2250" s="4" t="s">
        <v>16</v>
      </c>
      <c r="F2250" s="4" t="s">
        <v>17</v>
      </c>
      <c r="G2250" s="4" t="s">
        <v>18</v>
      </c>
      <c r="H2250" s="4" t="s">
        <v>237</v>
      </c>
      <c r="I2250" s="5" t="str">
        <f t="shared" si="35"/>
        <v>2025-08</v>
      </c>
      <c r="J2250" s="4" t="s">
        <v>34</v>
      </c>
      <c r="K2250" s="5" t="s">
        <v>342</v>
      </c>
      <c r="L2250" s="2">
        <v>55500</v>
      </c>
      <c r="M2250" s="3">
        <v>4</v>
      </c>
      <c r="N2250" s="2">
        <v>222000</v>
      </c>
      <c r="O2250" s="2">
        <v>22200</v>
      </c>
      <c r="P2250" s="2">
        <v>244200</v>
      </c>
      <c r="Q2250" s="2">
        <f>P2250*8.5%</f>
        <v>20757</v>
      </c>
    </row>
    <row r="2251" spans="1:17" hidden="1" x14ac:dyDescent="0.4">
      <c r="A2251" s="4" t="s">
        <v>51</v>
      </c>
      <c r="B2251" s="4" t="s">
        <v>14</v>
      </c>
      <c r="C2251" s="30" t="s">
        <v>434</v>
      </c>
      <c r="D2251" s="4" t="s">
        <v>52</v>
      </c>
      <c r="E2251" s="4" t="s">
        <v>16</v>
      </c>
      <c r="F2251" s="4" t="s">
        <v>17</v>
      </c>
      <c r="G2251" s="4" t="s">
        <v>18</v>
      </c>
      <c r="H2251" s="4" t="s">
        <v>237</v>
      </c>
      <c r="I2251" s="5" t="str">
        <f t="shared" si="35"/>
        <v>2025-08</v>
      </c>
      <c r="J2251" s="4" t="s">
        <v>34</v>
      </c>
      <c r="K2251" s="5" t="s">
        <v>342</v>
      </c>
      <c r="L2251" s="2">
        <v>73000</v>
      </c>
      <c r="M2251" s="3">
        <v>1</v>
      </c>
      <c r="N2251" s="2">
        <v>73000</v>
      </c>
      <c r="O2251" s="2">
        <v>7300</v>
      </c>
      <c r="P2251" s="2">
        <v>80300</v>
      </c>
      <c r="Q2251" s="2">
        <f>P2251*8.5%</f>
        <v>6825.5000000000009</v>
      </c>
    </row>
    <row r="2252" spans="1:17" hidden="1" x14ac:dyDescent="0.4">
      <c r="A2252" s="4" t="s">
        <v>176</v>
      </c>
      <c r="B2252" s="4" t="s">
        <v>26</v>
      </c>
      <c r="C2252" s="32" t="s">
        <v>436</v>
      </c>
      <c r="D2252" s="4" t="s">
        <v>177</v>
      </c>
      <c r="E2252" s="4" t="s">
        <v>28</v>
      </c>
      <c r="F2252" s="4" t="s">
        <v>17</v>
      </c>
      <c r="G2252" s="4" t="s">
        <v>18</v>
      </c>
      <c r="H2252" s="4" t="s">
        <v>237</v>
      </c>
      <c r="I2252" s="5" t="str">
        <f t="shared" si="35"/>
        <v>2025-08</v>
      </c>
      <c r="J2252" s="4" t="s">
        <v>34</v>
      </c>
      <c r="K2252" s="5" t="s">
        <v>342</v>
      </c>
      <c r="L2252" s="2">
        <v>658</v>
      </c>
      <c r="M2252" s="3">
        <v>5</v>
      </c>
      <c r="N2252" s="2">
        <v>3290</v>
      </c>
      <c r="O2252" s="2">
        <v>329</v>
      </c>
      <c r="P2252" s="2">
        <v>3619</v>
      </c>
      <c r="Q2252" s="2">
        <f>P2252*8.5%</f>
        <v>307.61500000000001</v>
      </c>
    </row>
    <row r="2253" spans="1:17" hidden="1" x14ac:dyDescent="0.4">
      <c r="A2253" s="4" t="s">
        <v>42</v>
      </c>
      <c r="B2253" s="4" t="s">
        <v>14</v>
      </c>
      <c r="C2253" s="30" t="s">
        <v>434</v>
      </c>
      <c r="D2253" s="4" t="s">
        <v>43</v>
      </c>
      <c r="E2253" s="4" t="s">
        <v>44</v>
      </c>
      <c r="F2253" s="4" t="s">
        <v>31</v>
      </c>
      <c r="G2253" s="4" t="s">
        <v>18</v>
      </c>
      <c r="H2253" s="4" t="s">
        <v>237</v>
      </c>
      <c r="I2253" s="5" t="str">
        <f t="shared" si="35"/>
        <v>2025-08</v>
      </c>
      <c r="J2253" s="4" t="s">
        <v>34</v>
      </c>
      <c r="K2253" s="5" t="s">
        <v>342</v>
      </c>
      <c r="L2253" s="2">
        <v>7300</v>
      </c>
      <c r="M2253" s="3">
        <v>63.5</v>
      </c>
      <c r="N2253" s="2">
        <v>463550</v>
      </c>
      <c r="O2253" s="2">
        <v>0</v>
      </c>
      <c r="P2253" s="2">
        <v>463550</v>
      </c>
      <c r="Q2253" s="2">
        <f>P2253*8.5%</f>
        <v>39401.75</v>
      </c>
    </row>
    <row r="2254" spans="1:17" hidden="1" x14ac:dyDescent="0.4">
      <c r="A2254" s="4" t="s">
        <v>13</v>
      </c>
      <c r="B2254" s="4" t="s">
        <v>14</v>
      </c>
      <c r="C2254" s="30" t="s">
        <v>434</v>
      </c>
      <c r="D2254" s="4" t="s">
        <v>15</v>
      </c>
      <c r="E2254" s="4" t="s">
        <v>16</v>
      </c>
      <c r="F2254" s="4" t="s">
        <v>17</v>
      </c>
      <c r="G2254" s="4" t="s">
        <v>18</v>
      </c>
      <c r="H2254" s="4" t="s">
        <v>237</v>
      </c>
      <c r="I2254" s="5" t="str">
        <f t="shared" si="35"/>
        <v>2025-08</v>
      </c>
      <c r="J2254" s="4" t="s">
        <v>59</v>
      </c>
      <c r="K2254" s="5" t="s">
        <v>343</v>
      </c>
      <c r="L2254" s="2">
        <v>42000</v>
      </c>
      <c r="M2254" s="3">
        <v>4</v>
      </c>
      <c r="N2254" s="2">
        <v>168000</v>
      </c>
      <c r="O2254" s="2">
        <v>16800</v>
      </c>
      <c r="P2254" s="2">
        <v>184800</v>
      </c>
      <c r="Q2254" s="2">
        <f>P2254*12%</f>
        <v>22176</v>
      </c>
    </row>
    <row r="2255" spans="1:17" hidden="1" x14ac:dyDescent="0.4">
      <c r="A2255" s="4" t="s">
        <v>35</v>
      </c>
      <c r="B2255" s="4" t="s">
        <v>14</v>
      </c>
      <c r="C2255" s="30" t="s">
        <v>434</v>
      </c>
      <c r="D2255" s="4" t="s">
        <v>36</v>
      </c>
      <c r="E2255" s="4" t="s">
        <v>16</v>
      </c>
      <c r="F2255" s="4" t="s">
        <v>17</v>
      </c>
      <c r="G2255" s="4" t="s">
        <v>18</v>
      </c>
      <c r="H2255" s="4" t="s">
        <v>237</v>
      </c>
      <c r="I2255" s="5" t="str">
        <f t="shared" si="35"/>
        <v>2025-08</v>
      </c>
      <c r="J2255" s="4" t="s">
        <v>59</v>
      </c>
      <c r="K2255" s="5" t="s">
        <v>343</v>
      </c>
      <c r="L2255" s="2">
        <v>116220</v>
      </c>
      <c r="M2255" s="3">
        <v>1</v>
      </c>
      <c r="N2255" s="2">
        <v>116220</v>
      </c>
      <c r="O2255" s="2">
        <v>11622</v>
      </c>
      <c r="P2255" s="2">
        <v>127842</v>
      </c>
      <c r="Q2255" s="2">
        <f>P2255*12%</f>
        <v>15341.039999999999</v>
      </c>
    </row>
    <row r="2256" spans="1:17" hidden="1" x14ac:dyDescent="0.4">
      <c r="A2256" s="4" t="s">
        <v>23</v>
      </c>
      <c r="B2256" s="4" t="s">
        <v>14</v>
      </c>
      <c r="C2256" s="31" t="s">
        <v>435</v>
      </c>
      <c r="D2256" s="4" t="s">
        <v>24</v>
      </c>
      <c r="E2256" s="4" t="s">
        <v>16</v>
      </c>
      <c r="F2256" s="4" t="s">
        <v>17</v>
      </c>
      <c r="G2256" s="4" t="s">
        <v>18</v>
      </c>
      <c r="H2256" s="4" t="s">
        <v>237</v>
      </c>
      <c r="I2256" s="5" t="str">
        <f t="shared" si="35"/>
        <v>2025-08</v>
      </c>
      <c r="J2256" s="4" t="s">
        <v>59</v>
      </c>
      <c r="K2256" s="5" t="s">
        <v>343</v>
      </c>
      <c r="L2256" s="2">
        <v>55500</v>
      </c>
      <c r="M2256" s="3">
        <v>2</v>
      </c>
      <c r="N2256" s="2">
        <v>111000</v>
      </c>
      <c r="O2256" s="2">
        <v>11100</v>
      </c>
      <c r="P2256" s="2">
        <v>122100</v>
      </c>
      <c r="Q2256" s="2">
        <f>P2256*12%</f>
        <v>14652</v>
      </c>
    </row>
    <row r="2257" spans="1:17" hidden="1" x14ac:dyDescent="0.4">
      <c r="A2257" s="4" t="s">
        <v>32</v>
      </c>
      <c r="B2257" s="4" t="s">
        <v>14</v>
      </c>
      <c r="C2257" s="31" t="s">
        <v>435</v>
      </c>
      <c r="D2257" s="4" t="s">
        <v>33</v>
      </c>
      <c r="E2257" s="4" t="s">
        <v>16</v>
      </c>
      <c r="F2257" s="4" t="s">
        <v>17</v>
      </c>
      <c r="G2257" s="4" t="s">
        <v>18</v>
      </c>
      <c r="H2257" s="4" t="s">
        <v>237</v>
      </c>
      <c r="I2257" s="5" t="str">
        <f t="shared" si="35"/>
        <v>2025-08</v>
      </c>
      <c r="J2257" s="4" t="s">
        <v>49</v>
      </c>
      <c r="K2257" s="5" t="s">
        <v>343</v>
      </c>
      <c r="L2257" s="2">
        <v>44000</v>
      </c>
      <c r="M2257" s="3">
        <v>4</v>
      </c>
      <c r="N2257" s="2">
        <v>176000</v>
      </c>
      <c r="O2257" s="2">
        <v>17600</v>
      </c>
      <c r="P2257" s="2">
        <v>193600</v>
      </c>
      <c r="Q2257" s="2">
        <f>P2257*12%</f>
        <v>23232</v>
      </c>
    </row>
    <row r="2258" spans="1:17" hidden="1" x14ac:dyDescent="0.4">
      <c r="A2258" s="4" t="s">
        <v>13</v>
      </c>
      <c r="B2258" s="4" t="s">
        <v>14</v>
      </c>
      <c r="C2258" s="30" t="s">
        <v>434</v>
      </c>
      <c r="D2258" s="4" t="s">
        <v>15</v>
      </c>
      <c r="E2258" s="4" t="s">
        <v>16</v>
      </c>
      <c r="F2258" s="4" t="s">
        <v>17</v>
      </c>
      <c r="G2258" s="4" t="s">
        <v>18</v>
      </c>
      <c r="H2258" s="4" t="s">
        <v>237</v>
      </c>
      <c r="I2258" s="5" t="str">
        <f t="shared" si="35"/>
        <v>2025-08</v>
      </c>
      <c r="J2258" s="4" t="s">
        <v>49</v>
      </c>
      <c r="K2258" s="5" t="s">
        <v>343</v>
      </c>
      <c r="L2258" s="2">
        <v>42000</v>
      </c>
      <c r="M2258" s="3">
        <v>8</v>
      </c>
      <c r="N2258" s="2">
        <v>336000</v>
      </c>
      <c r="O2258" s="2">
        <v>33600</v>
      </c>
      <c r="P2258" s="2">
        <v>369600</v>
      </c>
      <c r="Q2258" s="2">
        <f>P2258*12%</f>
        <v>44352</v>
      </c>
    </row>
    <row r="2259" spans="1:17" hidden="1" x14ac:dyDescent="0.4">
      <c r="A2259" s="4" t="s">
        <v>35</v>
      </c>
      <c r="B2259" s="4" t="s">
        <v>14</v>
      </c>
      <c r="C2259" s="30" t="s">
        <v>434</v>
      </c>
      <c r="D2259" s="4" t="s">
        <v>36</v>
      </c>
      <c r="E2259" s="4" t="s">
        <v>16</v>
      </c>
      <c r="F2259" s="4" t="s">
        <v>17</v>
      </c>
      <c r="G2259" s="4" t="s">
        <v>18</v>
      </c>
      <c r="H2259" s="4" t="s">
        <v>237</v>
      </c>
      <c r="I2259" s="5" t="str">
        <f t="shared" si="35"/>
        <v>2025-08</v>
      </c>
      <c r="J2259" s="4" t="s">
        <v>49</v>
      </c>
      <c r="K2259" s="5" t="s">
        <v>343</v>
      </c>
      <c r="L2259" s="2">
        <v>116220</v>
      </c>
      <c r="M2259" s="3">
        <v>1</v>
      </c>
      <c r="N2259" s="2">
        <v>116220</v>
      </c>
      <c r="O2259" s="2">
        <v>11622</v>
      </c>
      <c r="P2259" s="2">
        <v>127842</v>
      </c>
      <c r="Q2259" s="2">
        <f>P2259*12%</f>
        <v>15341.039999999999</v>
      </c>
    </row>
    <row r="2260" spans="1:17" hidden="1" x14ac:dyDescent="0.4">
      <c r="A2260" s="4" t="s">
        <v>23</v>
      </c>
      <c r="B2260" s="4" t="s">
        <v>14</v>
      </c>
      <c r="C2260" s="31" t="s">
        <v>435</v>
      </c>
      <c r="D2260" s="4" t="s">
        <v>24</v>
      </c>
      <c r="E2260" s="4" t="s">
        <v>16</v>
      </c>
      <c r="F2260" s="4" t="s">
        <v>17</v>
      </c>
      <c r="G2260" s="4" t="s">
        <v>18</v>
      </c>
      <c r="H2260" s="4" t="s">
        <v>237</v>
      </c>
      <c r="I2260" s="5" t="str">
        <f t="shared" si="35"/>
        <v>2025-08</v>
      </c>
      <c r="J2260" s="4" t="s">
        <v>49</v>
      </c>
      <c r="K2260" s="5" t="s">
        <v>343</v>
      </c>
      <c r="L2260" s="2">
        <v>55500</v>
      </c>
      <c r="M2260" s="3">
        <v>4</v>
      </c>
      <c r="N2260" s="2">
        <v>222000</v>
      </c>
      <c r="O2260" s="2">
        <v>22200</v>
      </c>
      <c r="P2260" s="2">
        <v>244200</v>
      </c>
      <c r="Q2260" s="2">
        <f>P2260*12%</f>
        <v>29304</v>
      </c>
    </row>
    <row r="2261" spans="1:17" hidden="1" x14ac:dyDescent="0.4">
      <c r="A2261" s="4" t="s">
        <v>51</v>
      </c>
      <c r="B2261" s="4" t="s">
        <v>14</v>
      </c>
      <c r="C2261" s="30" t="s">
        <v>434</v>
      </c>
      <c r="D2261" s="4" t="s">
        <v>52</v>
      </c>
      <c r="E2261" s="4" t="s">
        <v>16</v>
      </c>
      <c r="F2261" s="4" t="s">
        <v>17</v>
      </c>
      <c r="G2261" s="4" t="s">
        <v>18</v>
      </c>
      <c r="H2261" s="4" t="s">
        <v>237</v>
      </c>
      <c r="I2261" s="5" t="str">
        <f t="shared" si="35"/>
        <v>2025-08</v>
      </c>
      <c r="J2261" s="4" t="s">
        <v>49</v>
      </c>
      <c r="K2261" s="5" t="s">
        <v>343</v>
      </c>
      <c r="L2261" s="2">
        <v>73000</v>
      </c>
      <c r="M2261" s="3">
        <v>1</v>
      </c>
      <c r="N2261" s="2">
        <v>73000</v>
      </c>
      <c r="O2261" s="2">
        <v>7300</v>
      </c>
      <c r="P2261" s="2">
        <v>80300</v>
      </c>
      <c r="Q2261" s="2">
        <f>P2261*12%</f>
        <v>9636</v>
      </c>
    </row>
    <row r="2262" spans="1:17" hidden="1" x14ac:dyDescent="0.4">
      <c r="A2262" s="4" t="s">
        <v>13</v>
      </c>
      <c r="B2262" s="4" t="s">
        <v>14</v>
      </c>
      <c r="C2262" s="30" t="s">
        <v>434</v>
      </c>
      <c r="D2262" s="4" t="s">
        <v>15</v>
      </c>
      <c r="E2262" s="4" t="s">
        <v>16</v>
      </c>
      <c r="F2262" s="4" t="s">
        <v>17</v>
      </c>
      <c r="G2262" s="4" t="s">
        <v>18</v>
      </c>
      <c r="H2262" s="4" t="s">
        <v>237</v>
      </c>
      <c r="I2262" s="5" t="str">
        <f t="shared" si="35"/>
        <v>2025-08</v>
      </c>
      <c r="J2262" s="4" t="s">
        <v>50</v>
      </c>
      <c r="K2262" s="5" t="s">
        <v>343</v>
      </c>
      <c r="L2262" s="2">
        <v>42000</v>
      </c>
      <c r="M2262" s="3">
        <v>5</v>
      </c>
      <c r="N2262" s="2">
        <v>210000</v>
      </c>
      <c r="O2262" s="2">
        <v>21000</v>
      </c>
      <c r="P2262" s="2">
        <v>231000</v>
      </c>
      <c r="Q2262" s="2">
        <f>P2262*12%</f>
        <v>27720</v>
      </c>
    </row>
    <row r="2263" spans="1:17" hidden="1" x14ac:dyDescent="0.4">
      <c r="A2263" s="4" t="s">
        <v>23</v>
      </c>
      <c r="B2263" s="4" t="s">
        <v>14</v>
      </c>
      <c r="C2263" s="31" t="s">
        <v>435</v>
      </c>
      <c r="D2263" s="4" t="s">
        <v>24</v>
      </c>
      <c r="E2263" s="4" t="s">
        <v>16</v>
      </c>
      <c r="F2263" s="4" t="s">
        <v>17</v>
      </c>
      <c r="G2263" s="4" t="s">
        <v>18</v>
      </c>
      <c r="H2263" s="4" t="s">
        <v>237</v>
      </c>
      <c r="I2263" s="5" t="str">
        <f t="shared" si="35"/>
        <v>2025-08</v>
      </c>
      <c r="J2263" s="4" t="s">
        <v>50</v>
      </c>
      <c r="K2263" s="5" t="s">
        <v>343</v>
      </c>
      <c r="L2263" s="2">
        <v>55500</v>
      </c>
      <c r="M2263" s="3">
        <v>3</v>
      </c>
      <c r="N2263" s="2">
        <v>166500</v>
      </c>
      <c r="O2263" s="2">
        <v>16650</v>
      </c>
      <c r="P2263" s="2">
        <v>183150</v>
      </c>
      <c r="Q2263" s="2">
        <f>P2263*12%</f>
        <v>21978</v>
      </c>
    </row>
    <row r="2264" spans="1:17" hidden="1" x14ac:dyDescent="0.4">
      <c r="A2264" s="4" t="s">
        <v>51</v>
      </c>
      <c r="B2264" s="4" t="s">
        <v>14</v>
      </c>
      <c r="C2264" s="30" t="s">
        <v>434</v>
      </c>
      <c r="D2264" s="4" t="s">
        <v>52</v>
      </c>
      <c r="E2264" s="4" t="s">
        <v>16</v>
      </c>
      <c r="F2264" s="4" t="s">
        <v>17</v>
      </c>
      <c r="G2264" s="4" t="s">
        <v>18</v>
      </c>
      <c r="H2264" s="4" t="s">
        <v>237</v>
      </c>
      <c r="I2264" s="5" t="str">
        <f t="shared" si="35"/>
        <v>2025-08</v>
      </c>
      <c r="J2264" s="4" t="s">
        <v>50</v>
      </c>
      <c r="K2264" s="5" t="s">
        <v>343</v>
      </c>
      <c r="L2264" s="2">
        <v>73000</v>
      </c>
      <c r="M2264" s="3">
        <v>2</v>
      </c>
      <c r="N2264" s="2">
        <v>146000</v>
      </c>
      <c r="O2264" s="2">
        <v>14600</v>
      </c>
      <c r="P2264" s="2">
        <v>160600</v>
      </c>
      <c r="Q2264" s="2">
        <f>P2264*12%</f>
        <v>19272</v>
      </c>
    </row>
    <row r="2265" spans="1:17" x14ac:dyDescent="0.4">
      <c r="A2265" s="4" t="s">
        <v>54</v>
      </c>
      <c r="B2265" s="4" t="s">
        <v>26</v>
      </c>
      <c r="C2265" s="32" t="s">
        <v>436</v>
      </c>
      <c r="D2265" s="4" t="s">
        <v>55</v>
      </c>
      <c r="E2265" s="4" t="s">
        <v>28</v>
      </c>
      <c r="F2265" s="4" t="s">
        <v>31</v>
      </c>
      <c r="G2265" s="4" t="s">
        <v>18</v>
      </c>
      <c r="H2265" s="4" t="s">
        <v>238</v>
      </c>
      <c r="I2265" s="5" t="str">
        <f t="shared" si="35"/>
        <v>2025-08</v>
      </c>
      <c r="J2265" s="4" t="s">
        <v>20</v>
      </c>
      <c r="K2265" s="5" t="s">
        <v>342</v>
      </c>
      <c r="L2265" s="2">
        <v>5919</v>
      </c>
      <c r="M2265" s="3">
        <v>1</v>
      </c>
      <c r="N2265" s="2">
        <v>5919</v>
      </c>
      <c r="O2265" s="2">
        <v>0</v>
      </c>
      <c r="P2265" s="2">
        <v>5919</v>
      </c>
      <c r="Q2265" s="2">
        <f>P2265*8.5%</f>
        <v>503.11500000000001</v>
      </c>
    </row>
    <row r="2266" spans="1:17" x14ac:dyDescent="0.4">
      <c r="A2266" s="4" t="s">
        <v>58</v>
      </c>
      <c r="B2266" s="4" t="s">
        <v>14</v>
      </c>
      <c r="C2266" s="30" t="s">
        <v>434</v>
      </c>
      <c r="D2266" s="4" t="s">
        <v>36</v>
      </c>
      <c r="E2266" s="4" t="s">
        <v>16</v>
      </c>
      <c r="F2266" s="4" t="s">
        <v>17</v>
      </c>
      <c r="G2266" s="4" t="s">
        <v>18</v>
      </c>
      <c r="H2266" s="4" t="s">
        <v>239</v>
      </c>
      <c r="I2266" s="5" t="str">
        <f t="shared" si="35"/>
        <v>2025-08</v>
      </c>
      <c r="J2266" s="4" t="s">
        <v>20</v>
      </c>
      <c r="K2266" s="5" t="s">
        <v>342</v>
      </c>
      <c r="L2266" s="2">
        <v>120880</v>
      </c>
      <c r="M2266" s="3">
        <v>1</v>
      </c>
      <c r="N2266" s="2">
        <v>120880</v>
      </c>
      <c r="O2266" s="2">
        <v>12088</v>
      </c>
      <c r="P2266" s="2">
        <v>132968</v>
      </c>
      <c r="Q2266" s="2">
        <f>P2266*8.5%</f>
        <v>11302.28</v>
      </c>
    </row>
    <row r="2267" spans="1:17" x14ac:dyDescent="0.4">
      <c r="A2267" s="4" t="s">
        <v>13</v>
      </c>
      <c r="B2267" s="4" t="s">
        <v>14</v>
      </c>
      <c r="C2267" s="30" t="s">
        <v>434</v>
      </c>
      <c r="D2267" s="4" t="s">
        <v>15</v>
      </c>
      <c r="E2267" s="4" t="s">
        <v>16</v>
      </c>
      <c r="F2267" s="4" t="s">
        <v>17</v>
      </c>
      <c r="G2267" s="4" t="s">
        <v>18</v>
      </c>
      <c r="H2267" s="4" t="s">
        <v>239</v>
      </c>
      <c r="I2267" s="5" t="str">
        <f t="shared" si="35"/>
        <v>2025-08</v>
      </c>
      <c r="J2267" s="4" t="s">
        <v>20</v>
      </c>
      <c r="K2267" s="5" t="s">
        <v>342</v>
      </c>
      <c r="L2267" s="2">
        <v>42000</v>
      </c>
      <c r="M2267" s="3">
        <v>3</v>
      </c>
      <c r="N2267" s="2">
        <v>126000</v>
      </c>
      <c r="O2267" s="2">
        <v>12600</v>
      </c>
      <c r="P2267" s="2">
        <v>138600</v>
      </c>
      <c r="Q2267" s="2">
        <f>P2267*8.5%</f>
        <v>11781</v>
      </c>
    </row>
    <row r="2268" spans="1:17" x14ac:dyDescent="0.4">
      <c r="A2268" s="4" t="s">
        <v>21</v>
      </c>
      <c r="B2268" s="4" t="s">
        <v>14</v>
      </c>
      <c r="C2268" s="31" t="s">
        <v>435</v>
      </c>
      <c r="D2268" s="4" t="s">
        <v>22</v>
      </c>
      <c r="E2268" s="4" t="s">
        <v>16</v>
      </c>
      <c r="F2268" s="4" t="s">
        <v>17</v>
      </c>
      <c r="G2268" s="4" t="s">
        <v>18</v>
      </c>
      <c r="H2268" s="4" t="s">
        <v>239</v>
      </c>
      <c r="I2268" s="5" t="str">
        <f t="shared" si="35"/>
        <v>2025-08</v>
      </c>
      <c r="J2268" s="4" t="s">
        <v>20</v>
      </c>
      <c r="K2268" s="5" t="s">
        <v>342</v>
      </c>
      <c r="L2268" s="2">
        <v>55500</v>
      </c>
      <c r="M2268" s="3">
        <v>1</v>
      </c>
      <c r="N2268" s="2">
        <v>55500</v>
      </c>
      <c r="O2268" s="2">
        <v>5550</v>
      </c>
      <c r="P2268" s="2">
        <v>61050</v>
      </c>
      <c r="Q2268" s="2">
        <f>P2268*8.5%</f>
        <v>5189.25</v>
      </c>
    </row>
    <row r="2269" spans="1:17" x14ac:dyDescent="0.4">
      <c r="A2269" s="4" t="s">
        <v>23</v>
      </c>
      <c r="B2269" s="4" t="s">
        <v>14</v>
      </c>
      <c r="C2269" s="31" t="s">
        <v>435</v>
      </c>
      <c r="D2269" s="4" t="s">
        <v>24</v>
      </c>
      <c r="E2269" s="4" t="s">
        <v>16</v>
      </c>
      <c r="F2269" s="4" t="s">
        <v>17</v>
      </c>
      <c r="G2269" s="4" t="s">
        <v>18</v>
      </c>
      <c r="H2269" s="4" t="s">
        <v>239</v>
      </c>
      <c r="I2269" s="5" t="str">
        <f t="shared" si="35"/>
        <v>2025-08</v>
      </c>
      <c r="J2269" s="4" t="s">
        <v>20</v>
      </c>
      <c r="K2269" s="5" t="s">
        <v>342</v>
      </c>
      <c r="L2269" s="2">
        <v>55500</v>
      </c>
      <c r="M2269" s="3">
        <v>3</v>
      </c>
      <c r="N2269" s="2">
        <v>166500</v>
      </c>
      <c r="O2269" s="2">
        <v>16650</v>
      </c>
      <c r="P2269" s="2">
        <v>183150</v>
      </c>
      <c r="Q2269" s="2">
        <f>P2269*8.5%</f>
        <v>15567.750000000002</v>
      </c>
    </row>
    <row r="2270" spans="1:17" x14ac:dyDescent="0.4">
      <c r="A2270" s="4" t="s">
        <v>100</v>
      </c>
      <c r="B2270" s="4" t="s">
        <v>26</v>
      </c>
      <c r="C2270" s="32" t="s">
        <v>436</v>
      </c>
      <c r="D2270" s="4" t="s">
        <v>101</v>
      </c>
      <c r="E2270" s="4" t="s">
        <v>28</v>
      </c>
      <c r="F2270" s="4" t="s">
        <v>17</v>
      </c>
      <c r="G2270" s="4" t="s">
        <v>18</v>
      </c>
      <c r="H2270" s="4" t="s">
        <v>239</v>
      </c>
      <c r="I2270" s="5" t="str">
        <f t="shared" si="35"/>
        <v>2025-08</v>
      </c>
      <c r="J2270" s="4" t="s">
        <v>20</v>
      </c>
      <c r="K2270" s="5" t="s">
        <v>342</v>
      </c>
      <c r="L2270" s="2">
        <v>5620</v>
      </c>
      <c r="M2270" s="3">
        <v>3</v>
      </c>
      <c r="N2270" s="2">
        <v>16860</v>
      </c>
      <c r="O2270" s="2">
        <v>1686</v>
      </c>
      <c r="P2270" s="2">
        <v>18546</v>
      </c>
      <c r="Q2270" s="2">
        <f>P2270*8.5%</f>
        <v>1576.41</v>
      </c>
    </row>
    <row r="2271" spans="1:17" x14ac:dyDescent="0.4">
      <c r="A2271" s="4" t="s">
        <v>56</v>
      </c>
      <c r="B2271" s="4" t="s">
        <v>26</v>
      </c>
      <c r="C2271" s="32" t="s">
        <v>436</v>
      </c>
      <c r="D2271" s="4" t="s">
        <v>57</v>
      </c>
      <c r="E2271" s="4" t="s">
        <v>44</v>
      </c>
      <c r="F2271" s="4" t="s">
        <v>31</v>
      </c>
      <c r="G2271" s="4" t="s">
        <v>233</v>
      </c>
      <c r="H2271" s="4" t="s">
        <v>239</v>
      </c>
      <c r="I2271" s="5" t="str">
        <f t="shared" si="35"/>
        <v>2025-08</v>
      </c>
      <c r="J2271" s="4" t="s">
        <v>20</v>
      </c>
      <c r="K2271" s="5" t="s">
        <v>342</v>
      </c>
      <c r="L2271" s="2">
        <v>3049</v>
      </c>
      <c r="M2271" s="3">
        <v>-10</v>
      </c>
      <c r="N2271" s="2">
        <v>-30490</v>
      </c>
      <c r="O2271" s="2">
        <v>0</v>
      </c>
      <c r="P2271" s="2">
        <v>-30490</v>
      </c>
      <c r="Q2271" s="2">
        <f>P2271*8.5%</f>
        <v>-2591.65</v>
      </c>
    </row>
    <row r="2272" spans="1:17" x14ac:dyDescent="0.4">
      <c r="A2272" s="4" t="s">
        <v>56</v>
      </c>
      <c r="B2272" s="4" t="s">
        <v>26</v>
      </c>
      <c r="C2272" s="32" t="s">
        <v>436</v>
      </c>
      <c r="D2272" s="4" t="s">
        <v>57</v>
      </c>
      <c r="E2272" s="4" t="s">
        <v>44</v>
      </c>
      <c r="F2272" s="4" t="s">
        <v>31</v>
      </c>
      <c r="G2272" s="4" t="s">
        <v>18</v>
      </c>
      <c r="H2272" s="4" t="s">
        <v>239</v>
      </c>
      <c r="I2272" s="5" t="str">
        <f t="shared" si="35"/>
        <v>2025-08</v>
      </c>
      <c r="J2272" s="4" t="s">
        <v>20</v>
      </c>
      <c r="K2272" s="5" t="s">
        <v>342</v>
      </c>
      <c r="L2272" s="2">
        <v>3049</v>
      </c>
      <c r="M2272" s="3">
        <v>20</v>
      </c>
      <c r="N2272" s="2">
        <v>60980</v>
      </c>
      <c r="O2272" s="2">
        <v>0</v>
      </c>
      <c r="P2272" s="2">
        <v>60980</v>
      </c>
      <c r="Q2272" s="2">
        <f>P2272*8.5%</f>
        <v>5183.3</v>
      </c>
    </row>
    <row r="2273" spans="1:17" hidden="1" x14ac:dyDescent="0.4">
      <c r="A2273" s="4" t="s">
        <v>32</v>
      </c>
      <c r="B2273" s="4" t="s">
        <v>14</v>
      </c>
      <c r="C2273" s="31" t="s">
        <v>435</v>
      </c>
      <c r="D2273" s="4" t="s">
        <v>33</v>
      </c>
      <c r="E2273" s="4" t="s">
        <v>16</v>
      </c>
      <c r="F2273" s="4" t="s">
        <v>17</v>
      </c>
      <c r="G2273" s="4" t="s">
        <v>18</v>
      </c>
      <c r="H2273" s="4" t="s">
        <v>239</v>
      </c>
      <c r="I2273" s="5" t="str">
        <f t="shared" si="35"/>
        <v>2025-08</v>
      </c>
      <c r="J2273" s="4" t="s">
        <v>118</v>
      </c>
      <c r="K2273" s="5" t="s">
        <v>342</v>
      </c>
      <c r="L2273" s="2">
        <v>44000</v>
      </c>
      <c r="M2273" s="3">
        <v>1</v>
      </c>
      <c r="N2273" s="2">
        <v>44000</v>
      </c>
      <c r="O2273" s="2">
        <v>4400</v>
      </c>
      <c r="P2273" s="2">
        <v>48400</v>
      </c>
      <c r="Q2273" s="2">
        <f>P2273*8.5%</f>
        <v>4114</v>
      </c>
    </row>
    <row r="2274" spans="1:17" hidden="1" x14ac:dyDescent="0.4">
      <c r="A2274" s="4" t="s">
        <v>13</v>
      </c>
      <c r="B2274" s="4" t="s">
        <v>14</v>
      </c>
      <c r="C2274" s="30" t="s">
        <v>434</v>
      </c>
      <c r="D2274" s="4" t="s">
        <v>15</v>
      </c>
      <c r="E2274" s="4" t="s">
        <v>16</v>
      </c>
      <c r="F2274" s="4" t="s">
        <v>17</v>
      </c>
      <c r="G2274" s="4" t="s">
        <v>18</v>
      </c>
      <c r="H2274" s="4" t="s">
        <v>239</v>
      </c>
      <c r="I2274" s="5" t="str">
        <f t="shared" si="35"/>
        <v>2025-08</v>
      </c>
      <c r="J2274" s="4" t="s">
        <v>118</v>
      </c>
      <c r="K2274" s="5" t="s">
        <v>342</v>
      </c>
      <c r="L2274" s="2">
        <v>42000</v>
      </c>
      <c r="M2274" s="3">
        <v>2</v>
      </c>
      <c r="N2274" s="2">
        <v>84000</v>
      </c>
      <c r="O2274" s="2">
        <v>8400</v>
      </c>
      <c r="P2274" s="2">
        <v>92400</v>
      </c>
      <c r="Q2274" s="2">
        <f>P2274*8.5%</f>
        <v>7854.0000000000009</v>
      </c>
    </row>
    <row r="2275" spans="1:17" hidden="1" x14ac:dyDescent="0.4">
      <c r="A2275" s="4" t="s">
        <v>23</v>
      </c>
      <c r="B2275" s="4" t="s">
        <v>14</v>
      </c>
      <c r="C2275" s="31" t="s">
        <v>435</v>
      </c>
      <c r="D2275" s="4" t="s">
        <v>24</v>
      </c>
      <c r="E2275" s="4" t="s">
        <v>16</v>
      </c>
      <c r="F2275" s="4" t="s">
        <v>17</v>
      </c>
      <c r="G2275" s="4" t="s">
        <v>18</v>
      </c>
      <c r="H2275" s="4" t="s">
        <v>239</v>
      </c>
      <c r="I2275" s="5" t="str">
        <f t="shared" si="35"/>
        <v>2025-08</v>
      </c>
      <c r="J2275" s="4" t="s">
        <v>118</v>
      </c>
      <c r="K2275" s="5" t="s">
        <v>342</v>
      </c>
      <c r="L2275" s="2">
        <v>55500</v>
      </c>
      <c r="M2275" s="3">
        <v>3</v>
      </c>
      <c r="N2275" s="2">
        <v>166500</v>
      </c>
      <c r="O2275" s="2">
        <v>16650</v>
      </c>
      <c r="P2275" s="2">
        <v>183150</v>
      </c>
      <c r="Q2275" s="2">
        <f>P2275*8.5%</f>
        <v>15567.750000000002</v>
      </c>
    </row>
    <row r="2276" spans="1:17" hidden="1" x14ac:dyDescent="0.4">
      <c r="A2276" s="4" t="s">
        <v>58</v>
      </c>
      <c r="B2276" s="4" t="s">
        <v>14</v>
      </c>
      <c r="C2276" s="30" t="s">
        <v>434</v>
      </c>
      <c r="D2276" s="4" t="s">
        <v>36</v>
      </c>
      <c r="E2276" s="4" t="s">
        <v>16</v>
      </c>
      <c r="F2276" s="4" t="s">
        <v>17</v>
      </c>
      <c r="G2276" s="4" t="s">
        <v>18</v>
      </c>
      <c r="H2276" s="4" t="s">
        <v>239</v>
      </c>
      <c r="I2276" s="5" t="str">
        <f t="shared" si="35"/>
        <v>2025-08</v>
      </c>
      <c r="J2276" s="4" t="s">
        <v>34</v>
      </c>
      <c r="K2276" s="5" t="s">
        <v>342</v>
      </c>
      <c r="L2276" s="2">
        <v>120880</v>
      </c>
      <c r="M2276" s="3">
        <v>1</v>
      </c>
      <c r="N2276" s="2">
        <v>120880</v>
      </c>
      <c r="O2276" s="2">
        <v>12088</v>
      </c>
      <c r="P2276" s="2">
        <v>132968</v>
      </c>
      <c r="Q2276" s="2">
        <f>P2276*8.5%</f>
        <v>11302.28</v>
      </c>
    </row>
    <row r="2277" spans="1:17" hidden="1" x14ac:dyDescent="0.4">
      <c r="A2277" s="4" t="s">
        <v>13</v>
      </c>
      <c r="B2277" s="4" t="s">
        <v>14</v>
      </c>
      <c r="C2277" s="30" t="s">
        <v>434</v>
      </c>
      <c r="D2277" s="4" t="s">
        <v>15</v>
      </c>
      <c r="E2277" s="4" t="s">
        <v>16</v>
      </c>
      <c r="F2277" s="4" t="s">
        <v>17</v>
      </c>
      <c r="G2277" s="4" t="s">
        <v>18</v>
      </c>
      <c r="H2277" s="4" t="s">
        <v>239</v>
      </c>
      <c r="I2277" s="5" t="str">
        <f t="shared" si="35"/>
        <v>2025-08</v>
      </c>
      <c r="J2277" s="4" t="s">
        <v>34</v>
      </c>
      <c r="K2277" s="5" t="s">
        <v>342</v>
      </c>
      <c r="L2277" s="2">
        <v>42000</v>
      </c>
      <c r="M2277" s="3">
        <v>6</v>
      </c>
      <c r="N2277" s="2">
        <v>252000</v>
      </c>
      <c r="O2277" s="2">
        <v>25200</v>
      </c>
      <c r="P2277" s="2">
        <v>277200</v>
      </c>
      <c r="Q2277" s="2">
        <f>P2277*8.5%</f>
        <v>23562</v>
      </c>
    </row>
    <row r="2278" spans="1:17" hidden="1" x14ac:dyDescent="0.4">
      <c r="A2278" s="4" t="s">
        <v>21</v>
      </c>
      <c r="B2278" s="4" t="s">
        <v>14</v>
      </c>
      <c r="C2278" s="31" t="s">
        <v>435</v>
      </c>
      <c r="D2278" s="4" t="s">
        <v>22</v>
      </c>
      <c r="E2278" s="4" t="s">
        <v>16</v>
      </c>
      <c r="F2278" s="4" t="s">
        <v>17</v>
      </c>
      <c r="G2278" s="4" t="s">
        <v>18</v>
      </c>
      <c r="H2278" s="4" t="s">
        <v>239</v>
      </c>
      <c r="I2278" s="5" t="str">
        <f t="shared" si="35"/>
        <v>2025-08</v>
      </c>
      <c r="J2278" s="4" t="s">
        <v>34</v>
      </c>
      <c r="K2278" s="5" t="s">
        <v>342</v>
      </c>
      <c r="L2278" s="2">
        <v>55500</v>
      </c>
      <c r="M2278" s="3">
        <v>2</v>
      </c>
      <c r="N2278" s="2">
        <v>111000</v>
      </c>
      <c r="O2278" s="2">
        <v>11100</v>
      </c>
      <c r="P2278" s="2">
        <v>122100</v>
      </c>
      <c r="Q2278" s="2">
        <f>P2278*8.5%</f>
        <v>10378.5</v>
      </c>
    </row>
    <row r="2279" spans="1:17" hidden="1" x14ac:dyDescent="0.4">
      <c r="A2279" s="4" t="s">
        <v>35</v>
      </c>
      <c r="B2279" s="4" t="s">
        <v>14</v>
      </c>
      <c r="C2279" s="30" t="s">
        <v>434</v>
      </c>
      <c r="D2279" s="4" t="s">
        <v>36</v>
      </c>
      <c r="E2279" s="4" t="s">
        <v>16</v>
      </c>
      <c r="F2279" s="4" t="s">
        <v>17</v>
      </c>
      <c r="G2279" s="4" t="s">
        <v>18</v>
      </c>
      <c r="H2279" s="4" t="s">
        <v>239</v>
      </c>
      <c r="I2279" s="5" t="str">
        <f t="shared" si="35"/>
        <v>2025-08</v>
      </c>
      <c r="J2279" s="4" t="s">
        <v>34</v>
      </c>
      <c r="K2279" s="5" t="s">
        <v>342</v>
      </c>
      <c r="L2279" s="2">
        <v>116220</v>
      </c>
      <c r="M2279" s="3">
        <v>1</v>
      </c>
      <c r="N2279" s="2">
        <v>116220</v>
      </c>
      <c r="O2279" s="2">
        <v>11622</v>
      </c>
      <c r="P2279" s="2">
        <v>127842</v>
      </c>
      <c r="Q2279" s="2">
        <f>P2279*8.5%</f>
        <v>10866.570000000002</v>
      </c>
    </row>
    <row r="2280" spans="1:17" hidden="1" x14ac:dyDescent="0.4">
      <c r="A2280" s="4" t="s">
        <v>23</v>
      </c>
      <c r="B2280" s="4" t="s">
        <v>14</v>
      </c>
      <c r="C2280" s="31" t="s">
        <v>435</v>
      </c>
      <c r="D2280" s="4" t="s">
        <v>24</v>
      </c>
      <c r="E2280" s="4" t="s">
        <v>16</v>
      </c>
      <c r="F2280" s="4" t="s">
        <v>17</v>
      </c>
      <c r="G2280" s="4" t="s">
        <v>18</v>
      </c>
      <c r="H2280" s="4" t="s">
        <v>239</v>
      </c>
      <c r="I2280" s="5" t="str">
        <f t="shared" si="35"/>
        <v>2025-08</v>
      </c>
      <c r="J2280" s="4" t="s">
        <v>34</v>
      </c>
      <c r="K2280" s="5" t="s">
        <v>342</v>
      </c>
      <c r="L2280" s="2">
        <v>55500</v>
      </c>
      <c r="M2280" s="3">
        <v>3</v>
      </c>
      <c r="N2280" s="2">
        <v>166500</v>
      </c>
      <c r="O2280" s="2">
        <v>16650</v>
      </c>
      <c r="P2280" s="2">
        <v>183150</v>
      </c>
      <c r="Q2280" s="2">
        <f>P2280*8.5%</f>
        <v>15567.750000000002</v>
      </c>
    </row>
    <row r="2281" spans="1:17" hidden="1" x14ac:dyDescent="0.4">
      <c r="A2281" s="4" t="s">
        <v>51</v>
      </c>
      <c r="B2281" s="4" t="s">
        <v>14</v>
      </c>
      <c r="C2281" s="30" t="s">
        <v>434</v>
      </c>
      <c r="D2281" s="4" t="s">
        <v>52</v>
      </c>
      <c r="E2281" s="4" t="s">
        <v>16</v>
      </c>
      <c r="F2281" s="4" t="s">
        <v>17</v>
      </c>
      <c r="G2281" s="4" t="s">
        <v>18</v>
      </c>
      <c r="H2281" s="4" t="s">
        <v>239</v>
      </c>
      <c r="I2281" s="5" t="str">
        <f t="shared" si="35"/>
        <v>2025-08</v>
      </c>
      <c r="J2281" s="4" t="s">
        <v>34</v>
      </c>
      <c r="K2281" s="5" t="s">
        <v>342</v>
      </c>
      <c r="L2281" s="2">
        <v>73000</v>
      </c>
      <c r="M2281" s="3">
        <v>2</v>
      </c>
      <c r="N2281" s="2">
        <v>146000</v>
      </c>
      <c r="O2281" s="2">
        <v>14600</v>
      </c>
      <c r="P2281" s="2">
        <v>160600</v>
      </c>
      <c r="Q2281" s="2">
        <f>P2281*8.5%</f>
        <v>13651.000000000002</v>
      </c>
    </row>
    <row r="2282" spans="1:17" hidden="1" x14ac:dyDescent="0.4">
      <c r="A2282" s="4" t="s">
        <v>42</v>
      </c>
      <c r="B2282" s="4" t="s">
        <v>14</v>
      </c>
      <c r="C2282" s="30" t="s">
        <v>434</v>
      </c>
      <c r="D2282" s="4" t="s">
        <v>43</v>
      </c>
      <c r="E2282" s="4" t="s">
        <v>44</v>
      </c>
      <c r="F2282" s="4" t="s">
        <v>31</v>
      </c>
      <c r="G2282" s="4" t="s">
        <v>18</v>
      </c>
      <c r="H2282" s="4" t="s">
        <v>239</v>
      </c>
      <c r="I2282" s="5" t="str">
        <f t="shared" si="35"/>
        <v>2025-08</v>
      </c>
      <c r="J2282" s="4" t="s">
        <v>34</v>
      </c>
      <c r="K2282" s="5" t="s">
        <v>342</v>
      </c>
      <c r="L2282" s="2">
        <v>7300</v>
      </c>
      <c r="M2282" s="3">
        <v>57.8</v>
      </c>
      <c r="N2282" s="2">
        <v>421940</v>
      </c>
      <c r="O2282" s="2">
        <v>0</v>
      </c>
      <c r="P2282" s="2">
        <v>421940</v>
      </c>
      <c r="Q2282" s="2">
        <f>P2282*8.5%</f>
        <v>35864.9</v>
      </c>
    </row>
    <row r="2283" spans="1:17" hidden="1" x14ac:dyDescent="0.4">
      <c r="A2283" s="4" t="s">
        <v>13</v>
      </c>
      <c r="B2283" s="4" t="s">
        <v>14</v>
      </c>
      <c r="C2283" s="30" t="s">
        <v>434</v>
      </c>
      <c r="D2283" s="4" t="s">
        <v>15</v>
      </c>
      <c r="E2283" s="4" t="s">
        <v>16</v>
      </c>
      <c r="F2283" s="4" t="s">
        <v>17</v>
      </c>
      <c r="G2283" s="4" t="s">
        <v>18</v>
      </c>
      <c r="H2283" s="4" t="s">
        <v>239</v>
      </c>
      <c r="I2283" s="5" t="str">
        <f t="shared" si="35"/>
        <v>2025-08</v>
      </c>
      <c r="J2283" s="4" t="s">
        <v>59</v>
      </c>
      <c r="K2283" s="5" t="s">
        <v>343</v>
      </c>
      <c r="L2283" s="2">
        <v>42000</v>
      </c>
      <c r="M2283" s="3">
        <v>6</v>
      </c>
      <c r="N2283" s="2">
        <v>252000</v>
      </c>
      <c r="O2283" s="2">
        <v>25200</v>
      </c>
      <c r="P2283" s="2">
        <v>277200</v>
      </c>
      <c r="Q2283" s="2">
        <f>P2283*12%</f>
        <v>33264</v>
      </c>
    </row>
    <row r="2284" spans="1:17" hidden="1" x14ac:dyDescent="0.4">
      <c r="A2284" s="4" t="s">
        <v>35</v>
      </c>
      <c r="B2284" s="4" t="s">
        <v>14</v>
      </c>
      <c r="C2284" s="30" t="s">
        <v>434</v>
      </c>
      <c r="D2284" s="4" t="s">
        <v>36</v>
      </c>
      <c r="E2284" s="4" t="s">
        <v>16</v>
      </c>
      <c r="F2284" s="4" t="s">
        <v>17</v>
      </c>
      <c r="G2284" s="4" t="s">
        <v>18</v>
      </c>
      <c r="H2284" s="4" t="s">
        <v>239</v>
      </c>
      <c r="I2284" s="5" t="str">
        <f t="shared" si="35"/>
        <v>2025-08</v>
      </c>
      <c r="J2284" s="4" t="s">
        <v>59</v>
      </c>
      <c r="K2284" s="5" t="s">
        <v>343</v>
      </c>
      <c r="L2284" s="2">
        <v>116220</v>
      </c>
      <c r="M2284" s="3">
        <v>1</v>
      </c>
      <c r="N2284" s="2">
        <v>116220</v>
      </c>
      <c r="O2284" s="2">
        <v>11622</v>
      </c>
      <c r="P2284" s="2">
        <v>127842</v>
      </c>
      <c r="Q2284" s="2">
        <f>P2284*12%</f>
        <v>15341.039999999999</v>
      </c>
    </row>
    <row r="2285" spans="1:17" hidden="1" x14ac:dyDescent="0.4">
      <c r="A2285" s="4" t="s">
        <v>23</v>
      </c>
      <c r="B2285" s="4" t="s">
        <v>14</v>
      </c>
      <c r="C2285" s="31" t="s">
        <v>435</v>
      </c>
      <c r="D2285" s="4" t="s">
        <v>24</v>
      </c>
      <c r="E2285" s="4" t="s">
        <v>16</v>
      </c>
      <c r="F2285" s="4" t="s">
        <v>17</v>
      </c>
      <c r="G2285" s="4" t="s">
        <v>18</v>
      </c>
      <c r="H2285" s="4" t="s">
        <v>239</v>
      </c>
      <c r="I2285" s="5" t="str">
        <f t="shared" si="35"/>
        <v>2025-08</v>
      </c>
      <c r="J2285" s="4" t="s">
        <v>59</v>
      </c>
      <c r="K2285" s="5" t="s">
        <v>343</v>
      </c>
      <c r="L2285" s="2">
        <v>55500</v>
      </c>
      <c r="M2285" s="3">
        <v>4</v>
      </c>
      <c r="N2285" s="2">
        <v>222000</v>
      </c>
      <c r="O2285" s="2">
        <v>22200</v>
      </c>
      <c r="P2285" s="2">
        <v>244200</v>
      </c>
      <c r="Q2285" s="2">
        <f>P2285*12%</f>
        <v>29304</v>
      </c>
    </row>
    <row r="2286" spans="1:17" hidden="1" x14ac:dyDescent="0.4">
      <c r="A2286" s="4" t="s">
        <v>51</v>
      </c>
      <c r="B2286" s="4" t="s">
        <v>14</v>
      </c>
      <c r="C2286" s="30" t="s">
        <v>434</v>
      </c>
      <c r="D2286" s="4" t="s">
        <v>52</v>
      </c>
      <c r="E2286" s="4" t="s">
        <v>16</v>
      </c>
      <c r="F2286" s="4" t="s">
        <v>17</v>
      </c>
      <c r="G2286" s="4" t="s">
        <v>18</v>
      </c>
      <c r="H2286" s="4" t="s">
        <v>239</v>
      </c>
      <c r="I2286" s="5" t="str">
        <f t="shared" si="35"/>
        <v>2025-08</v>
      </c>
      <c r="J2286" s="4" t="s">
        <v>59</v>
      </c>
      <c r="K2286" s="5" t="s">
        <v>343</v>
      </c>
      <c r="L2286" s="2">
        <v>73000</v>
      </c>
      <c r="M2286" s="3">
        <v>1</v>
      </c>
      <c r="N2286" s="2">
        <v>73000</v>
      </c>
      <c r="O2286" s="2">
        <v>7300</v>
      </c>
      <c r="P2286" s="2">
        <v>80300</v>
      </c>
      <c r="Q2286" s="2">
        <f>P2286*12%</f>
        <v>9636</v>
      </c>
    </row>
    <row r="2287" spans="1:17" hidden="1" x14ac:dyDescent="0.4">
      <c r="A2287" s="4" t="s">
        <v>39</v>
      </c>
      <c r="B2287" s="4" t="s">
        <v>26</v>
      </c>
      <c r="C2287" s="32" t="s">
        <v>436</v>
      </c>
      <c r="D2287" s="4" t="s">
        <v>27</v>
      </c>
      <c r="E2287" s="4" t="s">
        <v>28</v>
      </c>
      <c r="F2287" s="4" t="s">
        <v>17</v>
      </c>
      <c r="G2287" s="4" t="s">
        <v>18</v>
      </c>
      <c r="H2287" s="4" t="s">
        <v>239</v>
      </c>
      <c r="I2287" s="5" t="str">
        <f t="shared" si="35"/>
        <v>2025-08</v>
      </c>
      <c r="J2287" s="4" t="s">
        <v>59</v>
      </c>
      <c r="K2287" s="5" t="s">
        <v>343</v>
      </c>
      <c r="L2287" s="2">
        <v>4018</v>
      </c>
      <c r="M2287" s="3">
        <v>4</v>
      </c>
      <c r="N2287" s="2">
        <v>16072</v>
      </c>
      <c r="O2287" s="2">
        <v>1607</v>
      </c>
      <c r="P2287" s="2">
        <v>17679</v>
      </c>
      <c r="Q2287" s="2">
        <f>P2287*12%</f>
        <v>2121.48</v>
      </c>
    </row>
    <row r="2288" spans="1:17" hidden="1" x14ac:dyDescent="0.4">
      <c r="A2288" s="4" t="s">
        <v>32</v>
      </c>
      <c r="B2288" s="4" t="s">
        <v>14</v>
      </c>
      <c r="C2288" s="31" t="s">
        <v>435</v>
      </c>
      <c r="D2288" s="4" t="s">
        <v>33</v>
      </c>
      <c r="E2288" s="4" t="s">
        <v>16</v>
      </c>
      <c r="F2288" s="4" t="s">
        <v>17</v>
      </c>
      <c r="G2288" s="4" t="s">
        <v>18</v>
      </c>
      <c r="H2288" s="4" t="s">
        <v>239</v>
      </c>
      <c r="I2288" s="5" t="str">
        <f t="shared" si="35"/>
        <v>2025-08</v>
      </c>
      <c r="J2288" s="4" t="s">
        <v>49</v>
      </c>
      <c r="K2288" s="5" t="s">
        <v>343</v>
      </c>
      <c r="L2288" s="2">
        <v>44000</v>
      </c>
      <c r="M2288" s="3">
        <v>2</v>
      </c>
      <c r="N2288" s="2">
        <v>88000</v>
      </c>
      <c r="O2288" s="2">
        <v>8800</v>
      </c>
      <c r="P2288" s="2">
        <v>96800</v>
      </c>
      <c r="Q2288" s="2">
        <f>P2288*12%</f>
        <v>11616</v>
      </c>
    </row>
    <row r="2289" spans="1:17" hidden="1" x14ac:dyDescent="0.4">
      <c r="A2289" s="4" t="s">
        <v>13</v>
      </c>
      <c r="B2289" s="4" t="s">
        <v>14</v>
      </c>
      <c r="C2289" s="30" t="s">
        <v>434</v>
      </c>
      <c r="D2289" s="4" t="s">
        <v>15</v>
      </c>
      <c r="E2289" s="4" t="s">
        <v>16</v>
      </c>
      <c r="F2289" s="4" t="s">
        <v>17</v>
      </c>
      <c r="G2289" s="4" t="s">
        <v>18</v>
      </c>
      <c r="H2289" s="4" t="s">
        <v>239</v>
      </c>
      <c r="I2289" s="5" t="str">
        <f t="shared" si="35"/>
        <v>2025-08</v>
      </c>
      <c r="J2289" s="4" t="s">
        <v>49</v>
      </c>
      <c r="K2289" s="5" t="s">
        <v>343</v>
      </c>
      <c r="L2289" s="2">
        <v>42000</v>
      </c>
      <c r="M2289" s="3">
        <v>6</v>
      </c>
      <c r="N2289" s="2">
        <v>252000</v>
      </c>
      <c r="O2289" s="2">
        <v>25200</v>
      </c>
      <c r="P2289" s="2">
        <v>277200</v>
      </c>
      <c r="Q2289" s="2">
        <f>P2289*12%</f>
        <v>33264</v>
      </c>
    </row>
    <row r="2290" spans="1:17" hidden="1" x14ac:dyDescent="0.4">
      <c r="A2290" s="4" t="s">
        <v>35</v>
      </c>
      <c r="B2290" s="4" t="s">
        <v>14</v>
      </c>
      <c r="C2290" s="30" t="s">
        <v>434</v>
      </c>
      <c r="D2290" s="4" t="s">
        <v>36</v>
      </c>
      <c r="E2290" s="4" t="s">
        <v>16</v>
      </c>
      <c r="F2290" s="4" t="s">
        <v>17</v>
      </c>
      <c r="G2290" s="4" t="s">
        <v>18</v>
      </c>
      <c r="H2290" s="4" t="s">
        <v>239</v>
      </c>
      <c r="I2290" s="5" t="str">
        <f t="shared" si="35"/>
        <v>2025-08</v>
      </c>
      <c r="J2290" s="4" t="s">
        <v>49</v>
      </c>
      <c r="K2290" s="5" t="s">
        <v>343</v>
      </c>
      <c r="L2290" s="2">
        <v>116220</v>
      </c>
      <c r="M2290" s="3">
        <v>1</v>
      </c>
      <c r="N2290" s="2">
        <v>116220</v>
      </c>
      <c r="O2290" s="2">
        <v>11622</v>
      </c>
      <c r="P2290" s="2">
        <v>127842</v>
      </c>
      <c r="Q2290" s="2">
        <f>P2290*12%</f>
        <v>15341.039999999999</v>
      </c>
    </row>
    <row r="2291" spans="1:17" hidden="1" x14ac:dyDescent="0.4">
      <c r="A2291" s="4" t="s">
        <v>23</v>
      </c>
      <c r="B2291" s="4" t="s">
        <v>14</v>
      </c>
      <c r="C2291" s="31" t="s">
        <v>435</v>
      </c>
      <c r="D2291" s="4" t="s">
        <v>24</v>
      </c>
      <c r="E2291" s="4" t="s">
        <v>16</v>
      </c>
      <c r="F2291" s="4" t="s">
        <v>17</v>
      </c>
      <c r="G2291" s="4" t="s">
        <v>18</v>
      </c>
      <c r="H2291" s="4" t="s">
        <v>239</v>
      </c>
      <c r="I2291" s="5" t="str">
        <f t="shared" si="35"/>
        <v>2025-08</v>
      </c>
      <c r="J2291" s="4" t="s">
        <v>49</v>
      </c>
      <c r="K2291" s="5" t="s">
        <v>343</v>
      </c>
      <c r="L2291" s="2">
        <v>55500</v>
      </c>
      <c r="M2291" s="3">
        <v>2</v>
      </c>
      <c r="N2291" s="2">
        <v>111000</v>
      </c>
      <c r="O2291" s="2">
        <v>11100</v>
      </c>
      <c r="P2291" s="2">
        <v>122100</v>
      </c>
      <c r="Q2291" s="2">
        <f>P2291*12%</f>
        <v>14652</v>
      </c>
    </row>
    <row r="2292" spans="1:17" x14ac:dyDescent="0.4">
      <c r="A2292" s="4" t="s">
        <v>56</v>
      </c>
      <c r="B2292" s="4" t="s">
        <v>26</v>
      </c>
      <c r="C2292" s="32" t="s">
        <v>436</v>
      </c>
      <c r="D2292" s="4" t="s">
        <v>57</v>
      </c>
      <c r="E2292" s="4" t="s">
        <v>44</v>
      </c>
      <c r="F2292" s="4" t="s">
        <v>31</v>
      </c>
      <c r="G2292" s="4" t="s">
        <v>18</v>
      </c>
      <c r="H2292" s="4" t="s">
        <v>240</v>
      </c>
      <c r="I2292" s="5" t="str">
        <f t="shared" si="35"/>
        <v>2025-08</v>
      </c>
      <c r="J2292" s="4" t="s">
        <v>20</v>
      </c>
      <c r="K2292" s="5" t="s">
        <v>342</v>
      </c>
      <c r="L2292" s="2">
        <v>3049</v>
      </c>
      <c r="M2292" s="3">
        <v>10</v>
      </c>
      <c r="N2292" s="2">
        <v>30490</v>
      </c>
      <c r="O2292" s="2">
        <v>0</v>
      </c>
      <c r="P2292" s="2">
        <v>30490</v>
      </c>
      <c r="Q2292" s="2">
        <f>P2292*8.5%</f>
        <v>2591.65</v>
      </c>
    </row>
    <row r="2293" spans="1:17" x14ac:dyDescent="0.4">
      <c r="A2293" s="4" t="s">
        <v>13</v>
      </c>
      <c r="B2293" s="4" t="s">
        <v>14</v>
      </c>
      <c r="C2293" s="30" t="s">
        <v>434</v>
      </c>
      <c r="D2293" s="4" t="s">
        <v>15</v>
      </c>
      <c r="E2293" s="4" t="s">
        <v>16</v>
      </c>
      <c r="F2293" s="4" t="s">
        <v>17</v>
      </c>
      <c r="G2293" s="4" t="s">
        <v>18</v>
      </c>
      <c r="H2293" s="4" t="s">
        <v>241</v>
      </c>
      <c r="I2293" s="5" t="str">
        <f t="shared" si="35"/>
        <v>2025-08</v>
      </c>
      <c r="J2293" s="4" t="s">
        <v>20</v>
      </c>
      <c r="K2293" s="5" t="s">
        <v>342</v>
      </c>
      <c r="L2293" s="2">
        <v>42000</v>
      </c>
      <c r="M2293" s="3">
        <v>2</v>
      </c>
      <c r="N2293" s="2">
        <v>84000</v>
      </c>
      <c r="O2293" s="2">
        <v>8400</v>
      </c>
      <c r="P2293" s="2">
        <v>92400</v>
      </c>
      <c r="Q2293" s="2">
        <f>P2293*8.5%</f>
        <v>7854.0000000000009</v>
      </c>
    </row>
    <row r="2294" spans="1:17" x14ac:dyDescent="0.4">
      <c r="A2294" s="4" t="s">
        <v>21</v>
      </c>
      <c r="B2294" s="4" t="s">
        <v>14</v>
      </c>
      <c r="C2294" s="31" t="s">
        <v>435</v>
      </c>
      <c r="D2294" s="4" t="s">
        <v>22</v>
      </c>
      <c r="E2294" s="4" t="s">
        <v>16</v>
      </c>
      <c r="F2294" s="4" t="s">
        <v>17</v>
      </c>
      <c r="G2294" s="4" t="s">
        <v>18</v>
      </c>
      <c r="H2294" s="4" t="s">
        <v>241</v>
      </c>
      <c r="I2294" s="5" t="str">
        <f t="shared" si="35"/>
        <v>2025-08</v>
      </c>
      <c r="J2294" s="4" t="s">
        <v>20</v>
      </c>
      <c r="K2294" s="5" t="s">
        <v>342</v>
      </c>
      <c r="L2294" s="2">
        <v>55500</v>
      </c>
      <c r="M2294" s="3">
        <v>2</v>
      </c>
      <c r="N2294" s="2">
        <v>111000</v>
      </c>
      <c r="O2294" s="2">
        <v>11100</v>
      </c>
      <c r="P2294" s="2">
        <v>122100</v>
      </c>
      <c r="Q2294" s="2">
        <f>P2294*8.5%</f>
        <v>10378.5</v>
      </c>
    </row>
    <row r="2295" spans="1:17" x14ac:dyDescent="0.4">
      <c r="A2295" s="4" t="s">
        <v>23</v>
      </c>
      <c r="B2295" s="4" t="s">
        <v>14</v>
      </c>
      <c r="C2295" s="31" t="s">
        <v>435</v>
      </c>
      <c r="D2295" s="4" t="s">
        <v>24</v>
      </c>
      <c r="E2295" s="4" t="s">
        <v>16</v>
      </c>
      <c r="F2295" s="4" t="s">
        <v>17</v>
      </c>
      <c r="G2295" s="4" t="s">
        <v>18</v>
      </c>
      <c r="H2295" s="4" t="s">
        <v>241</v>
      </c>
      <c r="I2295" s="5" t="str">
        <f t="shared" si="35"/>
        <v>2025-08</v>
      </c>
      <c r="J2295" s="4" t="s">
        <v>20</v>
      </c>
      <c r="K2295" s="5" t="s">
        <v>342</v>
      </c>
      <c r="L2295" s="2">
        <v>55500</v>
      </c>
      <c r="M2295" s="3">
        <v>2</v>
      </c>
      <c r="N2295" s="2">
        <v>111000</v>
      </c>
      <c r="O2295" s="2">
        <v>11100</v>
      </c>
      <c r="P2295" s="2">
        <v>122100</v>
      </c>
      <c r="Q2295" s="2">
        <f>P2295*8.5%</f>
        <v>10378.5</v>
      </c>
    </row>
    <row r="2296" spans="1:17" x14ac:dyDescent="0.4">
      <c r="A2296" s="4" t="s">
        <v>51</v>
      </c>
      <c r="B2296" s="4" t="s">
        <v>14</v>
      </c>
      <c r="C2296" s="30" t="s">
        <v>434</v>
      </c>
      <c r="D2296" s="4" t="s">
        <v>52</v>
      </c>
      <c r="E2296" s="4" t="s">
        <v>16</v>
      </c>
      <c r="F2296" s="4" t="s">
        <v>17</v>
      </c>
      <c r="G2296" s="4" t="s">
        <v>18</v>
      </c>
      <c r="H2296" s="4" t="s">
        <v>241</v>
      </c>
      <c r="I2296" s="5" t="str">
        <f t="shared" si="35"/>
        <v>2025-08</v>
      </c>
      <c r="J2296" s="4" t="s">
        <v>20</v>
      </c>
      <c r="K2296" s="5" t="s">
        <v>342</v>
      </c>
      <c r="L2296" s="2">
        <v>73000</v>
      </c>
      <c r="M2296" s="3">
        <v>1</v>
      </c>
      <c r="N2296" s="2">
        <v>73000</v>
      </c>
      <c r="O2296" s="2">
        <v>7300</v>
      </c>
      <c r="P2296" s="2">
        <v>80300</v>
      </c>
      <c r="Q2296" s="2">
        <f>P2296*8.5%</f>
        <v>6825.5000000000009</v>
      </c>
    </row>
    <row r="2297" spans="1:17" x14ac:dyDescent="0.4">
      <c r="A2297" s="4" t="s">
        <v>54</v>
      </c>
      <c r="B2297" s="4" t="s">
        <v>26</v>
      </c>
      <c r="C2297" s="32" t="s">
        <v>436</v>
      </c>
      <c r="D2297" s="4" t="s">
        <v>55</v>
      </c>
      <c r="E2297" s="4" t="s">
        <v>28</v>
      </c>
      <c r="F2297" s="4" t="s">
        <v>31</v>
      </c>
      <c r="G2297" s="4" t="s">
        <v>18</v>
      </c>
      <c r="H2297" s="4" t="s">
        <v>241</v>
      </c>
      <c r="I2297" s="5" t="str">
        <f t="shared" si="35"/>
        <v>2025-08</v>
      </c>
      <c r="J2297" s="4" t="s">
        <v>20</v>
      </c>
      <c r="K2297" s="5" t="s">
        <v>342</v>
      </c>
      <c r="L2297" s="2">
        <v>5919</v>
      </c>
      <c r="M2297" s="3">
        <v>1</v>
      </c>
      <c r="N2297" s="2">
        <v>5919</v>
      </c>
      <c r="O2297" s="2">
        <v>0</v>
      </c>
      <c r="P2297" s="2">
        <v>5919</v>
      </c>
      <c r="Q2297" s="2">
        <f>P2297*8.5%</f>
        <v>503.11500000000001</v>
      </c>
    </row>
    <row r="2298" spans="1:17" x14ac:dyDescent="0.4">
      <c r="A2298" s="4" t="s">
        <v>127</v>
      </c>
      <c r="B2298" s="4" t="s">
        <v>26</v>
      </c>
      <c r="C2298" s="32" t="s">
        <v>436</v>
      </c>
      <c r="D2298" s="4" t="s">
        <v>128</v>
      </c>
      <c r="E2298" s="4" t="s">
        <v>28</v>
      </c>
      <c r="F2298" s="4" t="s">
        <v>17</v>
      </c>
      <c r="G2298" s="4" t="s">
        <v>18</v>
      </c>
      <c r="H2298" s="4" t="s">
        <v>241</v>
      </c>
      <c r="I2298" s="5" t="str">
        <f t="shared" si="35"/>
        <v>2025-08</v>
      </c>
      <c r="J2298" s="4" t="s">
        <v>20</v>
      </c>
      <c r="K2298" s="5" t="s">
        <v>342</v>
      </c>
      <c r="L2298" s="2">
        <v>2870</v>
      </c>
      <c r="M2298" s="3">
        <v>4</v>
      </c>
      <c r="N2298" s="2">
        <v>11480</v>
      </c>
      <c r="O2298" s="2">
        <v>1148</v>
      </c>
      <c r="P2298" s="2">
        <v>12628</v>
      </c>
      <c r="Q2298" s="2">
        <f>P2298*8.5%</f>
        <v>1073.3800000000001</v>
      </c>
    </row>
    <row r="2299" spans="1:17" x14ac:dyDescent="0.4">
      <c r="A2299" s="4" t="s">
        <v>56</v>
      </c>
      <c r="B2299" s="4" t="s">
        <v>26</v>
      </c>
      <c r="C2299" s="32" t="s">
        <v>436</v>
      </c>
      <c r="D2299" s="4" t="s">
        <v>57</v>
      </c>
      <c r="E2299" s="4" t="s">
        <v>44</v>
      </c>
      <c r="F2299" s="4" t="s">
        <v>31</v>
      </c>
      <c r="G2299" s="4" t="s">
        <v>18</v>
      </c>
      <c r="H2299" s="4" t="s">
        <v>241</v>
      </c>
      <c r="I2299" s="5" t="str">
        <f t="shared" si="35"/>
        <v>2025-08</v>
      </c>
      <c r="J2299" s="4" t="s">
        <v>20</v>
      </c>
      <c r="K2299" s="5" t="s">
        <v>342</v>
      </c>
      <c r="L2299" s="2">
        <v>3049</v>
      </c>
      <c r="M2299" s="3">
        <v>25</v>
      </c>
      <c r="N2299" s="2">
        <v>76225</v>
      </c>
      <c r="O2299" s="2">
        <v>0</v>
      </c>
      <c r="P2299" s="2">
        <v>76225</v>
      </c>
      <c r="Q2299" s="2">
        <f>P2299*8.5%</f>
        <v>6479.1250000000009</v>
      </c>
    </row>
    <row r="2300" spans="1:17" hidden="1" x14ac:dyDescent="0.4">
      <c r="A2300" s="4" t="s">
        <v>32</v>
      </c>
      <c r="B2300" s="4" t="s">
        <v>14</v>
      </c>
      <c r="C2300" s="31" t="s">
        <v>435</v>
      </c>
      <c r="D2300" s="4" t="s">
        <v>33</v>
      </c>
      <c r="E2300" s="4" t="s">
        <v>16</v>
      </c>
      <c r="F2300" s="4" t="s">
        <v>17</v>
      </c>
      <c r="G2300" s="4" t="s">
        <v>18</v>
      </c>
      <c r="H2300" s="4" t="s">
        <v>241</v>
      </c>
      <c r="I2300" s="5" t="str">
        <f t="shared" si="35"/>
        <v>2025-08</v>
      </c>
      <c r="J2300" s="4" t="s">
        <v>118</v>
      </c>
      <c r="K2300" s="5" t="s">
        <v>342</v>
      </c>
      <c r="L2300" s="2">
        <v>44000</v>
      </c>
      <c r="M2300" s="3">
        <v>1</v>
      </c>
      <c r="N2300" s="2">
        <v>44000</v>
      </c>
      <c r="O2300" s="2">
        <v>4400</v>
      </c>
      <c r="P2300" s="2">
        <v>48400</v>
      </c>
      <c r="Q2300" s="2">
        <f>P2300*8.5%</f>
        <v>4114</v>
      </c>
    </row>
    <row r="2301" spans="1:17" hidden="1" x14ac:dyDescent="0.4">
      <c r="A2301" s="4" t="s">
        <v>13</v>
      </c>
      <c r="B2301" s="4" t="s">
        <v>14</v>
      </c>
      <c r="C2301" s="30" t="s">
        <v>434</v>
      </c>
      <c r="D2301" s="4" t="s">
        <v>15</v>
      </c>
      <c r="E2301" s="4" t="s">
        <v>16</v>
      </c>
      <c r="F2301" s="4" t="s">
        <v>17</v>
      </c>
      <c r="G2301" s="4" t="s">
        <v>18</v>
      </c>
      <c r="H2301" s="4" t="s">
        <v>241</v>
      </c>
      <c r="I2301" s="5" t="str">
        <f t="shared" si="35"/>
        <v>2025-08</v>
      </c>
      <c r="J2301" s="4" t="s">
        <v>118</v>
      </c>
      <c r="K2301" s="5" t="s">
        <v>342</v>
      </c>
      <c r="L2301" s="2">
        <v>42000</v>
      </c>
      <c r="M2301" s="3">
        <v>2</v>
      </c>
      <c r="N2301" s="2">
        <v>84000</v>
      </c>
      <c r="O2301" s="2">
        <v>8400</v>
      </c>
      <c r="P2301" s="2">
        <v>92400</v>
      </c>
      <c r="Q2301" s="2">
        <f>P2301*8.5%</f>
        <v>7854.0000000000009</v>
      </c>
    </row>
    <row r="2302" spans="1:17" hidden="1" x14ac:dyDescent="0.4">
      <c r="A2302" s="4" t="s">
        <v>23</v>
      </c>
      <c r="B2302" s="4" t="s">
        <v>14</v>
      </c>
      <c r="C2302" s="31" t="s">
        <v>435</v>
      </c>
      <c r="D2302" s="4" t="s">
        <v>24</v>
      </c>
      <c r="E2302" s="4" t="s">
        <v>16</v>
      </c>
      <c r="F2302" s="4" t="s">
        <v>17</v>
      </c>
      <c r="G2302" s="4" t="s">
        <v>18</v>
      </c>
      <c r="H2302" s="4" t="s">
        <v>241</v>
      </c>
      <c r="I2302" s="5" t="str">
        <f t="shared" si="35"/>
        <v>2025-08</v>
      </c>
      <c r="J2302" s="4" t="s">
        <v>118</v>
      </c>
      <c r="K2302" s="5" t="s">
        <v>342</v>
      </c>
      <c r="L2302" s="2">
        <v>55500</v>
      </c>
      <c r="M2302" s="3">
        <v>1</v>
      </c>
      <c r="N2302" s="2">
        <v>55500</v>
      </c>
      <c r="O2302" s="2">
        <v>5550</v>
      </c>
      <c r="P2302" s="2">
        <v>61050</v>
      </c>
      <c r="Q2302" s="2">
        <f>P2302*8.5%</f>
        <v>5189.25</v>
      </c>
    </row>
    <row r="2303" spans="1:17" hidden="1" x14ac:dyDescent="0.4">
      <c r="A2303" s="4" t="s">
        <v>51</v>
      </c>
      <c r="B2303" s="4" t="s">
        <v>14</v>
      </c>
      <c r="C2303" s="30" t="s">
        <v>434</v>
      </c>
      <c r="D2303" s="4" t="s">
        <v>52</v>
      </c>
      <c r="E2303" s="4" t="s">
        <v>16</v>
      </c>
      <c r="F2303" s="4" t="s">
        <v>17</v>
      </c>
      <c r="G2303" s="4" t="s">
        <v>18</v>
      </c>
      <c r="H2303" s="4" t="s">
        <v>241</v>
      </c>
      <c r="I2303" s="5" t="str">
        <f t="shared" si="35"/>
        <v>2025-08</v>
      </c>
      <c r="J2303" s="4" t="s">
        <v>118</v>
      </c>
      <c r="K2303" s="5" t="s">
        <v>342</v>
      </c>
      <c r="L2303" s="2">
        <v>73000</v>
      </c>
      <c r="M2303" s="3">
        <v>1</v>
      </c>
      <c r="N2303" s="2">
        <v>73000</v>
      </c>
      <c r="O2303" s="2">
        <v>7300</v>
      </c>
      <c r="P2303" s="2">
        <v>80300</v>
      </c>
      <c r="Q2303" s="2">
        <f>P2303*8.5%</f>
        <v>6825.5000000000009</v>
      </c>
    </row>
    <row r="2304" spans="1:17" hidden="1" x14ac:dyDescent="0.4">
      <c r="A2304" s="4" t="s">
        <v>32</v>
      </c>
      <c r="B2304" s="4" t="s">
        <v>14</v>
      </c>
      <c r="C2304" s="31" t="s">
        <v>435</v>
      </c>
      <c r="D2304" s="4" t="s">
        <v>33</v>
      </c>
      <c r="E2304" s="4" t="s">
        <v>16</v>
      </c>
      <c r="F2304" s="4" t="s">
        <v>17</v>
      </c>
      <c r="G2304" s="4" t="s">
        <v>18</v>
      </c>
      <c r="H2304" s="4" t="s">
        <v>241</v>
      </c>
      <c r="I2304" s="5" t="str">
        <f t="shared" si="35"/>
        <v>2025-08</v>
      </c>
      <c r="J2304" s="4" t="s">
        <v>34</v>
      </c>
      <c r="K2304" s="5" t="s">
        <v>342</v>
      </c>
      <c r="L2304" s="2">
        <v>44000</v>
      </c>
      <c r="M2304" s="3">
        <v>3</v>
      </c>
      <c r="N2304" s="2">
        <v>132000</v>
      </c>
      <c r="O2304" s="2">
        <v>13200</v>
      </c>
      <c r="P2304" s="2">
        <v>145200</v>
      </c>
      <c r="Q2304" s="2">
        <f>P2304*8.5%</f>
        <v>12342</v>
      </c>
    </row>
    <row r="2305" spans="1:17" hidden="1" x14ac:dyDescent="0.4">
      <c r="A2305" s="4" t="s">
        <v>13</v>
      </c>
      <c r="B2305" s="4" t="s">
        <v>14</v>
      </c>
      <c r="C2305" s="30" t="s">
        <v>434</v>
      </c>
      <c r="D2305" s="4" t="s">
        <v>15</v>
      </c>
      <c r="E2305" s="4" t="s">
        <v>16</v>
      </c>
      <c r="F2305" s="4" t="s">
        <v>17</v>
      </c>
      <c r="G2305" s="4" t="s">
        <v>18</v>
      </c>
      <c r="H2305" s="4" t="s">
        <v>241</v>
      </c>
      <c r="I2305" s="5" t="str">
        <f t="shared" si="35"/>
        <v>2025-08</v>
      </c>
      <c r="J2305" s="4" t="s">
        <v>34</v>
      </c>
      <c r="K2305" s="5" t="s">
        <v>342</v>
      </c>
      <c r="L2305" s="2">
        <v>42000</v>
      </c>
      <c r="M2305" s="3">
        <v>6</v>
      </c>
      <c r="N2305" s="2">
        <v>252000</v>
      </c>
      <c r="O2305" s="2">
        <v>25200</v>
      </c>
      <c r="P2305" s="2">
        <v>277200</v>
      </c>
      <c r="Q2305" s="2">
        <f>P2305*8.5%</f>
        <v>23562</v>
      </c>
    </row>
    <row r="2306" spans="1:17" hidden="1" x14ac:dyDescent="0.4">
      <c r="A2306" s="4" t="s">
        <v>21</v>
      </c>
      <c r="B2306" s="4" t="s">
        <v>14</v>
      </c>
      <c r="C2306" s="31" t="s">
        <v>435</v>
      </c>
      <c r="D2306" s="4" t="s">
        <v>22</v>
      </c>
      <c r="E2306" s="4" t="s">
        <v>16</v>
      </c>
      <c r="F2306" s="4" t="s">
        <v>17</v>
      </c>
      <c r="G2306" s="4" t="s">
        <v>18</v>
      </c>
      <c r="H2306" s="4" t="s">
        <v>241</v>
      </c>
      <c r="I2306" s="5" t="str">
        <f t="shared" ref="I2306:I2369" si="36">TEXT(H2306,"yyyy-mm")</f>
        <v>2025-08</v>
      </c>
      <c r="J2306" s="4" t="s">
        <v>34</v>
      </c>
      <c r="K2306" s="5" t="s">
        <v>342</v>
      </c>
      <c r="L2306" s="2">
        <v>55500</v>
      </c>
      <c r="M2306" s="3">
        <v>2</v>
      </c>
      <c r="N2306" s="2">
        <v>111000</v>
      </c>
      <c r="O2306" s="2">
        <v>11100</v>
      </c>
      <c r="P2306" s="2">
        <v>122100</v>
      </c>
      <c r="Q2306" s="2">
        <f>P2306*8.5%</f>
        <v>10378.5</v>
      </c>
    </row>
    <row r="2307" spans="1:17" hidden="1" x14ac:dyDescent="0.4">
      <c r="A2307" s="4" t="s">
        <v>35</v>
      </c>
      <c r="B2307" s="4" t="s">
        <v>14</v>
      </c>
      <c r="C2307" s="30" t="s">
        <v>434</v>
      </c>
      <c r="D2307" s="4" t="s">
        <v>36</v>
      </c>
      <c r="E2307" s="4" t="s">
        <v>16</v>
      </c>
      <c r="F2307" s="4" t="s">
        <v>17</v>
      </c>
      <c r="G2307" s="4" t="s">
        <v>18</v>
      </c>
      <c r="H2307" s="4" t="s">
        <v>241</v>
      </c>
      <c r="I2307" s="5" t="str">
        <f t="shared" si="36"/>
        <v>2025-08</v>
      </c>
      <c r="J2307" s="4" t="s">
        <v>34</v>
      </c>
      <c r="K2307" s="5" t="s">
        <v>342</v>
      </c>
      <c r="L2307" s="2">
        <v>116220</v>
      </c>
      <c r="M2307" s="3">
        <v>1</v>
      </c>
      <c r="N2307" s="2">
        <v>116220</v>
      </c>
      <c r="O2307" s="2">
        <v>11622</v>
      </c>
      <c r="P2307" s="2">
        <v>127842</v>
      </c>
      <c r="Q2307" s="2">
        <f>P2307*8.5%</f>
        <v>10866.570000000002</v>
      </c>
    </row>
    <row r="2308" spans="1:17" hidden="1" x14ac:dyDescent="0.4">
      <c r="A2308" s="4" t="s">
        <v>23</v>
      </c>
      <c r="B2308" s="4" t="s">
        <v>14</v>
      </c>
      <c r="C2308" s="31" t="s">
        <v>435</v>
      </c>
      <c r="D2308" s="4" t="s">
        <v>24</v>
      </c>
      <c r="E2308" s="4" t="s">
        <v>16</v>
      </c>
      <c r="F2308" s="4" t="s">
        <v>17</v>
      </c>
      <c r="G2308" s="4" t="s">
        <v>18</v>
      </c>
      <c r="H2308" s="4" t="s">
        <v>241</v>
      </c>
      <c r="I2308" s="5" t="str">
        <f t="shared" si="36"/>
        <v>2025-08</v>
      </c>
      <c r="J2308" s="4" t="s">
        <v>34</v>
      </c>
      <c r="K2308" s="5" t="s">
        <v>342</v>
      </c>
      <c r="L2308" s="2">
        <v>55500</v>
      </c>
      <c r="M2308" s="3">
        <v>4</v>
      </c>
      <c r="N2308" s="2">
        <v>222000</v>
      </c>
      <c r="O2308" s="2">
        <v>22200</v>
      </c>
      <c r="P2308" s="2">
        <v>244200</v>
      </c>
      <c r="Q2308" s="2">
        <f>P2308*8.5%</f>
        <v>20757</v>
      </c>
    </row>
    <row r="2309" spans="1:17" hidden="1" x14ac:dyDescent="0.4">
      <c r="A2309" s="4" t="s">
        <v>37</v>
      </c>
      <c r="B2309" s="4" t="s">
        <v>26</v>
      </c>
      <c r="C2309" s="32" t="s">
        <v>436</v>
      </c>
      <c r="D2309" s="4" t="s">
        <v>38</v>
      </c>
      <c r="E2309" s="4" t="s">
        <v>28</v>
      </c>
      <c r="F2309" s="4" t="s">
        <v>17</v>
      </c>
      <c r="G2309" s="4" t="s">
        <v>18</v>
      </c>
      <c r="H2309" s="4" t="s">
        <v>241</v>
      </c>
      <c r="I2309" s="5" t="str">
        <f t="shared" si="36"/>
        <v>2025-08</v>
      </c>
      <c r="J2309" s="4" t="s">
        <v>34</v>
      </c>
      <c r="K2309" s="5" t="s">
        <v>342</v>
      </c>
      <c r="L2309" s="2">
        <v>395</v>
      </c>
      <c r="M2309" s="3">
        <v>20</v>
      </c>
      <c r="N2309" s="2">
        <v>7900</v>
      </c>
      <c r="O2309" s="2">
        <v>790</v>
      </c>
      <c r="P2309" s="2">
        <v>8690</v>
      </c>
      <c r="Q2309" s="2">
        <f>P2309*8.5%</f>
        <v>738.65000000000009</v>
      </c>
    </row>
    <row r="2310" spans="1:17" hidden="1" x14ac:dyDescent="0.4">
      <c r="A2310" s="4" t="s">
        <v>77</v>
      </c>
      <c r="B2310" s="4" t="s">
        <v>26</v>
      </c>
      <c r="C2310" s="32" t="s">
        <v>436</v>
      </c>
      <c r="D2310" s="4" t="s">
        <v>78</v>
      </c>
      <c r="E2310" s="4" t="s">
        <v>28</v>
      </c>
      <c r="F2310" s="4" t="s">
        <v>17</v>
      </c>
      <c r="G2310" s="4" t="s">
        <v>18</v>
      </c>
      <c r="H2310" s="4" t="s">
        <v>241</v>
      </c>
      <c r="I2310" s="5" t="str">
        <f t="shared" si="36"/>
        <v>2025-08</v>
      </c>
      <c r="J2310" s="4" t="s">
        <v>34</v>
      </c>
      <c r="K2310" s="5" t="s">
        <v>342</v>
      </c>
      <c r="L2310" s="2">
        <v>15544</v>
      </c>
      <c r="M2310" s="3">
        <v>1</v>
      </c>
      <c r="N2310" s="2">
        <v>15544</v>
      </c>
      <c r="O2310" s="2">
        <v>1554</v>
      </c>
      <c r="P2310" s="2">
        <v>17098</v>
      </c>
      <c r="Q2310" s="2">
        <f>P2310*8.5%</f>
        <v>1453.3300000000002</v>
      </c>
    </row>
    <row r="2311" spans="1:17" hidden="1" x14ac:dyDescent="0.4">
      <c r="A2311" s="4" t="s">
        <v>162</v>
      </c>
      <c r="B2311" s="4" t="s">
        <v>26</v>
      </c>
      <c r="C2311" s="32" t="s">
        <v>436</v>
      </c>
      <c r="D2311" s="4" t="s">
        <v>163</v>
      </c>
      <c r="E2311" s="4" t="s">
        <v>28</v>
      </c>
      <c r="F2311" s="4" t="s">
        <v>17</v>
      </c>
      <c r="G2311" s="4" t="s">
        <v>18</v>
      </c>
      <c r="H2311" s="4" t="s">
        <v>241</v>
      </c>
      <c r="I2311" s="5" t="str">
        <f t="shared" si="36"/>
        <v>2025-08</v>
      </c>
      <c r="J2311" s="4" t="s">
        <v>34</v>
      </c>
      <c r="K2311" s="5" t="s">
        <v>342</v>
      </c>
      <c r="L2311" s="2">
        <v>4843</v>
      </c>
      <c r="M2311" s="3">
        <v>1</v>
      </c>
      <c r="N2311" s="2">
        <v>4843</v>
      </c>
      <c r="O2311" s="2">
        <v>484</v>
      </c>
      <c r="P2311" s="2">
        <v>5327</v>
      </c>
      <c r="Q2311" s="2">
        <f>P2311*8.5%</f>
        <v>452.79500000000002</v>
      </c>
    </row>
    <row r="2312" spans="1:17" hidden="1" x14ac:dyDescent="0.4">
      <c r="A2312" s="4" t="s">
        <v>120</v>
      </c>
      <c r="B2312" s="4" t="s">
        <v>26</v>
      </c>
      <c r="C2312" s="32" t="s">
        <v>436</v>
      </c>
      <c r="D2312" s="4" t="s">
        <v>121</v>
      </c>
      <c r="E2312" s="4" t="s">
        <v>28</v>
      </c>
      <c r="F2312" s="4" t="s">
        <v>17</v>
      </c>
      <c r="G2312" s="4" t="s">
        <v>18</v>
      </c>
      <c r="H2312" s="4" t="s">
        <v>241</v>
      </c>
      <c r="I2312" s="5" t="str">
        <f t="shared" si="36"/>
        <v>2025-08</v>
      </c>
      <c r="J2312" s="4" t="s">
        <v>34</v>
      </c>
      <c r="K2312" s="5" t="s">
        <v>342</v>
      </c>
      <c r="L2312" s="2">
        <v>7653</v>
      </c>
      <c r="M2312" s="3">
        <v>2</v>
      </c>
      <c r="N2312" s="2">
        <v>15306</v>
      </c>
      <c r="O2312" s="2">
        <v>1531</v>
      </c>
      <c r="P2312" s="2">
        <v>16837</v>
      </c>
      <c r="Q2312" s="2">
        <f>P2312*8.5%</f>
        <v>1431.1450000000002</v>
      </c>
    </row>
    <row r="2313" spans="1:17" hidden="1" x14ac:dyDescent="0.4">
      <c r="A2313" s="4" t="s">
        <v>42</v>
      </c>
      <c r="B2313" s="4" t="s">
        <v>14</v>
      </c>
      <c r="C2313" s="30" t="s">
        <v>434</v>
      </c>
      <c r="D2313" s="4" t="s">
        <v>43</v>
      </c>
      <c r="E2313" s="4" t="s">
        <v>44</v>
      </c>
      <c r="F2313" s="4" t="s">
        <v>31</v>
      </c>
      <c r="G2313" s="4" t="s">
        <v>18</v>
      </c>
      <c r="H2313" s="4" t="s">
        <v>241</v>
      </c>
      <c r="I2313" s="5" t="str">
        <f t="shared" si="36"/>
        <v>2025-08</v>
      </c>
      <c r="J2313" s="4" t="s">
        <v>34</v>
      </c>
      <c r="K2313" s="5" t="s">
        <v>342</v>
      </c>
      <c r="L2313" s="2">
        <v>7300</v>
      </c>
      <c r="M2313" s="3">
        <v>73.900000000000006</v>
      </c>
      <c r="N2313" s="2">
        <v>539470</v>
      </c>
      <c r="O2313" s="2">
        <v>0</v>
      </c>
      <c r="P2313" s="2">
        <v>539470</v>
      </c>
      <c r="Q2313" s="2">
        <f>P2313*8.5%</f>
        <v>45854.950000000004</v>
      </c>
    </row>
    <row r="2314" spans="1:17" hidden="1" x14ac:dyDescent="0.4">
      <c r="A2314" s="4" t="s">
        <v>13</v>
      </c>
      <c r="B2314" s="4" t="s">
        <v>14</v>
      </c>
      <c r="C2314" s="30" t="s">
        <v>434</v>
      </c>
      <c r="D2314" s="4" t="s">
        <v>15</v>
      </c>
      <c r="E2314" s="4" t="s">
        <v>16</v>
      </c>
      <c r="F2314" s="4" t="s">
        <v>17</v>
      </c>
      <c r="G2314" s="4" t="s">
        <v>18</v>
      </c>
      <c r="H2314" s="4" t="s">
        <v>241</v>
      </c>
      <c r="I2314" s="5" t="str">
        <f t="shared" si="36"/>
        <v>2025-08</v>
      </c>
      <c r="J2314" s="4" t="s">
        <v>59</v>
      </c>
      <c r="K2314" s="5" t="s">
        <v>343</v>
      </c>
      <c r="L2314" s="2">
        <v>42000</v>
      </c>
      <c r="M2314" s="3">
        <v>3</v>
      </c>
      <c r="N2314" s="2">
        <v>126000</v>
      </c>
      <c r="O2314" s="2">
        <v>12600</v>
      </c>
      <c r="P2314" s="2">
        <v>138600</v>
      </c>
      <c r="Q2314" s="2">
        <f>P2314*12%</f>
        <v>16632</v>
      </c>
    </row>
    <row r="2315" spans="1:17" hidden="1" x14ac:dyDescent="0.4">
      <c r="A2315" s="4" t="s">
        <v>35</v>
      </c>
      <c r="B2315" s="4" t="s">
        <v>14</v>
      </c>
      <c r="C2315" s="30" t="s">
        <v>434</v>
      </c>
      <c r="D2315" s="4" t="s">
        <v>36</v>
      </c>
      <c r="E2315" s="4" t="s">
        <v>16</v>
      </c>
      <c r="F2315" s="4" t="s">
        <v>17</v>
      </c>
      <c r="G2315" s="4" t="s">
        <v>18</v>
      </c>
      <c r="H2315" s="4" t="s">
        <v>241</v>
      </c>
      <c r="I2315" s="5" t="str">
        <f t="shared" si="36"/>
        <v>2025-08</v>
      </c>
      <c r="J2315" s="4" t="s">
        <v>59</v>
      </c>
      <c r="K2315" s="5" t="s">
        <v>343</v>
      </c>
      <c r="L2315" s="2">
        <v>116220</v>
      </c>
      <c r="M2315" s="3">
        <v>1</v>
      </c>
      <c r="N2315" s="2">
        <v>116220</v>
      </c>
      <c r="O2315" s="2">
        <v>11622</v>
      </c>
      <c r="P2315" s="2">
        <v>127842</v>
      </c>
      <c r="Q2315" s="2">
        <f>P2315*12%</f>
        <v>15341.039999999999</v>
      </c>
    </row>
    <row r="2316" spans="1:17" hidden="1" x14ac:dyDescent="0.4">
      <c r="A2316" s="4" t="s">
        <v>100</v>
      </c>
      <c r="B2316" s="4" t="s">
        <v>26</v>
      </c>
      <c r="C2316" s="32" t="s">
        <v>436</v>
      </c>
      <c r="D2316" s="4" t="s">
        <v>101</v>
      </c>
      <c r="E2316" s="4" t="s">
        <v>28</v>
      </c>
      <c r="F2316" s="4" t="s">
        <v>17</v>
      </c>
      <c r="G2316" s="4" t="s">
        <v>18</v>
      </c>
      <c r="H2316" s="4" t="s">
        <v>241</v>
      </c>
      <c r="I2316" s="5" t="str">
        <f t="shared" si="36"/>
        <v>2025-08</v>
      </c>
      <c r="J2316" s="4" t="s">
        <v>59</v>
      </c>
      <c r="K2316" s="5" t="s">
        <v>343</v>
      </c>
      <c r="L2316" s="2">
        <v>5620</v>
      </c>
      <c r="M2316" s="3">
        <v>8</v>
      </c>
      <c r="N2316" s="2">
        <v>44960</v>
      </c>
      <c r="O2316" s="2">
        <v>4496</v>
      </c>
      <c r="P2316" s="2">
        <v>49456</v>
      </c>
      <c r="Q2316" s="2">
        <f>P2316*12%</f>
        <v>5934.7199999999993</v>
      </c>
    </row>
    <row r="2317" spans="1:17" hidden="1" x14ac:dyDescent="0.4">
      <c r="A2317" s="4" t="s">
        <v>13</v>
      </c>
      <c r="B2317" s="4" t="s">
        <v>14</v>
      </c>
      <c r="C2317" s="30" t="s">
        <v>434</v>
      </c>
      <c r="D2317" s="4" t="s">
        <v>15</v>
      </c>
      <c r="E2317" s="4" t="s">
        <v>16</v>
      </c>
      <c r="F2317" s="4" t="s">
        <v>17</v>
      </c>
      <c r="G2317" s="4" t="s">
        <v>18</v>
      </c>
      <c r="H2317" s="4" t="s">
        <v>241</v>
      </c>
      <c r="I2317" s="5" t="str">
        <f t="shared" si="36"/>
        <v>2025-08</v>
      </c>
      <c r="J2317" s="4" t="s">
        <v>153</v>
      </c>
      <c r="K2317" s="5" t="s">
        <v>343</v>
      </c>
      <c r="L2317" s="2">
        <v>42000</v>
      </c>
      <c r="M2317" s="3">
        <v>4</v>
      </c>
      <c r="N2317" s="2">
        <v>168000</v>
      </c>
      <c r="O2317" s="2">
        <v>16800</v>
      </c>
      <c r="P2317" s="2">
        <v>184800</v>
      </c>
      <c r="Q2317" s="2">
        <f>P2317*12%</f>
        <v>22176</v>
      </c>
    </row>
    <row r="2318" spans="1:17" hidden="1" x14ac:dyDescent="0.4">
      <c r="A2318" s="4" t="s">
        <v>35</v>
      </c>
      <c r="B2318" s="4" t="s">
        <v>14</v>
      </c>
      <c r="C2318" s="30" t="s">
        <v>434</v>
      </c>
      <c r="D2318" s="4" t="s">
        <v>36</v>
      </c>
      <c r="E2318" s="4" t="s">
        <v>16</v>
      </c>
      <c r="F2318" s="4" t="s">
        <v>17</v>
      </c>
      <c r="G2318" s="4" t="s">
        <v>18</v>
      </c>
      <c r="H2318" s="4" t="s">
        <v>241</v>
      </c>
      <c r="I2318" s="5" t="str">
        <f t="shared" si="36"/>
        <v>2025-08</v>
      </c>
      <c r="J2318" s="4" t="s">
        <v>153</v>
      </c>
      <c r="K2318" s="5" t="s">
        <v>343</v>
      </c>
      <c r="L2318" s="2">
        <v>116220</v>
      </c>
      <c r="M2318" s="3">
        <v>1</v>
      </c>
      <c r="N2318" s="2">
        <v>116220</v>
      </c>
      <c r="O2318" s="2">
        <v>11622</v>
      </c>
      <c r="P2318" s="2">
        <v>127842</v>
      </c>
      <c r="Q2318" s="2">
        <f>P2318*12%</f>
        <v>15341.039999999999</v>
      </c>
    </row>
    <row r="2319" spans="1:17" hidden="1" x14ac:dyDescent="0.4">
      <c r="A2319" s="4" t="s">
        <v>23</v>
      </c>
      <c r="B2319" s="4" t="s">
        <v>14</v>
      </c>
      <c r="C2319" s="31" t="s">
        <v>435</v>
      </c>
      <c r="D2319" s="4" t="s">
        <v>24</v>
      </c>
      <c r="E2319" s="4" t="s">
        <v>16</v>
      </c>
      <c r="F2319" s="4" t="s">
        <v>17</v>
      </c>
      <c r="G2319" s="4" t="s">
        <v>18</v>
      </c>
      <c r="H2319" s="4" t="s">
        <v>241</v>
      </c>
      <c r="I2319" s="5" t="str">
        <f t="shared" si="36"/>
        <v>2025-08</v>
      </c>
      <c r="J2319" s="4" t="s">
        <v>153</v>
      </c>
      <c r="K2319" s="5" t="s">
        <v>343</v>
      </c>
      <c r="L2319" s="2">
        <v>55500</v>
      </c>
      <c r="M2319" s="3">
        <v>3</v>
      </c>
      <c r="N2319" s="2">
        <v>166500</v>
      </c>
      <c r="O2319" s="2">
        <v>16650</v>
      </c>
      <c r="P2319" s="2">
        <v>183150</v>
      </c>
      <c r="Q2319" s="2">
        <f>P2319*12%</f>
        <v>21978</v>
      </c>
    </row>
    <row r="2320" spans="1:17" hidden="1" x14ac:dyDescent="0.4">
      <c r="A2320" s="4" t="s">
        <v>51</v>
      </c>
      <c r="B2320" s="4" t="s">
        <v>14</v>
      </c>
      <c r="C2320" s="30" t="s">
        <v>434</v>
      </c>
      <c r="D2320" s="4" t="s">
        <v>52</v>
      </c>
      <c r="E2320" s="4" t="s">
        <v>16</v>
      </c>
      <c r="F2320" s="4" t="s">
        <v>17</v>
      </c>
      <c r="G2320" s="4" t="s">
        <v>18</v>
      </c>
      <c r="H2320" s="4" t="s">
        <v>241</v>
      </c>
      <c r="I2320" s="5" t="str">
        <f t="shared" si="36"/>
        <v>2025-08</v>
      </c>
      <c r="J2320" s="4" t="s">
        <v>153</v>
      </c>
      <c r="K2320" s="5" t="s">
        <v>343</v>
      </c>
      <c r="L2320" s="2">
        <v>73000</v>
      </c>
      <c r="M2320" s="3">
        <v>1</v>
      </c>
      <c r="N2320" s="2">
        <v>73000</v>
      </c>
      <c r="O2320" s="2">
        <v>7300</v>
      </c>
      <c r="P2320" s="2">
        <v>80300</v>
      </c>
      <c r="Q2320" s="2">
        <f>P2320*12%</f>
        <v>9636</v>
      </c>
    </row>
    <row r="2321" spans="1:17" hidden="1" x14ac:dyDescent="0.4">
      <c r="A2321" s="4" t="s">
        <v>35</v>
      </c>
      <c r="B2321" s="4" t="s">
        <v>14</v>
      </c>
      <c r="C2321" s="30" t="s">
        <v>434</v>
      </c>
      <c r="D2321" s="4" t="s">
        <v>36</v>
      </c>
      <c r="E2321" s="4" t="s">
        <v>16</v>
      </c>
      <c r="F2321" s="4" t="s">
        <v>17</v>
      </c>
      <c r="G2321" s="4" t="s">
        <v>18</v>
      </c>
      <c r="H2321" s="4" t="s">
        <v>241</v>
      </c>
      <c r="I2321" s="5" t="str">
        <f t="shared" si="36"/>
        <v>2025-08</v>
      </c>
      <c r="J2321" s="4" t="s">
        <v>60</v>
      </c>
      <c r="K2321" s="5" t="s">
        <v>343</v>
      </c>
      <c r="L2321" s="2">
        <v>116220</v>
      </c>
      <c r="M2321" s="3">
        <v>3</v>
      </c>
      <c r="N2321" s="2">
        <v>348660</v>
      </c>
      <c r="O2321" s="2">
        <v>34866</v>
      </c>
      <c r="P2321" s="2">
        <v>383526</v>
      </c>
      <c r="Q2321" s="2">
        <f>P2321*12%</f>
        <v>46023.119999999995</v>
      </c>
    </row>
    <row r="2322" spans="1:17" hidden="1" x14ac:dyDescent="0.4">
      <c r="A2322" s="4" t="s">
        <v>23</v>
      </c>
      <c r="B2322" s="4" t="s">
        <v>14</v>
      </c>
      <c r="C2322" s="31" t="s">
        <v>435</v>
      </c>
      <c r="D2322" s="4" t="s">
        <v>24</v>
      </c>
      <c r="E2322" s="4" t="s">
        <v>16</v>
      </c>
      <c r="F2322" s="4" t="s">
        <v>17</v>
      </c>
      <c r="G2322" s="4" t="s">
        <v>18</v>
      </c>
      <c r="H2322" s="4" t="s">
        <v>241</v>
      </c>
      <c r="I2322" s="5" t="str">
        <f t="shared" si="36"/>
        <v>2025-08</v>
      </c>
      <c r="J2322" s="4" t="s">
        <v>60</v>
      </c>
      <c r="K2322" s="5" t="s">
        <v>343</v>
      </c>
      <c r="L2322" s="2">
        <v>55500</v>
      </c>
      <c r="M2322" s="3">
        <v>10</v>
      </c>
      <c r="N2322" s="2">
        <v>555000</v>
      </c>
      <c r="O2322" s="2">
        <v>55500</v>
      </c>
      <c r="P2322" s="2">
        <v>610500</v>
      </c>
      <c r="Q2322" s="2">
        <f>P2322*12%</f>
        <v>73260</v>
      </c>
    </row>
    <row r="2323" spans="1:17" hidden="1" x14ac:dyDescent="0.4">
      <c r="A2323" s="4" t="s">
        <v>32</v>
      </c>
      <c r="B2323" s="4" t="s">
        <v>14</v>
      </c>
      <c r="C2323" s="31" t="s">
        <v>435</v>
      </c>
      <c r="D2323" s="4" t="s">
        <v>33</v>
      </c>
      <c r="E2323" s="4" t="s">
        <v>16</v>
      </c>
      <c r="F2323" s="4" t="s">
        <v>17</v>
      </c>
      <c r="G2323" s="4" t="s">
        <v>18</v>
      </c>
      <c r="H2323" s="4" t="s">
        <v>241</v>
      </c>
      <c r="I2323" s="5" t="str">
        <f t="shared" si="36"/>
        <v>2025-08</v>
      </c>
      <c r="J2323" s="4" t="s">
        <v>49</v>
      </c>
      <c r="K2323" s="5" t="s">
        <v>343</v>
      </c>
      <c r="L2323" s="2">
        <v>44000</v>
      </c>
      <c r="M2323" s="3">
        <v>3</v>
      </c>
      <c r="N2323" s="2">
        <v>132000</v>
      </c>
      <c r="O2323" s="2">
        <v>13200</v>
      </c>
      <c r="P2323" s="2">
        <v>145200</v>
      </c>
      <c r="Q2323" s="2">
        <f>P2323*12%</f>
        <v>17424</v>
      </c>
    </row>
    <row r="2324" spans="1:17" hidden="1" x14ac:dyDescent="0.4">
      <c r="A2324" s="4" t="s">
        <v>13</v>
      </c>
      <c r="B2324" s="4" t="s">
        <v>14</v>
      </c>
      <c r="C2324" s="30" t="s">
        <v>434</v>
      </c>
      <c r="D2324" s="4" t="s">
        <v>15</v>
      </c>
      <c r="E2324" s="4" t="s">
        <v>16</v>
      </c>
      <c r="F2324" s="4" t="s">
        <v>17</v>
      </c>
      <c r="G2324" s="4" t="s">
        <v>18</v>
      </c>
      <c r="H2324" s="4" t="s">
        <v>241</v>
      </c>
      <c r="I2324" s="5" t="str">
        <f t="shared" si="36"/>
        <v>2025-08</v>
      </c>
      <c r="J2324" s="4" t="s">
        <v>49</v>
      </c>
      <c r="K2324" s="5" t="s">
        <v>343</v>
      </c>
      <c r="L2324" s="2">
        <v>42000</v>
      </c>
      <c r="M2324" s="3">
        <v>6</v>
      </c>
      <c r="N2324" s="2">
        <v>252000</v>
      </c>
      <c r="O2324" s="2">
        <v>25200</v>
      </c>
      <c r="P2324" s="2">
        <v>277200</v>
      </c>
      <c r="Q2324" s="2">
        <f>P2324*12%</f>
        <v>33264</v>
      </c>
    </row>
    <row r="2325" spans="1:17" hidden="1" x14ac:dyDescent="0.4">
      <c r="A2325" s="4" t="s">
        <v>35</v>
      </c>
      <c r="B2325" s="4" t="s">
        <v>14</v>
      </c>
      <c r="C2325" s="30" t="s">
        <v>434</v>
      </c>
      <c r="D2325" s="4" t="s">
        <v>36</v>
      </c>
      <c r="E2325" s="4" t="s">
        <v>16</v>
      </c>
      <c r="F2325" s="4" t="s">
        <v>17</v>
      </c>
      <c r="G2325" s="4" t="s">
        <v>18</v>
      </c>
      <c r="H2325" s="4" t="s">
        <v>241</v>
      </c>
      <c r="I2325" s="5" t="str">
        <f t="shared" si="36"/>
        <v>2025-08</v>
      </c>
      <c r="J2325" s="4" t="s">
        <v>49</v>
      </c>
      <c r="K2325" s="5" t="s">
        <v>343</v>
      </c>
      <c r="L2325" s="2">
        <v>116220</v>
      </c>
      <c r="M2325" s="3">
        <v>1</v>
      </c>
      <c r="N2325" s="2">
        <v>116220</v>
      </c>
      <c r="O2325" s="2">
        <v>11622</v>
      </c>
      <c r="P2325" s="2">
        <v>127842</v>
      </c>
      <c r="Q2325" s="2">
        <f>P2325*12%</f>
        <v>15341.039999999999</v>
      </c>
    </row>
    <row r="2326" spans="1:17" hidden="1" x14ac:dyDescent="0.4">
      <c r="A2326" s="4" t="s">
        <v>23</v>
      </c>
      <c r="B2326" s="4" t="s">
        <v>14</v>
      </c>
      <c r="C2326" s="31" t="s">
        <v>435</v>
      </c>
      <c r="D2326" s="4" t="s">
        <v>24</v>
      </c>
      <c r="E2326" s="4" t="s">
        <v>16</v>
      </c>
      <c r="F2326" s="4" t="s">
        <v>17</v>
      </c>
      <c r="G2326" s="4" t="s">
        <v>18</v>
      </c>
      <c r="H2326" s="4" t="s">
        <v>241</v>
      </c>
      <c r="I2326" s="5" t="str">
        <f t="shared" si="36"/>
        <v>2025-08</v>
      </c>
      <c r="J2326" s="4" t="s">
        <v>49</v>
      </c>
      <c r="K2326" s="5" t="s">
        <v>343</v>
      </c>
      <c r="L2326" s="2">
        <v>55500</v>
      </c>
      <c r="M2326" s="3">
        <v>4</v>
      </c>
      <c r="N2326" s="2">
        <v>222000</v>
      </c>
      <c r="O2326" s="2">
        <v>22200</v>
      </c>
      <c r="P2326" s="2">
        <v>244200</v>
      </c>
      <c r="Q2326" s="2">
        <f>P2326*12%</f>
        <v>29304</v>
      </c>
    </row>
    <row r="2327" spans="1:17" hidden="1" x14ac:dyDescent="0.4">
      <c r="A2327" s="4" t="s">
        <v>51</v>
      </c>
      <c r="B2327" s="4" t="s">
        <v>14</v>
      </c>
      <c r="C2327" s="30" t="s">
        <v>434</v>
      </c>
      <c r="D2327" s="4" t="s">
        <v>52</v>
      </c>
      <c r="E2327" s="4" t="s">
        <v>16</v>
      </c>
      <c r="F2327" s="4" t="s">
        <v>17</v>
      </c>
      <c r="G2327" s="4" t="s">
        <v>18</v>
      </c>
      <c r="H2327" s="4" t="s">
        <v>241</v>
      </c>
      <c r="I2327" s="5" t="str">
        <f t="shared" si="36"/>
        <v>2025-08</v>
      </c>
      <c r="J2327" s="4" t="s">
        <v>49</v>
      </c>
      <c r="K2327" s="5" t="s">
        <v>343</v>
      </c>
      <c r="L2327" s="2">
        <v>73000</v>
      </c>
      <c r="M2327" s="3">
        <v>1</v>
      </c>
      <c r="N2327" s="2">
        <v>73000</v>
      </c>
      <c r="O2327" s="2">
        <v>7300</v>
      </c>
      <c r="P2327" s="2">
        <v>80300</v>
      </c>
      <c r="Q2327" s="2">
        <f>P2327*12%</f>
        <v>9636</v>
      </c>
    </row>
    <row r="2328" spans="1:17" hidden="1" x14ac:dyDescent="0.4">
      <c r="A2328" s="4" t="s">
        <v>32</v>
      </c>
      <c r="B2328" s="4" t="s">
        <v>14</v>
      </c>
      <c r="C2328" s="31" t="s">
        <v>435</v>
      </c>
      <c r="D2328" s="4" t="s">
        <v>33</v>
      </c>
      <c r="E2328" s="4" t="s">
        <v>16</v>
      </c>
      <c r="F2328" s="4" t="s">
        <v>17</v>
      </c>
      <c r="G2328" s="4" t="s">
        <v>18</v>
      </c>
      <c r="H2328" s="4" t="s">
        <v>241</v>
      </c>
      <c r="I2328" s="5" t="str">
        <f t="shared" si="36"/>
        <v>2025-08</v>
      </c>
      <c r="J2328" s="4" t="s">
        <v>50</v>
      </c>
      <c r="K2328" s="5" t="s">
        <v>343</v>
      </c>
      <c r="L2328" s="2">
        <v>44000</v>
      </c>
      <c r="M2328" s="3">
        <v>2</v>
      </c>
      <c r="N2328" s="2">
        <v>88000</v>
      </c>
      <c r="O2328" s="2">
        <v>8800</v>
      </c>
      <c r="P2328" s="2">
        <v>96800</v>
      </c>
      <c r="Q2328" s="2">
        <f>P2328*12%</f>
        <v>11616</v>
      </c>
    </row>
    <row r="2329" spans="1:17" hidden="1" x14ac:dyDescent="0.4">
      <c r="A2329" s="4" t="s">
        <v>13</v>
      </c>
      <c r="B2329" s="4" t="s">
        <v>14</v>
      </c>
      <c r="C2329" s="30" t="s">
        <v>434</v>
      </c>
      <c r="D2329" s="4" t="s">
        <v>15</v>
      </c>
      <c r="E2329" s="4" t="s">
        <v>16</v>
      </c>
      <c r="F2329" s="4" t="s">
        <v>17</v>
      </c>
      <c r="G2329" s="4" t="s">
        <v>18</v>
      </c>
      <c r="H2329" s="4" t="s">
        <v>241</v>
      </c>
      <c r="I2329" s="5" t="str">
        <f t="shared" si="36"/>
        <v>2025-08</v>
      </c>
      <c r="J2329" s="4" t="s">
        <v>50</v>
      </c>
      <c r="K2329" s="5" t="s">
        <v>343</v>
      </c>
      <c r="L2329" s="2">
        <v>42000</v>
      </c>
      <c r="M2329" s="3">
        <v>10</v>
      </c>
      <c r="N2329" s="2">
        <v>420000</v>
      </c>
      <c r="O2329" s="2">
        <v>42000</v>
      </c>
      <c r="P2329" s="2">
        <v>462000</v>
      </c>
      <c r="Q2329" s="2">
        <f>P2329*12%</f>
        <v>55440</v>
      </c>
    </row>
    <row r="2330" spans="1:17" hidden="1" x14ac:dyDescent="0.4">
      <c r="A2330" s="4" t="s">
        <v>23</v>
      </c>
      <c r="B2330" s="4" t="s">
        <v>14</v>
      </c>
      <c r="C2330" s="31" t="s">
        <v>435</v>
      </c>
      <c r="D2330" s="4" t="s">
        <v>24</v>
      </c>
      <c r="E2330" s="4" t="s">
        <v>16</v>
      </c>
      <c r="F2330" s="4" t="s">
        <v>17</v>
      </c>
      <c r="G2330" s="4" t="s">
        <v>18</v>
      </c>
      <c r="H2330" s="4" t="s">
        <v>241</v>
      </c>
      <c r="I2330" s="5" t="str">
        <f t="shared" si="36"/>
        <v>2025-08</v>
      </c>
      <c r="J2330" s="4" t="s">
        <v>50</v>
      </c>
      <c r="K2330" s="5" t="s">
        <v>343</v>
      </c>
      <c r="L2330" s="2">
        <v>55500</v>
      </c>
      <c r="M2330" s="3">
        <v>3</v>
      </c>
      <c r="N2330" s="2">
        <v>166500</v>
      </c>
      <c r="O2330" s="2">
        <v>16650</v>
      </c>
      <c r="P2330" s="2">
        <v>183150</v>
      </c>
      <c r="Q2330" s="2">
        <f>P2330*12%</f>
        <v>21978</v>
      </c>
    </row>
    <row r="2331" spans="1:17" hidden="1" x14ac:dyDescent="0.4">
      <c r="A2331" s="4" t="s">
        <v>51</v>
      </c>
      <c r="B2331" s="4" t="s">
        <v>14</v>
      </c>
      <c r="C2331" s="30" t="s">
        <v>434</v>
      </c>
      <c r="D2331" s="4" t="s">
        <v>52</v>
      </c>
      <c r="E2331" s="4" t="s">
        <v>16</v>
      </c>
      <c r="F2331" s="4" t="s">
        <v>17</v>
      </c>
      <c r="G2331" s="4" t="s">
        <v>18</v>
      </c>
      <c r="H2331" s="4" t="s">
        <v>241</v>
      </c>
      <c r="I2331" s="5" t="str">
        <f t="shared" si="36"/>
        <v>2025-08</v>
      </c>
      <c r="J2331" s="4" t="s">
        <v>50</v>
      </c>
      <c r="K2331" s="5" t="s">
        <v>343</v>
      </c>
      <c r="L2331" s="2">
        <v>73000</v>
      </c>
      <c r="M2331" s="3">
        <v>2</v>
      </c>
      <c r="N2331" s="2">
        <v>146000</v>
      </c>
      <c r="O2331" s="2">
        <v>14600</v>
      </c>
      <c r="P2331" s="2">
        <v>160600</v>
      </c>
      <c r="Q2331" s="2">
        <f>P2331*12%</f>
        <v>19272</v>
      </c>
    </row>
    <row r="2332" spans="1:17" x14ac:dyDescent="0.4">
      <c r="A2332" s="4" t="s">
        <v>13</v>
      </c>
      <c r="B2332" s="4" t="s">
        <v>14</v>
      </c>
      <c r="C2332" s="30" t="s">
        <v>434</v>
      </c>
      <c r="D2332" s="4" t="s">
        <v>15</v>
      </c>
      <c r="E2332" s="4" t="s">
        <v>16</v>
      </c>
      <c r="F2332" s="4" t="s">
        <v>17</v>
      </c>
      <c r="G2332" s="4" t="s">
        <v>18</v>
      </c>
      <c r="H2332" s="4" t="s">
        <v>242</v>
      </c>
      <c r="I2332" s="5" t="str">
        <f t="shared" si="36"/>
        <v>2025-08</v>
      </c>
      <c r="J2332" s="4" t="s">
        <v>20</v>
      </c>
      <c r="K2332" s="5" t="s">
        <v>342</v>
      </c>
      <c r="L2332" s="2">
        <v>42000</v>
      </c>
      <c r="M2332" s="3">
        <v>2</v>
      </c>
      <c r="N2332" s="2">
        <v>84000</v>
      </c>
      <c r="O2332" s="2">
        <v>8400</v>
      </c>
      <c r="P2332" s="2">
        <v>92400</v>
      </c>
      <c r="Q2332" s="2">
        <f>P2332*8.5%</f>
        <v>7854.0000000000009</v>
      </c>
    </row>
    <row r="2333" spans="1:17" x14ac:dyDescent="0.4">
      <c r="A2333" s="4" t="s">
        <v>21</v>
      </c>
      <c r="B2333" s="4" t="s">
        <v>14</v>
      </c>
      <c r="C2333" s="31" t="s">
        <v>435</v>
      </c>
      <c r="D2333" s="4" t="s">
        <v>22</v>
      </c>
      <c r="E2333" s="4" t="s">
        <v>16</v>
      </c>
      <c r="F2333" s="4" t="s">
        <v>17</v>
      </c>
      <c r="G2333" s="4" t="s">
        <v>18</v>
      </c>
      <c r="H2333" s="4" t="s">
        <v>242</v>
      </c>
      <c r="I2333" s="5" t="str">
        <f t="shared" si="36"/>
        <v>2025-08</v>
      </c>
      <c r="J2333" s="4" t="s">
        <v>20</v>
      </c>
      <c r="K2333" s="5" t="s">
        <v>342</v>
      </c>
      <c r="L2333" s="2">
        <v>55500</v>
      </c>
      <c r="M2333" s="3">
        <v>1</v>
      </c>
      <c r="N2333" s="2">
        <v>55500</v>
      </c>
      <c r="O2333" s="2">
        <v>5550</v>
      </c>
      <c r="P2333" s="2">
        <v>61050</v>
      </c>
      <c r="Q2333" s="2">
        <f>P2333*8.5%</f>
        <v>5189.25</v>
      </c>
    </row>
    <row r="2334" spans="1:17" x14ac:dyDescent="0.4">
      <c r="A2334" s="4" t="s">
        <v>23</v>
      </c>
      <c r="B2334" s="4" t="s">
        <v>14</v>
      </c>
      <c r="C2334" s="31" t="s">
        <v>435</v>
      </c>
      <c r="D2334" s="4" t="s">
        <v>24</v>
      </c>
      <c r="E2334" s="4" t="s">
        <v>16</v>
      </c>
      <c r="F2334" s="4" t="s">
        <v>17</v>
      </c>
      <c r="G2334" s="4" t="s">
        <v>18</v>
      </c>
      <c r="H2334" s="4" t="s">
        <v>242</v>
      </c>
      <c r="I2334" s="5" t="str">
        <f t="shared" si="36"/>
        <v>2025-08</v>
      </c>
      <c r="J2334" s="4" t="s">
        <v>20</v>
      </c>
      <c r="K2334" s="5" t="s">
        <v>342</v>
      </c>
      <c r="L2334" s="2">
        <v>55500</v>
      </c>
      <c r="M2334" s="3">
        <v>3</v>
      </c>
      <c r="N2334" s="2">
        <v>166500</v>
      </c>
      <c r="O2334" s="2">
        <v>16650</v>
      </c>
      <c r="P2334" s="2">
        <v>183150</v>
      </c>
      <c r="Q2334" s="2">
        <f>P2334*8.5%</f>
        <v>15567.750000000002</v>
      </c>
    </row>
    <row r="2335" spans="1:17" x14ac:dyDescent="0.4">
      <c r="A2335" s="4" t="s">
        <v>56</v>
      </c>
      <c r="B2335" s="4" t="s">
        <v>26</v>
      </c>
      <c r="C2335" s="32" t="s">
        <v>436</v>
      </c>
      <c r="D2335" s="4" t="s">
        <v>57</v>
      </c>
      <c r="E2335" s="4" t="s">
        <v>44</v>
      </c>
      <c r="F2335" s="4" t="s">
        <v>31</v>
      </c>
      <c r="G2335" s="4" t="s">
        <v>18</v>
      </c>
      <c r="H2335" s="4" t="s">
        <v>242</v>
      </c>
      <c r="I2335" s="5" t="str">
        <f t="shared" si="36"/>
        <v>2025-08</v>
      </c>
      <c r="J2335" s="4" t="s">
        <v>20</v>
      </c>
      <c r="K2335" s="5" t="s">
        <v>342</v>
      </c>
      <c r="L2335" s="2">
        <v>3049</v>
      </c>
      <c r="M2335" s="3">
        <v>7</v>
      </c>
      <c r="N2335" s="2">
        <v>21343</v>
      </c>
      <c r="O2335" s="2">
        <v>0</v>
      </c>
      <c r="P2335" s="2">
        <v>21343</v>
      </c>
      <c r="Q2335" s="2">
        <f>P2335*8.5%</f>
        <v>1814.1550000000002</v>
      </c>
    </row>
    <row r="2336" spans="1:17" hidden="1" x14ac:dyDescent="0.4">
      <c r="A2336" s="4" t="s">
        <v>32</v>
      </c>
      <c r="B2336" s="4" t="s">
        <v>14</v>
      </c>
      <c r="C2336" s="31" t="s">
        <v>435</v>
      </c>
      <c r="D2336" s="4" t="s">
        <v>33</v>
      </c>
      <c r="E2336" s="4" t="s">
        <v>16</v>
      </c>
      <c r="F2336" s="4" t="s">
        <v>17</v>
      </c>
      <c r="G2336" s="4" t="s">
        <v>18</v>
      </c>
      <c r="H2336" s="4" t="s">
        <v>242</v>
      </c>
      <c r="I2336" s="5" t="str">
        <f t="shared" si="36"/>
        <v>2025-08</v>
      </c>
      <c r="J2336" s="4" t="s">
        <v>118</v>
      </c>
      <c r="K2336" s="5" t="s">
        <v>342</v>
      </c>
      <c r="L2336" s="2">
        <v>44000</v>
      </c>
      <c r="M2336" s="3">
        <v>1</v>
      </c>
      <c r="N2336" s="2">
        <v>44000</v>
      </c>
      <c r="O2336" s="2">
        <v>4400</v>
      </c>
      <c r="P2336" s="2">
        <v>48400</v>
      </c>
      <c r="Q2336" s="2">
        <f>P2336*8.5%</f>
        <v>4114</v>
      </c>
    </row>
    <row r="2337" spans="1:17" hidden="1" x14ac:dyDescent="0.4">
      <c r="A2337" s="4" t="s">
        <v>13</v>
      </c>
      <c r="B2337" s="4" t="s">
        <v>14</v>
      </c>
      <c r="C2337" s="30" t="s">
        <v>434</v>
      </c>
      <c r="D2337" s="4" t="s">
        <v>15</v>
      </c>
      <c r="E2337" s="4" t="s">
        <v>16</v>
      </c>
      <c r="F2337" s="4" t="s">
        <v>17</v>
      </c>
      <c r="G2337" s="4" t="s">
        <v>18</v>
      </c>
      <c r="H2337" s="4" t="s">
        <v>242</v>
      </c>
      <c r="I2337" s="5" t="str">
        <f t="shared" si="36"/>
        <v>2025-08</v>
      </c>
      <c r="J2337" s="4" t="s">
        <v>118</v>
      </c>
      <c r="K2337" s="5" t="s">
        <v>342</v>
      </c>
      <c r="L2337" s="2">
        <v>42000</v>
      </c>
      <c r="M2337" s="3">
        <v>9</v>
      </c>
      <c r="N2337" s="2">
        <v>378000</v>
      </c>
      <c r="O2337" s="2">
        <v>37800</v>
      </c>
      <c r="P2337" s="2">
        <v>415800</v>
      </c>
      <c r="Q2337" s="2">
        <f>P2337*8.5%</f>
        <v>35343</v>
      </c>
    </row>
    <row r="2338" spans="1:17" hidden="1" x14ac:dyDescent="0.4">
      <c r="A2338" s="4" t="s">
        <v>23</v>
      </c>
      <c r="B2338" s="4" t="s">
        <v>14</v>
      </c>
      <c r="C2338" s="31" t="s">
        <v>435</v>
      </c>
      <c r="D2338" s="4" t="s">
        <v>24</v>
      </c>
      <c r="E2338" s="4" t="s">
        <v>16</v>
      </c>
      <c r="F2338" s="4" t="s">
        <v>17</v>
      </c>
      <c r="G2338" s="4" t="s">
        <v>18</v>
      </c>
      <c r="H2338" s="4" t="s">
        <v>242</v>
      </c>
      <c r="I2338" s="5" t="str">
        <f t="shared" si="36"/>
        <v>2025-08</v>
      </c>
      <c r="J2338" s="4" t="s">
        <v>118</v>
      </c>
      <c r="K2338" s="5" t="s">
        <v>342</v>
      </c>
      <c r="L2338" s="2">
        <v>55500</v>
      </c>
      <c r="M2338" s="3">
        <v>3</v>
      </c>
      <c r="N2338" s="2">
        <v>166500</v>
      </c>
      <c r="O2338" s="2">
        <v>16650</v>
      </c>
      <c r="P2338" s="2">
        <v>183150</v>
      </c>
      <c r="Q2338" s="2">
        <f>P2338*8.5%</f>
        <v>15567.750000000002</v>
      </c>
    </row>
    <row r="2339" spans="1:17" hidden="1" x14ac:dyDescent="0.4">
      <c r="A2339" s="4" t="s">
        <v>51</v>
      </c>
      <c r="B2339" s="4" t="s">
        <v>14</v>
      </c>
      <c r="C2339" s="30" t="s">
        <v>434</v>
      </c>
      <c r="D2339" s="4" t="s">
        <v>52</v>
      </c>
      <c r="E2339" s="4" t="s">
        <v>16</v>
      </c>
      <c r="F2339" s="4" t="s">
        <v>17</v>
      </c>
      <c r="G2339" s="4" t="s">
        <v>18</v>
      </c>
      <c r="H2339" s="4" t="s">
        <v>242</v>
      </c>
      <c r="I2339" s="5" t="str">
        <f t="shared" si="36"/>
        <v>2025-08</v>
      </c>
      <c r="J2339" s="4" t="s">
        <v>118</v>
      </c>
      <c r="K2339" s="5" t="s">
        <v>342</v>
      </c>
      <c r="L2339" s="2">
        <v>73000</v>
      </c>
      <c r="M2339" s="3">
        <v>1</v>
      </c>
      <c r="N2339" s="2">
        <v>73000</v>
      </c>
      <c r="O2339" s="2">
        <v>7300</v>
      </c>
      <c r="P2339" s="2">
        <v>80300</v>
      </c>
      <c r="Q2339" s="2">
        <f>P2339*8.5%</f>
        <v>6825.5000000000009</v>
      </c>
    </row>
    <row r="2340" spans="1:17" hidden="1" x14ac:dyDescent="0.4">
      <c r="A2340" s="4" t="s">
        <v>32</v>
      </c>
      <c r="B2340" s="4" t="s">
        <v>14</v>
      </c>
      <c r="C2340" s="31" t="s">
        <v>435</v>
      </c>
      <c r="D2340" s="4" t="s">
        <v>33</v>
      </c>
      <c r="E2340" s="4" t="s">
        <v>16</v>
      </c>
      <c r="F2340" s="4" t="s">
        <v>17</v>
      </c>
      <c r="G2340" s="4" t="s">
        <v>18</v>
      </c>
      <c r="H2340" s="4" t="s">
        <v>242</v>
      </c>
      <c r="I2340" s="5" t="str">
        <f t="shared" si="36"/>
        <v>2025-08</v>
      </c>
      <c r="J2340" s="4" t="s">
        <v>34</v>
      </c>
      <c r="K2340" s="5" t="s">
        <v>342</v>
      </c>
      <c r="L2340" s="2">
        <v>44000</v>
      </c>
      <c r="M2340" s="3">
        <v>2</v>
      </c>
      <c r="N2340" s="2">
        <v>88000</v>
      </c>
      <c r="O2340" s="2">
        <v>8800</v>
      </c>
      <c r="P2340" s="2">
        <v>96800</v>
      </c>
      <c r="Q2340" s="2">
        <f>P2340*8.5%</f>
        <v>8228</v>
      </c>
    </row>
    <row r="2341" spans="1:17" hidden="1" x14ac:dyDescent="0.4">
      <c r="A2341" s="4" t="s">
        <v>58</v>
      </c>
      <c r="B2341" s="4" t="s">
        <v>14</v>
      </c>
      <c r="C2341" s="30" t="s">
        <v>434</v>
      </c>
      <c r="D2341" s="4" t="s">
        <v>36</v>
      </c>
      <c r="E2341" s="4" t="s">
        <v>16</v>
      </c>
      <c r="F2341" s="4" t="s">
        <v>17</v>
      </c>
      <c r="G2341" s="4" t="s">
        <v>18</v>
      </c>
      <c r="H2341" s="4" t="s">
        <v>242</v>
      </c>
      <c r="I2341" s="5" t="str">
        <f t="shared" si="36"/>
        <v>2025-08</v>
      </c>
      <c r="J2341" s="4" t="s">
        <v>34</v>
      </c>
      <c r="K2341" s="5" t="s">
        <v>342</v>
      </c>
      <c r="L2341" s="2">
        <v>120880</v>
      </c>
      <c r="M2341" s="3">
        <v>1</v>
      </c>
      <c r="N2341" s="2">
        <v>120880</v>
      </c>
      <c r="O2341" s="2">
        <v>12088</v>
      </c>
      <c r="P2341" s="2">
        <v>132968</v>
      </c>
      <c r="Q2341" s="2">
        <f>P2341*8.5%</f>
        <v>11302.28</v>
      </c>
    </row>
    <row r="2342" spans="1:17" hidden="1" x14ac:dyDescent="0.4">
      <c r="A2342" s="4" t="s">
        <v>13</v>
      </c>
      <c r="B2342" s="4" t="s">
        <v>14</v>
      </c>
      <c r="C2342" s="30" t="s">
        <v>434</v>
      </c>
      <c r="D2342" s="4" t="s">
        <v>15</v>
      </c>
      <c r="E2342" s="4" t="s">
        <v>16</v>
      </c>
      <c r="F2342" s="4" t="s">
        <v>17</v>
      </c>
      <c r="G2342" s="4" t="s">
        <v>18</v>
      </c>
      <c r="H2342" s="4" t="s">
        <v>242</v>
      </c>
      <c r="I2342" s="5" t="str">
        <f t="shared" si="36"/>
        <v>2025-08</v>
      </c>
      <c r="J2342" s="4" t="s">
        <v>34</v>
      </c>
      <c r="K2342" s="5" t="s">
        <v>342</v>
      </c>
      <c r="L2342" s="2">
        <v>42000</v>
      </c>
      <c r="M2342" s="3">
        <v>4</v>
      </c>
      <c r="N2342" s="2">
        <v>168000</v>
      </c>
      <c r="O2342" s="2">
        <v>16800</v>
      </c>
      <c r="P2342" s="2">
        <v>184800</v>
      </c>
      <c r="Q2342" s="2">
        <f>P2342*8.5%</f>
        <v>15708.000000000002</v>
      </c>
    </row>
    <row r="2343" spans="1:17" hidden="1" x14ac:dyDescent="0.4">
      <c r="A2343" s="4" t="s">
        <v>21</v>
      </c>
      <c r="B2343" s="4" t="s">
        <v>14</v>
      </c>
      <c r="C2343" s="31" t="s">
        <v>435</v>
      </c>
      <c r="D2343" s="4" t="s">
        <v>22</v>
      </c>
      <c r="E2343" s="4" t="s">
        <v>16</v>
      </c>
      <c r="F2343" s="4" t="s">
        <v>17</v>
      </c>
      <c r="G2343" s="4" t="s">
        <v>18</v>
      </c>
      <c r="H2343" s="4" t="s">
        <v>242</v>
      </c>
      <c r="I2343" s="5" t="str">
        <f t="shared" si="36"/>
        <v>2025-08</v>
      </c>
      <c r="J2343" s="4" t="s">
        <v>34</v>
      </c>
      <c r="K2343" s="5" t="s">
        <v>342</v>
      </c>
      <c r="L2343" s="2">
        <v>55500</v>
      </c>
      <c r="M2343" s="3">
        <v>1</v>
      </c>
      <c r="N2343" s="2">
        <v>55500</v>
      </c>
      <c r="O2343" s="2">
        <v>5550</v>
      </c>
      <c r="P2343" s="2">
        <v>61050</v>
      </c>
      <c r="Q2343" s="2">
        <f>P2343*8.5%</f>
        <v>5189.25</v>
      </c>
    </row>
    <row r="2344" spans="1:17" hidden="1" x14ac:dyDescent="0.4">
      <c r="A2344" s="4" t="s">
        <v>23</v>
      </c>
      <c r="B2344" s="4" t="s">
        <v>14</v>
      </c>
      <c r="C2344" s="31" t="s">
        <v>435</v>
      </c>
      <c r="D2344" s="4" t="s">
        <v>24</v>
      </c>
      <c r="E2344" s="4" t="s">
        <v>16</v>
      </c>
      <c r="F2344" s="4" t="s">
        <v>17</v>
      </c>
      <c r="G2344" s="4" t="s">
        <v>18</v>
      </c>
      <c r="H2344" s="4" t="s">
        <v>242</v>
      </c>
      <c r="I2344" s="5" t="str">
        <f t="shared" si="36"/>
        <v>2025-08</v>
      </c>
      <c r="J2344" s="4" t="s">
        <v>34</v>
      </c>
      <c r="K2344" s="5" t="s">
        <v>342</v>
      </c>
      <c r="L2344" s="2">
        <v>55500</v>
      </c>
      <c r="M2344" s="3">
        <v>4</v>
      </c>
      <c r="N2344" s="2">
        <v>222000</v>
      </c>
      <c r="O2344" s="2">
        <v>22200</v>
      </c>
      <c r="P2344" s="2">
        <v>244200</v>
      </c>
      <c r="Q2344" s="2">
        <f>P2344*8.5%</f>
        <v>20757</v>
      </c>
    </row>
    <row r="2345" spans="1:17" hidden="1" x14ac:dyDescent="0.4">
      <c r="A2345" s="4" t="s">
        <v>51</v>
      </c>
      <c r="B2345" s="4" t="s">
        <v>14</v>
      </c>
      <c r="C2345" s="30" t="s">
        <v>434</v>
      </c>
      <c r="D2345" s="4" t="s">
        <v>52</v>
      </c>
      <c r="E2345" s="4" t="s">
        <v>16</v>
      </c>
      <c r="F2345" s="4" t="s">
        <v>17</v>
      </c>
      <c r="G2345" s="4" t="s">
        <v>18</v>
      </c>
      <c r="H2345" s="4" t="s">
        <v>242</v>
      </c>
      <c r="I2345" s="5" t="str">
        <f t="shared" si="36"/>
        <v>2025-08</v>
      </c>
      <c r="J2345" s="4" t="s">
        <v>34</v>
      </c>
      <c r="K2345" s="5" t="s">
        <v>342</v>
      </c>
      <c r="L2345" s="2">
        <v>73000</v>
      </c>
      <c r="M2345" s="3">
        <v>1</v>
      </c>
      <c r="N2345" s="2">
        <v>73000</v>
      </c>
      <c r="O2345" s="2">
        <v>7300</v>
      </c>
      <c r="P2345" s="2">
        <v>80300</v>
      </c>
      <c r="Q2345" s="2">
        <f>P2345*8.5%</f>
        <v>6825.5000000000009</v>
      </c>
    </row>
    <row r="2346" spans="1:17" hidden="1" x14ac:dyDescent="0.4">
      <c r="A2346" s="4" t="s">
        <v>73</v>
      </c>
      <c r="B2346" s="4" t="s">
        <v>26</v>
      </c>
      <c r="C2346" s="32" t="s">
        <v>436</v>
      </c>
      <c r="D2346" s="4" t="s">
        <v>57</v>
      </c>
      <c r="E2346" s="4" t="s">
        <v>28</v>
      </c>
      <c r="F2346" s="4" t="s">
        <v>17</v>
      </c>
      <c r="G2346" s="4" t="s">
        <v>18</v>
      </c>
      <c r="H2346" s="4" t="s">
        <v>242</v>
      </c>
      <c r="I2346" s="5" t="str">
        <f t="shared" si="36"/>
        <v>2025-08</v>
      </c>
      <c r="J2346" s="4" t="s">
        <v>34</v>
      </c>
      <c r="K2346" s="5" t="s">
        <v>342</v>
      </c>
      <c r="L2346" s="2">
        <v>7055</v>
      </c>
      <c r="M2346" s="3">
        <v>3</v>
      </c>
      <c r="N2346" s="2">
        <v>21165</v>
      </c>
      <c r="O2346" s="2">
        <v>2117</v>
      </c>
      <c r="P2346" s="2">
        <v>23282</v>
      </c>
      <c r="Q2346" s="2">
        <f>P2346*8.5%</f>
        <v>1978.9700000000003</v>
      </c>
    </row>
    <row r="2347" spans="1:17" hidden="1" x14ac:dyDescent="0.4">
      <c r="A2347" s="4" t="s">
        <v>42</v>
      </c>
      <c r="B2347" s="4" t="s">
        <v>14</v>
      </c>
      <c r="C2347" s="30" t="s">
        <v>434</v>
      </c>
      <c r="D2347" s="4" t="s">
        <v>43</v>
      </c>
      <c r="E2347" s="4" t="s">
        <v>44</v>
      </c>
      <c r="F2347" s="4" t="s">
        <v>31</v>
      </c>
      <c r="G2347" s="4" t="s">
        <v>18</v>
      </c>
      <c r="H2347" s="4" t="s">
        <v>242</v>
      </c>
      <c r="I2347" s="5" t="str">
        <f t="shared" si="36"/>
        <v>2025-08</v>
      </c>
      <c r="J2347" s="4" t="s">
        <v>34</v>
      </c>
      <c r="K2347" s="5" t="s">
        <v>342</v>
      </c>
      <c r="L2347" s="2">
        <v>7300</v>
      </c>
      <c r="M2347" s="3">
        <v>45</v>
      </c>
      <c r="N2347" s="2">
        <v>328500</v>
      </c>
      <c r="O2347" s="2">
        <v>0</v>
      </c>
      <c r="P2347" s="2">
        <v>328500</v>
      </c>
      <c r="Q2347" s="2">
        <f>P2347*8.5%</f>
        <v>27922.500000000004</v>
      </c>
    </row>
    <row r="2348" spans="1:17" hidden="1" x14ac:dyDescent="0.4">
      <c r="A2348" s="4" t="s">
        <v>13</v>
      </c>
      <c r="B2348" s="4" t="s">
        <v>14</v>
      </c>
      <c r="C2348" s="30" t="s">
        <v>434</v>
      </c>
      <c r="D2348" s="4" t="s">
        <v>15</v>
      </c>
      <c r="E2348" s="4" t="s">
        <v>16</v>
      </c>
      <c r="F2348" s="4" t="s">
        <v>17</v>
      </c>
      <c r="G2348" s="4" t="s">
        <v>18</v>
      </c>
      <c r="H2348" s="4" t="s">
        <v>242</v>
      </c>
      <c r="I2348" s="5" t="str">
        <f t="shared" si="36"/>
        <v>2025-08</v>
      </c>
      <c r="J2348" s="4" t="s">
        <v>59</v>
      </c>
      <c r="K2348" s="5" t="s">
        <v>343</v>
      </c>
      <c r="L2348" s="2">
        <v>42000</v>
      </c>
      <c r="M2348" s="3">
        <v>4</v>
      </c>
      <c r="N2348" s="2">
        <v>168000</v>
      </c>
      <c r="O2348" s="2">
        <v>16800</v>
      </c>
      <c r="P2348" s="2">
        <v>184800</v>
      </c>
      <c r="Q2348" s="2">
        <f>P2348*12%</f>
        <v>22176</v>
      </c>
    </row>
    <row r="2349" spans="1:17" hidden="1" x14ac:dyDescent="0.4">
      <c r="A2349" s="4" t="s">
        <v>35</v>
      </c>
      <c r="B2349" s="4" t="s">
        <v>14</v>
      </c>
      <c r="C2349" s="30" t="s">
        <v>434</v>
      </c>
      <c r="D2349" s="4" t="s">
        <v>36</v>
      </c>
      <c r="E2349" s="4" t="s">
        <v>16</v>
      </c>
      <c r="F2349" s="4" t="s">
        <v>17</v>
      </c>
      <c r="G2349" s="4" t="s">
        <v>18</v>
      </c>
      <c r="H2349" s="4" t="s">
        <v>242</v>
      </c>
      <c r="I2349" s="5" t="str">
        <f t="shared" si="36"/>
        <v>2025-08</v>
      </c>
      <c r="J2349" s="4" t="s">
        <v>59</v>
      </c>
      <c r="K2349" s="5" t="s">
        <v>343</v>
      </c>
      <c r="L2349" s="2">
        <v>116220</v>
      </c>
      <c r="M2349" s="3">
        <v>1</v>
      </c>
      <c r="N2349" s="2">
        <v>116220</v>
      </c>
      <c r="O2349" s="2">
        <v>11622</v>
      </c>
      <c r="P2349" s="2">
        <v>127842</v>
      </c>
      <c r="Q2349" s="2">
        <f>P2349*12%</f>
        <v>15341.039999999999</v>
      </c>
    </row>
    <row r="2350" spans="1:17" hidden="1" x14ac:dyDescent="0.4">
      <c r="A2350" s="4" t="s">
        <v>23</v>
      </c>
      <c r="B2350" s="4" t="s">
        <v>14</v>
      </c>
      <c r="C2350" s="31" t="s">
        <v>435</v>
      </c>
      <c r="D2350" s="4" t="s">
        <v>24</v>
      </c>
      <c r="E2350" s="4" t="s">
        <v>16</v>
      </c>
      <c r="F2350" s="4" t="s">
        <v>17</v>
      </c>
      <c r="G2350" s="4" t="s">
        <v>18</v>
      </c>
      <c r="H2350" s="4" t="s">
        <v>242</v>
      </c>
      <c r="I2350" s="5" t="str">
        <f t="shared" si="36"/>
        <v>2025-08</v>
      </c>
      <c r="J2350" s="4" t="s">
        <v>59</v>
      </c>
      <c r="K2350" s="5" t="s">
        <v>343</v>
      </c>
      <c r="L2350" s="2">
        <v>55500</v>
      </c>
      <c r="M2350" s="3">
        <v>2</v>
      </c>
      <c r="N2350" s="2">
        <v>111000</v>
      </c>
      <c r="O2350" s="2">
        <v>11100</v>
      </c>
      <c r="P2350" s="2">
        <v>122100</v>
      </c>
      <c r="Q2350" s="2">
        <f>P2350*12%</f>
        <v>14652</v>
      </c>
    </row>
    <row r="2351" spans="1:17" hidden="1" x14ac:dyDescent="0.4">
      <c r="A2351" s="4" t="s">
        <v>51</v>
      </c>
      <c r="B2351" s="4" t="s">
        <v>14</v>
      </c>
      <c r="C2351" s="30" t="s">
        <v>434</v>
      </c>
      <c r="D2351" s="4" t="s">
        <v>52</v>
      </c>
      <c r="E2351" s="4" t="s">
        <v>16</v>
      </c>
      <c r="F2351" s="4" t="s">
        <v>17</v>
      </c>
      <c r="G2351" s="4" t="s">
        <v>18</v>
      </c>
      <c r="H2351" s="4" t="s">
        <v>242</v>
      </c>
      <c r="I2351" s="5" t="str">
        <f t="shared" si="36"/>
        <v>2025-08</v>
      </c>
      <c r="J2351" s="4" t="s">
        <v>59</v>
      </c>
      <c r="K2351" s="5" t="s">
        <v>343</v>
      </c>
      <c r="L2351" s="2">
        <v>73000</v>
      </c>
      <c r="M2351" s="3">
        <v>2</v>
      </c>
      <c r="N2351" s="2">
        <v>146000</v>
      </c>
      <c r="O2351" s="2">
        <v>14600</v>
      </c>
      <c r="P2351" s="2">
        <v>160600</v>
      </c>
      <c r="Q2351" s="2">
        <f>P2351*12%</f>
        <v>19272</v>
      </c>
    </row>
    <row r="2352" spans="1:17" hidden="1" x14ac:dyDescent="0.4">
      <c r="A2352" s="4" t="s">
        <v>32</v>
      </c>
      <c r="B2352" s="4" t="s">
        <v>14</v>
      </c>
      <c r="C2352" s="31" t="s">
        <v>435</v>
      </c>
      <c r="D2352" s="4" t="s">
        <v>33</v>
      </c>
      <c r="E2352" s="4" t="s">
        <v>16</v>
      </c>
      <c r="F2352" s="4" t="s">
        <v>17</v>
      </c>
      <c r="G2352" s="4" t="s">
        <v>18</v>
      </c>
      <c r="H2352" s="4" t="s">
        <v>242</v>
      </c>
      <c r="I2352" s="5" t="str">
        <f t="shared" si="36"/>
        <v>2025-08</v>
      </c>
      <c r="J2352" s="4" t="s">
        <v>49</v>
      </c>
      <c r="K2352" s="5" t="s">
        <v>343</v>
      </c>
      <c r="L2352" s="2">
        <v>44000</v>
      </c>
      <c r="M2352" s="3">
        <v>2</v>
      </c>
      <c r="N2352" s="2">
        <v>88000</v>
      </c>
      <c r="O2352" s="2">
        <v>8800</v>
      </c>
      <c r="P2352" s="2">
        <v>96800</v>
      </c>
      <c r="Q2352" s="2">
        <f>P2352*12%</f>
        <v>11616</v>
      </c>
    </row>
    <row r="2353" spans="1:17" hidden="1" x14ac:dyDescent="0.4">
      <c r="A2353" s="4" t="s">
        <v>13</v>
      </c>
      <c r="B2353" s="4" t="s">
        <v>14</v>
      </c>
      <c r="C2353" s="30" t="s">
        <v>434</v>
      </c>
      <c r="D2353" s="4" t="s">
        <v>15</v>
      </c>
      <c r="E2353" s="4" t="s">
        <v>16</v>
      </c>
      <c r="F2353" s="4" t="s">
        <v>17</v>
      </c>
      <c r="G2353" s="4" t="s">
        <v>18</v>
      </c>
      <c r="H2353" s="4" t="s">
        <v>242</v>
      </c>
      <c r="I2353" s="5" t="str">
        <f t="shared" si="36"/>
        <v>2025-08</v>
      </c>
      <c r="J2353" s="4" t="s">
        <v>49</v>
      </c>
      <c r="K2353" s="5" t="s">
        <v>343</v>
      </c>
      <c r="L2353" s="2">
        <v>42000</v>
      </c>
      <c r="M2353" s="3">
        <v>6</v>
      </c>
      <c r="N2353" s="2">
        <v>252000</v>
      </c>
      <c r="O2353" s="2">
        <v>25200</v>
      </c>
      <c r="P2353" s="2">
        <v>277200</v>
      </c>
      <c r="Q2353" s="2">
        <f>P2353*12%</f>
        <v>33264</v>
      </c>
    </row>
    <row r="2354" spans="1:17" hidden="1" x14ac:dyDescent="0.4">
      <c r="A2354" s="4" t="s">
        <v>35</v>
      </c>
      <c r="B2354" s="4" t="s">
        <v>14</v>
      </c>
      <c r="C2354" s="30" t="s">
        <v>434</v>
      </c>
      <c r="D2354" s="4" t="s">
        <v>36</v>
      </c>
      <c r="E2354" s="4" t="s">
        <v>16</v>
      </c>
      <c r="F2354" s="4" t="s">
        <v>17</v>
      </c>
      <c r="G2354" s="4" t="s">
        <v>18</v>
      </c>
      <c r="H2354" s="4" t="s">
        <v>242</v>
      </c>
      <c r="I2354" s="5" t="str">
        <f t="shared" si="36"/>
        <v>2025-08</v>
      </c>
      <c r="J2354" s="4" t="s">
        <v>49</v>
      </c>
      <c r="K2354" s="5" t="s">
        <v>343</v>
      </c>
      <c r="L2354" s="2">
        <v>116220</v>
      </c>
      <c r="M2354" s="3">
        <v>1</v>
      </c>
      <c r="N2354" s="2">
        <v>116220</v>
      </c>
      <c r="O2354" s="2">
        <v>11622</v>
      </c>
      <c r="P2354" s="2">
        <v>127842</v>
      </c>
      <c r="Q2354" s="2">
        <f>P2354*12%</f>
        <v>15341.039999999999</v>
      </c>
    </row>
    <row r="2355" spans="1:17" hidden="1" x14ac:dyDescent="0.4">
      <c r="A2355" s="4" t="s">
        <v>23</v>
      </c>
      <c r="B2355" s="4" t="s">
        <v>14</v>
      </c>
      <c r="C2355" s="31" t="s">
        <v>435</v>
      </c>
      <c r="D2355" s="4" t="s">
        <v>24</v>
      </c>
      <c r="E2355" s="4" t="s">
        <v>16</v>
      </c>
      <c r="F2355" s="4" t="s">
        <v>17</v>
      </c>
      <c r="G2355" s="4" t="s">
        <v>18</v>
      </c>
      <c r="H2355" s="4" t="s">
        <v>242</v>
      </c>
      <c r="I2355" s="5" t="str">
        <f t="shared" si="36"/>
        <v>2025-08</v>
      </c>
      <c r="J2355" s="4" t="s">
        <v>49</v>
      </c>
      <c r="K2355" s="5" t="s">
        <v>343</v>
      </c>
      <c r="L2355" s="2">
        <v>55500</v>
      </c>
      <c r="M2355" s="3">
        <v>3</v>
      </c>
      <c r="N2355" s="2">
        <v>166500</v>
      </c>
      <c r="O2355" s="2">
        <v>16650</v>
      </c>
      <c r="P2355" s="2">
        <v>183150</v>
      </c>
      <c r="Q2355" s="2">
        <f>P2355*12%</f>
        <v>21978</v>
      </c>
    </row>
    <row r="2356" spans="1:17" hidden="1" x14ac:dyDescent="0.4">
      <c r="A2356" s="4" t="s">
        <v>13</v>
      </c>
      <c r="B2356" s="4" t="s">
        <v>14</v>
      </c>
      <c r="C2356" s="30" t="s">
        <v>434</v>
      </c>
      <c r="D2356" s="4" t="s">
        <v>15</v>
      </c>
      <c r="E2356" s="4" t="s">
        <v>16</v>
      </c>
      <c r="F2356" s="4" t="s">
        <v>17</v>
      </c>
      <c r="G2356" s="4" t="s">
        <v>18</v>
      </c>
      <c r="H2356" s="4" t="s">
        <v>242</v>
      </c>
      <c r="I2356" s="5" t="str">
        <f t="shared" si="36"/>
        <v>2025-08</v>
      </c>
      <c r="J2356" s="4" t="s">
        <v>50</v>
      </c>
      <c r="K2356" s="5" t="s">
        <v>343</v>
      </c>
      <c r="L2356" s="2">
        <v>42000</v>
      </c>
      <c r="M2356" s="3">
        <v>5</v>
      </c>
      <c r="N2356" s="2">
        <v>210000</v>
      </c>
      <c r="O2356" s="2">
        <v>21000</v>
      </c>
      <c r="P2356" s="2">
        <v>231000</v>
      </c>
      <c r="Q2356" s="2">
        <f>P2356*12%</f>
        <v>27720</v>
      </c>
    </row>
    <row r="2357" spans="1:17" hidden="1" x14ac:dyDescent="0.4">
      <c r="A2357" s="4" t="s">
        <v>23</v>
      </c>
      <c r="B2357" s="4" t="s">
        <v>14</v>
      </c>
      <c r="C2357" s="31" t="s">
        <v>435</v>
      </c>
      <c r="D2357" s="4" t="s">
        <v>24</v>
      </c>
      <c r="E2357" s="4" t="s">
        <v>16</v>
      </c>
      <c r="F2357" s="4" t="s">
        <v>17</v>
      </c>
      <c r="G2357" s="4" t="s">
        <v>18</v>
      </c>
      <c r="H2357" s="4" t="s">
        <v>242</v>
      </c>
      <c r="I2357" s="5" t="str">
        <f t="shared" si="36"/>
        <v>2025-08</v>
      </c>
      <c r="J2357" s="4" t="s">
        <v>50</v>
      </c>
      <c r="K2357" s="5" t="s">
        <v>343</v>
      </c>
      <c r="L2357" s="2">
        <v>55500</v>
      </c>
      <c r="M2357" s="3">
        <v>5</v>
      </c>
      <c r="N2357" s="2">
        <v>277500</v>
      </c>
      <c r="O2357" s="2">
        <v>27750</v>
      </c>
      <c r="P2357" s="2">
        <v>305250</v>
      </c>
      <c r="Q2357" s="2">
        <f>P2357*12%</f>
        <v>36630</v>
      </c>
    </row>
    <row r="2358" spans="1:17" x14ac:dyDescent="0.4">
      <c r="A2358" s="4" t="s">
        <v>58</v>
      </c>
      <c r="B2358" s="4" t="s">
        <v>14</v>
      </c>
      <c r="C2358" s="30" t="s">
        <v>434</v>
      </c>
      <c r="D2358" s="4" t="s">
        <v>36</v>
      </c>
      <c r="E2358" s="4" t="s">
        <v>16</v>
      </c>
      <c r="F2358" s="4" t="s">
        <v>17</v>
      </c>
      <c r="G2358" s="4" t="s">
        <v>18</v>
      </c>
      <c r="H2358" s="4" t="s">
        <v>243</v>
      </c>
      <c r="I2358" s="5" t="str">
        <f t="shared" si="36"/>
        <v>2025-09</v>
      </c>
      <c r="J2358" s="4" t="s">
        <v>20</v>
      </c>
      <c r="K2358" s="5" t="s">
        <v>342</v>
      </c>
      <c r="L2358" s="2">
        <v>120880</v>
      </c>
      <c r="M2358" s="3">
        <v>1</v>
      </c>
      <c r="N2358" s="2">
        <v>120880</v>
      </c>
      <c r="O2358" s="2">
        <v>12088</v>
      </c>
      <c r="P2358" s="2">
        <v>132968</v>
      </c>
      <c r="Q2358" s="2">
        <f>P2358*8.5%</f>
        <v>11302.28</v>
      </c>
    </row>
    <row r="2359" spans="1:17" x14ac:dyDescent="0.4">
      <c r="A2359" s="4" t="s">
        <v>13</v>
      </c>
      <c r="B2359" s="4" t="s">
        <v>14</v>
      </c>
      <c r="C2359" s="30" t="s">
        <v>434</v>
      </c>
      <c r="D2359" s="4" t="s">
        <v>15</v>
      </c>
      <c r="E2359" s="4" t="s">
        <v>16</v>
      </c>
      <c r="F2359" s="4" t="s">
        <v>17</v>
      </c>
      <c r="G2359" s="4" t="s">
        <v>18</v>
      </c>
      <c r="H2359" s="4" t="s">
        <v>243</v>
      </c>
      <c r="I2359" s="5" t="str">
        <f t="shared" si="36"/>
        <v>2025-09</v>
      </c>
      <c r="J2359" s="4" t="s">
        <v>20</v>
      </c>
      <c r="K2359" s="5" t="s">
        <v>342</v>
      </c>
      <c r="L2359" s="2">
        <v>42000</v>
      </c>
      <c r="M2359" s="3">
        <v>2</v>
      </c>
      <c r="N2359" s="2">
        <v>84000</v>
      </c>
      <c r="O2359" s="2">
        <v>8400</v>
      </c>
      <c r="P2359" s="2">
        <v>92400</v>
      </c>
      <c r="Q2359" s="2">
        <f>P2359*8.5%</f>
        <v>7854.0000000000009</v>
      </c>
    </row>
    <row r="2360" spans="1:17" x14ac:dyDescent="0.4">
      <c r="A2360" s="4" t="s">
        <v>23</v>
      </c>
      <c r="B2360" s="4" t="s">
        <v>14</v>
      </c>
      <c r="C2360" s="31" t="s">
        <v>435</v>
      </c>
      <c r="D2360" s="4" t="s">
        <v>24</v>
      </c>
      <c r="E2360" s="4" t="s">
        <v>16</v>
      </c>
      <c r="F2360" s="4" t="s">
        <v>17</v>
      </c>
      <c r="G2360" s="4" t="s">
        <v>18</v>
      </c>
      <c r="H2360" s="4" t="s">
        <v>243</v>
      </c>
      <c r="I2360" s="5" t="str">
        <f t="shared" si="36"/>
        <v>2025-09</v>
      </c>
      <c r="J2360" s="4" t="s">
        <v>20</v>
      </c>
      <c r="K2360" s="5" t="s">
        <v>342</v>
      </c>
      <c r="L2360" s="2">
        <v>55500</v>
      </c>
      <c r="M2360" s="3">
        <v>3</v>
      </c>
      <c r="N2360" s="2">
        <v>166500</v>
      </c>
      <c r="O2360" s="2">
        <v>16650</v>
      </c>
      <c r="P2360" s="2">
        <v>183150</v>
      </c>
      <c r="Q2360" s="2">
        <f>P2360*8.5%</f>
        <v>15567.750000000002</v>
      </c>
    </row>
    <row r="2361" spans="1:17" x14ac:dyDescent="0.4">
      <c r="A2361" s="4" t="s">
        <v>56</v>
      </c>
      <c r="B2361" s="4" t="s">
        <v>26</v>
      </c>
      <c r="C2361" s="32" t="s">
        <v>436</v>
      </c>
      <c r="D2361" s="4" t="s">
        <v>57</v>
      </c>
      <c r="E2361" s="4" t="s">
        <v>44</v>
      </c>
      <c r="F2361" s="4" t="s">
        <v>31</v>
      </c>
      <c r="G2361" s="4" t="s">
        <v>18</v>
      </c>
      <c r="H2361" s="4" t="s">
        <v>243</v>
      </c>
      <c r="I2361" s="5" t="str">
        <f t="shared" si="36"/>
        <v>2025-09</v>
      </c>
      <c r="J2361" s="4" t="s">
        <v>20</v>
      </c>
      <c r="K2361" s="5" t="s">
        <v>342</v>
      </c>
      <c r="L2361" s="2">
        <v>3049</v>
      </c>
      <c r="M2361" s="3">
        <v>8</v>
      </c>
      <c r="N2361" s="2">
        <v>24392</v>
      </c>
      <c r="O2361" s="2">
        <v>0</v>
      </c>
      <c r="P2361" s="2">
        <v>24392</v>
      </c>
      <c r="Q2361" s="2">
        <f>P2361*8.5%</f>
        <v>2073.3200000000002</v>
      </c>
    </row>
    <row r="2362" spans="1:17" hidden="1" x14ac:dyDescent="0.4">
      <c r="A2362" s="4" t="s">
        <v>32</v>
      </c>
      <c r="B2362" s="4" t="s">
        <v>14</v>
      </c>
      <c r="C2362" s="31" t="s">
        <v>435</v>
      </c>
      <c r="D2362" s="4" t="s">
        <v>33</v>
      </c>
      <c r="E2362" s="4" t="s">
        <v>16</v>
      </c>
      <c r="F2362" s="4" t="s">
        <v>17</v>
      </c>
      <c r="G2362" s="4" t="s">
        <v>18</v>
      </c>
      <c r="H2362" s="4" t="s">
        <v>243</v>
      </c>
      <c r="I2362" s="5" t="str">
        <f t="shared" si="36"/>
        <v>2025-09</v>
      </c>
      <c r="J2362" s="4" t="s">
        <v>118</v>
      </c>
      <c r="K2362" s="5" t="s">
        <v>342</v>
      </c>
      <c r="L2362" s="2">
        <v>44000</v>
      </c>
      <c r="M2362" s="3">
        <v>1</v>
      </c>
      <c r="N2362" s="2">
        <v>44000</v>
      </c>
      <c r="O2362" s="2">
        <v>4400</v>
      </c>
      <c r="P2362" s="2">
        <v>48400</v>
      </c>
      <c r="Q2362" s="2">
        <f>P2362*8.5%</f>
        <v>4114</v>
      </c>
    </row>
    <row r="2363" spans="1:17" hidden="1" x14ac:dyDescent="0.4">
      <c r="A2363" s="4" t="s">
        <v>13</v>
      </c>
      <c r="B2363" s="4" t="s">
        <v>14</v>
      </c>
      <c r="C2363" s="30" t="s">
        <v>434</v>
      </c>
      <c r="D2363" s="4" t="s">
        <v>15</v>
      </c>
      <c r="E2363" s="4" t="s">
        <v>16</v>
      </c>
      <c r="F2363" s="4" t="s">
        <v>17</v>
      </c>
      <c r="G2363" s="4" t="s">
        <v>18</v>
      </c>
      <c r="H2363" s="4" t="s">
        <v>243</v>
      </c>
      <c r="I2363" s="5" t="str">
        <f t="shared" si="36"/>
        <v>2025-09</v>
      </c>
      <c r="J2363" s="4" t="s">
        <v>118</v>
      </c>
      <c r="K2363" s="5" t="s">
        <v>342</v>
      </c>
      <c r="L2363" s="2">
        <v>42000</v>
      </c>
      <c r="M2363" s="3">
        <v>2</v>
      </c>
      <c r="N2363" s="2">
        <v>84000</v>
      </c>
      <c r="O2363" s="2">
        <v>8400</v>
      </c>
      <c r="P2363" s="2">
        <v>92400</v>
      </c>
      <c r="Q2363" s="2">
        <f>P2363*8.5%</f>
        <v>7854.0000000000009</v>
      </c>
    </row>
    <row r="2364" spans="1:17" hidden="1" x14ac:dyDescent="0.4">
      <c r="A2364" s="4" t="s">
        <v>23</v>
      </c>
      <c r="B2364" s="4" t="s">
        <v>14</v>
      </c>
      <c r="C2364" s="31" t="s">
        <v>435</v>
      </c>
      <c r="D2364" s="4" t="s">
        <v>24</v>
      </c>
      <c r="E2364" s="4" t="s">
        <v>16</v>
      </c>
      <c r="F2364" s="4" t="s">
        <v>17</v>
      </c>
      <c r="G2364" s="4" t="s">
        <v>18</v>
      </c>
      <c r="H2364" s="4" t="s">
        <v>243</v>
      </c>
      <c r="I2364" s="5" t="str">
        <f t="shared" si="36"/>
        <v>2025-09</v>
      </c>
      <c r="J2364" s="4" t="s">
        <v>118</v>
      </c>
      <c r="K2364" s="5" t="s">
        <v>342</v>
      </c>
      <c r="L2364" s="2">
        <v>55500</v>
      </c>
      <c r="M2364" s="3">
        <v>1</v>
      </c>
      <c r="N2364" s="2">
        <v>55500</v>
      </c>
      <c r="O2364" s="2">
        <v>5550</v>
      </c>
      <c r="P2364" s="2">
        <v>61050</v>
      </c>
      <c r="Q2364" s="2">
        <f>P2364*8.5%</f>
        <v>5189.25</v>
      </c>
    </row>
    <row r="2365" spans="1:17" hidden="1" x14ac:dyDescent="0.4">
      <c r="A2365" s="4" t="s">
        <v>51</v>
      </c>
      <c r="B2365" s="4" t="s">
        <v>14</v>
      </c>
      <c r="C2365" s="30" t="s">
        <v>434</v>
      </c>
      <c r="D2365" s="4" t="s">
        <v>52</v>
      </c>
      <c r="E2365" s="4" t="s">
        <v>16</v>
      </c>
      <c r="F2365" s="4" t="s">
        <v>17</v>
      </c>
      <c r="G2365" s="4" t="s">
        <v>18</v>
      </c>
      <c r="H2365" s="4" t="s">
        <v>243</v>
      </c>
      <c r="I2365" s="5" t="str">
        <f t="shared" si="36"/>
        <v>2025-09</v>
      </c>
      <c r="J2365" s="4" t="s">
        <v>118</v>
      </c>
      <c r="K2365" s="5" t="s">
        <v>342</v>
      </c>
      <c r="L2365" s="2">
        <v>73000</v>
      </c>
      <c r="M2365" s="3">
        <v>1</v>
      </c>
      <c r="N2365" s="2">
        <v>73000</v>
      </c>
      <c r="O2365" s="2">
        <v>7300</v>
      </c>
      <c r="P2365" s="2">
        <v>80300</v>
      </c>
      <c r="Q2365" s="2">
        <f>P2365*8.5%</f>
        <v>6825.5000000000009</v>
      </c>
    </row>
    <row r="2366" spans="1:17" hidden="1" x14ac:dyDescent="0.4">
      <c r="A2366" s="4" t="s">
        <v>64</v>
      </c>
      <c r="B2366" s="4" t="s">
        <v>65</v>
      </c>
      <c r="C2366" s="32" t="s">
        <v>436</v>
      </c>
      <c r="D2366" s="4" t="s">
        <v>66</v>
      </c>
      <c r="E2366" s="4" t="s">
        <v>16</v>
      </c>
      <c r="F2366" s="4" t="s">
        <v>17</v>
      </c>
      <c r="G2366" s="4" t="s">
        <v>18</v>
      </c>
      <c r="H2366" s="4" t="s">
        <v>243</v>
      </c>
      <c r="I2366" s="5" t="str">
        <f t="shared" si="36"/>
        <v>2025-09</v>
      </c>
      <c r="J2366" s="4" t="s">
        <v>34</v>
      </c>
      <c r="K2366" s="5" t="s">
        <v>342</v>
      </c>
      <c r="L2366" s="2">
        <v>10283</v>
      </c>
      <c r="M2366" s="3">
        <v>1</v>
      </c>
      <c r="N2366" s="2">
        <v>10283</v>
      </c>
      <c r="O2366" s="2">
        <v>1028</v>
      </c>
      <c r="P2366" s="2">
        <v>11311</v>
      </c>
      <c r="Q2366" s="2">
        <f>P2366*8.5%</f>
        <v>961.43500000000006</v>
      </c>
    </row>
    <row r="2367" spans="1:17" hidden="1" x14ac:dyDescent="0.4">
      <c r="A2367" s="4" t="s">
        <v>13</v>
      </c>
      <c r="B2367" s="4" t="s">
        <v>14</v>
      </c>
      <c r="C2367" s="30" t="s">
        <v>434</v>
      </c>
      <c r="D2367" s="4" t="s">
        <v>15</v>
      </c>
      <c r="E2367" s="4" t="s">
        <v>16</v>
      </c>
      <c r="F2367" s="4" t="s">
        <v>17</v>
      </c>
      <c r="G2367" s="4" t="s">
        <v>18</v>
      </c>
      <c r="H2367" s="4" t="s">
        <v>243</v>
      </c>
      <c r="I2367" s="5" t="str">
        <f t="shared" si="36"/>
        <v>2025-09</v>
      </c>
      <c r="J2367" s="4" t="s">
        <v>34</v>
      </c>
      <c r="K2367" s="5" t="s">
        <v>342</v>
      </c>
      <c r="L2367" s="2">
        <v>42000</v>
      </c>
      <c r="M2367" s="3">
        <v>6</v>
      </c>
      <c r="N2367" s="2">
        <v>252000</v>
      </c>
      <c r="O2367" s="2">
        <v>25200</v>
      </c>
      <c r="P2367" s="2">
        <v>277200</v>
      </c>
      <c r="Q2367" s="2">
        <f>P2367*8.5%</f>
        <v>23562</v>
      </c>
    </row>
    <row r="2368" spans="1:17" hidden="1" x14ac:dyDescent="0.4">
      <c r="A2368" s="4" t="s">
        <v>21</v>
      </c>
      <c r="B2368" s="4" t="s">
        <v>14</v>
      </c>
      <c r="C2368" s="31" t="s">
        <v>435</v>
      </c>
      <c r="D2368" s="4" t="s">
        <v>22</v>
      </c>
      <c r="E2368" s="4" t="s">
        <v>16</v>
      </c>
      <c r="F2368" s="4" t="s">
        <v>17</v>
      </c>
      <c r="G2368" s="4" t="s">
        <v>18</v>
      </c>
      <c r="H2368" s="4" t="s">
        <v>243</v>
      </c>
      <c r="I2368" s="5" t="str">
        <f t="shared" si="36"/>
        <v>2025-09</v>
      </c>
      <c r="J2368" s="4" t="s">
        <v>34</v>
      </c>
      <c r="K2368" s="5" t="s">
        <v>342</v>
      </c>
      <c r="L2368" s="2">
        <v>55500</v>
      </c>
      <c r="M2368" s="3">
        <v>1</v>
      </c>
      <c r="N2368" s="2">
        <v>55500</v>
      </c>
      <c r="O2368" s="2">
        <v>5550</v>
      </c>
      <c r="P2368" s="2">
        <v>61050</v>
      </c>
      <c r="Q2368" s="2">
        <f>P2368*8.5%</f>
        <v>5189.25</v>
      </c>
    </row>
    <row r="2369" spans="1:17" hidden="1" x14ac:dyDescent="0.4">
      <c r="A2369" s="4" t="s">
        <v>23</v>
      </c>
      <c r="B2369" s="4" t="s">
        <v>14</v>
      </c>
      <c r="C2369" s="31" t="s">
        <v>435</v>
      </c>
      <c r="D2369" s="4" t="s">
        <v>24</v>
      </c>
      <c r="E2369" s="4" t="s">
        <v>16</v>
      </c>
      <c r="F2369" s="4" t="s">
        <v>17</v>
      </c>
      <c r="G2369" s="4" t="s">
        <v>18</v>
      </c>
      <c r="H2369" s="4" t="s">
        <v>243</v>
      </c>
      <c r="I2369" s="5" t="str">
        <f t="shared" si="36"/>
        <v>2025-09</v>
      </c>
      <c r="J2369" s="4" t="s">
        <v>34</v>
      </c>
      <c r="K2369" s="5" t="s">
        <v>342</v>
      </c>
      <c r="L2369" s="2">
        <v>55500</v>
      </c>
      <c r="M2369" s="3">
        <v>3</v>
      </c>
      <c r="N2369" s="2">
        <v>166500</v>
      </c>
      <c r="O2369" s="2">
        <v>16650</v>
      </c>
      <c r="P2369" s="2">
        <v>183150</v>
      </c>
      <c r="Q2369" s="2">
        <f>P2369*8.5%</f>
        <v>15567.750000000002</v>
      </c>
    </row>
    <row r="2370" spans="1:17" hidden="1" x14ac:dyDescent="0.4">
      <c r="A2370" s="4" t="s">
        <v>51</v>
      </c>
      <c r="B2370" s="4" t="s">
        <v>14</v>
      </c>
      <c r="C2370" s="30" t="s">
        <v>434</v>
      </c>
      <c r="D2370" s="4" t="s">
        <v>52</v>
      </c>
      <c r="E2370" s="4" t="s">
        <v>16</v>
      </c>
      <c r="F2370" s="4" t="s">
        <v>17</v>
      </c>
      <c r="G2370" s="4" t="s">
        <v>18</v>
      </c>
      <c r="H2370" s="4" t="s">
        <v>243</v>
      </c>
      <c r="I2370" s="5" t="str">
        <f t="shared" ref="I2370:I2433" si="37">TEXT(H2370,"yyyy-mm")</f>
        <v>2025-09</v>
      </c>
      <c r="J2370" s="4" t="s">
        <v>34</v>
      </c>
      <c r="K2370" s="5" t="s">
        <v>342</v>
      </c>
      <c r="L2370" s="2">
        <v>73000</v>
      </c>
      <c r="M2370" s="3">
        <v>1</v>
      </c>
      <c r="N2370" s="2">
        <v>73000</v>
      </c>
      <c r="O2370" s="2">
        <v>7300</v>
      </c>
      <c r="P2370" s="2">
        <v>80300</v>
      </c>
      <c r="Q2370" s="2">
        <f>P2370*8.5%</f>
        <v>6825.5000000000009</v>
      </c>
    </row>
    <row r="2371" spans="1:17" hidden="1" x14ac:dyDescent="0.4">
      <c r="A2371" s="4" t="s">
        <v>67</v>
      </c>
      <c r="B2371" s="4" t="s">
        <v>26</v>
      </c>
      <c r="C2371" s="32" t="s">
        <v>436</v>
      </c>
      <c r="D2371" s="4" t="s">
        <v>63</v>
      </c>
      <c r="E2371" s="4" t="s">
        <v>28</v>
      </c>
      <c r="F2371" s="4" t="s">
        <v>17</v>
      </c>
      <c r="G2371" s="4" t="s">
        <v>18</v>
      </c>
      <c r="H2371" s="4" t="s">
        <v>243</v>
      </c>
      <c r="I2371" s="5" t="str">
        <f t="shared" si="37"/>
        <v>2025-09</v>
      </c>
      <c r="J2371" s="4" t="s">
        <v>34</v>
      </c>
      <c r="K2371" s="5" t="s">
        <v>342</v>
      </c>
      <c r="L2371" s="2">
        <v>7558</v>
      </c>
      <c r="M2371" s="3">
        <v>1</v>
      </c>
      <c r="N2371" s="2">
        <v>7558</v>
      </c>
      <c r="O2371" s="2">
        <v>756</v>
      </c>
      <c r="P2371" s="2">
        <v>8314</v>
      </c>
      <c r="Q2371" s="2">
        <f>P2371*8.5%</f>
        <v>706.69</v>
      </c>
    </row>
    <row r="2372" spans="1:17" hidden="1" x14ac:dyDescent="0.4">
      <c r="A2372" s="4" t="s">
        <v>42</v>
      </c>
      <c r="B2372" s="4" t="s">
        <v>14</v>
      </c>
      <c r="C2372" s="30" t="s">
        <v>434</v>
      </c>
      <c r="D2372" s="4" t="s">
        <v>43</v>
      </c>
      <c r="E2372" s="4" t="s">
        <v>44</v>
      </c>
      <c r="F2372" s="4" t="s">
        <v>31</v>
      </c>
      <c r="G2372" s="4" t="s">
        <v>18</v>
      </c>
      <c r="H2372" s="4" t="s">
        <v>243</v>
      </c>
      <c r="I2372" s="5" t="str">
        <f t="shared" si="37"/>
        <v>2025-09</v>
      </c>
      <c r="J2372" s="4" t="s">
        <v>34</v>
      </c>
      <c r="K2372" s="5" t="s">
        <v>342</v>
      </c>
      <c r="L2372" s="2">
        <v>7300</v>
      </c>
      <c r="M2372" s="3">
        <v>76.7</v>
      </c>
      <c r="N2372" s="2">
        <v>559910</v>
      </c>
      <c r="O2372" s="2">
        <v>0</v>
      </c>
      <c r="P2372" s="2">
        <v>559910</v>
      </c>
      <c r="Q2372" s="2">
        <f>P2372*8.5%</f>
        <v>47592.350000000006</v>
      </c>
    </row>
    <row r="2373" spans="1:17" hidden="1" x14ac:dyDescent="0.4">
      <c r="A2373" s="4" t="s">
        <v>13</v>
      </c>
      <c r="B2373" s="4" t="s">
        <v>14</v>
      </c>
      <c r="C2373" s="30" t="s">
        <v>434</v>
      </c>
      <c r="D2373" s="4" t="s">
        <v>15</v>
      </c>
      <c r="E2373" s="4" t="s">
        <v>16</v>
      </c>
      <c r="F2373" s="4" t="s">
        <v>17</v>
      </c>
      <c r="G2373" s="4" t="s">
        <v>18</v>
      </c>
      <c r="H2373" s="4" t="s">
        <v>243</v>
      </c>
      <c r="I2373" s="5" t="str">
        <f t="shared" si="37"/>
        <v>2025-09</v>
      </c>
      <c r="J2373" s="4" t="s">
        <v>59</v>
      </c>
      <c r="K2373" s="5" t="s">
        <v>343</v>
      </c>
      <c r="L2373" s="2">
        <v>42000</v>
      </c>
      <c r="M2373" s="3">
        <v>3</v>
      </c>
      <c r="N2373" s="2">
        <v>126000</v>
      </c>
      <c r="O2373" s="2">
        <v>12600</v>
      </c>
      <c r="P2373" s="2">
        <v>138600</v>
      </c>
      <c r="Q2373" s="2">
        <f>P2373*12%</f>
        <v>16632</v>
      </c>
    </row>
    <row r="2374" spans="1:17" hidden="1" x14ac:dyDescent="0.4">
      <c r="A2374" s="4" t="s">
        <v>23</v>
      </c>
      <c r="B2374" s="4" t="s">
        <v>14</v>
      </c>
      <c r="C2374" s="31" t="s">
        <v>435</v>
      </c>
      <c r="D2374" s="4" t="s">
        <v>24</v>
      </c>
      <c r="E2374" s="4" t="s">
        <v>16</v>
      </c>
      <c r="F2374" s="4" t="s">
        <v>17</v>
      </c>
      <c r="G2374" s="4" t="s">
        <v>18</v>
      </c>
      <c r="H2374" s="4" t="s">
        <v>243</v>
      </c>
      <c r="I2374" s="5" t="str">
        <f t="shared" si="37"/>
        <v>2025-09</v>
      </c>
      <c r="J2374" s="4" t="s">
        <v>59</v>
      </c>
      <c r="K2374" s="5" t="s">
        <v>343</v>
      </c>
      <c r="L2374" s="2">
        <v>55500</v>
      </c>
      <c r="M2374" s="3">
        <v>2</v>
      </c>
      <c r="N2374" s="2">
        <v>111000</v>
      </c>
      <c r="O2374" s="2">
        <v>11100</v>
      </c>
      <c r="P2374" s="2">
        <v>122100</v>
      </c>
      <c r="Q2374" s="2">
        <f>P2374*12%</f>
        <v>14652</v>
      </c>
    </row>
    <row r="2375" spans="1:17" hidden="1" x14ac:dyDescent="0.4">
      <c r="A2375" s="4" t="s">
        <v>32</v>
      </c>
      <c r="B2375" s="4" t="s">
        <v>14</v>
      </c>
      <c r="C2375" s="31" t="s">
        <v>435</v>
      </c>
      <c r="D2375" s="4" t="s">
        <v>33</v>
      </c>
      <c r="E2375" s="4" t="s">
        <v>16</v>
      </c>
      <c r="F2375" s="4" t="s">
        <v>17</v>
      </c>
      <c r="G2375" s="4" t="s">
        <v>18</v>
      </c>
      <c r="H2375" s="4" t="s">
        <v>243</v>
      </c>
      <c r="I2375" s="5" t="str">
        <f t="shared" si="37"/>
        <v>2025-09</v>
      </c>
      <c r="J2375" s="4" t="s">
        <v>49</v>
      </c>
      <c r="K2375" s="5" t="s">
        <v>343</v>
      </c>
      <c r="L2375" s="2">
        <v>44000</v>
      </c>
      <c r="M2375" s="3">
        <v>4</v>
      </c>
      <c r="N2375" s="2">
        <v>176000</v>
      </c>
      <c r="O2375" s="2">
        <v>17600</v>
      </c>
      <c r="P2375" s="2">
        <v>193600</v>
      </c>
      <c r="Q2375" s="2">
        <f>P2375*12%</f>
        <v>23232</v>
      </c>
    </row>
    <row r="2376" spans="1:17" hidden="1" x14ac:dyDescent="0.4">
      <c r="A2376" s="4" t="s">
        <v>13</v>
      </c>
      <c r="B2376" s="4" t="s">
        <v>14</v>
      </c>
      <c r="C2376" s="30" t="s">
        <v>434</v>
      </c>
      <c r="D2376" s="4" t="s">
        <v>15</v>
      </c>
      <c r="E2376" s="4" t="s">
        <v>16</v>
      </c>
      <c r="F2376" s="4" t="s">
        <v>17</v>
      </c>
      <c r="G2376" s="4" t="s">
        <v>18</v>
      </c>
      <c r="H2376" s="4" t="s">
        <v>243</v>
      </c>
      <c r="I2376" s="5" t="str">
        <f t="shared" si="37"/>
        <v>2025-09</v>
      </c>
      <c r="J2376" s="4" t="s">
        <v>49</v>
      </c>
      <c r="K2376" s="5" t="s">
        <v>343</v>
      </c>
      <c r="L2376" s="2">
        <v>42000</v>
      </c>
      <c r="M2376" s="3">
        <v>6</v>
      </c>
      <c r="N2376" s="2">
        <v>252000</v>
      </c>
      <c r="O2376" s="2">
        <v>25200</v>
      </c>
      <c r="P2376" s="2">
        <v>277200</v>
      </c>
      <c r="Q2376" s="2">
        <f>P2376*12%</f>
        <v>33264</v>
      </c>
    </row>
    <row r="2377" spans="1:17" hidden="1" x14ac:dyDescent="0.4">
      <c r="A2377" s="4" t="s">
        <v>35</v>
      </c>
      <c r="B2377" s="4" t="s">
        <v>14</v>
      </c>
      <c r="C2377" s="30" t="s">
        <v>434</v>
      </c>
      <c r="D2377" s="4" t="s">
        <v>36</v>
      </c>
      <c r="E2377" s="4" t="s">
        <v>16</v>
      </c>
      <c r="F2377" s="4" t="s">
        <v>17</v>
      </c>
      <c r="G2377" s="4" t="s">
        <v>18</v>
      </c>
      <c r="H2377" s="4" t="s">
        <v>243</v>
      </c>
      <c r="I2377" s="5" t="str">
        <f t="shared" si="37"/>
        <v>2025-09</v>
      </c>
      <c r="J2377" s="4" t="s">
        <v>49</v>
      </c>
      <c r="K2377" s="5" t="s">
        <v>343</v>
      </c>
      <c r="L2377" s="2">
        <v>116220</v>
      </c>
      <c r="M2377" s="3">
        <v>1</v>
      </c>
      <c r="N2377" s="2">
        <v>116220</v>
      </c>
      <c r="O2377" s="2">
        <v>11622</v>
      </c>
      <c r="P2377" s="2">
        <v>127842</v>
      </c>
      <c r="Q2377" s="2">
        <f>P2377*12%</f>
        <v>15341.039999999999</v>
      </c>
    </row>
    <row r="2378" spans="1:17" hidden="1" x14ac:dyDescent="0.4">
      <c r="A2378" s="4" t="s">
        <v>23</v>
      </c>
      <c r="B2378" s="4" t="s">
        <v>14</v>
      </c>
      <c r="C2378" s="31" t="s">
        <v>435</v>
      </c>
      <c r="D2378" s="4" t="s">
        <v>24</v>
      </c>
      <c r="E2378" s="4" t="s">
        <v>16</v>
      </c>
      <c r="F2378" s="4" t="s">
        <v>17</v>
      </c>
      <c r="G2378" s="4" t="s">
        <v>18</v>
      </c>
      <c r="H2378" s="4" t="s">
        <v>243</v>
      </c>
      <c r="I2378" s="5" t="str">
        <f t="shared" si="37"/>
        <v>2025-09</v>
      </c>
      <c r="J2378" s="4" t="s">
        <v>49</v>
      </c>
      <c r="K2378" s="5" t="s">
        <v>343</v>
      </c>
      <c r="L2378" s="2">
        <v>55500</v>
      </c>
      <c r="M2378" s="3">
        <v>3</v>
      </c>
      <c r="N2378" s="2">
        <v>166500</v>
      </c>
      <c r="O2378" s="2">
        <v>16650</v>
      </c>
      <c r="P2378" s="2">
        <v>183150</v>
      </c>
      <c r="Q2378" s="2">
        <f>P2378*12%</f>
        <v>21978</v>
      </c>
    </row>
    <row r="2379" spans="1:17" hidden="1" x14ac:dyDescent="0.4">
      <c r="A2379" s="4" t="s">
        <v>51</v>
      </c>
      <c r="B2379" s="4" t="s">
        <v>14</v>
      </c>
      <c r="C2379" s="30" t="s">
        <v>434</v>
      </c>
      <c r="D2379" s="4" t="s">
        <v>52</v>
      </c>
      <c r="E2379" s="4" t="s">
        <v>16</v>
      </c>
      <c r="F2379" s="4" t="s">
        <v>17</v>
      </c>
      <c r="G2379" s="4" t="s">
        <v>18</v>
      </c>
      <c r="H2379" s="4" t="s">
        <v>243</v>
      </c>
      <c r="I2379" s="5" t="str">
        <f t="shared" si="37"/>
        <v>2025-09</v>
      </c>
      <c r="J2379" s="4" t="s">
        <v>49</v>
      </c>
      <c r="K2379" s="5" t="s">
        <v>343</v>
      </c>
      <c r="L2379" s="2">
        <v>73000</v>
      </c>
      <c r="M2379" s="3">
        <v>1</v>
      </c>
      <c r="N2379" s="2">
        <v>73000</v>
      </c>
      <c r="O2379" s="2">
        <v>7300</v>
      </c>
      <c r="P2379" s="2">
        <v>80300</v>
      </c>
      <c r="Q2379" s="2">
        <f>P2379*12%</f>
        <v>9636</v>
      </c>
    </row>
    <row r="2380" spans="1:17" hidden="1" x14ac:dyDescent="0.4">
      <c r="A2380" s="4" t="s">
        <v>32</v>
      </c>
      <c r="B2380" s="4" t="s">
        <v>14</v>
      </c>
      <c r="C2380" s="31" t="s">
        <v>435</v>
      </c>
      <c r="D2380" s="4" t="s">
        <v>33</v>
      </c>
      <c r="E2380" s="4" t="s">
        <v>16</v>
      </c>
      <c r="F2380" s="4" t="s">
        <v>17</v>
      </c>
      <c r="G2380" s="4" t="s">
        <v>18</v>
      </c>
      <c r="H2380" s="4" t="s">
        <v>243</v>
      </c>
      <c r="I2380" s="5" t="str">
        <f t="shared" si="37"/>
        <v>2025-09</v>
      </c>
      <c r="J2380" s="4" t="s">
        <v>50</v>
      </c>
      <c r="K2380" s="5" t="s">
        <v>343</v>
      </c>
      <c r="L2380" s="2">
        <v>44000</v>
      </c>
      <c r="M2380" s="3">
        <v>2</v>
      </c>
      <c r="N2380" s="2">
        <v>88000</v>
      </c>
      <c r="O2380" s="2">
        <v>8800</v>
      </c>
      <c r="P2380" s="2">
        <v>96800</v>
      </c>
      <c r="Q2380" s="2">
        <f>P2380*12%</f>
        <v>11616</v>
      </c>
    </row>
    <row r="2381" spans="1:17" hidden="1" x14ac:dyDescent="0.4">
      <c r="A2381" s="4" t="s">
        <v>13</v>
      </c>
      <c r="B2381" s="4" t="s">
        <v>14</v>
      </c>
      <c r="C2381" s="30" t="s">
        <v>434</v>
      </c>
      <c r="D2381" s="4" t="s">
        <v>15</v>
      </c>
      <c r="E2381" s="4" t="s">
        <v>16</v>
      </c>
      <c r="F2381" s="4" t="s">
        <v>17</v>
      </c>
      <c r="G2381" s="4" t="s">
        <v>18</v>
      </c>
      <c r="H2381" s="4" t="s">
        <v>243</v>
      </c>
      <c r="I2381" s="5" t="str">
        <f t="shared" si="37"/>
        <v>2025-09</v>
      </c>
      <c r="J2381" s="4" t="s">
        <v>50</v>
      </c>
      <c r="K2381" s="5" t="s">
        <v>343</v>
      </c>
      <c r="L2381" s="2">
        <v>42000</v>
      </c>
      <c r="M2381" s="3">
        <v>12</v>
      </c>
      <c r="N2381" s="2">
        <v>504000</v>
      </c>
      <c r="O2381" s="2">
        <v>50400</v>
      </c>
      <c r="P2381" s="2">
        <v>554400</v>
      </c>
      <c r="Q2381" s="2">
        <f>P2381*12%</f>
        <v>66528</v>
      </c>
    </row>
    <row r="2382" spans="1:17" hidden="1" x14ac:dyDescent="0.4">
      <c r="A2382" s="4" t="s">
        <v>23</v>
      </c>
      <c r="B2382" s="4" t="s">
        <v>14</v>
      </c>
      <c r="C2382" s="31" t="s">
        <v>435</v>
      </c>
      <c r="D2382" s="4" t="s">
        <v>24</v>
      </c>
      <c r="E2382" s="4" t="s">
        <v>16</v>
      </c>
      <c r="F2382" s="4" t="s">
        <v>17</v>
      </c>
      <c r="G2382" s="4" t="s">
        <v>18</v>
      </c>
      <c r="H2382" s="4" t="s">
        <v>243</v>
      </c>
      <c r="I2382" s="5" t="str">
        <f t="shared" si="37"/>
        <v>2025-09</v>
      </c>
      <c r="J2382" s="4" t="s">
        <v>50</v>
      </c>
      <c r="K2382" s="5" t="s">
        <v>343</v>
      </c>
      <c r="L2382" s="2">
        <v>55500</v>
      </c>
      <c r="M2382" s="3">
        <v>5</v>
      </c>
      <c r="N2382" s="2">
        <v>277500</v>
      </c>
      <c r="O2382" s="2">
        <v>27750</v>
      </c>
      <c r="P2382" s="2">
        <v>305250</v>
      </c>
      <c r="Q2382" s="2">
        <f>P2382*12%</f>
        <v>36630</v>
      </c>
    </row>
    <row r="2383" spans="1:17" hidden="1" x14ac:dyDescent="0.4">
      <c r="A2383" s="4" t="s">
        <v>51</v>
      </c>
      <c r="B2383" s="4" t="s">
        <v>14</v>
      </c>
      <c r="C2383" s="30" t="s">
        <v>434</v>
      </c>
      <c r="D2383" s="4" t="s">
        <v>52</v>
      </c>
      <c r="E2383" s="4" t="s">
        <v>16</v>
      </c>
      <c r="F2383" s="4" t="s">
        <v>17</v>
      </c>
      <c r="G2383" s="4" t="s">
        <v>18</v>
      </c>
      <c r="H2383" s="4" t="s">
        <v>243</v>
      </c>
      <c r="I2383" s="5" t="str">
        <f t="shared" si="37"/>
        <v>2025-09</v>
      </c>
      <c r="J2383" s="4" t="s">
        <v>50</v>
      </c>
      <c r="K2383" s="5" t="s">
        <v>343</v>
      </c>
      <c r="L2383" s="2">
        <v>73000</v>
      </c>
      <c r="M2383" s="3">
        <v>2</v>
      </c>
      <c r="N2383" s="2">
        <v>146000</v>
      </c>
      <c r="O2383" s="2">
        <v>14600</v>
      </c>
      <c r="P2383" s="2">
        <v>160600</v>
      </c>
      <c r="Q2383" s="2">
        <f>P2383*12%</f>
        <v>19272</v>
      </c>
    </row>
    <row r="2384" spans="1:17" x14ac:dyDescent="0.4">
      <c r="A2384" s="4" t="s">
        <v>13</v>
      </c>
      <c r="B2384" s="4" t="s">
        <v>14</v>
      </c>
      <c r="C2384" s="30" t="s">
        <v>434</v>
      </c>
      <c r="D2384" s="4" t="s">
        <v>15</v>
      </c>
      <c r="E2384" s="4" t="s">
        <v>16</v>
      </c>
      <c r="F2384" s="4" t="s">
        <v>17</v>
      </c>
      <c r="G2384" s="4" t="s">
        <v>18</v>
      </c>
      <c r="H2384" s="4" t="s">
        <v>244</v>
      </c>
      <c r="I2384" s="5" t="str">
        <f t="shared" si="37"/>
        <v>2025-09</v>
      </c>
      <c r="J2384" s="4" t="s">
        <v>20</v>
      </c>
      <c r="K2384" s="5" t="s">
        <v>342</v>
      </c>
      <c r="L2384" s="2">
        <v>42000</v>
      </c>
      <c r="M2384" s="3">
        <v>3</v>
      </c>
      <c r="N2384" s="2">
        <v>126000</v>
      </c>
      <c r="O2384" s="2">
        <v>12600</v>
      </c>
      <c r="P2384" s="2">
        <v>138600</v>
      </c>
      <c r="Q2384" s="2">
        <f>P2384*8.5%</f>
        <v>11781</v>
      </c>
    </row>
    <row r="2385" spans="1:17" x14ac:dyDescent="0.4">
      <c r="A2385" s="4" t="s">
        <v>21</v>
      </c>
      <c r="B2385" s="4" t="s">
        <v>14</v>
      </c>
      <c r="C2385" s="31" t="s">
        <v>435</v>
      </c>
      <c r="D2385" s="4" t="s">
        <v>22</v>
      </c>
      <c r="E2385" s="4" t="s">
        <v>16</v>
      </c>
      <c r="F2385" s="4" t="s">
        <v>17</v>
      </c>
      <c r="G2385" s="4" t="s">
        <v>18</v>
      </c>
      <c r="H2385" s="4" t="s">
        <v>244</v>
      </c>
      <c r="I2385" s="5" t="str">
        <f t="shared" si="37"/>
        <v>2025-09</v>
      </c>
      <c r="J2385" s="4" t="s">
        <v>20</v>
      </c>
      <c r="K2385" s="5" t="s">
        <v>342</v>
      </c>
      <c r="L2385" s="2">
        <v>55500</v>
      </c>
      <c r="M2385" s="3">
        <v>2</v>
      </c>
      <c r="N2385" s="2">
        <v>111000</v>
      </c>
      <c r="O2385" s="2">
        <v>11100</v>
      </c>
      <c r="P2385" s="2">
        <v>122100</v>
      </c>
      <c r="Q2385" s="2">
        <f>P2385*8.5%</f>
        <v>10378.5</v>
      </c>
    </row>
    <row r="2386" spans="1:17" x14ac:dyDescent="0.4">
      <c r="A2386" s="4" t="s">
        <v>23</v>
      </c>
      <c r="B2386" s="4" t="s">
        <v>14</v>
      </c>
      <c r="C2386" s="31" t="s">
        <v>435</v>
      </c>
      <c r="D2386" s="4" t="s">
        <v>24</v>
      </c>
      <c r="E2386" s="4" t="s">
        <v>16</v>
      </c>
      <c r="F2386" s="4" t="s">
        <v>17</v>
      </c>
      <c r="G2386" s="4" t="s">
        <v>18</v>
      </c>
      <c r="H2386" s="4" t="s">
        <v>244</v>
      </c>
      <c r="I2386" s="5" t="str">
        <f t="shared" si="37"/>
        <v>2025-09</v>
      </c>
      <c r="J2386" s="4" t="s">
        <v>20</v>
      </c>
      <c r="K2386" s="5" t="s">
        <v>342</v>
      </c>
      <c r="L2386" s="2">
        <v>55500</v>
      </c>
      <c r="M2386" s="3">
        <v>2</v>
      </c>
      <c r="N2386" s="2">
        <v>111000</v>
      </c>
      <c r="O2386" s="2">
        <v>11100</v>
      </c>
      <c r="P2386" s="2">
        <v>122100</v>
      </c>
      <c r="Q2386" s="2">
        <f>P2386*8.5%</f>
        <v>10378.5</v>
      </c>
    </row>
    <row r="2387" spans="1:17" x14ac:dyDescent="0.4">
      <c r="A2387" s="4" t="s">
        <v>76</v>
      </c>
      <c r="B2387" s="4" t="s">
        <v>65</v>
      </c>
      <c r="C2387" s="32" t="s">
        <v>436</v>
      </c>
      <c r="D2387" s="4" t="s">
        <v>27</v>
      </c>
      <c r="E2387" s="4" t="s">
        <v>28</v>
      </c>
      <c r="F2387" s="4" t="s">
        <v>17</v>
      </c>
      <c r="G2387" s="4" t="s">
        <v>18</v>
      </c>
      <c r="H2387" s="4" t="s">
        <v>244</v>
      </c>
      <c r="I2387" s="5" t="str">
        <f t="shared" si="37"/>
        <v>2025-09</v>
      </c>
      <c r="J2387" s="4" t="s">
        <v>20</v>
      </c>
      <c r="K2387" s="5" t="s">
        <v>342</v>
      </c>
      <c r="L2387" s="2">
        <v>17338</v>
      </c>
      <c r="M2387" s="3">
        <v>1</v>
      </c>
      <c r="N2387" s="2">
        <v>17338</v>
      </c>
      <c r="O2387" s="2">
        <v>1734</v>
      </c>
      <c r="P2387" s="2">
        <v>19072</v>
      </c>
      <c r="Q2387" s="2">
        <f>P2387*8.5%</f>
        <v>1621.1200000000001</v>
      </c>
    </row>
    <row r="2388" spans="1:17" x14ac:dyDescent="0.4">
      <c r="A2388" s="4" t="s">
        <v>56</v>
      </c>
      <c r="B2388" s="4" t="s">
        <v>26</v>
      </c>
      <c r="C2388" s="32" t="s">
        <v>436</v>
      </c>
      <c r="D2388" s="4" t="s">
        <v>57</v>
      </c>
      <c r="E2388" s="4" t="s">
        <v>44</v>
      </c>
      <c r="F2388" s="4" t="s">
        <v>31</v>
      </c>
      <c r="G2388" s="4" t="s">
        <v>18</v>
      </c>
      <c r="H2388" s="4" t="s">
        <v>244</v>
      </c>
      <c r="I2388" s="5" t="str">
        <f t="shared" si="37"/>
        <v>2025-09</v>
      </c>
      <c r="J2388" s="4" t="s">
        <v>20</v>
      </c>
      <c r="K2388" s="5" t="s">
        <v>342</v>
      </c>
      <c r="L2388" s="2">
        <v>3049</v>
      </c>
      <c r="M2388" s="3">
        <v>25</v>
      </c>
      <c r="N2388" s="2">
        <v>76225</v>
      </c>
      <c r="O2388" s="2">
        <v>0</v>
      </c>
      <c r="P2388" s="2">
        <v>76225</v>
      </c>
      <c r="Q2388" s="2">
        <f>P2388*8.5%</f>
        <v>6479.1250000000009</v>
      </c>
    </row>
    <row r="2389" spans="1:17" hidden="1" x14ac:dyDescent="0.4">
      <c r="A2389" s="4" t="s">
        <v>32</v>
      </c>
      <c r="B2389" s="4" t="s">
        <v>14</v>
      </c>
      <c r="C2389" s="31" t="s">
        <v>435</v>
      </c>
      <c r="D2389" s="4" t="s">
        <v>33</v>
      </c>
      <c r="E2389" s="4" t="s">
        <v>16</v>
      </c>
      <c r="F2389" s="4" t="s">
        <v>17</v>
      </c>
      <c r="G2389" s="4" t="s">
        <v>18</v>
      </c>
      <c r="H2389" s="4" t="s">
        <v>244</v>
      </c>
      <c r="I2389" s="5" t="str">
        <f t="shared" si="37"/>
        <v>2025-09</v>
      </c>
      <c r="J2389" s="4" t="s">
        <v>34</v>
      </c>
      <c r="K2389" s="5" t="s">
        <v>342</v>
      </c>
      <c r="L2389" s="2">
        <v>44000</v>
      </c>
      <c r="M2389" s="3">
        <v>3</v>
      </c>
      <c r="N2389" s="2">
        <v>132000</v>
      </c>
      <c r="O2389" s="2">
        <v>13200</v>
      </c>
      <c r="P2389" s="2">
        <v>145200</v>
      </c>
      <c r="Q2389" s="2">
        <f>P2389*8.5%</f>
        <v>12342</v>
      </c>
    </row>
    <row r="2390" spans="1:17" hidden="1" x14ac:dyDescent="0.4">
      <c r="A2390" s="4" t="s">
        <v>13</v>
      </c>
      <c r="B2390" s="4" t="s">
        <v>14</v>
      </c>
      <c r="C2390" s="30" t="s">
        <v>434</v>
      </c>
      <c r="D2390" s="4" t="s">
        <v>15</v>
      </c>
      <c r="E2390" s="4" t="s">
        <v>16</v>
      </c>
      <c r="F2390" s="4" t="s">
        <v>17</v>
      </c>
      <c r="G2390" s="4" t="s">
        <v>18</v>
      </c>
      <c r="H2390" s="4" t="s">
        <v>244</v>
      </c>
      <c r="I2390" s="5" t="str">
        <f t="shared" si="37"/>
        <v>2025-09</v>
      </c>
      <c r="J2390" s="4" t="s">
        <v>34</v>
      </c>
      <c r="K2390" s="5" t="s">
        <v>342</v>
      </c>
      <c r="L2390" s="2">
        <v>42000</v>
      </c>
      <c r="M2390" s="3">
        <v>6</v>
      </c>
      <c r="N2390" s="2">
        <v>252000</v>
      </c>
      <c r="O2390" s="2">
        <v>25200</v>
      </c>
      <c r="P2390" s="2">
        <v>277200</v>
      </c>
      <c r="Q2390" s="2">
        <f>P2390*8.5%</f>
        <v>23562</v>
      </c>
    </row>
    <row r="2391" spans="1:17" hidden="1" x14ac:dyDescent="0.4">
      <c r="A2391" s="4" t="s">
        <v>21</v>
      </c>
      <c r="B2391" s="4" t="s">
        <v>14</v>
      </c>
      <c r="C2391" s="31" t="s">
        <v>435</v>
      </c>
      <c r="D2391" s="4" t="s">
        <v>22</v>
      </c>
      <c r="E2391" s="4" t="s">
        <v>16</v>
      </c>
      <c r="F2391" s="4" t="s">
        <v>17</v>
      </c>
      <c r="G2391" s="4" t="s">
        <v>18</v>
      </c>
      <c r="H2391" s="4" t="s">
        <v>244</v>
      </c>
      <c r="I2391" s="5" t="str">
        <f t="shared" si="37"/>
        <v>2025-09</v>
      </c>
      <c r="J2391" s="4" t="s">
        <v>34</v>
      </c>
      <c r="K2391" s="5" t="s">
        <v>342</v>
      </c>
      <c r="L2391" s="2">
        <v>55500</v>
      </c>
      <c r="M2391" s="3">
        <v>1</v>
      </c>
      <c r="N2391" s="2">
        <v>55500</v>
      </c>
      <c r="O2391" s="2">
        <v>5550</v>
      </c>
      <c r="P2391" s="2">
        <v>61050</v>
      </c>
      <c r="Q2391" s="2">
        <f>P2391*8.5%</f>
        <v>5189.25</v>
      </c>
    </row>
    <row r="2392" spans="1:17" hidden="1" x14ac:dyDescent="0.4">
      <c r="A2392" s="4" t="s">
        <v>23</v>
      </c>
      <c r="B2392" s="4" t="s">
        <v>14</v>
      </c>
      <c r="C2392" s="31" t="s">
        <v>435</v>
      </c>
      <c r="D2392" s="4" t="s">
        <v>24</v>
      </c>
      <c r="E2392" s="4" t="s">
        <v>16</v>
      </c>
      <c r="F2392" s="4" t="s">
        <v>17</v>
      </c>
      <c r="G2392" s="4" t="s">
        <v>18</v>
      </c>
      <c r="H2392" s="4" t="s">
        <v>244</v>
      </c>
      <c r="I2392" s="5" t="str">
        <f t="shared" si="37"/>
        <v>2025-09</v>
      </c>
      <c r="J2392" s="4" t="s">
        <v>34</v>
      </c>
      <c r="K2392" s="5" t="s">
        <v>342</v>
      </c>
      <c r="L2392" s="2">
        <v>55500</v>
      </c>
      <c r="M2392" s="3">
        <v>3</v>
      </c>
      <c r="N2392" s="2">
        <v>166500</v>
      </c>
      <c r="O2392" s="2">
        <v>16650</v>
      </c>
      <c r="P2392" s="2">
        <v>183150</v>
      </c>
      <c r="Q2392" s="2">
        <f>P2392*8.5%</f>
        <v>15567.750000000002</v>
      </c>
    </row>
    <row r="2393" spans="1:17" hidden="1" x14ac:dyDescent="0.4">
      <c r="A2393" s="4" t="s">
        <v>84</v>
      </c>
      <c r="B2393" s="4" t="s">
        <v>26</v>
      </c>
      <c r="C2393" s="32" t="s">
        <v>436</v>
      </c>
      <c r="D2393" s="4" t="s">
        <v>85</v>
      </c>
      <c r="E2393" s="4" t="s">
        <v>28</v>
      </c>
      <c r="F2393" s="4" t="s">
        <v>17</v>
      </c>
      <c r="G2393" s="4" t="s">
        <v>18</v>
      </c>
      <c r="H2393" s="4" t="s">
        <v>244</v>
      </c>
      <c r="I2393" s="5" t="str">
        <f t="shared" si="37"/>
        <v>2025-09</v>
      </c>
      <c r="J2393" s="4" t="s">
        <v>34</v>
      </c>
      <c r="K2393" s="5" t="s">
        <v>342</v>
      </c>
      <c r="L2393" s="2">
        <v>5032</v>
      </c>
      <c r="M2393" s="3">
        <v>1</v>
      </c>
      <c r="N2393" s="2">
        <v>5032</v>
      </c>
      <c r="O2393" s="2">
        <v>503</v>
      </c>
      <c r="P2393" s="2">
        <v>5535</v>
      </c>
      <c r="Q2393" s="2">
        <f>P2393*8.5%</f>
        <v>470.47500000000002</v>
      </c>
    </row>
    <row r="2394" spans="1:17" hidden="1" x14ac:dyDescent="0.4">
      <c r="A2394" s="4" t="s">
        <v>123</v>
      </c>
      <c r="B2394" s="4" t="s">
        <v>26</v>
      </c>
      <c r="C2394" s="32" t="s">
        <v>436</v>
      </c>
      <c r="D2394" s="4" t="s">
        <v>124</v>
      </c>
      <c r="E2394" s="4" t="s">
        <v>28</v>
      </c>
      <c r="F2394" s="4" t="s">
        <v>17</v>
      </c>
      <c r="G2394" s="4" t="s">
        <v>18</v>
      </c>
      <c r="H2394" s="4" t="s">
        <v>244</v>
      </c>
      <c r="I2394" s="5" t="str">
        <f t="shared" si="37"/>
        <v>2025-09</v>
      </c>
      <c r="J2394" s="4" t="s">
        <v>34</v>
      </c>
      <c r="K2394" s="5" t="s">
        <v>342</v>
      </c>
      <c r="L2394" s="2">
        <v>454</v>
      </c>
      <c r="M2394" s="3">
        <v>10</v>
      </c>
      <c r="N2394" s="2">
        <v>4540</v>
      </c>
      <c r="O2394" s="2">
        <v>454</v>
      </c>
      <c r="P2394" s="2">
        <v>4994</v>
      </c>
      <c r="Q2394" s="2">
        <f>P2394*8.5%</f>
        <v>424.49</v>
      </c>
    </row>
    <row r="2395" spans="1:17" hidden="1" x14ac:dyDescent="0.4">
      <c r="A2395" s="4" t="s">
        <v>42</v>
      </c>
      <c r="B2395" s="4" t="s">
        <v>14</v>
      </c>
      <c r="C2395" s="30" t="s">
        <v>434</v>
      </c>
      <c r="D2395" s="4" t="s">
        <v>43</v>
      </c>
      <c r="E2395" s="4" t="s">
        <v>44</v>
      </c>
      <c r="F2395" s="4" t="s">
        <v>31</v>
      </c>
      <c r="G2395" s="4" t="s">
        <v>18</v>
      </c>
      <c r="H2395" s="4" t="s">
        <v>244</v>
      </c>
      <c r="I2395" s="5" t="str">
        <f t="shared" si="37"/>
        <v>2025-09</v>
      </c>
      <c r="J2395" s="4" t="s">
        <v>34</v>
      </c>
      <c r="K2395" s="5" t="s">
        <v>342</v>
      </c>
      <c r="L2395" s="2">
        <v>7300</v>
      </c>
      <c r="M2395" s="3">
        <v>58.6</v>
      </c>
      <c r="N2395" s="2">
        <v>427780</v>
      </c>
      <c r="O2395" s="2">
        <v>0</v>
      </c>
      <c r="P2395" s="2">
        <v>427780</v>
      </c>
      <c r="Q2395" s="2">
        <f>P2395*8.5%</f>
        <v>36361.300000000003</v>
      </c>
    </row>
    <row r="2396" spans="1:17" hidden="1" x14ac:dyDescent="0.4">
      <c r="A2396" s="4" t="s">
        <v>13</v>
      </c>
      <c r="B2396" s="4" t="s">
        <v>14</v>
      </c>
      <c r="C2396" s="30" t="s">
        <v>434</v>
      </c>
      <c r="D2396" s="4" t="s">
        <v>15</v>
      </c>
      <c r="E2396" s="4" t="s">
        <v>16</v>
      </c>
      <c r="F2396" s="4" t="s">
        <v>17</v>
      </c>
      <c r="G2396" s="4" t="s">
        <v>18</v>
      </c>
      <c r="H2396" s="4" t="s">
        <v>244</v>
      </c>
      <c r="I2396" s="5" t="str">
        <f t="shared" si="37"/>
        <v>2025-09</v>
      </c>
      <c r="J2396" s="4" t="s">
        <v>59</v>
      </c>
      <c r="K2396" s="5" t="s">
        <v>343</v>
      </c>
      <c r="L2396" s="2">
        <v>42000</v>
      </c>
      <c r="M2396" s="3">
        <v>4</v>
      </c>
      <c r="N2396" s="2">
        <v>168000</v>
      </c>
      <c r="O2396" s="2">
        <v>16800</v>
      </c>
      <c r="P2396" s="2">
        <v>184800</v>
      </c>
      <c r="Q2396" s="2">
        <f>P2396*12%</f>
        <v>22176</v>
      </c>
    </row>
    <row r="2397" spans="1:17" hidden="1" x14ac:dyDescent="0.4">
      <c r="A2397" s="4" t="s">
        <v>35</v>
      </c>
      <c r="B2397" s="4" t="s">
        <v>14</v>
      </c>
      <c r="C2397" s="30" t="s">
        <v>434</v>
      </c>
      <c r="D2397" s="4" t="s">
        <v>36</v>
      </c>
      <c r="E2397" s="4" t="s">
        <v>16</v>
      </c>
      <c r="F2397" s="4" t="s">
        <v>17</v>
      </c>
      <c r="G2397" s="4" t="s">
        <v>18</v>
      </c>
      <c r="H2397" s="4" t="s">
        <v>244</v>
      </c>
      <c r="I2397" s="5" t="str">
        <f t="shared" si="37"/>
        <v>2025-09</v>
      </c>
      <c r="J2397" s="4" t="s">
        <v>59</v>
      </c>
      <c r="K2397" s="5" t="s">
        <v>343</v>
      </c>
      <c r="L2397" s="2">
        <v>116220</v>
      </c>
      <c r="M2397" s="3">
        <v>1</v>
      </c>
      <c r="N2397" s="2">
        <v>116220</v>
      </c>
      <c r="O2397" s="2">
        <v>11622</v>
      </c>
      <c r="P2397" s="2">
        <v>127842</v>
      </c>
      <c r="Q2397" s="2">
        <f>P2397*12%</f>
        <v>15341.039999999999</v>
      </c>
    </row>
    <row r="2398" spans="1:17" hidden="1" x14ac:dyDescent="0.4">
      <c r="A2398" s="4" t="s">
        <v>23</v>
      </c>
      <c r="B2398" s="4" t="s">
        <v>14</v>
      </c>
      <c r="C2398" s="31" t="s">
        <v>435</v>
      </c>
      <c r="D2398" s="4" t="s">
        <v>24</v>
      </c>
      <c r="E2398" s="4" t="s">
        <v>16</v>
      </c>
      <c r="F2398" s="4" t="s">
        <v>17</v>
      </c>
      <c r="G2398" s="4" t="s">
        <v>18</v>
      </c>
      <c r="H2398" s="4" t="s">
        <v>244</v>
      </c>
      <c r="I2398" s="5" t="str">
        <f t="shared" si="37"/>
        <v>2025-09</v>
      </c>
      <c r="J2398" s="4" t="s">
        <v>59</v>
      </c>
      <c r="K2398" s="5" t="s">
        <v>343</v>
      </c>
      <c r="L2398" s="2">
        <v>55500</v>
      </c>
      <c r="M2398" s="3">
        <v>2</v>
      </c>
      <c r="N2398" s="2">
        <v>111000</v>
      </c>
      <c r="O2398" s="2">
        <v>11100</v>
      </c>
      <c r="P2398" s="2">
        <v>122100</v>
      </c>
      <c r="Q2398" s="2">
        <f>P2398*12%</f>
        <v>14652</v>
      </c>
    </row>
    <row r="2399" spans="1:17" hidden="1" x14ac:dyDescent="0.4">
      <c r="A2399" s="4" t="s">
        <v>32</v>
      </c>
      <c r="B2399" s="4" t="s">
        <v>14</v>
      </c>
      <c r="C2399" s="31" t="s">
        <v>435</v>
      </c>
      <c r="D2399" s="4" t="s">
        <v>33</v>
      </c>
      <c r="E2399" s="4" t="s">
        <v>16</v>
      </c>
      <c r="F2399" s="4" t="s">
        <v>17</v>
      </c>
      <c r="G2399" s="4" t="s">
        <v>18</v>
      </c>
      <c r="H2399" s="4" t="s">
        <v>244</v>
      </c>
      <c r="I2399" s="5" t="str">
        <f t="shared" si="37"/>
        <v>2025-09</v>
      </c>
      <c r="J2399" s="4" t="s">
        <v>49</v>
      </c>
      <c r="K2399" s="5" t="s">
        <v>343</v>
      </c>
      <c r="L2399" s="2">
        <v>44000</v>
      </c>
      <c r="M2399" s="3">
        <v>3</v>
      </c>
      <c r="N2399" s="2">
        <v>132000</v>
      </c>
      <c r="O2399" s="2">
        <v>13200</v>
      </c>
      <c r="P2399" s="2">
        <v>145200</v>
      </c>
      <c r="Q2399" s="2">
        <f>P2399*12%</f>
        <v>17424</v>
      </c>
    </row>
    <row r="2400" spans="1:17" hidden="1" x14ac:dyDescent="0.4">
      <c r="A2400" s="4" t="s">
        <v>13</v>
      </c>
      <c r="B2400" s="4" t="s">
        <v>14</v>
      </c>
      <c r="C2400" s="30" t="s">
        <v>434</v>
      </c>
      <c r="D2400" s="4" t="s">
        <v>15</v>
      </c>
      <c r="E2400" s="4" t="s">
        <v>16</v>
      </c>
      <c r="F2400" s="4" t="s">
        <v>17</v>
      </c>
      <c r="G2400" s="4" t="s">
        <v>18</v>
      </c>
      <c r="H2400" s="4" t="s">
        <v>244</v>
      </c>
      <c r="I2400" s="5" t="str">
        <f t="shared" si="37"/>
        <v>2025-09</v>
      </c>
      <c r="J2400" s="4" t="s">
        <v>49</v>
      </c>
      <c r="K2400" s="5" t="s">
        <v>343</v>
      </c>
      <c r="L2400" s="2">
        <v>42000</v>
      </c>
      <c r="M2400" s="3">
        <v>4</v>
      </c>
      <c r="N2400" s="2">
        <v>168000</v>
      </c>
      <c r="O2400" s="2">
        <v>16800</v>
      </c>
      <c r="P2400" s="2">
        <v>184800</v>
      </c>
      <c r="Q2400" s="2">
        <f>P2400*12%</f>
        <v>22176</v>
      </c>
    </row>
    <row r="2401" spans="1:17" hidden="1" x14ac:dyDescent="0.4">
      <c r="A2401" s="4" t="s">
        <v>35</v>
      </c>
      <c r="B2401" s="4" t="s">
        <v>14</v>
      </c>
      <c r="C2401" s="30" t="s">
        <v>434</v>
      </c>
      <c r="D2401" s="4" t="s">
        <v>36</v>
      </c>
      <c r="E2401" s="4" t="s">
        <v>16</v>
      </c>
      <c r="F2401" s="4" t="s">
        <v>17</v>
      </c>
      <c r="G2401" s="4" t="s">
        <v>18</v>
      </c>
      <c r="H2401" s="4" t="s">
        <v>244</v>
      </c>
      <c r="I2401" s="5" t="str">
        <f t="shared" si="37"/>
        <v>2025-09</v>
      </c>
      <c r="J2401" s="4" t="s">
        <v>49</v>
      </c>
      <c r="K2401" s="5" t="s">
        <v>343</v>
      </c>
      <c r="L2401" s="2">
        <v>116220</v>
      </c>
      <c r="M2401" s="3">
        <v>1</v>
      </c>
      <c r="N2401" s="2">
        <v>116220</v>
      </c>
      <c r="O2401" s="2">
        <v>11622</v>
      </c>
      <c r="P2401" s="2">
        <v>127842</v>
      </c>
      <c r="Q2401" s="2">
        <f>P2401*12%</f>
        <v>15341.039999999999</v>
      </c>
    </row>
    <row r="2402" spans="1:17" hidden="1" x14ac:dyDescent="0.4">
      <c r="A2402" s="4" t="s">
        <v>23</v>
      </c>
      <c r="B2402" s="4" t="s">
        <v>14</v>
      </c>
      <c r="C2402" s="31" t="s">
        <v>435</v>
      </c>
      <c r="D2402" s="4" t="s">
        <v>24</v>
      </c>
      <c r="E2402" s="4" t="s">
        <v>16</v>
      </c>
      <c r="F2402" s="4" t="s">
        <v>17</v>
      </c>
      <c r="G2402" s="4" t="s">
        <v>18</v>
      </c>
      <c r="H2402" s="4" t="s">
        <v>244</v>
      </c>
      <c r="I2402" s="5" t="str">
        <f t="shared" si="37"/>
        <v>2025-09</v>
      </c>
      <c r="J2402" s="4" t="s">
        <v>49</v>
      </c>
      <c r="K2402" s="5" t="s">
        <v>343</v>
      </c>
      <c r="L2402" s="2">
        <v>55500</v>
      </c>
      <c r="M2402" s="3">
        <v>2</v>
      </c>
      <c r="N2402" s="2">
        <v>111000</v>
      </c>
      <c r="O2402" s="2">
        <v>11100</v>
      </c>
      <c r="P2402" s="2">
        <v>122100</v>
      </c>
      <c r="Q2402" s="2">
        <f>P2402*12%</f>
        <v>14652</v>
      </c>
    </row>
    <row r="2403" spans="1:17" hidden="1" x14ac:dyDescent="0.4">
      <c r="A2403" s="4" t="s">
        <v>51</v>
      </c>
      <c r="B2403" s="4" t="s">
        <v>14</v>
      </c>
      <c r="C2403" s="30" t="s">
        <v>434</v>
      </c>
      <c r="D2403" s="4" t="s">
        <v>52</v>
      </c>
      <c r="E2403" s="4" t="s">
        <v>16</v>
      </c>
      <c r="F2403" s="4" t="s">
        <v>17</v>
      </c>
      <c r="G2403" s="4" t="s">
        <v>18</v>
      </c>
      <c r="H2403" s="4" t="s">
        <v>244</v>
      </c>
      <c r="I2403" s="5" t="str">
        <f t="shared" si="37"/>
        <v>2025-09</v>
      </c>
      <c r="J2403" s="4" t="s">
        <v>49</v>
      </c>
      <c r="K2403" s="5" t="s">
        <v>343</v>
      </c>
      <c r="L2403" s="2">
        <v>73000</v>
      </c>
      <c r="M2403" s="3">
        <v>1</v>
      </c>
      <c r="N2403" s="2">
        <v>73000</v>
      </c>
      <c r="O2403" s="2">
        <v>7300</v>
      </c>
      <c r="P2403" s="2">
        <v>80300</v>
      </c>
      <c r="Q2403" s="2">
        <f>P2403*12%</f>
        <v>9636</v>
      </c>
    </row>
    <row r="2404" spans="1:17" x14ac:dyDescent="0.4">
      <c r="A2404" s="4" t="s">
        <v>13</v>
      </c>
      <c r="B2404" s="4" t="s">
        <v>14</v>
      </c>
      <c r="C2404" s="30" t="s">
        <v>434</v>
      </c>
      <c r="D2404" s="4" t="s">
        <v>15</v>
      </c>
      <c r="E2404" s="4" t="s">
        <v>16</v>
      </c>
      <c r="F2404" s="4" t="s">
        <v>17</v>
      </c>
      <c r="G2404" s="4" t="s">
        <v>18</v>
      </c>
      <c r="H2404" s="4" t="s">
        <v>245</v>
      </c>
      <c r="I2404" s="5" t="str">
        <f t="shared" si="37"/>
        <v>2025-09</v>
      </c>
      <c r="J2404" s="4" t="s">
        <v>20</v>
      </c>
      <c r="K2404" s="5" t="s">
        <v>342</v>
      </c>
      <c r="L2404" s="2">
        <v>42000</v>
      </c>
      <c r="M2404" s="3">
        <v>2</v>
      </c>
      <c r="N2404" s="2">
        <v>84000</v>
      </c>
      <c r="O2404" s="2">
        <v>8400</v>
      </c>
      <c r="P2404" s="2">
        <v>92400</v>
      </c>
      <c r="Q2404" s="2">
        <f>P2404*8.5%</f>
        <v>7854.0000000000009</v>
      </c>
    </row>
    <row r="2405" spans="1:17" x14ac:dyDescent="0.4">
      <c r="A2405" s="4" t="s">
        <v>23</v>
      </c>
      <c r="B2405" s="4" t="s">
        <v>14</v>
      </c>
      <c r="C2405" s="31" t="s">
        <v>435</v>
      </c>
      <c r="D2405" s="4" t="s">
        <v>24</v>
      </c>
      <c r="E2405" s="4" t="s">
        <v>16</v>
      </c>
      <c r="F2405" s="4" t="s">
        <v>17</v>
      </c>
      <c r="G2405" s="4" t="s">
        <v>18</v>
      </c>
      <c r="H2405" s="4" t="s">
        <v>245</v>
      </c>
      <c r="I2405" s="5" t="str">
        <f t="shared" si="37"/>
        <v>2025-09</v>
      </c>
      <c r="J2405" s="4" t="s">
        <v>20</v>
      </c>
      <c r="K2405" s="5" t="s">
        <v>342</v>
      </c>
      <c r="L2405" s="2">
        <v>55500</v>
      </c>
      <c r="M2405" s="3">
        <v>4</v>
      </c>
      <c r="N2405" s="2">
        <v>222000</v>
      </c>
      <c r="O2405" s="2">
        <v>22200</v>
      </c>
      <c r="P2405" s="2">
        <v>244200</v>
      </c>
      <c r="Q2405" s="2">
        <f>P2405*8.5%</f>
        <v>20757</v>
      </c>
    </row>
    <row r="2406" spans="1:17" x14ac:dyDescent="0.4">
      <c r="A2406" s="4" t="s">
        <v>51</v>
      </c>
      <c r="B2406" s="4" t="s">
        <v>14</v>
      </c>
      <c r="C2406" s="30" t="s">
        <v>434</v>
      </c>
      <c r="D2406" s="4" t="s">
        <v>52</v>
      </c>
      <c r="E2406" s="4" t="s">
        <v>16</v>
      </c>
      <c r="F2406" s="4" t="s">
        <v>17</v>
      </c>
      <c r="G2406" s="4" t="s">
        <v>18</v>
      </c>
      <c r="H2406" s="4" t="s">
        <v>245</v>
      </c>
      <c r="I2406" s="5" t="str">
        <f t="shared" si="37"/>
        <v>2025-09</v>
      </c>
      <c r="J2406" s="4" t="s">
        <v>20</v>
      </c>
      <c r="K2406" s="5" t="s">
        <v>342</v>
      </c>
      <c r="L2406" s="2">
        <v>73000</v>
      </c>
      <c r="M2406" s="3">
        <v>1</v>
      </c>
      <c r="N2406" s="2">
        <v>73000</v>
      </c>
      <c r="O2406" s="2">
        <v>7300</v>
      </c>
      <c r="P2406" s="2">
        <v>80300</v>
      </c>
      <c r="Q2406" s="2">
        <f>P2406*8.5%</f>
        <v>6825.5000000000009</v>
      </c>
    </row>
    <row r="2407" spans="1:17" x14ac:dyDescent="0.4">
      <c r="A2407" s="4" t="s">
        <v>62</v>
      </c>
      <c r="B2407" s="4" t="s">
        <v>26</v>
      </c>
      <c r="C2407" s="32" t="s">
        <v>436</v>
      </c>
      <c r="D2407" s="4" t="s">
        <v>63</v>
      </c>
      <c r="E2407" s="4" t="s">
        <v>28</v>
      </c>
      <c r="F2407" s="4" t="s">
        <v>31</v>
      </c>
      <c r="G2407" s="4" t="s">
        <v>18</v>
      </c>
      <c r="H2407" s="4" t="s">
        <v>245</v>
      </c>
      <c r="I2407" s="5" t="str">
        <f t="shared" si="37"/>
        <v>2025-09</v>
      </c>
      <c r="J2407" s="4" t="s">
        <v>20</v>
      </c>
      <c r="K2407" s="5" t="s">
        <v>342</v>
      </c>
      <c r="L2407" s="2">
        <v>3360</v>
      </c>
      <c r="M2407" s="3">
        <v>6</v>
      </c>
      <c r="N2407" s="2">
        <v>20160</v>
      </c>
      <c r="O2407" s="2">
        <v>0</v>
      </c>
      <c r="P2407" s="2">
        <v>20160</v>
      </c>
      <c r="Q2407" s="2">
        <f>P2407*8.5%</f>
        <v>1713.6000000000001</v>
      </c>
    </row>
    <row r="2408" spans="1:17" x14ac:dyDescent="0.4">
      <c r="A2408" s="4" t="s">
        <v>29</v>
      </c>
      <c r="B2408" s="4" t="s">
        <v>26</v>
      </c>
      <c r="C2408" s="32" t="s">
        <v>436</v>
      </c>
      <c r="D2408" s="4" t="s">
        <v>30</v>
      </c>
      <c r="E2408" s="4" t="s">
        <v>28</v>
      </c>
      <c r="F2408" s="4" t="s">
        <v>31</v>
      </c>
      <c r="G2408" s="4" t="s">
        <v>18</v>
      </c>
      <c r="H2408" s="4" t="s">
        <v>245</v>
      </c>
      <c r="I2408" s="5" t="str">
        <f t="shared" si="37"/>
        <v>2025-09</v>
      </c>
      <c r="J2408" s="4" t="s">
        <v>20</v>
      </c>
      <c r="K2408" s="5" t="s">
        <v>342</v>
      </c>
      <c r="L2408" s="2">
        <v>3719</v>
      </c>
      <c r="M2408" s="3">
        <v>1</v>
      </c>
      <c r="N2408" s="2">
        <v>3719</v>
      </c>
      <c r="O2408" s="2">
        <v>0</v>
      </c>
      <c r="P2408" s="2">
        <v>3719</v>
      </c>
      <c r="Q2408" s="2">
        <f>P2408*8.5%</f>
        <v>316.11500000000001</v>
      </c>
    </row>
    <row r="2409" spans="1:17" hidden="1" x14ac:dyDescent="0.4">
      <c r="A2409" s="4" t="s">
        <v>32</v>
      </c>
      <c r="B2409" s="4" t="s">
        <v>14</v>
      </c>
      <c r="C2409" s="31" t="s">
        <v>435</v>
      </c>
      <c r="D2409" s="4" t="s">
        <v>33</v>
      </c>
      <c r="E2409" s="4" t="s">
        <v>16</v>
      </c>
      <c r="F2409" s="4" t="s">
        <v>17</v>
      </c>
      <c r="G2409" s="4" t="s">
        <v>18</v>
      </c>
      <c r="H2409" s="4" t="s">
        <v>245</v>
      </c>
      <c r="I2409" s="5" t="str">
        <f t="shared" si="37"/>
        <v>2025-09</v>
      </c>
      <c r="J2409" s="4" t="s">
        <v>118</v>
      </c>
      <c r="K2409" s="5" t="s">
        <v>342</v>
      </c>
      <c r="L2409" s="2">
        <v>44000</v>
      </c>
      <c r="M2409" s="3">
        <v>2</v>
      </c>
      <c r="N2409" s="2">
        <v>88000</v>
      </c>
      <c r="O2409" s="2">
        <v>8800</v>
      </c>
      <c r="P2409" s="2">
        <v>96800</v>
      </c>
      <c r="Q2409" s="2">
        <f>P2409*8.5%</f>
        <v>8228</v>
      </c>
    </row>
    <row r="2410" spans="1:17" hidden="1" x14ac:dyDescent="0.4">
      <c r="A2410" s="4" t="s">
        <v>13</v>
      </c>
      <c r="B2410" s="4" t="s">
        <v>14</v>
      </c>
      <c r="C2410" s="30" t="s">
        <v>434</v>
      </c>
      <c r="D2410" s="4" t="s">
        <v>15</v>
      </c>
      <c r="E2410" s="4" t="s">
        <v>16</v>
      </c>
      <c r="F2410" s="4" t="s">
        <v>17</v>
      </c>
      <c r="G2410" s="4" t="s">
        <v>18</v>
      </c>
      <c r="H2410" s="4" t="s">
        <v>245</v>
      </c>
      <c r="I2410" s="5" t="str">
        <f t="shared" si="37"/>
        <v>2025-09</v>
      </c>
      <c r="J2410" s="4" t="s">
        <v>118</v>
      </c>
      <c r="K2410" s="5" t="s">
        <v>342</v>
      </c>
      <c r="L2410" s="2">
        <v>42000</v>
      </c>
      <c r="M2410" s="3">
        <v>3</v>
      </c>
      <c r="N2410" s="2">
        <v>126000</v>
      </c>
      <c r="O2410" s="2">
        <v>12600</v>
      </c>
      <c r="P2410" s="2">
        <v>138600</v>
      </c>
      <c r="Q2410" s="2">
        <f>P2410*8.5%</f>
        <v>11781</v>
      </c>
    </row>
    <row r="2411" spans="1:17" hidden="1" x14ac:dyDescent="0.4">
      <c r="A2411" s="4" t="s">
        <v>35</v>
      </c>
      <c r="B2411" s="4" t="s">
        <v>14</v>
      </c>
      <c r="C2411" s="30" t="s">
        <v>434</v>
      </c>
      <c r="D2411" s="4" t="s">
        <v>36</v>
      </c>
      <c r="E2411" s="4" t="s">
        <v>16</v>
      </c>
      <c r="F2411" s="4" t="s">
        <v>17</v>
      </c>
      <c r="G2411" s="4" t="s">
        <v>18</v>
      </c>
      <c r="H2411" s="4" t="s">
        <v>245</v>
      </c>
      <c r="I2411" s="5" t="str">
        <f t="shared" si="37"/>
        <v>2025-09</v>
      </c>
      <c r="J2411" s="4" t="s">
        <v>118</v>
      </c>
      <c r="K2411" s="5" t="s">
        <v>342</v>
      </c>
      <c r="L2411" s="2">
        <v>116220</v>
      </c>
      <c r="M2411" s="3">
        <v>1</v>
      </c>
      <c r="N2411" s="2">
        <v>116220</v>
      </c>
      <c r="O2411" s="2">
        <v>11622</v>
      </c>
      <c r="P2411" s="2">
        <v>127842</v>
      </c>
      <c r="Q2411" s="2">
        <f>P2411*8.5%</f>
        <v>10866.570000000002</v>
      </c>
    </row>
    <row r="2412" spans="1:17" hidden="1" x14ac:dyDescent="0.4">
      <c r="A2412" s="4" t="s">
        <v>23</v>
      </c>
      <c r="B2412" s="4" t="s">
        <v>14</v>
      </c>
      <c r="C2412" s="31" t="s">
        <v>435</v>
      </c>
      <c r="D2412" s="4" t="s">
        <v>24</v>
      </c>
      <c r="E2412" s="4" t="s">
        <v>16</v>
      </c>
      <c r="F2412" s="4" t="s">
        <v>17</v>
      </c>
      <c r="G2412" s="4" t="s">
        <v>18</v>
      </c>
      <c r="H2412" s="4" t="s">
        <v>245</v>
      </c>
      <c r="I2412" s="5" t="str">
        <f t="shared" si="37"/>
        <v>2025-09</v>
      </c>
      <c r="J2412" s="4" t="s">
        <v>118</v>
      </c>
      <c r="K2412" s="5" t="s">
        <v>342</v>
      </c>
      <c r="L2412" s="2">
        <v>55500</v>
      </c>
      <c r="M2412" s="3">
        <v>2</v>
      </c>
      <c r="N2412" s="2">
        <v>111000</v>
      </c>
      <c r="O2412" s="2">
        <v>11100</v>
      </c>
      <c r="P2412" s="2">
        <v>122100</v>
      </c>
      <c r="Q2412" s="2">
        <f>P2412*8.5%</f>
        <v>10378.5</v>
      </c>
    </row>
    <row r="2413" spans="1:17" hidden="1" x14ac:dyDescent="0.4">
      <c r="A2413" s="4" t="s">
        <v>32</v>
      </c>
      <c r="B2413" s="4" t="s">
        <v>14</v>
      </c>
      <c r="C2413" s="31" t="s">
        <v>435</v>
      </c>
      <c r="D2413" s="4" t="s">
        <v>33</v>
      </c>
      <c r="E2413" s="4" t="s">
        <v>16</v>
      </c>
      <c r="F2413" s="4" t="s">
        <v>17</v>
      </c>
      <c r="G2413" s="4" t="s">
        <v>18</v>
      </c>
      <c r="H2413" s="4" t="s">
        <v>245</v>
      </c>
      <c r="I2413" s="5" t="str">
        <f t="shared" si="37"/>
        <v>2025-09</v>
      </c>
      <c r="J2413" s="4" t="s">
        <v>34</v>
      </c>
      <c r="K2413" s="5" t="s">
        <v>342</v>
      </c>
      <c r="L2413" s="2">
        <v>44000</v>
      </c>
      <c r="M2413" s="3">
        <v>2</v>
      </c>
      <c r="N2413" s="2">
        <v>88000</v>
      </c>
      <c r="O2413" s="2">
        <v>8800</v>
      </c>
      <c r="P2413" s="2">
        <v>96800</v>
      </c>
      <c r="Q2413" s="2">
        <f>P2413*8.5%</f>
        <v>8228</v>
      </c>
    </row>
    <row r="2414" spans="1:17" hidden="1" x14ac:dyDescent="0.4">
      <c r="A2414" s="4" t="s">
        <v>13</v>
      </c>
      <c r="B2414" s="4" t="s">
        <v>14</v>
      </c>
      <c r="C2414" s="30" t="s">
        <v>434</v>
      </c>
      <c r="D2414" s="4" t="s">
        <v>15</v>
      </c>
      <c r="E2414" s="4" t="s">
        <v>16</v>
      </c>
      <c r="F2414" s="4" t="s">
        <v>17</v>
      </c>
      <c r="G2414" s="4" t="s">
        <v>18</v>
      </c>
      <c r="H2414" s="4" t="s">
        <v>245</v>
      </c>
      <c r="I2414" s="5" t="str">
        <f t="shared" si="37"/>
        <v>2025-09</v>
      </c>
      <c r="J2414" s="4" t="s">
        <v>34</v>
      </c>
      <c r="K2414" s="5" t="s">
        <v>342</v>
      </c>
      <c r="L2414" s="2">
        <v>42000</v>
      </c>
      <c r="M2414" s="3">
        <v>4</v>
      </c>
      <c r="N2414" s="2">
        <v>168000</v>
      </c>
      <c r="O2414" s="2">
        <v>16800</v>
      </c>
      <c r="P2414" s="2">
        <v>184800</v>
      </c>
      <c r="Q2414" s="2">
        <f>P2414*8.5%</f>
        <v>15708.000000000002</v>
      </c>
    </row>
    <row r="2415" spans="1:17" hidden="1" x14ac:dyDescent="0.4">
      <c r="A2415" s="4" t="s">
        <v>21</v>
      </c>
      <c r="B2415" s="4" t="s">
        <v>14</v>
      </c>
      <c r="C2415" s="31" t="s">
        <v>435</v>
      </c>
      <c r="D2415" s="4" t="s">
        <v>22</v>
      </c>
      <c r="E2415" s="4" t="s">
        <v>16</v>
      </c>
      <c r="F2415" s="4" t="s">
        <v>17</v>
      </c>
      <c r="G2415" s="4" t="s">
        <v>18</v>
      </c>
      <c r="H2415" s="4" t="s">
        <v>245</v>
      </c>
      <c r="I2415" s="5" t="str">
        <f t="shared" si="37"/>
        <v>2025-09</v>
      </c>
      <c r="J2415" s="4" t="s">
        <v>34</v>
      </c>
      <c r="K2415" s="5" t="s">
        <v>342</v>
      </c>
      <c r="L2415" s="2">
        <v>55500</v>
      </c>
      <c r="M2415" s="3">
        <v>1</v>
      </c>
      <c r="N2415" s="2">
        <v>55500</v>
      </c>
      <c r="O2415" s="2">
        <v>5550</v>
      </c>
      <c r="P2415" s="2">
        <v>61050</v>
      </c>
      <c r="Q2415" s="2">
        <f>P2415*8.5%</f>
        <v>5189.25</v>
      </c>
    </row>
    <row r="2416" spans="1:17" hidden="1" x14ac:dyDescent="0.4">
      <c r="A2416" s="4" t="s">
        <v>35</v>
      </c>
      <c r="B2416" s="4" t="s">
        <v>14</v>
      </c>
      <c r="C2416" s="30" t="s">
        <v>434</v>
      </c>
      <c r="D2416" s="4" t="s">
        <v>36</v>
      </c>
      <c r="E2416" s="4" t="s">
        <v>16</v>
      </c>
      <c r="F2416" s="4" t="s">
        <v>17</v>
      </c>
      <c r="G2416" s="4" t="s">
        <v>18</v>
      </c>
      <c r="H2416" s="4" t="s">
        <v>245</v>
      </c>
      <c r="I2416" s="5" t="str">
        <f t="shared" si="37"/>
        <v>2025-09</v>
      </c>
      <c r="J2416" s="4" t="s">
        <v>34</v>
      </c>
      <c r="K2416" s="5" t="s">
        <v>342</v>
      </c>
      <c r="L2416" s="2">
        <v>116220</v>
      </c>
      <c r="M2416" s="3">
        <v>1</v>
      </c>
      <c r="N2416" s="2">
        <v>116220</v>
      </c>
      <c r="O2416" s="2">
        <v>11622</v>
      </c>
      <c r="P2416" s="2">
        <v>127842</v>
      </c>
      <c r="Q2416" s="2">
        <f>P2416*8.5%</f>
        <v>10866.570000000002</v>
      </c>
    </row>
    <row r="2417" spans="1:17" hidden="1" x14ac:dyDescent="0.4">
      <c r="A2417" s="4" t="s">
        <v>23</v>
      </c>
      <c r="B2417" s="4" t="s">
        <v>14</v>
      </c>
      <c r="C2417" s="31" t="s">
        <v>435</v>
      </c>
      <c r="D2417" s="4" t="s">
        <v>24</v>
      </c>
      <c r="E2417" s="4" t="s">
        <v>16</v>
      </c>
      <c r="F2417" s="4" t="s">
        <v>17</v>
      </c>
      <c r="G2417" s="4" t="s">
        <v>18</v>
      </c>
      <c r="H2417" s="4" t="s">
        <v>245</v>
      </c>
      <c r="I2417" s="5" t="str">
        <f t="shared" si="37"/>
        <v>2025-09</v>
      </c>
      <c r="J2417" s="4" t="s">
        <v>34</v>
      </c>
      <c r="K2417" s="5" t="s">
        <v>342</v>
      </c>
      <c r="L2417" s="2">
        <v>55500</v>
      </c>
      <c r="M2417" s="3">
        <v>3</v>
      </c>
      <c r="N2417" s="2">
        <v>166500</v>
      </c>
      <c r="O2417" s="2">
        <v>16650</v>
      </c>
      <c r="P2417" s="2">
        <v>183150</v>
      </c>
      <c r="Q2417" s="2">
        <f>P2417*8.5%</f>
        <v>15567.750000000002</v>
      </c>
    </row>
    <row r="2418" spans="1:17" hidden="1" x14ac:dyDescent="0.4">
      <c r="A2418" s="4" t="s">
        <v>51</v>
      </c>
      <c r="B2418" s="4" t="s">
        <v>14</v>
      </c>
      <c r="C2418" s="30" t="s">
        <v>434</v>
      </c>
      <c r="D2418" s="4" t="s">
        <v>52</v>
      </c>
      <c r="E2418" s="4" t="s">
        <v>16</v>
      </c>
      <c r="F2418" s="4" t="s">
        <v>17</v>
      </c>
      <c r="G2418" s="4" t="s">
        <v>18</v>
      </c>
      <c r="H2418" s="4" t="s">
        <v>245</v>
      </c>
      <c r="I2418" s="5" t="str">
        <f t="shared" si="37"/>
        <v>2025-09</v>
      </c>
      <c r="J2418" s="4" t="s">
        <v>34</v>
      </c>
      <c r="K2418" s="5" t="s">
        <v>342</v>
      </c>
      <c r="L2418" s="2">
        <v>73000</v>
      </c>
      <c r="M2418" s="3">
        <v>1</v>
      </c>
      <c r="N2418" s="2">
        <v>73000</v>
      </c>
      <c r="O2418" s="2">
        <v>7300</v>
      </c>
      <c r="P2418" s="2">
        <v>80300</v>
      </c>
      <c r="Q2418" s="2">
        <f>P2418*8.5%</f>
        <v>6825.5000000000009</v>
      </c>
    </row>
    <row r="2419" spans="1:17" hidden="1" x14ac:dyDescent="0.4">
      <c r="A2419" s="4" t="s">
        <v>246</v>
      </c>
      <c r="B2419" s="4" t="s">
        <v>26</v>
      </c>
      <c r="C2419" s="32" t="s">
        <v>436</v>
      </c>
      <c r="D2419" s="4" t="s">
        <v>247</v>
      </c>
      <c r="E2419" s="4" t="s">
        <v>28</v>
      </c>
      <c r="F2419" s="4" t="s">
        <v>17</v>
      </c>
      <c r="G2419" s="4" t="s">
        <v>18</v>
      </c>
      <c r="H2419" s="4" t="s">
        <v>245</v>
      </c>
      <c r="I2419" s="5" t="str">
        <f t="shared" si="37"/>
        <v>2025-09</v>
      </c>
      <c r="J2419" s="4" t="s">
        <v>34</v>
      </c>
      <c r="K2419" s="5" t="s">
        <v>342</v>
      </c>
      <c r="L2419" s="2">
        <v>957</v>
      </c>
      <c r="M2419" s="3">
        <v>2</v>
      </c>
      <c r="N2419" s="2">
        <v>1914</v>
      </c>
      <c r="O2419" s="2">
        <v>191</v>
      </c>
      <c r="P2419" s="2">
        <v>2105</v>
      </c>
      <c r="Q2419" s="2">
        <f>P2419*8.5%</f>
        <v>178.92500000000001</v>
      </c>
    </row>
    <row r="2420" spans="1:17" hidden="1" x14ac:dyDescent="0.4">
      <c r="A2420" s="4" t="s">
        <v>248</v>
      </c>
      <c r="B2420" s="4" t="s">
        <v>26</v>
      </c>
      <c r="C2420" s="32" t="s">
        <v>436</v>
      </c>
      <c r="D2420" s="4" t="s">
        <v>249</v>
      </c>
      <c r="E2420" s="4" t="s">
        <v>28</v>
      </c>
      <c r="F2420" s="4" t="s">
        <v>17</v>
      </c>
      <c r="G2420" s="4" t="s">
        <v>18</v>
      </c>
      <c r="H2420" s="4" t="s">
        <v>245</v>
      </c>
      <c r="I2420" s="5" t="str">
        <f t="shared" si="37"/>
        <v>2025-09</v>
      </c>
      <c r="J2420" s="4" t="s">
        <v>34</v>
      </c>
      <c r="K2420" s="5" t="s">
        <v>342</v>
      </c>
      <c r="L2420" s="2">
        <v>12501</v>
      </c>
      <c r="M2420" s="3">
        <v>1</v>
      </c>
      <c r="N2420" s="2">
        <v>12501</v>
      </c>
      <c r="O2420" s="2">
        <v>1250</v>
      </c>
      <c r="P2420" s="2">
        <v>13751</v>
      </c>
      <c r="Q2420" s="2">
        <f>P2420*8.5%</f>
        <v>1168.835</v>
      </c>
    </row>
    <row r="2421" spans="1:17" hidden="1" x14ac:dyDescent="0.4">
      <c r="A2421" s="4" t="s">
        <v>42</v>
      </c>
      <c r="B2421" s="4" t="s">
        <v>14</v>
      </c>
      <c r="C2421" s="30" t="s">
        <v>434</v>
      </c>
      <c r="D2421" s="4" t="s">
        <v>43</v>
      </c>
      <c r="E2421" s="4" t="s">
        <v>44</v>
      </c>
      <c r="F2421" s="4" t="s">
        <v>31</v>
      </c>
      <c r="G2421" s="4" t="s">
        <v>18</v>
      </c>
      <c r="H2421" s="4" t="s">
        <v>245</v>
      </c>
      <c r="I2421" s="5" t="str">
        <f t="shared" si="37"/>
        <v>2025-09</v>
      </c>
      <c r="J2421" s="4" t="s">
        <v>34</v>
      </c>
      <c r="K2421" s="5" t="s">
        <v>342</v>
      </c>
      <c r="L2421" s="2">
        <v>7300</v>
      </c>
      <c r="M2421" s="3">
        <v>44.6</v>
      </c>
      <c r="N2421" s="2">
        <v>325580</v>
      </c>
      <c r="O2421" s="2">
        <v>0</v>
      </c>
      <c r="P2421" s="2">
        <v>325580</v>
      </c>
      <c r="Q2421" s="2">
        <f>P2421*8.5%</f>
        <v>27674.300000000003</v>
      </c>
    </row>
    <row r="2422" spans="1:17" hidden="1" x14ac:dyDescent="0.4">
      <c r="A2422" s="4" t="s">
        <v>13</v>
      </c>
      <c r="B2422" s="4" t="s">
        <v>14</v>
      </c>
      <c r="C2422" s="30" t="s">
        <v>434</v>
      </c>
      <c r="D2422" s="4" t="s">
        <v>15</v>
      </c>
      <c r="E2422" s="4" t="s">
        <v>16</v>
      </c>
      <c r="F2422" s="4" t="s">
        <v>17</v>
      </c>
      <c r="G2422" s="4" t="s">
        <v>18</v>
      </c>
      <c r="H2422" s="4" t="s">
        <v>245</v>
      </c>
      <c r="I2422" s="5" t="str">
        <f t="shared" si="37"/>
        <v>2025-09</v>
      </c>
      <c r="J2422" s="4" t="s">
        <v>59</v>
      </c>
      <c r="K2422" s="5" t="s">
        <v>343</v>
      </c>
      <c r="L2422" s="2">
        <v>42000</v>
      </c>
      <c r="M2422" s="3">
        <v>5</v>
      </c>
      <c r="N2422" s="2">
        <v>210000</v>
      </c>
      <c r="O2422" s="2">
        <v>21000</v>
      </c>
      <c r="P2422" s="2">
        <v>231000</v>
      </c>
      <c r="Q2422" s="2">
        <f>P2422*12%</f>
        <v>27720</v>
      </c>
    </row>
    <row r="2423" spans="1:17" hidden="1" x14ac:dyDescent="0.4">
      <c r="A2423" s="4" t="s">
        <v>35</v>
      </c>
      <c r="B2423" s="4" t="s">
        <v>14</v>
      </c>
      <c r="C2423" s="30" t="s">
        <v>434</v>
      </c>
      <c r="D2423" s="4" t="s">
        <v>36</v>
      </c>
      <c r="E2423" s="4" t="s">
        <v>16</v>
      </c>
      <c r="F2423" s="4" t="s">
        <v>17</v>
      </c>
      <c r="G2423" s="4" t="s">
        <v>18</v>
      </c>
      <c r="H2423" s="4" t="s">
        <v>245</v>
      </c>
      <c r="I2423" s="5" t="str">
        <f t="shared" si="37"/>
        <v>2025-09</v>
      </c>
      <c r="J2423" s="4" t="s">
        <v>59</v>
      </c>
      <c r="K2423" s="5" t="s">
        <v>343</v>
      </c>
      <c r="L2423" s="2">
        <v>116220</v>
      </c>
      <c r="M2423" s="3">
        <v>1</v>
      </c>
      <c r="N2423" s="2">
        <v>116220</v>
      </c>
      <c r="O2423" s="2">
        <v>11622</v>
      </c>
      <c r="P2423" s="2">
        <v>127842</v>
      </c>
      <c r="Q2423" s="2">
        <f>P2423*12%</f>
        <v>15341.039999999999</v>
      </c>
    </row>
    <row r="2424" spans="1:17" hidden="1" x14ac:dyDescent="0.4">
      <c r="A2424" s="4" t="s">
        <v>23</v>
      </c>
      <c r="B2424" s="4" t="s">
        <v>14</v>
      </c>
      <c r="C2424" s="31" t="s">
        <v>435</v>
      </c>
      <c r="D2424" s="4" t="s">
        <v>24</v>
      </c>
      <c r="E2424" s="4" t="s">
        <v>16</v>
      </c>
      <c r="F2424" s="4" t="s">
        <v>17</v>
      </c>
      <c r="G2424" s="4" t="s">
        <v>18</v>
      </c>
      <c r="H2424" s="4" t="s">
        <v>245</v>
      </c>
      <c r="I2424" s="5" t="str">
        <f t="shared" si="37"/>
        <v>2025-09</v>
      </c>
      <c r="J2424" s="4" t="s">
        <v>59</v>
      </c>
      <c r="K2424" s="5" t="s">
        <v>343</v>
      </c>
      <c r="L2424" s="2">
        <v>55500</v>
      </c>
      <c r="M2424" s="3">
        <v>2</v>
      </c>
      <c r="N2424" s="2">
        <v>111000</v>
      </c>
      <c r="O2424" s="2">
        <v>11100</v>
      </c>
      <c r="P2424" s="2">
        <v>122100</v>
      </c>
      <c r="Q2424" s="2">
        <f>P2424*12%</f>
        <v>14652</v>
      </c>
    </row>
    <row r="2425" spans="1:17" hidden="1" x14ac:dyDescent="0.4">
      <c r="A2425" s="4" t="s">
        <v>51</v>
      </c>
      <c r="B2425" s="4" t="s">
        <v>14</v>
      </c>
      <c r="C2425" s="30" t="s">
        <v>434</v>
      </c>
      <c r="D2425" s="4" t="s">
        <v>52</v>
      </c>
      <c r="E2425" s="4" t="s">
        <v>16</v>
      </c>
      <c r="F2425" s="4" t="s">
        <v>17</v>
      </c>
      <c r="G2425" s="4" t="s">
        <v>18</v>
      </c>
      <c r="H2425" s="4" t="s">
        <v>245</v>
      </c>
      <c r="I2425" s="5" t="str">
        <f t="shared" si="37"/>
        <v>2025-09</v>
      </c>
      <c r="J2425" s="4" t="s">
        <v>59</v>
      </c>
      <c r="K2425" s="5" t="s">
        <v>343</v>
      </c>
      <c r="L2425" s="2">
        <v>73000</v>
      </c>
      <c r="M2425" s="3">
        <v>1</v>
      </c>
      <c r="N2425" s="2">
        <v>73000</v>
      </c>
      <c r="O2425" s="2">
        <v>7300</v>
      </c>
      <c r="P2425" s="2">
        <v>80300</v>
      </c>
      <c r="Q2425" s="2">
        <f>P2425*12%</f>
        <v>9636</v>
      </c>
    </row>
    <row r="2426" spans="1:17" hidden="1" x14ac:dyDescent="0.4">
      <c r="A2426" s="4" t="s">
        <v>58</v>
      </c>
      <c r="B2426" s="4" t="s">
        <v>14</v>
      </c>
      <c r="C2426" s="30" t="s">
        <v>434</v>
      </c>
      <c r="D2426" s="4" t="s">
        <v>36</v>
      </c>
      <c r="E2426" s="4" t="s">
        <v>16</v>
      </c>
      <c r="F2426" s="4" t="s">
        <v>17</v>
      </c>
      <c r="G2426" s="4" t="s">
        <v>18</v>
      </c>
      <c r="H2426" s="4" t="s">
        <v>245</v>
      </c>
      <c r="I2426" s="5" t="str">
        <f t="shared" si="37"/>
        <v>2025-09</v>
      </c>
      <c r="J2426" s="4" t="s">
        <v>153</v>
      </c>
      <c r="K2426" s="5" t="s">
        <v>343</v>
      </c>
      <c r="L2426" s="2">
        <v>120880</v>
      </c>
      <c r="M2426" s="3">
        <v>1</v>
      </c>
      <c r="N2426" s="2">
        <v>120880</v>
      </c>
      <c r="O2426" s="2">
        <v>12088</v>
      </c>
      <c r="P2426" s="2">
        <v>132968</v>
      </c>
      <c r="Q2426" s="2">
        <f>P2426*12%</f>
        <v>15956.16</v>
      </c>
    </row>
    <row r="2427" spans="1:17" hidden="1" x14ac:dyDescent="0.4">
      <c r="A2427" s="4" t="s">
        <v>13</v>
      </c>
      <c r="B2427" s="4" t="s">
        <v>14</v>
      </c>
      <c r="C2427" s="30" t="s">
        <v>434</v>
      </c>
      <c r="D2427" s="4" t="s">
        <v>15</v>
      </c>
      <c r="E2427" s="4" t="s">
        <v>16</v>
      </c>
      <c r="F2427" s="4" t="s">
        <v>17</v>
      </c>
      <c r="G2427" s="4" t="s">
        <v>18</v>
      </c>
      <c r="H2427" s="4" t="s">
        <v>245</v>
      </c>
      <c r="I2427" s="5" t="str">
        <f t="shared" si="37"/>
        <v>2025-09</v>
      </c>
      <c r="J2427" s="4" t="s">
        <v>153</v>
      </c>
      <c r="K2427" s="5" t="s">
        <v>343</v>
      </c>
      <c r="L2427" s="2">
        <v>42000</v>
      </c>
      <c r="M2427" s="3">
        <v>4</v>
      </c>
      <c r="N2427" s="2">
        <v>168000</v>
      </c>
      <c r="O2427" s="2">
        <v>16800</v>
      </c>
      <c r="P2427" s="2">
        <v>184800</v>
      </c>
      <c r="Q2427" s="2">
        <f>P2427*12%</f>
        <v>22176</v>
      </c>
    </row>
    <row r="2428" spans="1:17" hidden="1" x14ac:dyDescent="0.4">
      <c r="A2428" s="4" t="s">
        <v>23</v>
      </c>
      <c r="B2428" s="4" t="s">
        <v>14</v>
      </c>
      <c r="C2428" s="31" t="s">
        <v>435</v>
      </c>
      <c r="D2428" s="4" t="s">
        <v>24</v>
      </c>
      <c r="E2428" s="4" t="s">
        <v>16</v>
      </c>
      <c r="F2428" s="4" t="s">
        <v>17</v>
      </c>
      <c r="G2428" s="4" t="s">
        <v>18</v>
      </c>
      <c r="H2428" s="4" t="s">
        <v>245</v>
      </c>
      <c r="I2428" s="5" t="str">
        <f t="shared" si="37"/>
        <v>2025-09</v>
      </c>
      <c r="J2428" s="4" t="s">
        <v>153</v>
      </c>
      <c r="K2428" s="5" t="s">
        <v>343</v>
      </c>
      <c r="L2428" s="2">
        <v>55500</v>
      </c>
      <c r="M2428" s="3">
        <v>4</v>
      </c>
      <c r="N2428" s="2">
        <v>222000</v>
      </c>
      <c r="O2428" s="2">
        <v>22200</v>
      </c>
      <c r="P2428" s="2">
        <v>244200</v>
      </c>
      <c r="Q2428" s="2">
        <f>P2428*12%</f>
        <v>29304</v>
      </c>
    </row>
    <row r="2429" spans="1:17" hidden="1" x14ac:dyDescent="0.4">
      <c r="A2429" s="4" t="s">
        <v>32</v>
      </c>
      <c r="B2429" s="4" t="s">
        <v>14</v>
      </c>
      <c r="C2429" s="31" t="s">
        <v>435</v>
      </c>
      <c r="D2429" s="4" t="s">
        <v>33</v>
      </c>
      <c r="E2429" s="4" t="s">
        <v>16</v>
      </c>
      <c r="F2429" s="4" t="s">
        <v>17</v>
      </c>
      <c r="G2429" s="4" t="s">
        <v>18</v>
      </c>
      <c r="H2429" s="4" t="s">
        <v>245</v>
      </c>
      <c r="I2429" s="5" t="str">
        <f t="shared" si="37"/>
        <v>2025-09</v>
      </c>
      <c r="J2429" s="4" t="s">
        <v>49</v>
      </c>
      <c r="K2429" s="5" t="s">
        <v>343</v>
      </c>
      <c r="L2429" s="2">
        <v>44000</v>
      </c>
      <c r="M2429" s="3">
        <v>5</v>
      </c>
      <c r="N2429" s="2">
        <v>220000</v>
      </c>
      <c r="O2429" s="2">
        <v>22000</v>
      </c>
      <c r="P2429" s="2">
        <v>242000</v>
      </c>
      <c r="Q2429" s="2">
        <f>P2429*12%</f>
        <v>29040</v>
      </c>
    </row>
    <row r="2430" spans="1:17" hidden="1" x14ac:dyDescent="0.4">
      <c r="A2430" s="4" t="s">
        <v>13</v>
      </c>
      <c r="B2430" s="4" t="s">
        <v>14</v>
      </c>
      <c r="C2430" s="30" t="s">
        <v>434</v>
      </c>
      <c r="D2430" s="4" t="s">
        <v>15</v>
      </c>
      <c r="E2430" s="4" t="s">
        <v>16</v>
      </c>
      <c r="F2430" s="4" t="s">
        <v>17</v>
      </c>
      <c r="G2430" s="4" t="s">
        <v>18</v>
      </c>
      <c r="H2430" s="4" t="s">
        <v>245</v>
      </c>
      <c r="I2430" s="5" t="str">
        <f t="shared" si="37"/>
        <v>2025-09</v>
      </c>
      <c r="J2430" s="4" t="s">
        <v>49</v>
      </c>
      <c r="K2430" s="5" t="s">
        <v>343</v>
      </c>
      <c r="L2430" s="2">
        <v>42000</v>
      </c>
      <c r="M2430" s="3">
        <v>6</v>
      </c>
      <c r="N2430" s="2">
        <v>252000</v>
      </c>
      <c r="O2430" s="2">
        <v>25200</v>
      </c>
      <c r="P2430" s="2">
        <v>277200</v>
      </c>
      <c r="Q2430" s="2">
        <f>P2430*12%</f>
        <v>33264</v>
      </c>
    </row>
    <row r="2431" spans="1:17" hidden="1" x14ac:dyDescent="0.4">
      <c r="A2431" s="4" t="s">
        <v>35</v>
      </c>
      <c r="B2431" s="4" t="s">
        <v>14</v>
      </c>
      <c r="C2431" s="30" t="s">
        <v>434</v>
      </c>
      <c r="D2431" s="4" t="s">
        <v>36</v>
      </c>
      <c r="E2431" s="4" t="s">
        <v>16</v>
      </c>
      <c r="F2431" s="4" t="s">
        <v>17</v>
      </c>
      <c r="G2431" s="4" t="s">
        <v>18</v>
      </c>
      <c r="H2431" s="4" t="s">
        <v>245</v>
      </c>
      <c r="I2431" s="5" t="str">
        <f t="shared" si="37"/>
        <v>2025-09</v>
      </c>
      <c r="J2431" s="4" t="s">
        <v>49</v>
      </c>
      <c r="K2431" s="5" t="s">
        <v>343</v>
      </c>
      <c r="L2431" s="2">
        <v>116220</v>
      </c>
      <c r="M2431" s="3">
        <v>1</v>
      </c>
      <c r="N2431" s="2">
        <v>116220</v>
      </c>
      <c r="O2431" s="2">
        <v>11622</v>
      </c>
      <c r="P2431" s="2">
        <v>127842</v>
      </c>
      <c r="Q2431" s="2">
        <f>P2431*12%</f>
        <v>15341.039999999999</v>
      </c>
    </row>
    <row r="2432" spans="1:17" hidden="1" x14ac:dyDescent="0.4">
      <c r="A2432" s="4" t="s">
        <v>23</v>
      </c>
      <c r="B2432" s="4" t="s">
        <v>14</v>
      </c>
      <c r="C2432" s="31" t="s">
        <v>435</v>
      </c>
      <c r="D2432" s="4" t="s">
        <v>24</v>
      </c>
      <c r="E2432" s="4" t="s">
        <v>16</v>
      </c>
      <c r="F2432" s="4" t="s">
        <v>17</v>
      </c>
      <c r="G2432" s="4" t="s">
        <v>18</v>
      </c>
      <c r="H2432" s="4" t="s">
        <v>245</v>
      </c>
      <c r="I2432" s="5" t="str">
        <f t="shared" si="37"/>
        <v>2025-09</v>
      </c>
      <c r="J2432" s="4" t="s">
        <v>49</v>
      </c>
      <c r="K2432" s="5" t="s">
        <v>343</v>
      </c>
      <c r="L2432" s="2">
        <v>55500</v>
      </c>
      <c r="M2432" s="3">
        <v>4</v>
      </c>
      <c r="N2432" s="2">
        <v>222000</v>
      </c>
      <c r="O2432" s="2">
        <v>22200</v>
      </c>
      <c r="P2432" s="2">
        <v>244200</v>
      </c>
      <c r="Q2432" s="2">
        <f>P2432*12%</f>
        <v>29304</v>
      </c>
    </row>
    <row r="2433" spans="1:17" hidden="1" x14ac:dyDescent="0.4">
      <c r="A2433" s="4" t="s">
        <v>51</v>
      </c>
      <c r="B2433" s="4" t="s">
        <v>14</v>
      </c>
      <c r="C2433" s="30" t="s">
        <v>434</v>
      </c>
      <c r="D2433" s="4" t="s">
        <v>52</v>
      </c>
      <c r="E2433" s="4" t="s">
        <v>16</v>
      </c>
      <c r="F2433" s="4" t="s">
        <v>17</v>
      </c>
      <c r="G2433" s="4" t="s">
        <v>18</v>
      </c>
      <c r="H2433" s="4" t="s">
        <v>245</v>
      </c>
      <c r="I2433" s="5" t="str">
        <f t="shared" si="37"/>
        <v>2025-09</v>
      </c>
      <c r="J2433" s="4" t="s">
        <v>49</v>
      </c>
      <c r="K2433" s="5" t="s">
        <v>343</v>
      </c>
      <c r="L2433" s="2">
        <v>73000</v>
      </c>
      <c r="M2433" s="3">
        <v>1</v>
      </c>
      <c r="N2433" s="2">
        <v>73000</v>
      </c>
      <c r="O2433" s="2">
        <v>7300</v>
      </c>
      <c r="P2433" s="2">
        <v>80300</v>
      </c>
      <c r="Q2433" s="2">
        <f>P2433*12%</f>
        <v>9636</v>
      </c>
    </row>
    <row r="2434" spans="1:17" hidden="1" x14ac:dyDescent="0.4">
      <c r="A2434" s="4" t="s">
        <v>13</v>
      </c>
      <c r="B2434" s="4" t="s">
        <v>14</v>
      </c>
      <c r="C2434" s="30" t="s">
        <v>434</v>
      </c>
      <c r="D2434" s="4" t="s">
        <v>15</v>
      </c>
      <c r="E2434" s="4" t="s">
        <v>16</v>
      </c>
      <c r="F2434" s="4" t="s">
        <v>17</v>
      </c>
      <c r="G2434" s="4" t="s">
        <v>18</v>
      </c>
      <c r="H2434" s="4" t="s">
        <v>245</v>
      </c>
      <c r="I2434" s="5" t="str">
        <f t="shared" ref="I2434:I2497" si="38">TEXT(H2434,"yyyy-mm")</f>
        <v>2025-09</v>
      </c>
      <c r="J2434" s="4" t="s">
        <v>50</v>
      </c>
      <c r="K2434" s="5" t="s">
        <v>343</v>
      </c>
      <c r="L2434" s="2">
        <v>42000</v>
      </c>
      <c r="M2434" s="3">
        <v>7</v>
      </c>
      <c r="N2434" s="2">
        <v>294000</v>
      </c>
      <c r="O2434" s="2">
        <v>29400</v>
      </c>
      <c r="P2434" s="2">
        <v>323400</v>
      </c>
      <c r="Q2434" s="2">
        <f>P2434*12%</f>
        <v>38808</v>
      </c>
    </row>
    <row r="2435" spans="1:17" hidden="1" x14ac:dyDescent="0.4">
      <c r="A2435" s="4" t="s">
        <v>23</v>
      </c>
      <c r="B2435" s="4" t="s">
        <v>14</v>
      </c>
      <c r="C2435" s="31" t="s">
        <v>435</v>
      </c>
      <c r="D2435" s="4" t="s">
        <v>24</v>
      </c>
      <c r="E2435" s="4" t="s">
        <v>16</v>
      </c>
      <c r="F2435" s="4" t="s">
        <v>17</v>
      </c>
      <c r="G2435" s="4" t="s">
        <v>18</v>
      </c>
      <c r="H2435" s="4" t="s">
        <v>245</v>
      </c>
      <c r="I2435" s="5" t="str">
        <f t="shared" si="38"/>
        <v>2025-09</v>
      </c>
      <c r="J2435" s="4" t="s">
        <v>50</v>
      </c>
      <c r="K2435" s="5" t="s">
        <v>343</v>
      </c>
      <c r="L2435" s="2">
        <v>55500</v>
      </c>
      <c r="M2435" s="3">
        <v>3</v>
      </c>
      <c r="N2435" s="2">
        <v>166500</v>
      </c>
      <c r="O2435" s="2">
        <v>16650</v>
      </c>
      <c r="P2435" s="2">
        <v>183150</v>
      </c>
      <c r="Q2435" s="2">
        <f>P2435*12%</f>
        <v>21978</v>
      </c>
    </row>
    <row r="2436" spans="1:17" hidden="1" x14ac:dyDescent="0.4">
      <c r="A2436" s="4" t="s">
        <v>51</v>
      </c>
      <c r="B2436" s="4" t="s">
        <v>14</v>
      </c>
      <c r="C2436" s="30" t="s">
        <v>434</v>
      </c>
      <c r="D2436" s="4" t="s">
        <v>52</v>
      </c>
      <c r="E2436" s="4" t="s">
        <v>16</v>
      </c>
      <c r="F2436" s="4" t="s">
        <v>17</v>
      </c>
      <c r="G2436" s="4" t="s">
        <v>18</v>
      </c>
      <c r="H2436" s="4" t="s">
        <v>245</v>
      </c>
      <c r="I2436" s="5" t="str">
        <f t="shared" si="38"/>
        <v>2025-09</v>
      </c>
      <c r="J2436" s="4" t="s">
        <v>50</v>
      </c>
      <c r="K2436" s="5" t="s">
        <v>343</v>
      </c>
      <c r="L2436" s="2">
        <v>73000</v>
      </c>
      <c r="M2436" s="3">
        <v>1</v>
      </c>
      <c r="N2436" s="2">
        <v>73000</v>
      </c>
      <c r="O2436" s="2">
        <v>7300</v>
      </c>
      <c r="P2436" s="2">
        <v>80300</v>
      </c>
      <c r="Q2436" s="2">
        <f>P2436*12%</f>
        <v>9636</v>
      </c>
    </row>
    <row r="2437" spans="1:17" hidden="1" x14ac:dyDescent="0.4">
      <c r="A2437" s="4" t="s">
        <v>13</v>
      </c>
      <c r="B2437" s="4" t="s">
        <v>14</v>
      </c>
      <c r="C2437" s="30" t="s">
        <v>434</v>
      </c>
      <c r="D2437" s="4" t="s">
        <v>15</v>
      </c>
      <c r="E2437" s="4" t="s">
        <v>16</v>
      </c>
      <c r="F2437" s="4" t="s">
        <v>17</v>
      </c>
      <c r="G2437" s="4" t="s">
        <v>18</v>
      </c>
      <c r="H2437" s="4" t="s">
        <v>245</v>
      </c>
      <c r="I2437" s="5" t="str">
        <f t="shared" si="38"/>
        <v>2025-09</v>
      </c>
      <c r="J2437" s="4" t="s">
        <v>159</v>
      </c>
      <c r="K2437" s="5" t="s">
        <v>342</v>
      </c>
      <c r="L2437" s="2">
        <v>42000</v>
      </c>
      <c r="M2437" s="3">
        <v>2</v>
      </c>
      <c r="N2437" s="2">
        <v>84000</v>
      </c>
      <c r="O2437" s="2">
        <v>8400</v>
      </c>
      <c r="P2437" s="2">
        <v>92400</v>
      </c>
      <c r="Q2437" s="2">
        <f>P2437*8.5%</f>
        <v>7854.0000000000009</v>
      </c>
    </row>
    <row r="2438" spans="1:17" hidden="1" x14ac:dyDescent="0.4">
      <c r="A2438" s="4" t="s">
        <v>23</v>
      </c>
      <c r="B2438" s="4" t="s">
        <v>14</v>
      </c>
      <c r="C2438" s="31" t="s">
        <v>435</v>
      </c>
      <c r="D2438" s="4" t="s">
        <v>24</v>
      </c>
      <c r="E2438" s="4" t="s">
        <v>16</v>
      </c>
      <c r="F2438" s="4" t="s">
        <v>17</v>
      </c>
      <c r="G2438" s="4" t="s">
        <v>18</v>
      </c>
      <c r="H2438" s="4" t="s">
        <v>245</v>
      </c>
      <c r="I2438" s="5" t="str">
        <f t="shared" si="38"/>
        <v>2025-09</v>
      </c>
      <c r="J2438" s="4" t="s">
        <v>159</v>
      </c>
      <c r="K2438" s="5" t="s">
        <v>342</v>
      </c>
      <c r="L2438" s="2">
        <v>55500</v>
      </c>
      <c r="M2438" s="3">
        <v>1</v>
      </c>
      <c r="N2438" s="2">
        <v>55500</v>
      </c>
      <c r="O2438" s="2">
        <v>5550</v>
      </c>
      <c r="P2438" s="2">
        <v>61050</v>
      </c>
      <c r="Q2438" s="2">
        <f>P2438*8.5%</f>
        <v>5189.25</v>
      </c>
    </row>
    <row r="2439" spans="1:17" x14ac:dyDescent="0.4">
      <c r="A2439" s="4" t="s">
        <v>58</v>
      </c>
      <c r="B2439" s="4" t="s">
        <v>14</v>
      </c>
      <c r="C2439" s="30" t="s">
        <v>434</v>
      </c>
      <c r="D2439" s="4" t="s">
        <v>36</v>
      </c>
      <c r="E2439" s="4" t="s">
        <v>16</v>
      </c>
      <c r="F2439" s="4" t="s">
        <v>17</v>
      </c>
      <c r="G2439" s="4" t="s">
        <v>18</v>
      </c>
      <c r="H2439" s="4" t="s">
        <v>250</v>
      </c>
      <c r="I2439" s="5" t="str">
        <f t="shared" si="38"/>
        <v>2025-09</v>
      </c>
      <c r="J2439" s="4" t="s">
        <v>20</v>
      </c>
      <c r="K2439" s="5" t="s">
        <v>342</v>
      </c>
      <c r="L2439" s="2">
        <v>120880</v>
      </c>
      <c r="M2439" s="3">
        <v>1</v>
      </c>
      <c r="N2439" s="2">
        <v>120880</v>
      </c>
      <c r="O2439" s="2">
        <v>12088</v>
      </c>
      <c r="P2439" s="2">
        <v>132968</v>
      </c>
      <c r="Q2439" s="2">
        <f>P2439*8.5%</f>
        <v>11302.28</v>
      </c>
    </row>
    <row r="2440" spans="1:17" x14ac:dyDescent="0.4">
      <c r="A2440" s="4" t="s">
        <v>21</v>
      </c>
      <c r="B2440" s="4" t="s">
        <v>14</v>
      </c>
      <c r="C2440" s="31" t="s">
        <v>435</v>
      </c>
      <c r="D2440" s="4" t="s">
        <v>22</v>
      </c>
      <c r="E2440" s="4" t="s">
        <v>16</v>
      </c>
      <c r="F2440" s="4" t="s">
        <v>17</v>
      </c>
      <c r="G2440" s="4" t="s">
        <v>18</v>
      </c>
      <c r="H2440" s="4" t="s">
        <v>250</v>
      </c>
      <c r="I2440" s="5" t="str">
        <f t="shared" si="38"/>
        <v>2025-09</v>
      </c>
      <c r="J2440" s="4" t="s">
        <v>20</v>
      </c>
      <c r="K2440" s="5" t="s">
        <v>342</v>
      </c>
      <c r="L2440" s="2">
        <v>55500</v>
      </c>
      <c r="M2440" s="3">
        <v>2</v>
      </c>
      <c r="N2440" s="2">
        <v>111000</v>
      </c>
      <c r="O2440" s="2">
        <v>11100</v>
      </c>
      <c r="P2440" s="2">
        <v>122100</v>
      </c>
      <c r="Q2440" s="2">
        <f>P2440*8.5%</f>
        <v>10378.5</v>
      </c>
    </row>
    <row r="2441" spans="1:17" x14ac:dyDescent="0.4">
      <c r="A2441" s="4" t="s">
        <v>23</v>
      </c>
      <c r="B2441" s="4" t="s">
        <v>14</v>
      </c>
      <c r="C2441" s="31" t="s">
        <v>435</v>
      </c>
      <c r="D2441" s="4" t="s">
        <v>24</v>
      </c>
      <c r="E2441" s="4" t="s">
        <v>16</v>
      </c>
      <c r="F2441" s="4" t="s">
        <v>17</v>
      </c>
      <c r="G2441" s="4" t="s">
        <v>18</v>
      </c>
      <c r="H2441" s="4" t="s">
        <v>250</v>
      </c>
      <c r="I2441" s="5" t="str">
        <f t="shared" si="38"/>
        <v>2025-09</v>
      </c>
      <c r="J2441" s="4" t="s">
        <v>20</v>
      </c>
      <c r="K2441" s="5" t="s">
        <v>342</v>
      </c>
      <c r="L2441" s="2">
        <v>55500</v>
      </c>
      <c r="M2441" s="3">
        <v>2</v>
      </c>
      <c r="N2441" s="2">
        <v>111000</v>
      </c>
      <c r="O2441" s="2">
        <v>11100</v>
      </c>
      <c r="P2441" s="2">
        <v>122100</v>
      </c>
      <c r="Q2441" s="2">
        <f>P2441*8.5%</f>
        <v>10378.5</v>
      </c>
    </row>
    <row r="2442" spans="1:17" x14ac:dyDescent="0.4">
      <c r="A2442" s="4" t="s">
        <v>100</v>
      </c>
      <c r="B2442" s="4" t="s">
        <v>26</v>
      </c>
      <c r="C2442" s="32" t="s">
        <v>436</v>
      </c>
      <c r="D2442" s="4" t="s">
        <v>101</v>
      </c>
      <c r="E2442" s="4" t="s">
        <v>28</v>
      </c>
      <c r="F2442" s="4" t="s">
        <v>17</v>
      </c>
      <c r="G2442" s="4" t="s">
        <v>18</v>
      </c>
      <c r="H2442" s="4" t="s">
        <v>250</v>
      </c>
      <c r="I2442" s="5" t="str">
        <f t="shared" si="38"/>
        <v>2025-09</v>
      </c>
      <c r="J2442" s="4" t="s">
        <v>20</v>
      </c>
      <c r="K2442" s="5" t="s">
        <v>342</v>
      </c>
      <c r="L2442" s="2">
        <v>5620</v>
      </c>
      <c r="M2442" s="3">
        <v>4</v>
      </c>
      <c r="N2442" s="2">
        <v>22480</v>
      </c>
      <c r="O2442" s="2">
        <v>2248</v>
      </c>
      <c r="P2442" s="2">
        <v>24728</v>
      </c>
      <c r="Q2442" s="2">
        <f>P2442*8.5%</f>
        <v>2101.88</v>
      </c>
    </row>
    <row r="2443" spans="1:17" x14ac:dyDescent="0.4">
      <c r="A2443" s="4" t="s">
        <v>56</v>
      </c>
      <c r="B2443" s="4" t="s">
        <v>26</v>
      </c>
      <c r="C2443" s="32" t="s">
        <v>436</v>
      </c>
      <c r="D2443" s="4" t="s">
        <v>57</v>
      </c>
      <c r="E2443" s="4" t="s">
        <v>44</v>
      </c>
      <c r="F2443" s="4" t="s">
        <v>31</v>
      </c>
      <c r="G2443" s="4" t="s">
        <v>18</v>
      </c>
      <c r="H2443" s="4" t="s">
        <v>250</v>
      </c>
      <c r="I2443" s="5" t="str">
        <f t="shared" si="38"/>
        <v>2025-09</v>
      </c>
      <c r="J2443" s="4" t="s">
        <v>20</v>
      </c>
      <c r="K2443" s="5" t="s">
        <v>342</v>
      </c>
      <c r="L2443" s="2">
        <v>3049</v>
      </c>
      <c r="M2443" s="3">
        <v>20</v>
      </c>
      <c r="N2443" s="2">
        <v>60980</v>
      </c>
      <c r="O2443" s="2">
        <v>0</v>
      </c>
      <c r="P2443" s="2">
        <v>60980</v>
      </c>
      <c r="Q2443" s="2">
        <f>P2443*8.5%</f>
        <v>5183.3</v>
      </c>
    </row>
    <row r="2444" spans="1:17" hidden="1" x14ac:dyDescent="0.4">
      <c r="A2444" s="4" t="s">
        <v>32</v>
      </c>
      <c r="B2444" s="4" t="s">
        <v>14</v>
      </c>
      <c r="C2444" s="31" t="s">
        <v>435</v>
      </c>
      <c r="D2444" s="4" t="s">
        <v>33</v>
      </c>
      <c r="E2444" s="4" t="s">
        <v>16</v>
      </c>
      <c r="F2444" s="4" t="s">
        <v>17</v>
      </c>
      <c r="G2444" s="4" t="s">
        <v>18</v>
      </c>
      <c r="H2444" s="4" t="s">
        <v>250</v>
      </c>
      <c r="I2444" s="5" t="str">
        <f t="shared" si="38"/>
        <v>2025-09</v>
      </c>
      <c r="J2444" s="4" t="s">
        <v>118</v>
      </c>
      <c r="K2444" s="5" t="s">
        <v>342</v>
      </c>
      <c r="L2444" s="2">
        <v>44000</v>
      </c>
      <c r="M2444" s="3">
        <v>1</v>
      </c>
      <c r="N2444" s="2">
        <v>44000</v>
      </c>
      <c r="O2444" s="2">
        <v>4400</v>
      </c>
      <c r="P2444" s="2">
        <v>48400</v>
      </c>
      <c r="Q2444" s="2">
        <f>P2444*8.5%</f>
        <v>4114</v>
      </c>
    </row>
    <row r="2445" spans="1:17" hidden="1" x14ac:dyDescent="0.4">
      <c r="A2445" s="4" t="s">
        <v>13</v>
      </c>
      <c r="B2445" s="4" t="s">
        <v>14</v>
      </c>
      <c r="C2445" s="30" t="s">
        <v>434</v>
      </c>
      <c r="D2445" s="4" t="s">
        <v>15</v>
      </c>
      <c r="E2445" s="4" t="s">
        <v>16</v>
      </c>
      <c r="F2445" s="4" t="s">
        <v>17</v>
      </c>
      <c r="G2445" s="4" t="s">
        <v>18</v>
      </c>
      <c r="H2445" s="4" t="s">
        <v>250</v>
      </c>
      <c r="I2445" s="5" t="str">
        <f t="shared" si="38"/>
        <v>2025-09</v>
      </c>
      <c r="J2445" s="4" t="s">
        <v>118</v>
      </c>
      <c r="K2445" s="5" t="s">
        <v>342</v>
      </c>
      <c r="L2445" s="2">
        <v>42000</v>
      </c>
      <c r="M2445" s="3">
        <v>2</v>
      </c>
      <c r="N2445" s="2">
        <v>84000</v>
      </c>
      <c r="O2445" s="2">
        <v>8400</v>
      </c>
      <c r="P2445" s="2">
        <v>92400</v>
      </c>
      <c r="Q2445" s="2">
        <f>P2445*8.5%</f>
        <v>7854.0000000000009</v>
      </c>
    </row>
    <row r="2446" spans="1:17" hidden="1" x14ac:dyDescent="0.4">
      <c r="A2446" s="4" t="s">
        <v>23</v>
      </c>
      <c r="B2446" s="4" t="s">
        <v>14</v>
      </c>
      <c r="C2446" s="31" t="s">
        <v>435</v>
      </c>
      <c r="D2446" s="4" t="s">
        <v>24</v>
      </c>
      <c r="E2446" s="4" t="s">
        <v>16</v>
      </c>
      <c r="F2446" s="4" t="s">
        <v>17</v>
      </c>
      <c r="G2446" s="4" t="s">
        <v>18</v>
      </c>
      <c r="H2446" s="4" t="s">
        <v>250</v>
      </c>
      <c r="I2446" s="5" t="str">
        <f t="shared" si="38"/>
        <v>2025-09</v>
      </c>
      <c r="J2446" s="4" t="s">
        <v>118</v>
      </c>
      <c r="K2446" s="5" t="s">
        <v>342</v>
      </c>
      <c r="L2446" s="2">
        <v>55500</v>
      </c>
      <c r="M2446" s="3">
        <v>1</v>
      </c>
      <c r="N2446" s="2">
        <v>55500</v>
      </c>
      <c r="O2446" s="2">
        <v>5550</v>
      </c>
      <c r="P2446" s="2">
        <v>61050</v>
      </c>
      <c r="Q2446" s="2">
        <f>P2446*8.5%</f>
        <v>5189.25</v>
      </c>
    </row>
    <row r="2447" spans="1:17" hidden="1" x14ac:dyDescent="0.4">
      <c r="A2447" s="4" t="s">
        <v>51</v>
      </c>
      <c r="B2447" s="4" t="s">
        <v>14</v>
      </c>
      <c r="C2447" s="30" t="s">
        <v>434</v>
      </c>
      <c r="D2447" s="4" t="s">
        <v>52</v>
      </c>
      <c r="E2447" s="4" t="s">
        <v>16</v>
      </c>
      <c r="F2447" s="4" t="s">
        <v>17</v>
      </c>
      <c r="G2447" s="4" t="s">
        <v>18</v>
      </c>
      <c r="H2447" s="4" t="s">
        <v>250</v>
      </c>
      <c r="I2447" s="5" t="str">
        <f t="shared" si="38"/>
        <v>2025-09</v>
      </c>
      <c r="J2447" s="4" t="s">
        <v>118</v>
      </c>
      <c r="K2447" s="5" t="s">
        <v>342</v>
      </c>
      <c r="L2447" s="2">
        <v>73000</v>
      </c>
      <c r="M2447" s="3">
        <v>1</v>
      </c>
      <c r="N2447" s="2">
        <v>73000</v>
      </c>
      <c r="O2447" s="2">
        <v>7300</v>
      </c>
      <c r="P2447" s="2">
        <v>80300</v>
      </c>
      <c r="Q2447" s="2">
        <f>P2447*8.5%</f>
        <v>6825.5000000000009</v>
      </c>
    </row>
    <row r="2448" spans="1:17" hidden="1" x14ac:dyDescent="0.4">
      <c r="A2448" s="4" t="s">
        <v>64</v>
      </c>
      <c r="B2448" s="4" t="s">
        <v>65</v>
      </c>
      <c r="C2448" s="32" t="s">
        <v>436</v>
      </c>
      <c r="D2448" s="4" t="s">
        <v>66</v>
      </c>
      <c r="E2448" s="4" t="s">
        <v>16</v>
      </c>
      <c r="F2448" s="4" t="s">
        <v>17</v>
      </c>
      <c r="G2448" s="4" t="s">
        <v>18</v>
      </c>
      <c r="H2448" s="4" t="s">
        <v>250</v>
      </c>
      <c r="I2448" s="5" t="str">
        <f t="shared" si="38"/>
        <v>2025-09</v>
      </c>
      <c r="J2448" s="4" t="s">
        <v>34</v>
      </c>
      <c r="K2448" s="5" t="s">
        <v>342</v>
      </c>
      <c r="L2448" s="2">
        <v>10283</v>
      </c>
      <c r="M2448" s="3">
        <v>1</v>
      </c>
      <c r="N2448" s="2">
        <v>10283</v>
      </c>
      <c r="O2448" s="2">
        <v>1028</v>
      </c>
      <c r="P2448" s="2">
        <v>11311</v>
      </c>
      <c r="Q2448" s="2">
        <f>P2448*8.5%</f>
        <v>961.43500000000006</v>
      </c>
    </row>
    <row r="2449" spans="1:17" hidden="1" x14ac:dyDescent="0.4">
      <c r="A2449" s="4" t="s">
        <v>58</v>
      </c>
      <c r="B2449" s="4" t="s">
        <v>14</v>
      </c>
      <c r="C2449" s="30" t="s">
        <v>434</v>
      </c>
      <c r="D2449" s="4" t="s">
        <v>36</v>
      </c>
      <c r="E2449" s="4" t="s">
        <v>16</v>
      </c>
      <c r="F2449" s="4" t="s">
        <v>17</v>
      </c>
      <c r="G2449" s="4" t="s">
        <v>18</v>
      </c>
      <c r="H2449" s="4" t="s">
        <v>250</v>
      </c>
      <c r="I2449" s="5" t="str">
        <f t="shared" si="38"/>
        <v>2025-09</v>
      </c>
      <c r="J2449" s="4" t="s">
        <v>34</v>
      </c>
      <c r="K2449" s="5" t="s">
        <v>342</v>
      </c>
      <c r="L2449" s="2">
        <v>120880</v>
      </c>
      <c r="M2449" s="3">
        <v>1</v>
      </c>
      <c r="N2449" s="2">
        <v>120880</v>
      </c>
      <c r="O2449" s="2">
        <v>12088</v>
      </c>
      <c r="P2449" s="2">
        <v>132968</v>
      </c>
      <c r="Q2449" s="2">
        <f>P2449*8.5%</f>
        <v>11302.28</v>
      </c>
    </row>
    <row r="2450" spans="1:17" hidden="1" x14ac:dyDescent="0.4">
      <c r="A2450" s="4" t="s">
        <v>13</v>
      </c>
      <c r="B2450" s="4" t="s">
        <v>14</v>
      </c>
      <c r="C2450" s="30" t="s">
        <v>434</v>
      </c>
      <c r="D2450" s="4" t="s">
        <v>15</v>
      </c>
      <c r="E2450" s="4" t="s">
        <v>16</v>
      </c>
      <c r="F2450" s="4" t="s">
        <v>17</v>
      </c>
      <c r="G2450" s="4" t="s">
        <v>18</v>
      </c>
      <c r="H2450" s="4" t="s">
        <v>250</v>
      </c>
      <c r="I2450" s="5" t="str">
        <f t="shared" si="38"/>
        <v>2025-09</v>
      </c>
      <c r="J2450" s="4" t="s">
        <v>34</v>
      </c>
      <c r="K2450" s="5" t="s">
        <v>342</v>
      </c>
      <c r="L2450" s="2">
        <v>42000</v>
      </c>
      <c r="M2450" s="3">
        <v>6</v>
      </c>
      <c r="N2450" s="2">
        <v>252000</v>
      </c>
      <c r="O2450" s="2">
        <v>25200</v>
      </c>
      <c r="P2450" s="2">
        <v>277200</v>
      </c>
      <c r="Q2450" s="2">
        <f>P2450*8.5%</f>
        <v>23562</v>
      </c>
    </row>
    <row r="2451" spans="1:17" hidden="1" x14ac:dyDescent="0.4">
      <c r="A2451" s="4" t="s">
        <v>21</v>
      </c>
      <c r="B2451" s="4" t="s">
        <v>14</v>
      </c>
      <c r="C2451" s="31" t="s">
        <v>435</v>
      </c>
      <c r="D2451" s="4" t="s">
        <v>22</v>
      </c>
      <c r="E2451" s="4" t="s">
        <v>16</v>
      </c>
      <c r="F2451" s="4" t="s">
        <v>17</v>
      </c>
      <c r="G2451" s="4" t="s">
        <v>18</v>
      </c>
      <c r="H2451" s="4" t="s">
        <v>250</v>
      </c>
      <c r="I2451" s="5" t="str">
        <f t="shared" si="38"/>
        <v>2025-09</v>
      </c>
      <c r="J2451" s="4" t="s">
        <v>34</v>
      </c>
      <c r="K2451" s="5" t="s">
        <v>342</v>
      </c>
      <c r="L2451" s="2">
        <v>55500</v>
      </c>
      <c r="M2451" s="3">
        <v>1</v>
      </c>
      <c r="N2451" s="2">
        <v>55500</v>
      </c>
      <c r="O2451" s="2">
        <v>5550</v>
      </c>
      <c r="P2451" s="2">
        <v>61050</v>
      </c>
      <c r="Q2451" s="2">
        <f>P2451*8.5%</f>
        <v>5189.25</v>
      </c>
    </row>
    <row r="2452" spans="1:17" hidden="1" x14ac:dyDescent="0.4">
      <c r="A2452" s="4" t="s">
        <v>23</v>
      </c>
      <c r="B2452" s="4" t="s">
        <v>14</v>
      </c>
      <c r="C2452" s="31" t="s">
        <v>435</v>
      </c>
      <c r="D2452" s="4" t="s">
        <v>24</v>
      </c>
      <c r="E2452" s="4" t="s">
        <v>16</v>
      </c>
      <c r="F2452" s="4" t="s">
        <v>17</v>
      </c>
      <c r="G2452" s="4" t="s">
        <v>18</v>
      </c>
      <c r="H2452" s="4" t="s">
        <v>250</v>
      </c>
      <c r="I2452" s="5" t="str">
        <f t="shared" si="38"/>
        <v>2025-09</v>
      </c>
      <c r="J2452" s="4" t="s">
        <v>34</v>
      </c>
      <c r="K2452" s="5" t="s">
        <v>342</v>
      </c>
      <c r="L2452" s="2">
        <v>55500</v>
      </c>
      <c r="M2452" s="3">
        <v>4</v>
      </c>
      <c r="N2452" s="2">
        <v>222000</v>
      </c>
      <c r="O2452" s="2">
        <v>22200</v>
      </c>
      <c r="P2452" s="2">
        <v>244200</v>
      </c>
      <c r="Q2452" s="2">
        <f>P2452*8.5%</f>
        <v>20757</v>
      </c>
    </row>
    <row r="2453" spans="1:17" hidden="1" x14ac:dyDescent="0.4">
      <c r="A2453" s="4" t="s">
        <v>51</v>
      </c>
      <c r="B2453" s="4" t="s">
        <v>14</v>
      </c>
      <c r="C2453" s="30" t="s">
        <v>434</v>
      </c>
      <c r="D2453" s="4" t="s">
        <v>52</v>
      </c>
      <c r="E2453" s="4" t="s">
        <v>16</v>
      </c>
      <c r="F2453" s="4" t="s">
        <v>17</v>
      </c>
      <c r="G2453" s="4" t="s">
        <v>18</v>
      </c>
      <c r="H2453" s="4" t="s">
        <v>250</v>
      </c>
      <c r="I2453" s="5" t="str">
        <f t="shared" si="38"/>
        <v>2025-09</v>
      </c>
      <c r="J2453" s="4" t="s">
        <v>34</v>
      </c>
      <c r="K2453" s="5" t="s">
        <v>342</v>
      </c>
      <c r="L2453" s="2">
        <v>73000</v>
      </c>
      <c r="M2453" s="3">
        <v>1</v>
      </c>
      <c r="N2453" s="2">
        <v>73000</v>
      </c>
      <c r="O2453" s="2">
        <v>7300</v>
      </c>
      <c r="P2453" s="2">
        <v>80300</v>
      </c>
      <c r="Q2453" s="2">
        <f>P2453*8.5%</f>
        <v>6825.5000000000009</v>
      </c>
    </row>
    <row r="2454" spans="1:17" hidden="1" x14ac:dyDescent="0.4">
      <c r="A2454" s="4" t="s">
        <v>86</v>
      </c>
      <c r="B2454" s="4" t="s">
        <v>26</v>
      </c>
      <c r="C2454" s="32" t="s">
        <v>436</v>
      </c>
      <c r="D2454" s="4" t="s">
        <v>78</v>
      </c>
      <c r="E2454" s="4" t="s">
        <v>28</v>
      </c>
      <c r="F2454" s="4" t="s">
        <v>17</v>
      </c>
      <c r="G2454" s="4" t="s">
        <v>18</v>
      </c>
      <c r="H2454" s="4" t="s">
        <v>250</v>
      </c>
      <c r="I2454" s="5" t="str">
        <f t="shared" si="38"/>
        <v>2025-09</v>
      </c>
      <c r="J2454" s="4" t="s">
        <v>34</v>
      </c>
      <c r="K2454" s="5" t="s">
        <v>342</v>
      </c>
      <c r="L2454" s="2">
        <v>15544</v>
      </c>
      <c r="M2454" s="3">
        <v>1</v>
      </c>
      <c r="N2454" s="2">
        <v>15544</v>
      </c>
      <c r="O2454" s="2">
        <v>1554</v>
      </c>
      <c r="P2454" s="2">
        <v>17098</v>
      </c>
      <c r="Q2454" s="2">
        <f>P2454*8.5%</f>
        <v>1453.3300000000002</v>
      </c>
    </row>
    <row r="2455" spans="1:17" hidden="1" x14ac:dyDescent="0.4">
      <c r="A2455" s="4" t="s">
        <v>246</v>
      </c>
      <c r="B2455" s="4" t="s">
        <v>26</v>
      </c>
      <c r="C2455" s="32" t="s">
        <v>436</v>
      </c>
      <c r="D2455" s="4" t="s">
        <v>247</v>
      </c>
      <c r="E2455" s="4" t="s">
        <v>28</v>
      </c>
      <c r="F2455" s="4" t="s">
        <v>17</v>
      </c>
      <c r="G2455" s="4" t="s">
        <v>18</v>
      </c>
      <c r="H2455" s="4" t="s">
        <v>250</v>
      </c>
      <c r="I2455" s="5" t="str">
        <f t="shared" si="38"/>
        <v>2025-09</v>
      </c>
      <c r="J2455" s="4" t="s">
        <v>34</v>
      </c>
      <c r="K2455" s="5" t="s">
        <v>342</v>
      </c>
      <c r="L2455" s="2">
        <v>957</v>
      </c>
      <c r="M2455" s="3">
        <v>5</v>
      </c>
      <c r="N2455" s="2">
        <v>4785</v>
      </c>
      <c r="O2455" s="2">
        <v>479</v>
      </c>
      <c r="P2455" s="2">
        <v>5264</v>
      </c>
      <c r="Q2455" s="2">
        <f>P2455*8.5%</f>
        <v>447.44000000000005</v>
      </c>
    </row>
    <row r="2456" spans="1:17" hidden="1" x14ac:dyDescent="0.4">
      <c r="A2456" s="4" t="s">
        <v>42</v>
      </c>
      <c r="B2456" s="4" t="s">
        <v>14</v>
      </c>
      <c r="C2456" s="30" t="s">
        <v>434</v>
      </c>
      <c r="D2456" s="4" t="s">
        <v>43</v>
      </c>
      <c r="E2456" s="4" t="s">
        <v>44</v>
      </c>
      <c r="F2456" s="4" t="s">
        <v>31</v>
      </c>
      <c r="G2456" s="4" t="s">
        <v>18</v>
      </c>
      <c r="H2456" s="4" t="s">
        <v>250</v>
      </c>
      <c r="I2456" s="5" t="str">
        <f t="shared" si="38"/>
        <v>2025-09</v>
      </c>
      <c r="J2456" s="4" t="s">
        <v>34</v>
      </c>
      <c r="K2456" s="5" t="s">
        <v>342</v>
      </c>
      <c r="L2456" s="2">
        <v>7300</v>
      </c>
      <c r="M2456" s="3">
        <v>72.2</v>
      </c>
      <c r="N2456" s="2">
        <v>527060</v>
      </c>
      <c r="O2456" s="2">
        <v>0</v>
      </c>
      <c r="P2456" s="2">
        <v>527060</v>
      </c>
      <c r="Q2456" s="2">
        <f>P2456*8.5%</f>
        <v>44800.100000000006</v>
      </c>
    </row>
    <row r="2457" spans="1:17" hidden="1" x14ac:dyDescent="0.4">
      <c r="A2457" s="4" t="s">
        <v>13</v>
      </c>
      <c r="B2457" s="4" t="s">
        <v>14</v>
      </c>
      <c r="C2457" s="30" t="s">
        <v>434</v>
      </c>
      <c r="D2457" s="4" t="s">
        <v>15</v>
      </c>
      <c r="E2457" s="4" t="s">
        <v>16</v>
      </c>
      <c r="F2457" s="4" t="s">
        <v>17</v>
      </c>
      <c r="G2457" s="4" t="s">
        <v>18</v>
      </c>
      <c r="H2457" s="4" t="s">
        <v>250</v>
      </c>
      <c r="I2457" s="5" t="str">
        <f t="shared" si="38"/>
        <v>2025-09</v>
      </c>
      <c r="J2457" s="4" t="s">
        <v>59</v>
      </c>
      <c r="K2457" s="5" t="s">
        <v>343</v>
      </c>
      <c r="L2457" s="2">
        <v>42000</v>
      </c>
      <c r="M2457" s="3">
        <v>2</v>
      </c>
      <c r="N2457" s="2">
        <v>84000</v>
      </c>
      <c r="O2457" s="2">
        <v>8400</v>
      </c>
      <c r="P2457" s="2">
        <v>92400</v>
      </c>
      <c r="Q2457" s="2">
        <f>P2457*12%</f>
        <v>11088</v>
      </c>
    </row>
    <row r="2458" spans="1:17" hidden="1" x14ac:dyDescent="0.4">
      <c r="A2458" s="4" t="s">
        <v>35</v>
      </c>
      <c r="B2458" s="4" t="s">
        <v>14</v>
      </c>
      <c r="C2458" s="30" t="s">
        <v>434</v>
      </c>
      <c r="D2458" s="4" t="s">
        <v>36</v>
      </c>
      <c r="E2458" s="4" t="s">
        <v>16</v>
      </c>
      <c r="F2458" s="4" t="s">
        <v>17</v>
      </c>
      <c r="G2458" s="4" t="s">
        <v>18</v>
      </c>
      <c r="H2458" s="4" t="s">
        <v>250</v>
      </c>
      <c r="I2458" s="5" t="str">
        <f t="shared" si="38"/>
        <v>2025-09</v>
      </c>
      <c r="J2458" s="4" t="s">
        <v>59</v>
      </c>
      <c r="K2458" s="5" t="s">
        <v>343</v>
      </c>
      <c r="L2458" s="2">
        <v>116220</v>
      </c>
      <c r="M2458" s="3">
        <v>1</v>
      </c>
      <c r="N2458" s="2">
        <v>116220</v>
      </c>
      <c r="O2458" s="2">
        <v>11622</v>
      </c>
      <c r="P2458" s="2">
        <v>127842</v>
      </c>
      <c r="Q2458" s="2">
        <f>P2458*12%</f>
        <v>15341.039999999999</v>
      </c>
    </row>
    <row r="2459" spans="1:17" hidden="1" x14ac:dyDescent="0.4">
      <c r="A2459" s="4" t="s">
        <v>23</v>
      </c>
      <c r="B2459" s="4" t="s">
        <v>14</v>
      </c>
      <c r="C2459" s="31" t="s">
        <v>435</v>
      </c>
      <c r="D2459" s="4" t="s">
        <v>24</v>
      </c>
      <c r="E2459" s="4" t="s">
        <v>16</v>
      </c>
      <c r="F2459" s="4" t="s">
        <v>17</v>
      </c>
      <c r="G2459" s="4" t="s">
        <v>18</v>
      </c>
      <c r="H2459" s="4" t="s">
        <v>250</v>
      </c>
      <c r="I2459" s="5" t="str">
        <f t="shared" si="38"/>
        <v>2025-09</v>
      </c>
      <c r="J2459" s="4" t="s">
        <v>59</v>
      </c>
      <c r="K2459" s="5" t="s">
        <v>343</v>
      </c>
      <c r="L2459" s="2">
        <v>55500</v>
      </c>
      <c r="M2459" s="3">
        <v>1</v>
      </c>
      <c r="N2459" s="2">
        <v>55500</v>
      </c>
      <c r="O2459" s="2">
        <v>5550</v>
      </c>
      <c r="P2459" s="2">
        <v>61050</v>
      </c>
      <c r="Q2459" s="2">
        <f>P2459*12%</f>
        <v>7326</v>
      </c>
    </row>
    <row r="2460" spans="1:17" hidden="1" x14ac:dyDescent="0.4">
      <c r="A2460" s="4" t="s">
        <v>13</v>
      </c>
      <c r="B2460" s="4" t="s">
        <v>14</v>
      </c>
      <c r="C2460" s="30" t="s">
        <v>434</v>
      </c>
      <c r="D2460" s="4" t="s">
        <v>15</v>
      </c>
      <c r="E2460" s="4" t="s">
        <v>16</v>
      </c>
      <c r="F2460" s="4" t="s">
        <v>17</v>
      </c>
      <c r="G2460" s="4" t="s">
        <v>18</v>
      </c>
      <c r="H2460" s="4" t="s">
        <v>250</v>
      </c>
      <c r="I2460" s="5" t="str">
        <f t="shared" si="38"/>
        <v>2025-09</v>
      </c>
      <c r="J2460" s="4" t="s">
        <v>153</v>
      </c>
      <c r="K2460" s="5" t="s">
        <v>343</v>
      </c>
      <c r="L2460" s="2">
        <v>42000</v>
      </c>
      <c r="M2460" s="3">
        <v>6</v>
      </c>
      <c r="N2460" s="2">
        <v>252000</v>
      </c>
      <c r="O2460" s="2">
        <v>25200</v>
      </c>
      <c r="P2460" s="2">
        <v>277200</v>
      </c>
      <c r="Q2460" s="2">
        <f>P2460*12%</f>
        <v>33264</v>
      </c>
    </row>
    <row r="2461" spans="1:17" hidden="1" x14ac:dyDescent="0.4">
      <c r="A2461" s="4" t="s">
        <v>51</v>
      </c>
      <c r="B2461" s="4" t="s">
        <v>14</v>
      </c>
      <c r="C2461" s="30" t="s">
        <v>434</v>
      </c>
      <c r="D2461" s="4" t="s">
        <v>52</v>
      </c>
      <c r="E2461" s="4" t="s">
        <v>16</v>
      </c>
      <c r="F2461" s="4" t="s">
        <v>17</v>
      </c>
      <c r="G2461" s="4" t="s">
        <v>18</v>
      </c>
      <c r="H2461" s="4" t="s">
        <v>250</v>
      </c>
      <c r="I2461" s="5" t="str">
        <f t="shared" si="38"/>
        <v>2025-09</v>
      </c>
      <c r="J2461" s="4" t="s">
        <v>153</v>
      </c>
      <c r="K2461" s="5" t="s">
        <v>343</v>
      </c>
      <c r="L2461" s="2">
        <v>73000</v>
      </c>
      <c r="M2461" s="3">
        <v>2</v>
      </c>
      <c r="N2461" s="2">
        <v>146000</v>
      </c>
      <c r="O2461" s="2">
        <v>14600</v>
      </c>
      <c r="P2461" s="2">
        <v>160600</v>
      </c>
      <c r="Q2461" s="2">
        <f>P2461*12%</f>
        <v>19272</v>
      </c>
    </row>
    <row r="2462" spans="1:17" hidden="1" x14ac:dyDescent="0.4">
      <c r="A2462" s="4" t="s">
        <v>35</v>
      </c>
      <c r="B2462" s="4" t="s">
        <v>14</v>
      </c>
      <c r="C2462" s="30" t="s">
        <v>434</v>
      </c>
      <c r="D2462" s="4" t="s">
        <v>36</v>
      </c>
      <c r="E2462" s="4" t="s">
        <v>16</v>
      </c>
      <c r="F2462" s="4" t="s">
        <v>17</v>
      </c>
      <c r="G2462" s="4" t="s">
        <v>18</v>
      </c>
      <c r="H2462" s="4" t="s">
        <v>250</v>
      </c>
      <c r="I2462" s="5" t="str">
        <f t="shared" si="38"/>
        <v>2025-09</v>
      </c>
      <c r="J2462" s="4" t="s">
        <v>60</v>
      </c>
      <c r="K2462" s="5" t="s">
        <v>343</v>
      </c>
      <c r="L2462" s="2">
        <v>116220</v>
      </c>
      <c r="M2462" s="3">
        <v>4</v>
      </c>
      <c r="N2462" s="2">
        <v>464880</v>
      </c>
      <c r="O2462" s="2">
        <v>46488</v>
      </c>
      <c r="P2462" s="2">
        <v>511368</v>
      </c>
      <c r="Q2462" s="2">
        <f>P2462*12%</f>
        <v>61364.159999999996</v>
      </c>
    </row>
    <row r="2463" spans="1:17" hidden="1" x14ac:dyDescent="0.4">
      <c r="A2463" s="4" t="s">
        <v>23</v>
      </c>
      <c r="B2463" s="4" t="s">
        <v>14</v>
      </c>
      <c r="C2463" s="31" t="s">
        <v>435</v>
      </c>
      <c r="D2463" s="4" t="s">
        <v>24</v>
      </c>
      <c r="E2463" s="4" t="s">
        <v>16</v>
      </c>
      <c r="F2463" s="4" t="s">
        <v>17</v>
      </c>
      <c r="G2463" s="4" t="s">
        <v>18</v>
      </c>
      <c r="H2463" s="4" t="s">
        <v>250</v>
      </c>
      <c r="I2463" s="5" t="str">
        <f t="shared" si="38"/>
        <v>2025-09</v>
      </c>
      <c r="J2463" s="4" t="s">
        <v>60</v>
      </c>
      <c r="K2463" s="5" t="s">
        <v>343</v>
      </c>
      <c r="L2463" s="2">
        <v>55500</v>
      </c>
      <c r="M2463" s="3">
        <v>7</v>
      </c>
      <c r="N2463" s="2">
        <v>388500</v>
      </c>
      <c r="O2463" s="2">
        <v>38850</v>
      </c>
      <c r="P2463" s="2">
        <v>427350</v>
      </c>
      <c r="Q2463" s="2">
        <f>P2463*12%</f>
        <v>51282</v>
      </c>
    </row>
    <row r="2464" spans="1:17" hidden="1" x14ac:dyDescent="0.4">
      <c r="A2464" s="4" t="s">
        <v>51</v>
      </c>
      <c r="B2464" s="4" t="s">
        <v>14</v>
      </c>
      <c r="C2464" s="30" t="s">
        <v>434</v>
      </c>
      <c r="D2464" s="4" t="s">
        <v>52</v>
      </c>
      <c r="E2464" s="4" t="s">
        <v>16</v>
      </c>
      <c r="F2464" s="4" t="s">
        <v>17</v>
      </c>
      <c r="G2464" s="4" t="s">
        <v>18</v>
      </c>
      <c r="H2464" s="4" t="s">
        <v>250</v>
      </c>
      <c r="I2464" s="5" t="str">
        <f t="shared" si="38"/>
        <v>2025-09</v>
      </c>
      <c r="J2464" s="4" t="s">
        <v>60</v>
      </c>
      <c r="K2464" s="5" t="s">
        <v>343</v>
      </c>
      <c r="L2464" s="2">
        <v>73000</v>
      </c>
      <c r="M2464" s="3">
        <v>1</v>
      </c>
      <c r="N2464" s="2">
        <v>73000</v>
      </c>
      <c r="O2464" s="2">
        <v>7300</v>
      </c>
      <c r="P2464" s="2">
        <v>80300</v>
      </c>
      <c r="Q2464" s="2">
        <f>P2464*12%</f>
        <v>9636</v>
      </c>
    </row>
    <row r="2465" spans="1:17" hidden="1" x14ac:dyDescent="0.4">
      <c r="A2465" s="4" t="s">
        <v>32</v>
      </c>
      <c r="B2465" s="4" t="s">
        <v>14</v>
      </c>
      <c r="C2465" s="31" t="s">
        <v>435</v>
      </c>
      <c r="D2465" s="4" t="s">
        <v>33</v>
      </c>
      <c r="E2465" s="4" t="s">
        <v>16</v>
      </c>
      <c r="F2465" s="4" t="s">
        <v>17</v>
      </c>
      <c r="G2465" s="4" t="s">
        <v>18</v>
      </c>
      <c r="H2465" s="4" t="s">
        <v>250</v>
      </c>
      <c r="I2465" s="5" t="str">
        <f t="shared" si="38"/>
        <v>2025-09</v>
      </c>
      <c r="J2465" s="4" t="s">
        <v>49</v>
      </c>
      <c r="K2465" s="5" t="s">
        <v>343</v>
      </c>
      <c r="L2465" s="2">
        <v>44000</v>
      </c>
      <c r="M2465" s="3">
        <v>3</v>
      </c>
      <c r="N2465" s="2">
        <v>132000</v>
      </c>
      <c r="O2465" s="2">
        <v>13200</v>
      </c>
      <c r="P2465" s="2">
        <v>145200</v>
      </c>
      <c r="Q2465" s="2">
        <f>P2465*12%</f>
        <v>17424</v>
      </c>
    </row>
    <row r="2466" spans="1:17" hidden="1" x14ac:dyDescent="0.4">
      <c r="A2466" s="4" t="s">
        <v>13</v>
      </c>
      <c r="B2466" s="4" t="s">
        <v>14</v>
      </c>
      <c r="C2466" s="30" t="s">
        <v>434</v>
      </c>
      <c r="D2466" s="4" t="s">
        <v>15</v>
      </c>
      <c r="E2466" s="4" t="s">
        <v>16</v>
      </c>
      <c r="F2466" s="4" t="s">
        <v>17</v>
      </c>
      <c r="G2466" s="4" t="s">
        <v>18</v>
      </c>
      <c r="H2466" s="4" t="s">
        <v>250</v>
      </c>
      <c r="I2466" s="5" t="str">
        <f t="shared" si="38"/>
        <v>2025-09</v>
      </c>
      <c r="J2466" s="4" t="s">
        <v>49</v>
      </c>
      <c r="K2466" s="5" t="s">
        <v>343</v>
      </c>
      <c r="L2466" s="2">
        <v>42000</v>
      </c>
      <c r="M2466" s="3">
        <v>5</v>
      </c>
      <c r="N2466" s="2">
        <v>210000</v>
      </c>
      <c r="O2466" s="2">
        <v>21000</v>
      </c>
      <c r="P2466" s="2">
        <v>231000</v>
      </c>
      <c r="Q2466" s="2">
        <f>P2466*12%</f>
        <v>27720</v>
      </c>
    </row>
    <row r="2467" spans="1:17" hidden="1" x14ac:dyDescent="0.4">
      <c r="A2467" s="4" t="s">
        <v>35</v>
      </c>
      <c r="B2467" s="4" t="s">
        <v>14</v>
      </c>
      <c r="C2467" s="30" t="s">
        <v>434</v>
      </c>
      <c r="D2467" s="4" t="s">
        <v>36</v>
      </c>
      <c r="E2467" s="4" t="s">
        <v>16</v>
      </c>
      <c r="F2467" s="4" t="s">
        <v>17</v>
      </c>
      <c r="G2467" s="4" t="s">
        <v>18</v>
      </c>
      <c r="H2467" s="4" t="s">
        <v>250</v>
      </c>
      <c r="I2467" s="5" t="str">
        <f t="shared" si="38"/>
        <v>2025-09</v>
      </c>
      <c r="J2467" s="4" t="s">
        <v>49</v>
      </c>
      <c r="K2467" s="5" t="s">
        <v>343</v>
      </c>
      <c r="L2467" s="2">
        <v>116220</v>
      </c>
      <c r="M2467" s="3">
        <v>1</v>
      </c>
      <c r="N2467" s="2">
        <v>116220</v>
      </c>
      <c r="O2467" s="2">
        <v>11622</v>
      </c>
      <c r="P2467" s="2">
        <v>127842</v>
      </c>
      <c r="Q2467" s="2">
        <f>P2467*12%</f>
        <v>15341.039999999999</v>
      </c>
    </row>
    <row r="2468" spans="1:17" hidden="1" x14ac:dyDescent="0.4">
      <c r="A2468" s="4" t="s">
        <v>23</v>
      </c>
      <c r="B2468" s="4" t="s">
        <v>14</v>
      </c>
      <c r="C2468" s="31" t="s">
        <v>435</v>
      </c>
      <c r="D2468" s="4" t="s">
        <v>24</v>
      </c>
      <c r="E2468" s="4" t="s">
        <v>16</v>
      </c>
      <c r="F2468" s="4" t="s">
        <v>17</v>
      </c>
      <c r="G2468" s="4" t="s">
        <v>18</v>
      </c>
      <c r="H2468" s="4" t="s">
        <v>250</v>
      </c>
      <c r="I2468" s="5" t="str">
        <f t="shared" si="38"/>
        <v>2025-09</v>
      </c>
      <c r="J2468" s="4" t="s">
        <v>49</v>
      </c>
      <c r="K2468" s="5" t="s">
        <v>343</v>
      </c>
      <c r="L2468" s="2">
        <v>55500</v>
      </c>
      <c r="M2468" s="3">
        <v>4</v>
      </c>
      <c r="N2468" s="2">
        <v>222000</v>
      </c>
      <c r="O2468" s="2">
        <v>22200</v>
      </c>
      <c r="P2468" s="2">
        <v>244200</v>
      </c>
      <c r="Q2468" s="2">
        <f>P2468*12%</f>
        <v>29304</v>
      </c>
    </row>
    <row r="2469" spans="1:17" hidden="1" x14ac:dyDescent="0.4">
      <c r="A2469" s="4" t="s">
        <v>51</v>
      </c>
      <c r="B2469" s="4" t="s">
        <v>14</v>
      </c>
      <c r="C2469" s="30" t="s">
        <v>434</v>
      </c>
      <c r="D2469" s="4" t="s">
        <v>52</v>
      </c>
      <c r="E2469" s="4" t="s">
        <v>16</v>
      </c>
      <c r="F2469" s="4" t="s">
        <v>17</v>
      </c>
      <c r="G2469" s="4" t="s">
        <v>18</v>
      </c>
      <c r="H2469" s="4" t="s">
        <v>250</v>
      </c>
      <c r="I2469" s="5" t="str">
        <f t="shared" si="38"/>
        <v>2025-09</v>
      </c>
      <c r="J2469" s="4" t="s">
        <v>49</v>
      </c>
      <c r="K2469" s="5" t="s">
        <v>343</v>
      </c>
      <c r="L2469" s="2">
        <v>73000</v>
      </c>
      <c r="M2469" s="3">
        <v>1</v>
      </c>
      <c r="N2469" s="2">
        <v>73000</v>
      </c>
      <c r="O2469" s="2">
        <v>7300</v>
      </c>
      <c r="P2469" s="2">
        <v>80300</v>
      </c>
      <c r="Q2469" s="2">
        <f>P2469*12%</f>
        <v>9636</v>
      </c>
    </row>
    <row r="2470" spans="1:17" x14ac:dyDescent="0.4">
      <c r="A2470" s="4" t="s">
        <v>13</v>
      </c>
      <c r="B2470" s="4" t="s">
        <v>14</v>
      </c>
      <c r="C2470" s="30" t="s">
        <v>434</v>
      </c>
      <c r="D2470" s="4" t="s">
        <v>15</v>
      </c>
      <c r="E2470" s="4" t="s">
        <v>16</v>
      </c>
      <c r="F2470" s="4" t="s">
        <v>17</v>
      </c>
      <c r="G2470" s="4" t="s">
        <v>18</v>
      </c>
      <c r="H2470" s="4" t="s">
        <v>251</v>
      </c>
      <c r="I2470" s="5" t="str">
        <f t="shared" si="38"/>
        <v>2025-09</v>
      </c>
      <c r="J2470" s="4" t="s">
        <v>20</v>
      </c>
      <c r="K2470" s="5" t="s">
        <v>342</v>
      </c>
      <c r="L2470" s="2">
        <v>42000</v>
      </c>
      <c r="M2470" s="3">
        <v>2</v>
      </c>
      <c r="N2470" s="2">
        <v>84000</v>
      </c>
      <c r="O2470" s="2">
        <v>8400</v>
      </c>
      <c r="P2470" s="2">
        <v>92400</v>
      </c>
      <c r="Q2470" s="2">
        <f>P2470*8.5%</f>
        <v>7854.0000000000009</v>
      </c>
    </row>
    <row r="2471" spans="1:17" x14ac:dyDescent="0.4">
      <c r="A2471" s="4" t="s">
        <v>21</v>
      </c>
      <c r="B2471" s="4" t="s">
        <v>14</v>
      </c>
      <c r="C2471" s="31" t="s">
        <v>435</v>
      </c>
      <c r="D2471" s="4" t="s">
        <v>22</v>
      </c>
      <c r="E2471" s="4" t="s">
        <v>16</v>
      </c>
      <c r="F2471" s="4" t="s">
        <v>17</v>
      </c>
      <c r="G2471" s="4" t="s">
        <v>18</v>
      </c>
      <c r="H2471" s="4" t="s">
        <v>251</v>
      </c>
      <c r="I2471" s="5" t="str">
        <f t="shared" si="38"/>
        <v>2025-09</v>
      </c>
      <c r="J2471" s="4" t="s">
        <v>20</v>
      </c>
      <c r="K2471" s="5" t="s">
        <v>342</v>
      </c>
      <c r="L2471" s="2">
        <v>55500</v>
      </c>
      <c r="M2471" s="3">
        <v>1</v>
      </c>
      <c r="N2471" s="2">
        <v>55500</v>
      </c>
      <c r="O2471" s="2">
        <v>5550</v>
      </c>
      <c r="P2471" s="2">
        <v>61050</v>
      </c>
      <c r="Q2471" s="2">
        <f>P2471*8.5%</f>
        <v>5189.25</v>
      </c>
    </row>
    <row r="2472" spans="1:17" x14ac:dyDescent="0.4">
      <c r="A2472" s="4" t="s">
        <v>23</v>
      </c>
      <c r="B2472" s="4" t="s">
        <v>14</v>
      </c>
      <c r="C2472" s="31" t="s">
        <v>435</v>
      </c>
      <c r="D2472" s="4" t="s">
        <v>24</v>
      </c>
      <c r="E2472" s="4" t="s">
        <v>16</v>
      </c>
      <c r="F2472" s="4" t="s">
        <v>17</v>
      </c>
      <c r="G2472" s="4" t="s">
        <v>18</v>
      </c>
      <c r="H2472" s="4" t="s">
        <v>251</v>
      </c>
      <c r="I2472" s="5" t="str">
        <f t="shared" si="38"/>
        <v>2025-09</v>
      </c>
      <c r="J2472" s="4" t="s">
        <v>20</v>
      </c>
      <c r="K2472" s="5" t="s">
        <v>342</v>
      </c>
      <c r="L2472" s="2">
        <v>55500</v>
      </c>
      <c r="M2472" s="3">
        <v>3</v>
      </c>
      <c r="N2472" s="2">
        <v>166500</v>
      </c>
      <c r="O2472" s="2">
        <v>16650</v>
      </c>
      <c r="P2472" s="2">
        <v>183150</v>
      </c>
      <c r="Q2472" s="2">
        <f>P2472*8.5%</f>
        <v>15567.750000000002</v>
      </c>
    </row>
    <row r="2473" spans="1:17" x14ac:dyDescent="0.4">
      <c r="A2473" s="4" t="s">
        <v>56</v>
      </c>
      <c r="B2473" s="4" t="s">
        <v>26</v>
      </c>
      <c r="C2473" s="32" t="s">
        <v>436</v>
      </c>
      <c r="D2473" s="4" t="s">
        <v>57</v>
      </c>
      <c r="E2473" s="4" t="s">
        <v>44</v>
      </c>
      <c r="F2473" s="4" t="s">
        <v>31</v>
      </c>
      <c r="G2473" s="4" t="s">
        <v>18</v>
      </c>
      <c r="H2473" s="4" t="s">
        <v>251</v>
      </c>
      <c r="I2473" s="5" t="str">
        <f t="shared" si="38"/>
        <v>2025-09</v>
      </c>
      <c r="J2473" s="4" t="s">
        <v>20</v>
      </c>
      <c r="K2473" s="5" t="s">
        <v>342</v>
      </c>
      <c r="L2473" s="2">
        <v>3049</v>
      </c>
      <c r="M2473" s="3">
        <v>25</v>
      </c>
      <c r="N2473" s="2">
        <v>76225</v>
      </c>
      <c r="O2473" s="2">
        <v>0</v>
      </c>
      <c r="P2473" s="2">
        <v>76225</v>
      </c>
      <c r="Q2473" s="2">
        <f>P2473*8.5%</f>
        <v>6479.1250000000009</v>
      </c>
    </row>
    <row r="2474" spans="1:17" hidden="1" x14ac:dyDescent="0.4">
      <c r="A2474" s="4" t="s">
        <v>32</v>
      </c>
      <c r="B2474" s="4" t="s">
        <v>14</v>
      </c>
      <c r="C2474" s="31" t="s">
        <v>435</v>
      </c>
      <c r="D2474" s="4" t="s">
        <v>33</v>
      </c>
      <c r="E2474" s="4" t="s">
        <v>16</v>
      </c>
      <c r="F2474" s="4" t="s">
        <v>17</v>
      </c>
      <c r="G2474" s="4" t="s">
        <v>18</v>
      </c>
      <c r="H2474" s="4" t="s">
        <v>251</v>
      </c>
      <c r="I2474" s="5" t="str">
        <f t="shared" si="38"/>
        <v>2025-09</v>
      </c>
      <c r="J2474" s="4" t="s">
        <v>34</v>
      </c>
      <c r="K2474" s="5" t="s">
        <v>342</v>
      </c>
      <c r="L2474" s="2">
        <v>44000</v>
      </c>
      <c r="M2474" s="3">
        <v>2</v>
      </c>
      <c r="N2474" s="2">
        <v>88000</v>
      </c>
      <c r="O2474" s="2">
        <v>8800</v>
      </c>
      <c r="P2474" s="2">
        <v>96800</v>
      </c>
      <c r="Q2474" s="2">
        <f>P2474*8.5%</f>
        <v>8228</v>
      </c>
    </row>
    <row r="2475" spans="1:17" hidden="1" x14ac:dyDescent="0.4">
      <c r="A2475" s="4" t="s">
        <v>58</v>
      </c>
      <c r="B2475" s="4" t="s">
        <v>14</v>
      </c>
      <c r="C2475" s="30" t="s">
        <v>434</v>
      </c>
      <c r="D2475" s="4" t="s">
        <v>36</v>
      </c>
      <c r="E2475" s="4" t="s">
        <v>16</v>
      </c>
      <c r="F2475" s="4" t="s">
        <v>17</v>
      </c>
      <c r="G2475" s="4" t="s">
        <v>18</v>
      </c>
      <c r="H2475" s="4" t="s">
        <v>251</v>
      </c>
      <c r="I2475" s="5" t="str">
        <f t="shared" si="38"/>
        <v>2025-09</v>
      </c>
      <c r="J2475" s="4" t="s">
        <v>34</v>
      </c>
      <c r="K2475" s="5" t="s">
        <v>342</v>
      </c>
      <c r="L2475" s="2">
        <v>120880</v>
      </c>
      <c r="M2475" s="3">
        <v>1</v>
      </c>
      <c r="N2475" s="2">
        <v>120880</v>
      </c>
      <c r="O2475" s="2">
        <v>12088</v>
      </c>
      <c r="P2475" s="2">
        <v>132968</v>
      </c>
      <c r="Q2475" s="2">
        <f>P2475*8.5%</f>
        <v>11302.28</v>
      </c>
    </row>
    <row r="2476" spans="1:17" hidden="1" x14ac:dyDescent="0.4">
      <c r="A2476" s="4" t="s">
        <v>13</v>
      </c>
      <c r="B2476" s="4" t="s">
        <v>14</v>
      </c>
      <c r="C2476" s="30" t="s">
        <v>434</v>
      </c>
      <c r="D2476" s="4" t="s">
        <v>15</v>
      </c>
      <c r="E2476" s="4" t="s">
        <v>16</v>
      </c>
      <c r="F2476" s="4" t="s">
        <v>17</v>
      </c>
      <c r="G2476" s="4" t="s">
        <v>18</v>
      </c>
      <c r="H2476" s="4" t="s">
        <v>251</v>
      </c>
      <c r="I2476" s="5" t="str">
        <f t="shared" si="38"/>
        <v>2025-09</v>
      </c>
      <c r="J2476" s="4" t="s">
        <v>34</v>
      </c>
      <c r="K2476" s="5" t="s">
        <v>342</v>
      </c>
      <c r="L2476" s="2">
        <v>42000</v>
      </c>
      <c r="M2476" s="3">
        <v>6</v>
      </c>
      <c r="N2476" s="2">
        <v>252000</v>
      </c>
      <c r="O2476" s="2">
        <v>25200</v>
      </c>
      <c r="P2476" s="2">
        <v>277200</v>
      </c>
      <c r="Q2476" s="2">
        <f>P2476*8.5%</f>
        <v>23562</v>
      </c>
    </row>
    <row r="2477" spans="1:17" hidden="1" x14ac:dyDescent="0.4">
      <c r="A2477" s="4" t="s">
        <v>21</v>
      </c>
      <c r="B2477" s="4" t="s">
        <v>14</v>
      </c>
      <c r="C2477" s="31" t="s">
        <v>435</v>
      </c>
      <c r="D2477" s="4" t="s">
        <v>22</v>
      </c>
      <c r="E2477" s="4" t="s">
        <v>16</v>
      </c>
      <c r="F2477" s="4" t="s">
        <v>17</v>
      </c>
      <c r="G2477" s="4" t="s">
        <v>18</v>
      </c>
      <c r="H2477" s="4" t="s">
        <v>251</v>
      </c>
      <c r="I2477" s="5" t="str">
        <f t="shared" si="38"/>
        <v>2025-09</v>
      </c>
      <c r="J2477" s="4" t="s">
        <v>34</v>
      </c>
      <c r="K2477" s="5" t="s">
        <v>342</v>
      </c>
      <c r="L2477" s="2">
        <v>55500</v>
      </c>
      <c r="M2477" s="3">
        <v>2</v>
      </c>
      <c r="N2477" s="2">
        <v>111000</v>
      </c>
      <c r="O2477" s="2">
        <v>11100</v>
      </c>
      <c r="P2477" s="2">
        <v>122100</v>
      </c>
      <c r="Q2477" s="2">
        <f>P2477*8.5%</f>
        <v>10378.5</v>
      </c>
    </row>
    <row r="2478" spans="1:17" hidden="1" x14ac:dyDescent="0.4">
      <c r="A2478" s="4" t="s">
        <v>23</v>
      </c>
      <c r="B2478" s="4" t="s">
        <v>14</v>
      </c>
      <c r="C2478" s="31" t="s">
        <v>435</v>
      </c>
      <c r="D2478" s="4" t="s">
        <v>24</v>
      </c>
      <c r="E2478" s="4" t="s">
        <v>16</v>
      </c>
      <c r="F2478" s="4" t="s">
        <v>17</v>
      </c>
      <c r="G2478" s="4" t="s">
        <v>18</v>
      </c>
      <c r="H2478" s="4" t="s">
        <v>251</v>
      </c>
      <c r="I2478" s="5" t="str">
        <f t="shared" si="38"/>
        <v>2025-09</v>
      </c>
      <c r="J2478" s="4" t="s">
        <v>34</v>
      </c>
      <c r="K2478" s="5" t="s">
        <v>342</v>
      </c>
      <c r="L2478" s="2">
        <v>55500</v>
      </c>
      <c r="M2478" s="3">
        <v>4</v>
      </c>
      <c r="N2478" s="2">
        <v>222000</v>
      </c>
      <c r="O2478" s="2">
        <v>22200</v>
      </c>
      <c r="P2478" s="2">
        <v>244200</v>
      </c>
      <c r="Q2478" s="2">
        <f>P2478*8.5%</f>
        <v>20757</v>
      </c>
    </row>
    <row r="2479" spans="1:17" hidden="1" x14ac:dyDescent="0.4">
      <c r="A2479" s="4" t="s">
        <v>70</v>
      </c>
      <c r="B2479" s="4" t="s">
        <v>26</v>
      </c>
      <c r="C2479" s="32" t="s">
        <v>436</v>
      </c>
      <c r="D2479" s="4" t="s">
        <v>71</v>
      </c>
      <c r="E2479" s="4" t="s">
        <v>28</v>
      </c>
      <c r="F2479" s="4" t="s">
        <v>31</v>
      </c>
      <c r="G2479" s="4" t="s">
        <v>18</v>
      </c>
      <c r="H2479" s="4" t="s">
        <v>251</v>
      </c>
      <c r="I2479" s="5" t="str">
        <f t="shared" si="38"/>
        <v>2025-09</v>
      </c>
      <c r="J2479" s="4" t="s">
        <v>34</v>
      </c>
      <c r="K2479" s="5" t="s">
        <v>342</v>
      </c>
      <c r="L2479" s="2">
        <v>6624</v>
      </c>
      <c r="M2479" s="3">
        <v>3</v>
      </c>
      <c r="N2479" s="2">
        <v>19872</v>
      </c>
      <c r="O2479" s="2">
        <v>0</v>
      </c>
      <c r="P2479" s="2">
        <v>19872</v>
      </c>
      <c r="Q2479" s="2">
        <f>P2479*8.5%</f>
        <v>1689.1200000000001</v>
      </c>
    </row>
    <row r="2480" spans="1:17" hidden="1" x14ac:dyDescent="0.4">
      <c r="A2480" s="4" t="s">
        <v>42</v>
      </c>
      <c r="B2480" s="4" t="s">
        <v>14</v>
      </c>
      <c r="C2480" s="30" t="s">
        <v>434</v>
      </c>
      <c r="D2480" s="4" t="s">
        <v>43</v>
      </c>
      <c r="E2480" s="4" t="s">
        <v>44</v>
      </c>
      <c r="F2480" s="4" t="s">
        <v>31</v>
      </c>
      <c r="G2480" s="4" t="s">
        <v>18</v>
      </c>
      <c r="H2480" s="4" t="s">
        <v>251</v>
      </c>
      <c r="I2480" s="5" t="str">
        <f t="shared" si="38"/>
        <v>2025-09</v>
      </c>
      <c r="J2480" s="4" t="s">
        <v>34</v>
      </c>
      <c r="K2480" s="5" t="s">
        <v>342</v>
      </c>
      <c r="L2480" s="2">
        <v>7300</v>
      </c>
      <c r="M2480" s="3">
        <v>61.7</v>
      </c>
      <c r="N2480" s="2">
        <v>450410</v>
      </c>
      <c r="O2480" s="2">
        <v>0</v>
      </c>
      <c r="P2480" s="2">
        <v>450410</v>
      </c>
      <c r="Q2480" s="2">
        <f>P2480*8.5%</f>
        <v>38284.850000000006</v>
      </c>
    </row>
    <row r="2481" spans="1:17" hidden="1" x14ac:dyDescent="0.4">
      <c r="A2481" s="4" t="s">
        <v>32</v>
      </c>
      <c r="B2481" s="4" t="s">
        <v>14</v>
      </c>
      <c r="C2481" s="31" t="s">
        <v>435</v>
      </c>
      <c r="D2481" s="4" t="s">
        <v>33</v>
      </c>
      <c r="E2481" s="4" t="s">
        <v>16</v>
      </c>
      <c r="F2481" s="4" t="s">
        <v>17</v>
      </c>
      <c r="G2481" s="4" t="s">
        <v>18</v>
      </c>
      <c r="H2481" s="4" t="s">
        <v>251</v>
      </c>
      <c r="I2481" s="5" t="str">
        <f t="shared" si="38"/>
        <v>2025-09</v>
      </c>
      <c r="J2481" s="4" t="s">
        <v>49</v>
      </c>
      <c r="K2481" s="5" t="s">
        <v>343</v>
      </c>
      <c r="L2481" s="2">
        <v>44000</v>
      </c>
      <c r="M2481" s="3">
        <v>2</v>
      </c>
      <c r="N2481" s="2">
        <v>88000</v>
      </c>
      <c r="O2481" s="2">
        <v>8800</v>
      </c>
      <c r="P2481" s="2">
        <v>96800</v>
      </c>
      <c r="Q2481" s="2">
        <f>P2481*12%</f>
        <v>11616</v>
      </c>
    </row>
    <row r="2482" spans="1:17" hidden="1" x14ac:dyDescent="0.4">
      <c r="A2482" s="4" t="s">
        <v>13</v>
      </c>
      <c r="B2482" s="4" t="s">
        <v>14</v>
      </c>
      <c r="C2482" s="30" t="s">
        <v>434</v>
      </c>
      <c r="D2482" s="4" t="s">
        <v>15</v>
      </c>
      <c r="E2482" s="4" t="s">
        <v>16</v>
      </c>
      <c r="F2482" s="4" t="s">
        <v>17</v>
      </c>
      <c r="G2482" s="4" t="s">
        <v>18</v>
      </c>
      <c r="H2482" s="4" t="s">
        <v>251</v>
      </c>
      <c r="I2482" s="5" t="str">
        <f t="shared" si="38"/>
        <v>2025-09</v>
      </c>
      <c r="J2482" s="4" t="s">
        <v>49</v>
      </c>
      <c r="K2482" s="5" t="s">
        <v>343</v>
      </c>
      <c r="L2482" s="2">
        <v>42000</v>
      </c>
      <c r="M2482" s="3">
        <v>3</v>
      </c>
      <c r="N2482" s="2">
        <v>126000</v>
      </c>
      <c r="O2482" s="2">
        <v>12600</v>
      </c>
      <c r="P2482" s="2">
        <v>138600</v>
      </c>
      <c r="Q2482" s="2">
        <f>P2482*12%</f>
        <v>16632</v>
      </c>
    </row>
    <row r="2483" spans="1:17" hidden="1" x14ac:dyDescent="0.4">
      <c r="A2483" s="4" t="s">
        <v>35</v>
      </c>
      <c r="B2483" s="4" t="s">
        <v>14</v>
      </c>
      <c r="C2483" s="30" t="s">
        <v>434</v>
      </c>
      <c r="D2483" s="4" t="s">
        <v>36</v>
      </c>
      <c r="E2483" s="4" t="s">
        <v>16</v>
      </c>
      <c r="F2483" s="4" t="s">
        <v>17</v>
      </c>
      <c r="G2483" s="4" t="s">
        <v>18</v>
      </c>
      <c r="H2483" s="4" t="s">
        <v>251</v>
      </c>
      <c r="I2483" s="5" t="str">
        <f t="shared" si="38"/>
        <v>2025-09</v>
      </c>
      <c r="J2483" s="4" t="s">
        <v>49</v>
      </c>
      <c r="K2483" s="5" t="s">
        <v>343</v>
      </c>
      <c r="L2483" s="2">
        <v>116220</v>
      </c>
      <c r="M2483" s="3">
        <v>1</v>
      </c>
      <c r="N2483" s="2">
        <v>116220</v>
      </c>
      <c r="O2483" s="2">
        <v>11622</v>
      </c>
      <c r="P2483" s="2">
        <v>127842</v>
      </c>
      <c r="Q2483" s="2">
        <f>P2483*12%</f>
        <v>15341.039999999999</v>
      </c>
    </row>
    <row r="2484" spans="1:17" hidden="1" x14ac:dyDescent="0.4">
      <c r="A2484" s="4" t="s">
        <v>23</v>
      </c>
      <c r="B2484" s="4" t="s">
        <v>14</v>
      </c>
      <c r="C2484" s="31" t="s">
        <v>435</v>
      </c>
      <c r="D2484" s="4" t="s">
        <v>24</v>
      </c>
      <c r="E2484" s="4" t="s">
        <v>16</v>
      </c>
      <c r="F2484" s="4" t="s">
        <v>17</v>
      </c>
      <c r="G2484" s="4" t="s">
        <v>18</v>
      </c>
      <c r="H2484" s="4" t="s">
        <v>251</v>
      </c>
      <c r="I2484" s="5" t="str">
        <f t="shared" si="38"/>
        <v>2025-09</v>
      </c>
      <c r="J2484" s="4" t="s">
        <v>49</v>
      </c>
      <c r="K2484" s="5" t="s">
        <v>343</v>
      </c>
      <c r="L2484" s="2">
        <v>55500</v>
      </c>
      <c r="M2484" s="3">
        <v>2</v>
      </c>
      <c r="N2484" s="2">
        <v>111000</v>
      </c>
      <c r="O2484" s="2">
        <v>11100</v>
      </c>
      <c r="P2484" s="2">
        <v>122100</v>
      </c>
      <c r="Q2484" s="2">
        <f>P2484*12%</f>
        <v>14652</v>
      </c>
    </row>
    <row r="2485" spans="1:17" hidden="1" x14ac:dyDescent="0.4">
      <c r="A2485" s="4" t="s">
        <v>51</v>
      </c>
      <c r="B2485" s="4" t="s">
        <v>14</v>
      </c>
      <c r="C2485" s="30" t="s">
        <v>434</v>
      </c>
      <c r="D2485" s="4" t="s">
        <v>52</v>
      </c>
      <c r="E2485" s="4" t="s">
        <v>16</v>
      </c>
      <c r="F2485" s="4" t="s">
        <v>17</v>
      </c>
      <c r="G2485" s="4" t="s">
        <v>18</v>
      </c>
      <c r="H2485" s="4" t="s">
        <v>251</v>
      </c>
      <c r="I2485" s="5" t="str">
        <f t="shared" si="38"/>
        <v>2025-09</v>
      </c>
      <c r="J2485" s="4" t="s">
        <v>49</v>
      </c>
      <c r="K2485" s="5" t="s">
        <v>343</v>
      </c>
      <c r="L2485" s="2">
        <v>73000</v>
      </c>
      <c r="M2485" s="3">
        <v>1</v>
      </c>
      <c r="N2485" s="2">
        <v>73000</v>
      </c>
      <c r="O2485" s="2">
        <v>7300</v>
      </c>
      <c r="P2485" s="2">
        <v>80300</v>
      </c>
      <c r="Q2485" s="2">
        <f>P2485*12%</f>
        <v>9636</v>
      </c>
    </row>
    <row r="2486" spans="1:17" hidden="1" x14ac:dyDescent="0.4">
      <c r="A2486" s="4" t="s">
        <v>13</v>
      </c>
      <c r="B2486" s="4" t="s">
        <v>14</v>
      </c>
      <c r="C2486" s="30" t="s">
        <v>434</v>
      </c>
      <c r="D2486" s="4" t="s">
        <v>15</v>
      </c>
      <c r="E2486" s="4" t="s">
        <v>16</v>
      </c>
      <c r="F2486" s="4" t="s">
        <v>17</v>
      </c>
      <c r="G2486" s="4" t="s">
        <v>18</v>
      </c>
      <c r="H2486" s="4" t="s">
        <v>251</v>
      </c>
      <c r="I2486" s="5" t="str">
        <f t="shared" si="38"/>
        <v>2025-09</v>
      </c>
      <c r="J2486" s="4" t="s">
        <v>50</v>
      </c>
      <c r="K2486" s="5" t="s">
        <v>343</v>
      </c>
      <c r="L2486" s="2">
        <v>42000</v>
      </c>
      <c r="M2486" s="3">
        <v>10</v>
      </c>
      <c r="N2486" s="2">
        <v>420000</v>
      </c>
      <c r="O2486" s="2">
        <v>42000</v>
      </c>
      <c r="P2486" s="2">
        <v>462000</v>
      </c>
      <c r="Q2486" s="2">
        <f>P2486*12%</f>
        <v>55440</v>
      </c>
    </row>
    <row r="2487" spans="1:17" hidden="1" x14ac:dyDescent="0.4">
      <c r="A2487" s="4" t="s">
        <v>23</v>
      </c>
      <c r="B2487" s="4" t="s">
        <v>14</v>
      </c>
      <c r="C2487" s="31" t="s">
        <v>435</v>
      </c>
      <c r="D2487" s="4" t="s">
        <v>24</v>
      </c>
      <c r="E2487" s="4" t="s">
        <v>16</v>
      </c>
      <c r="F2487" s="4" t="s">
        <v>17</v>
      </c>
      <c r="G2487" s="4" t="s">
        <v>18</v>
      </c>
      <c r="H2487" s="4" t="s">
        <v>251</v>
      </c>
      <c r="I2487" s="5" t="str">
        <f t="shared" si="38"/>
        <v>2025-09</v>
      </c>
      <c r="J2487" s="4" t="s">
        <v>50</v>
      </c>
      <c r="K2487" s="5" t="s">
        <v>343</v>
      </c>
      <c r="L2487" s="2">
        <v>55500</v>
      </c>
      <c r="M2487" s="3">
        <v>5</v>
      </c>
      <c r="N2487" s="2">
        <v>277500</v>
      </c>
      <c r="O2487" s="2">
        <v>27750</v>
      </c>
      <c r="P2487" s="2">
        <v>305250</v>
      </c>
      <c r="Q2487" s="2">
        <f>P2487*12%</f>
        <v>36630</v>
      </c>
    </row>
    <row r="2488" spans="1:17" hidden="1" x14ac:dyDescent="0.4">
      <c r="A2488" s="4" t="s">
        <v>51</v>
      </c>
      <c r="B2488" s="4" t="s">
        <v>14</v>
      </c>
      <c r="C2488" s="30" t="s">
        <v>434</v>
      </c>
      <c r="D2488" s="4" t="s">
        <v>52</v>
      </c>
      <c r="E2488" s="4" t="s">
        <v>16</v>
      </c>
      <c r="F2488" s="4" t="s">
        <v>17</v>
      </c>
      <c r="G2488" s="4" t="s">
        <v>18</v>
      </c>
      <c r="H2488" s="4" t="s">
        <v>251</v>
      </c>
      <c r="I2488" s="5" t="str">
        <f t="shared" si="38"/>
        <v>2025-09</v>
      </c>
      <c r="J2488" s="4" t="s">
        <v>50</v>
      </c>
      <c r="K2488" s="5" t="s">
        <v>343</v>
      </c>
      <c r="L2488" s="2">
        <v>73000</v>
      </c>
      <c r="M2488" s="3">
        <v>1</v>
      </c>
      <c r="N2488" s="2">
        <v>73000</v>
      </c>
      <c r="O2488" s="2">
        <v>7300</v>
      </c>
      <c r="P2488" s="2">
        <v>80300</v>
      </c>
      <c r="Q2488" s="2">
        <f>P2488*12%</f>
        <v>9636</v>
      </c>
    </row>
    <row r="2489" spans="1:17" x14ac:dyDescent="0.4">
      <c r="A2489" s="4" t="s">
        <v>58</v>
      </c>
      <c r="B2489" s="4" t="s">
        <v>14</v>
      </c>
      <c r="C2489" s="30" t="s">
        <v>434</v>
      </c>
      <c r="D2489" s="4" t="s">
        <v>36</v>
      </c>
      <c r="E2489" s="4" t="s">
        <v>16</v>
      </c>
      <c r="F2489" s="4" t="s">
        <v>17</v>
      </c>
      <c r="G2489" s="4" t="s">
        <v>18</v>
      </c>
      <c r="H2489" s="4" t="s">
        <v>252</v>
      </c>
      <c r="I2489" s="5" t="str">
        <f t="shared" si="38"/>
        <v>2025-09</v>
      </c>
      <c r="J2489" s="4" t="s">
        <v>20</v>
      </c>
      <c r="K2489" s="5" t="s">
        <v>342</v>
      </c>
      <c r="L2489" s="2">
        <v>120880</v>
      </c>
      <c r="M2489" s="3">
        <v>1</v>
      </c>
      <c r="N2489" s="2">
        <v>120880</v>
      </c>
      <c r="O2489" s="2">
        <v>12088</v>
      </c>
      <c r="P2489" s="2">
        <v>132968</v>
      </c>
      <c r="Q2489" s="2">
        <f>P2489*8.5%</f>
        <v>11302.28</v>
      </c>
    </row>
    <row r="2490" spans="1:17" x14ac:dyDescent="0.4">
      <c r="A2490" s="4" t="s">
        <v>13</v>
      </c>
      <c r="B2490" s="4" t="s">
        <v>14</v>
      </c>
      <c r="C2490" s="30" t="s">
        <v>434</v>
      </c>
      <c r="D2490" s="4" t="s">
        <v>15</v>
      </c>
      <c r="E2490" s="4" t="s">
        <v>16</v>
      </c>
      <c r="F2490" s="4" t="s">
        <v>17</v>
      </c>
      <c r="G2490" s="4" t="s">
        <v>18</v>
      </c>
      <c r="H2490" s="4" t="s">
        <v>252</v>
      </c>
      <c r="I2490" s="5" t="str">
        <f t="shared" si="38"/>
        <v>2025-09</v>
      </c>
      <c r="J2490" s="4" t="s">
        <v>20</v>
      </c>
      <c r="K2490" s="5" t="s">
        <v>342</v>
      </c>
      <c r="L2490" s="2">
        <v>42000</v>
      </c>
      <c r="M2490" s="3">
        <v>2</v>
      </c>
      <c r="N2490" s="2">
        <v>84000</v>
      </c>
      <c r="O2490" s="2">
        <v>8400</v>
      </c>
      <c r="P2490" s="2">
        <v>92400</v>
      </c>
      <c r="Q2490" s="2">
        <f>P2490*8.5%</f>
        <v>7854.0000000000009</v>
      </c>
    </row>
    <row r="2491" spans="1:17" x14ac:dyDescent="0.4">
      <c r="A2491" s="4" t="s">
        <v>21</v>
      </c>
      <c r="B2491" s="4" t="s">
        <v>14</v>
      </c>
      <c r="C2491" s="31" t="s">
        <v>435</v>
      </c>
      <c r="D2491" s="4" t="s">
        <v>22</v>
      </c>
      <c r="E2491" s="4" t="s">
        <v>16</v>
      </c>
      <c r="F2491" s="4" t="s">
        <v>17</v>
      </c>
      <c r="G2491" s="4" t="s">
        <v>18</v>
      </c>
      <c r="H2491" s="4" t="s">
        <v>252</v>
      </c>
      <c r="I2491" s="5" t="str">
        <f t="shared" si="38"/>
        <v>2025-09</v>
      </c>
      <c r="J2491" s="4" t="s">
        <v>20</v>
      </c>
      <c r="K2491" s="5" t="s">
        <v>342</v>
      </c>
      <c r="L2491" s="2">
        <v>55500</v>
      </c>
      <c r="M2491" s="3">
        <v>1</v>
      </c>
      <c r="N2491" s="2">
        <v>55500</v>
      </c>
      <c r="O2491" s="2">
        <v>5550</v>
      </c>
      <c r="P2491" s="2">
        <v>61050</v>
      </c>
      <c r="Q2491" s="2">
        <f>P2491*8.5%</f>
        <v>5189.25</v>
      </c>
    </row>
    <row r="2492" spans="1:17" x14ac:dyDescent="0.4">
      <c r="A2492" s="4" t="s">
        <v>23</v>
      </c>
      <c r="B2492" s="4" t="s">
        <v>14</v>
      </c>
      <c r="C2492" s="31" t="s">
        <v>435</v>
      </c>
      <c r="D2492" s="4" t="s">
        <v>24</v>
      </c>
      <c r="E2492" s="4" t="s">
        <v>16</v>
      </c>
      <c r="F2492" s="4" t="s">
        <v>17</v>
      </c>
      <c r="G2492" s="4" t="s">
        <v>18</v>
      </c>
      <c r="H2492" s="4" t="s">
        <v>252</v>
      </c>
      <c r="I2492" s="5" t="str">
        <f t="shared" si="38"/>
        <v>2025-09</v>
      </c>
      <c r="J2492" s="4" t="s">
        <v>20</v>
      </c>
      <c r="K2492" s="5" t="s">
        <v>342</v>
      </c>
      <c r="L2492" s="2">
        <v>55500</v>
      </c>
      <c r="M2492" s="3">
        <v>3</v>
      </c>
      <c r="N2492" s="2">
        <v>166500</v>
      </c>
      <c r="O2492" s="2">
        <v>16650</v>
      </c>
      <c r="P2492" s="2">
        <v>183150</v>
      </c>
      <c r="Q2492" s="2">
        <f>P2492*8.5%</f>
        <v>15567.750000000002</v>
      </c>
    </row>
    <row r="2493" spans="1:17" x14ac:dyDescent="0.4">
      <c r="A2493" s="4" t="s">
        <v>54</v>
      </c>
      <c r="B2493" s="4" t="s">
        <v>26</v>
      </c>
      <c r="C2493" s="32" t="s">
        <v>436</v>
      </c>
      <c r="D2493" s="4" t="s">
        <v>55</v>
      </c>
      <c r="E2493" s="4" t="s">
        <v>28</v>
      </c>
      <c r="F2493" s="4" t="s">
        <v>31</v>
      </c>
      <c r="G2493" s="4" t="s">
        <v>18</v>
      </c>
      <c r="H2493" s="4" t="s">
        <v>252</v>
      </c>
      <c r="I2493" s="5" t="str">
        <f t="shared" si="38"/>
        <v>2025-09</v>
      </c>
      <c r="J2493" s="4" t="s">
        <v>20</v>
      </c>
      <c r="K2493" s="5" t="s">
        <v>342</v>
      </c>
      <c r="L2493" s="2">
        <v>5919</v>
      </c>
      <c r="M2493" s="3">
        <v>1</v>
      </c>
      <c r="N2493" s="2">
        <v>5919</v>
      </c>
      <c r="O2493" s="2">
        <v>0</v>
      </c>
      <c r="P2493" s="2">
        <v>5919</v>
      </c>
      <c r="Q2493" s="2">
        <f>P2493*8.5%</f>
        <v>503.11500000000001</v>
      </c>
    </row>
    <row r="2494" spans="1:17" hidden="1" x14ac:dyDescent="0.4">
      <c r="A2494" s="4" t="s">
        <v>13</v>
      </c>
      <c r="B2494" s="4" t="s">
        <v>14</v>
      </c>
      <c r="C2494" s="30" t="s">
        <v>434</v>
      </c>
      <c r="D2494" s="4" t="s">
        <v>15</v>
      </c>
      <c r="E2494" s="4" t="s">
        <v>16</v>
      </c>
      <c r="F2494" s="4" t="s">
        <v>17</v>
      </c>
      <c r="G2494" s="4" t="s">
        <v>18</v>
      </c>
      <c r="H2494" s="4" t="s">
        <v>252</v>
      </c>
      <c r="I2494" s="5" t="str">
        <f t="shared" si="38"/>
        <v>2025-09</v>
      </c>
      <c r="J2494" s="4" t="s">
        <v>118</v>
      </c>
      <c r="K2494" s="5" t="s">
        <v>342</v>
      </c>
      <c r="L2494" s="2">
        <v>42000</v>
      </c>
      <c r="M2494" s="3">
        <v>2</v>
      </c>
      <c r="N2494" s="2">
        <v>84000</v>
      </c>
      <c r="O2494" s="2">
        <v>8400</v>
      </c>
      <c r="P2494" s="2">
        <v>92400</v>
      </c>
      <c r="Q2494" s="2">
        <f>P2494*8.5%</f>
        <v>7854.0000000000009</v>
      </c>
    </row>
    <row r="2495" spans="1:17" hidden="1" x14ac:dyDescent="0.4">
      <c r="A2495" s="4" t="s">
        <v>23</v>
      </c>
      <c r="B2495" s="4" t="s">
        <v>14</v>
      </c>
      <c r="C2495" s="31" t="s">
        <v>435</v>
      </c>
      <c r="D2495" s="4" t="s">
        <v>24</v>
      </c>
      <c r="E2495" s="4" t="s">
        <v>16</v>
      </c>
      <c r="F2495" s="4" t="s">
        <v>17</v>
      </c>
      <c r="G2495" s="4" t="s">
        <v>18</v>
      </c>
      <c r="H2495" s="4" t="s">
        <v>252</v>
      </c>
      <c r="I2495" s="5" t="str">
        <f t="shared" si="38"/>
        <v>2025-09</v>
      </c>
      <c r="J2495" s="4" t="s">
        <v>118</v>
      </c>
      <c r="K2495" s="5" t="s">
        <v>342</v>
      </c>
      <c r="L2495" s="2">
        <v>55500</v>
      </c>
      <c r="M2495" s="3">
        <v>1</v>
      </c>
      <c r="N2495" s="2">
        <v>55500</v>
      </c>
      <c r="O2495" s="2">
        <v>5550</v>
      </c>
      <c r="P2495" s="2">
        <v>61050</v>
      </c>
      <c r="Q2495" s="2">
        <f>P2495*8.5%</f>
        <v>5189.25</v>
      </c>
    </row>
    <row r="2496" spans="1:17" hidden="1" x14ac:dyDescent="0.4">
      <c r="A2496" s="4" t="s">
        <v>32</v>
      </c>
      <c r="B2496" s="4" t="s">
        <v>14</v>
      </c>
      <c r="C2496" s="31" t="s">
        <v>435</v>
      </c>
      <c r="D2496" s="4" t="s">
        <v>33</v>
      </c>
      <c r="E2496" s="4" t="s">
        <v>16</v>
      </c>
      <c r="F2496" s="4" t="s">
        <v>17</v>
      </c>
      <c r="G2496" s="4" t="s">
        <v>18</v>
      </c>
      <c r="H2496" s="4" t="s">
        <v>252</v>
      </c>
      <c r="I2496" s="5" t="str">
        <f t="shared" si="38"/>
        <v>2025-09</v>
      </c>
      <c r="J2496" s="4" t="s">
        <v>34</v>
      </c>
      <c r="K2496" s="5" t="s">
        <v>342</v>
      </c>
      <c r="L2496" s="2">
        <v>44000</v>
      </c>
      <c r="M2496" s="3">
        <v>3</v>
      </c>
      <c r="N2496" s="2">
        <v>132000</v>
      </c>
      <c r="O2496" s="2">
        <v>13200</v>
      </c>
      <c r="P2496" s="2">
        <v>145200</v>
      </c>
      <c r="Q2496" s="2">
        <f>P2496*8.5%</f>
        <v>12342</v>
      </c>
    </row>
    <row r="2497" spans="1:17" hidden="1" x14ac:dyDescent="0.4">
      <c r="A2497" s="4" t="s">
        <v>58</v>
      </c>
      <c r="B2497" s="4" t="s">
        <v>14</v>
      </c>
      <c r="C2497" s="30" t="s">
        <v>434</v>
      </c>
      <c r="D2497" s="4" t="s">
        <v>36</v>
      </c>
      <c r="E2497" s="4" t="s">
        <v>16</v>
      </c>
      <c r="F2497" s="4" t="s">
        <v>17</v>
      </c>
      <c r="G2497" s="4" t="s">
        <v>18</v>
      </c>
      <c r="H2497" s="4" t="s">
        <v>252</v>
      </c>
      <c r="I2497" s="5" t="str">
        <f t="shared" si="38"/>
        <v>2025-09</v>
      </c>
      <c r="J2497" s="4" t="s">
        <v>34</v>
      </c>
      <c r="K2497" s="5" t="s">
        <v>342</v>
      </c>
      <c r="L2497" s="2">
        <v>120880</v>
      </c>
      <c r="M2497" s="3">
        <v>1</v>
      </c>
      <c r="N2497" s="2">
        <v>120880</v>
      </c>
      <c r="O2497" s="2">
        <v>12088</v>
      </c>
      <c r="P2497" s="2">
        <v>132968</v>
      </c>
      <c r="Q2497" s="2">
        <f>P2497*8.5%</f>
        <v>11302.28</v>
      </c>
    </row>
    <row r="2498" spans="1:17" hidden="1" x14ac:dyDescent="0.4">
      <c r="A2498" s="4" t="s">
        <v>13</v>
      </c>
      <c r="B2498" s="4" t="s">
        <v>14</v>
      </c>
      <c r="C2498" s="30" t="s">
        <v>434</v>
      </c>
      <c r="D2498" s="4" t="s">
        <v>15</v>
      </c>
      <c r="E2498" s="4" t="s">
        <v>16</v>
      </c>
      <c r="F2498" s="4" t="s">
        <v>17</v>
      </c>
      <c r="G2498" s="4" t="s">
        <v>18</v>
      </c>
      <c r="H2498" s="4" t="s">
        <v>252</v>
      </c>
      <c r="I2498" s="5" t="str">
        <f t="shared" ref="I2498:I2561" si="39">TEXT(H2498,"yyyy-mm")</f>
        <v>2025-09</v>
      </c>
      <c r="J2498" s="4" t="s">
        <v>34</v>
      </c>
      <c r="K2498" s="5" t="s">
        <v>342</v>
      </c>
      <c r="L2498" s="2">
        <v>42000</v>
      </c>
      <c r="M2498" s="3">
        <v>4</v>
      </c>
      <c r="N2498" s="2">
        <v>168000</v>
      </c>
      <c r="O2498" s="2">
        <v>16800</v>
      </c>
      <c r="P2498" s="2">
        <v>184800</v>
      </c>
      <c r="Q2498" s="2">
        <f>P2498*8.5%</f>
        <v>15708.000000000002</v>
      </c>
    </row>
    <row r="2499" spans="1:17" hidden="1" x14ac:dyDescent="0.4">
      <c r="A2499" s="4" t="s">
        <v>21</v>
      </c>
      <c r="B2499" s="4" t="s">
        <v>14</v>
      </c>
      <c r="C2499" s="31" t="s">
        <v>435</v>
      </c>
      <c r="D2499" s="4" t="s">
        <v>22</v>
      </c>
      <c r="E2499" s="4" t="s">
        <v>16</v>
      </c>
      <c r="F2499" s="4" t="s">
        <v>17</v>
      </c>
      <c r="G2499" s="4" t="s">
        <v>18</v>
      </c>
      <c r="H2499" s="4" t="s">
        <v>252</v>
      </c>
      <c r="I2499" s="5" t="str">
        <f t="shared" si="39"/>
        <v>2025-09</v>
      </c>
      <c r="J2499" s="4" t="s">
        <v>34</v>
      </c>
      <c r="K2499" s="5" t="s">
        <v>342</v>
      </c>
      <c r="L2499" s="2">
        <v>55500</v>
      </c>
      <c r="M2499" s="3">
        <v>1</v>
      </c>
      <c r="N2499" s="2">
        <v>55500</v>
      </c>
      <c r="O2499" s="2">
        <v>5550</v>
      </c>
      <c r="P2499" s="2">
        <v>61050</v>
      </c>
      <c r="Q2499" s="2">
        <f>P2499*8.5%</f>
        <v>5189.25</v>
      </c>
    </row>
    <row r="2500" spans="1:17" hidden="1" x14ac:dyDescent="0.4">
      <c r="A2500" s="4" t="s">
        <v>23</v>
      </c>
      <c r="B2500" s="4" t="s">
        <v>14</v>
      </c>
      <c r="C2500" s="31" t="s">
        <v>435</v>
      </c>
      <c r="D2500" s="4" t="s">
        <v>24</v>
      </c>
      <c r="E2500" s="4" t="s">
        <v>16</v>
      </c>
      <c r="F2500" s="4" t="s">
        <v>17</v>
      </c>
      <c r="G2500" s="4" t="s">
        <v>18</v>
      </c>
      <c r="H2500" s="4" t="s">
        <v>252</v>
      </c>
      <c r="I2500" s="5" t="str">
        <f t="shared" si="39"/>
        <v>2025-09</v>
      </c>
      <c r="J2500" s="4" t="s">
        <v>34</v>
      </c>
      <c r="K2500" s="5" t="s">
        <v>342</v>
      </c>
      <c r="L2500" s="2">
        <v>55500</v>
      </c>
      <c r="M2500" s="3">
        <v>3</v>
      </c>
      <c r="N2500" s="2">
        <v>166500</v>
      </c>
      <c r="O2500" s="2">
        <v>16650</v>
      </c>
      <c r="P2500" s="2">
        <v>183150</v>
      </c>
      <c r="Q2500" s="2">
        <f>P2500*8.5%</f>
        <v>15567.750000000002</v>
      </c>
    </row>
    <row r="2501" spans="1:17" hidden="1" x14ac:dyDescent="0.4">
      <c r="A2501" s="4" t="s">
        <v>51</v>
      </c>
      <c r="B2501" s="4" t="s">
        <v>14</v>
      </c>
      <c r="C2501" s="30" t="s">
        <v>434</v>
      </c>
      <c r="D2501" s="4" t="s">
        <v>52</v>
      </c>
      <c r="E2501" s="4" t="s">
        <v>16</v>
      </c>
      <c r="F2501" s="4" t="s">
        <v>17</v>
      </c>
      <c r="G2501" s="4" t="s">
        <v>18</v>
      </c>
      <c r="H2501" s="4" t="s">
        <v>252</v>
      </c>
      <c r="I2501" s="5" t="str">
        <f t="shared" si="39"/>
        <v>2025-09</v>
      </c>
      <c r="J2501" s="4" t="s">
        <v>34</v>
      </c>
      <c r="K2501" s="5" t="s">
        <v>342</v>
      </c>
      <c r="L2501" s="2">
        <v>73000</v>
      </c>
      <c r="M2501" s="3">
        <v>1</v>
      </c>
      <c r="N2501" s="2">
        <v>73000</v>
      </c>
      <c r="O2501" s="2">
        <v>7300</v>
      </c>
      <c r="P2501" s="2">
        <v>80300</v>
      </c>
      <c r="Q2501" s="2">
        <f>P2501*8.5%</f>
        <v>6825.5000000000009</v>
      </c>
    </row>
    <row r="2502" spans="1:17" hidden="1" x14ac:dyDescent="0.4">
      <c r="A2502" s="4" t="s">
        <v>37</v>
      </c>
      <c r="B2502" s="4" t="s">
        <v>26</v>
      </c>
      <c r="C2502" s="32" t="s">
        <v>436</v>
      </c>
      <c r="D2502" s="4" t="s">
        <v>38</v>
      </c>
      <c r="E2502" s="4" t="s">
        <v>28</v>
      </c>
      <c r="F2502" s="4" t="s">
        <v>17</v>
      </c>
      <c r="G2502" s="4" t="s">
        <v>18</v>
      </c>
      <c r="H2502" s="4" t="s">
        <v>252</v>
      </c>
      <c r="I2502" s="5" t="str">
        <f t="shared" si="39"/>
        <v>2025-09</v>
      </c>
      <c r="J2502" s="4" t="s">
        <v>34</v>
      </c>
      <c r="K2502" s="5" t="s">
        <v>342</v>
      </c>
      <c r="L2502" s="2">
        <v>395</v>
      </c>
      <c r="M2502" s="3">
        <v>20</v>
      </c>
      <c r="N2502" s="2">
        <v>7900</v>
      </c>
      <c r="O2502" s="2">
        <v>790</v>
      </c>
      <c r="P2502" s="2">
        <v>8690</v>
      </c>
      <c r="Q2502" s="2">
        <f>P2502*8.5%</f>
        <v>738.65000000000009</v>
      </c>
    </row>
    <row r="2503" spans="1:17" hidden="1" x14ac:dyDescent="0.4">
      <c r="A2503" s="4" t="s">
        <v>40</v>
      </c>
      <c r="B2503" s="4" t="s">
        <v>26</v>
      </c>
      <c r="C2503" s="32" t="s">
        <v>436</v>
      </c>
      <c r="D2503" s="4" t="s">
        <v>41</v>
      </c>
      <c r="E2503" s="4" t="s">
        <v>28</v>
      </c>
      <c r="F2503" s="4" t="s">
        <v>17</v>
      </c>
      <c r="G2503" s="4" t="s">
        <v>18</v>
      </c>
      <c r="H2503" s="4" t="s">
        <v>252</v>
      </c>
      <c r="I2503" s="5" t="str">
        <f t="shared" si="39"/>
        <v>2025-09</v>
      </c>
      <c r="J2503" s="4" t="s">
        <v>34</v>
      </c>
      <c r="K2503" s="5" t="s">
        <v>342</v>
      </c>
      <c r="L2503" s="2">
        <v>17936</v>
      </c>
      <c r="M2503" s="3">
        <v>2</v>
      </c>
      <c r="N2503" s="2">
        <v>35872</v>
      </c>
      <c r="O2503" s="2">
        <v>3587</v>
      </c>
      <c r="P2503" s="2">
        <v>39459</v>
      </c>
      <c r="Q2503" s="2">
        <f>P2503*8.5%</f>
        <v>3354.0150000000003</v>
      </c>
    </row>
    <row r="2504" spans="1:17" hidden="1" x14ac:dyDescent="0.4">
      <c r="A2504" s="4" t="s">
        <v>42</v>
      </c>
      <c r="B2504" s="4" t="s">
        <v>14</v>
      </c>
      <c r="C2504" s="30" t="s">
        <v>434</v>
      </c>
      <c r="D2504" s="4" t="s">
        <v>43</v>
      </c>
      <c r="E2504" s="4" t="s">
        <v>44</v>
      </c>
      <c r="F2504" s="4" t="s">
        <v>31</v>
      </c>
      <c r="G2504" s="4" t="s">
        <v>18</v>
      </c>
      <c r="H2504" s="4" t="s">
        <v>252</v>
      </c>
      <c r="I2504" s="5" t="str">
        <f t="shared" si="39"/>
        <v>2025-09</v>
      </c>
      <c r="J2504" s="4" t="s">
        <v>34</v>
      </c>
      <c r="K2504" s="5" t="s">
        <v>342</v>
      </c>
      <c r="L2504" s="2">
        <v>7300</v>
      </c>
      <c r="M2504" s="3">
        <v>62.3</v>
      </c>
      <c r="N2504" s="2">
        <v>454790</v>
      </c>
      <c r="O2504" s="2">
        <v>0</v>
      </c>
      <c r="P2504" s="2">
        <v>454790</v>
      </c>
      <c r="Q2504" s="2">
        <f>P2504*8.5%</f>
        <v>38657.15</v>
      </c>
    </row>
    <row r="2505" spans="1:17" hidden="1" x14ac:dyDescent="0.4">
      <c r="A2505" s="4" t="s">
        <v>13</v>
      </c>
      <c r="B2505" s="4" t="s">
        <v>14</v>
      </c>
      <c r="C2505" s="30" t="s">
        <v>434</v>
      </c>
      <c r="D2505" s="4" t="s">
        <v>15</v>
      </c>
      <c r="E2505" s="4" t="s">
        <v>16</v>
      </c>
      <c r="F2505" s="4" t="s">
        <v>17</v>
      </c>
      <c r="G2505" s="4" t="s">
        <v>18</v>
      </c>
      <c r="H2505" s="4" t="s">
        <v>252</v>
      </c>
      <c r="I2505" s="5" t="str">
        <f t="shared" si="39"/>
        <v>2025-09</v>
      </c>
      <c r="J2505" s="4" t="s">
        <v>59</v>
      </c>
      <c r="K2505" s="5" t="s">
        <v>343</v>
      </c>
      <c r="L2505" s="2">
        <v>42000</v>
      </c>
      <c r="M2505" s="3">
        <v>3</v>
      </c>
      <c r="N2505" s="2">
        <v>126000</v>
      </c>
      <c r="O2505" s="2">
        <v>12600</v>
      </c>
      <c r="P2505" s="2">
        <v>138600</v>
      </c>
      <c r="Q2505" s="2">
        <f>P2505*12%</f>
        <v>16632</v>
      </c>
    </row>
    <row r="2506" spans="1:17" hidden="1" x14ac:dyDescent="0.4">
      <c r="A2506" s="4" t="s">
        <v>35</v>
      </c>
      <c r="B2506" s="4" t="s">
        <v>14</v>
      </c>
      <c r="C2506" s="30" t="s">
        <v>434</v>
      </c>
      <c r="D2506" s="4" t="s">
        <v>36</v>
      </c>
      <c r="E2506" s="4" t="s">
        <v>16</v>
      </c>
      <c r="F2506" s="4" t="s">
        <v>17</v>
      </c>
      <c r="G2506" s="4" t="s">
        <v>18</v>
      </c>
      <c r="H2506" s="4" t="s">
        <v>252</v>
      </c>
      <c r="I2506" s="5" t="str">
        <f t="shared" si="39"/>
        <v>2025-09</v>
      </c>
      <c r="J2506" s="4" t="s">
        <v>59</v>
      </c>
      <c r="K2506" s="5" t="s">
        <v>343</v>
      </c>
      <c r="L2506" s="2">
        <v>116220</v>
      </c>
      <c r="M2506" s="3">
        <v>1</v>
      </c>
      <c r="N2506" s="2">
        <v>116220</v>
      </c>
      <c r="O2506" s="2">
        <v>11622</v>
      </c>
      <c r="P2506" s="2">
        <v>127842</v>
      </c>
      <c r="Q2506" s="2">
        <f>P2506*12%</f>
        <v>15341.039999999999</v>
      </c>
    </row>
    <row r="2507" spans="1:17" hidden="1" x14ac:dyDescent="0.4">
      <c r="A2507" s="4" t="s">
        <v>23</v>
      </c>
      <c r="B2507" s="4" t="s">
        <v>14</v>
      </c>
      <c r="C2507" s="31" t="s">
        <v>435</v>
      </c>
      <c r="D2507" s="4" t="s">
        <v>24</v>
      </c>
      <c r="E2507" s="4" t="s">
        <v>16</v>
      </c>
      <c r="F2507" s="4" t="s">
        <v>17</v>
      </c>
      <c r="G2507" s="4" t="s">
        <v>18</v>
      </c>
      <c r="H2507" s="4" t="s">
        <v>252</v>
      </c>
      <c r="I2507" s="5" t="str">
        <f t="shared" si="39"/>
        <v>2025-09</v>
      </c>
      <c r="J2507" s="4" t="s">
        <v>59</v>
      </c>
      <c r="K2507" s="5" t="s">
        <v>343</v>
      </c>
      <c r="L2507" s="2">
        <v>55500</v>
      </c>
      <c r="M2507" s="3">
        <v>2</v>
      </c>
      <c r="N2507" s="2">
        <v>111000</v>
      </c>
      <c r="O2507" s="2">
        <v>11100</v>
      </c>
      <c r="P2507" s="2">
        <v>122100</v>
      </c>
      <c r="Q2507" s="2">
        <f>P2507*12%</f>
        <v>14652</v>
      </c>
    </row>
    <row r="2508" spans="1:17" hidden="1" x14ac:dyDescent="0.4">
      <c r="A2508" s="4" t="s">
        <v>51</v>
      </c>
      <c r="B2508" s="4" t="s">
        <v>14</v>
      </c>
      <c r="C2508" s="30" t="s">
        <v>434</v>
      </c>
      <c r="D2508" s="4" t="s">
        <v>52</v>
      </c>
      <c r="E2508" s="4" t="s">
        <v>16</v>
      </c>
      <c r="F2508" s="4" t="s">
        <v>17</v>
      </c>
      <c r="G2508" s="4" t="s">
        <v>18</v>
      </c>
      <c r="H2508" s="4" t="s">
        <v>252</v>
      </c>
      <c r="I2508" s="5" t="str">
        <f t="shared" si="39"/>
        <v>2025-09</v>
      </c>
      <c r="J2508" s="4" t="s">
        <v>59</v>
      </c>
      <c r="K2508" s="5" t="s">
        <v>343</v>
      </c>
      <c r="L2508" s="2">
        <v>73000</v>
      </c>
      <c r="M2508" s="3">
        <v>1</v>
      </c>
      <c r="N2508" s="2">
        <v>73000</v>
      </c>
      <c r="O2508" s="2">
        <v>7300</v>
      </c>
      <c r="P2508" s="2">
        <v>80300</v>
      </c>
      <c r="Q2508" s="2">
        <f>P2508*12%</f>
        <v>9636</v>
      </c>
    </row>
    <row r="2509" spans="1:17" hidden="1" x14ac:dyDescent="0.4">
      <c r="A2509" s="4" t="s">
        <v>100</v>
      </c>
      <c r="B2509" s="4" t="s">
        <v>26</v>
      </c>
      <c r="C2509" s="32" t="s">
        <v>436</v>
      </c>
      <c r="D2509" s="4" t="s">
        <v>101</v>
      </c>
      <c r="E2509" s="4" t="s">
        <v>28</v>
      </c>
      <c r="F2509" s="4" t="s">
        <v>17</v>
      </c>
      <c r="G2509" s="4" t="s">
        <v>18</v>
      </c>
      <c r="H2509" s="4" t="s">
        <v>252</v>
      </c>
      <c r="I2509" s="5" t="str">
        <f t="shared" si="39"/>
        <v>2025-09</v>
      </c>
      <c r="J2509" s="4" t="s">
        <v>59</v>
      </c>
      <c r="K2509" s="5" t="s">
        <v>343</v>
      </c>
      <c r="L2509" s="2">
        <v>5620</v>
      </c>
      <c r="M2509" s="3">
        <v>4</v>
      </c>
      <c r="N2509" s="2">
        <v>22480</v>
      </c>
      <c r="O2509" s="2">
        <v>2248</v>
      </c>
      <c r="P2509" s="2">
        <v>24728</v>
      </c>
      <c r="Q2509" s="2">
        <f>P2509*12%</f>
        <v>2967.3599999999997</v>
      </c>
    </row>
    <row r="2510" spans="1:17" hidden="1" x14ac:dyDescent="0.4">
      <c r="A2510" s="4" t="s">
        <v>32</v>
      </c>
      <c r="B2510" s="4" t="s">
        <v>14</v>
      </c>
      <c r="C2510" s="31" t="s">
        <v>435</v>
      </c>
      <c r="D2510" s="4" t="s">
        <v>33</v>
      </c>
      <c r="E2510" s="4" t="s">
        <v>16</v>
      </c>
      <c r="F2510" s="4" t="s">
        <v>17</v>
      </c>
      <c r="G2510" s="4" t="s">
        <v>18</v>
      </c>
      <c r="H2510" s="4" t="s">
        <v>252</v>
      </c>
      <c r="I2510" s="5" t="str">
        <f t="shared" si="39"/>
        <v>2025-09</v>
      </c>
      <c r="J2510" s="4" t="s">
        <v>49</v>
      </c>
      <c r="K2510" s="5" t="s">
        <v>343</v>
      </c>
      <c r="L2510" s="2">
        <v>44000</v>
      </c>
      <c r="M2510" s="3">
        <v>5</v>
      </c>
      <c r="N2510" s="2">
        <v>220000</v>
      </c>
      <c r="O2510" s="2">
        <v>22000</v>
      </c>
      <c r="P2510" s="2">
        <v>242000</v>
      </c>
      <c r="Q2510" s="2">
        <f>P2510*12%</f>
        <v>29040</v>
      </c>
    </row>
    <row r="2511" spans="1:17" hidden="1" x14ac:dyDescent="0.4">
      <c r="A2511" s="4" t="s">
        <v>13</v>
      </c>
      <c r="B2511" s="4" t="s">
        <v>14</v>
      </c>
      <c r="C2511" s="30" t="s">
        <v>434</v>
      </c>
      <c r="D2511" s="4" t="s">
        <v>15</v>
      </c>
      <c r="E2511" s="4" t="s">
        <v>16</v>
      </c>
      <c r="F2511" s="4" t="s">
        <v>17</v>
      </c>
      <c r="G2511" s="4" t="s">
        <v>18</v>
      </c>
      <c r="H2511" s="4" t="s">
        <v>252</v>
      </c>
      <c r="I2511" s="5" t="str">
        <f t="shared" si="39"/>
        <v>2025-09</v>
      </c>
      <c r="J2511" s="4" t="s">
        <v>49</v>
      </c>
      <c r="K2511" s="5" t="s">
        <v>343</v>
      </c>
      <c r="L2511" s="2">
        <v>42000</v>
      </c>
      <c r="M2511" s="3">
        <v>5</v>
      </c>
      <c r="N2511" s="2">
        <v>210000</v>
      </c>
      <c r="O2511" s="2">
        <v>21000</v>
      </c>
      <c r="P2511" s="2">
        <v>231000</v>
      </c>
      <c r="Q2511" s="2">
        <f>P2511*12%</f>
        <v>27720</v>
      </c>
    </row>
    <row r="2512" spans="1:17" hidden="1" x14ac:dyDescent="0.4">
      <c r="A2512" s="4" t="s">
        <v>35</v>
      </c>
      <c r="B2512" s="4" t="s">
        <v>14</v>
      </c>
      <c r="C2512" s="30" t="s">
        <v>434</v>
      </c>
      <c r="D2512" s="4" t="s">
        <v>36</v>
      </c>
      <c r="E2512" s="4" t="s">
        <v>16</v>
      </c>
      <c r="F2512" s="4" t="s">
        <v>17</v>
      </c>
      <c r="G2512" s="4" t="s">
        <v>18</v>
      </c>
      <c r="H2512" s="4" t="s">
        <v>252</v>
      </c>
      <c r="I2512" s="5" t="str">
        <f t="shared" si="39"/>
        <v>2025-09</v>
      </c>
      <c r="J2512" s="4" t="s">
        <v>49</v>
      </c>
      <c r="K2512" s="5" t="s">
        <v>343</v>
      </c>
      <c r="L2512" s="2">
        <v>116220</v>
      </c>
      <c r="M2512" s="3">
        <v>1</v>
      </c>
      <c r="N2512" s="2">
        <v>116220</v>
      </c>
      <c r="O2512" s="2">
        <v>11622</v>
      </c>
      <c r="P2512" s="2">
        <v>127842</v>
      </c>
      <c r="Q2512" s="2">
        <f>P2512*12%</f>
        <v>15341.039999999999</v>
      </c>
    </row>
    <row r="2513" spans="1:17" hidden="1" x14ac:dyDescent="0.4">
      <c r="A2513" s="4" t="s">
        <v>23</v>
      </c>
      <c r="B2513" s="4" t="s">
        <v>14</v>
      </c>
      <c r="C2513" s="31" t="s">
        <v>435</v>
      </c>
      <c r="D2513" s="4" t="s">
        <v>24</v>
      </c>
      <c r="E2513" s="4" t="s">
        <v>16</v>
      </c>
      <c r="F2513" s="4" t="s">
        <v>17</v>
      </c>
      <c r="G2513" s="4" t="s">
        <v>18</v>
      </c>
      <c r="H2513" s="4" t="s">
        <v>252</v>
      </c>
      <c r="I2513" s="5" t="str">
        <f t="shared" si="39"/>
        <v>2025-09</v>
      </c>
      <c r="J2513" s="4" t="s">
        <v>49</v>
      </c>
      <c r="K2513" s="5" t="s">
        <v>343</v>
      </c>
      <c r="L2513" s="2">
        <v>55500</v>
      </c>
      <c r="M2513" s="3">
        <v>2</v>
      </c>
      <c r="N2513" s="2">
        <v>111000</v>
      </c>
      <c r="O2513" s="2">
        <v>11100</v>
      </c>
      <c r="P2513" s="2">
        <v>122100</v>
      </c>
      <c r="Q2513" s="2">
        <f>P2513*12%</f>
        <v>14652</v>
      </c>
    </row>
    <row r="2514" spans="1:17" x14ac:dyDescent="0.4">
      <c r="A2514" s="4" t="s">
        <v>13</v>
      </c>
      <c r="B2514" s="4" t="s">
        <v>14</v>
      </c>
      <c r="C2514" s="30" t="s">
        <v>434</v>
      </c>
      <c r="D2514" s="4" t="s">
        <v>15</v>
      </c>
      <c r="E2514" s="4" t="s">
        <v>16</v>
      </c>
      <c r="F2514" s="4" t="s">
        <v>17</v>
      </c>
      <c r="G2514" s="4" t="s">
        <v>18</v>
      </c>
      <c r="H2514" s="4" t="s">
        <v>253</v>
      </c>
      <c r="I2514" s="5" t="str">
        <f t="shared" si="39"/>
        <v>2025-09</v>
      </c>
      <c r="J2514" s="4" t="s">
        <v>20</v>
      </c>
      <c r="K2514" s="5" t="s">
        <v>342</v>
      </c>
      <c r="L2514" s="2">
        <v>42000</v>
      </c>
      <c r="M2514" s="3">
        <v>2</v>
      </c>
      <c r="N2514" s="2">
        <v>84000</v>
      </c>
      <c r="O2514" s="2">
        <v>8400</v>
      </c>
      <c r="P2514" s="2">
        <v>92400</v>
      </c>
      <c r="Q2514" s="2">
        <f>P2514*8.5%</f>
        <v>7854.0000000000009</v>
      </c>
    </row>
    <row r="2515" spans="1:17" x14ac:dyDescent="0.4">
      <c r="A2515" s="4" t="s">
        <v>21</v>
      </c>
      <c r="B2515" s="4" t="s">
        <v>14</v>
      </c>
      <c r="C2515" s="31" t="s">
        <v>435</v>
      </c>
      <c r="D2515" s="4" t="s">
        <v>22</v>
      </c>
      <c r="E2515" s="4" t="s">
        <v>16</v>
      </c>
      <c r="F2515" s="4" t="s">
        <v>17</v>
      </c>
      <c r="G2515" s="4" t="s">
        <v>18</v>
      </c>
      <c r="H2515" s="4" t="s">
        <v>253</v>
      </c>
      <c r="I2515" s="5" t="str">
        <f t="shared" si="39"/>
        <v>2025-09</v>
      </c>
      <c r="J2515" s="4" t="s">
        <v>20</v>
      </c>
      <c r="K2515" s="5" t="s">
        <v>342</v>
      </c>
      <c r="L2515" s="2">
        <v>55500</v>
      </c>
      <c r="M2515" s="3">
        <v>1</v>
      </c>
      <c r="N2515" s="2">
        <v>55500</v>
      </c>
      <c r="O2515" s="2">
        <v>5550</v>
      </c>
      <c r="P2515" s="2">
        <v>61050</v>
      </c>
      <c r="Q2515" s="2">
        <f>P2515*8.5%</f>
        <v>5189.25</v>
      </c>
    </row>
    <row r="2516" spans="1:17" x14ac:dyDescent="0.4">
      <c r="A2516" s="4" t="s">
        <v>23</v>
      </c>
      <c r="B2516" s="4" t="s">
        <v>14</v>
      </c>
      <c r="C2516" s="31" t="s">
        <v>435</v>
      </c>
      <c r="D2516" s="4" t="s">
        <v>24</v>
      </c>
      <c r="E2516" s="4" t="s">
        <v>16</v>
      </c>
      <c r="F2516" s="4" t="s">
        <v>17</v>
      </c>
      <c r="G2516" s="4" t="s">
        <v>18</v>
      </c>
      <c r="H2516" s="4" t="s">
        <v>253</v>
      </c>
      <c r="I2516" s="5" t="str">
        <f t="shared" si="39"/>
        <v>2025-09</v>
      </c>
      <c r="J2516" s="4" t="s">
        <v>20</v>
      </c>
      <c r="K2516" s="5" t="s">
        <v>342</v>
      </c>
      <c r="L2516" s="2">
        <v>55500</v>
      </c>
      <c r="M2516" s="3">
        <v>3</v>
      </c>
      <c r="N2516" s="2">
        <v>166500</v>
      </c>
      <c r="O2516" s="2">
        <v>16650</v>
      </c>
      <c r="P2516" s="2">
        <v>183150</v>
      </c>
      <c r="Q2516" s="2">
        <f>P2516*8.5%</f>
        <v>15567.750000000002</v>
      </c>
    </row>
    <row r="2517" spans="1:17" x14ac:dyDescent="0.4">
      <c r="A2517" s="4" t="s">
        <v>51</v>
      </c>
      <c r="B2517" s="4" t="s">
        <v>14</v>
      </c>
      <c r="C2517" s="30" t="s">
        <v>434</v>
      </c>
      <c r="D2517" s="4" t="s">
        <v>52</v>
      </c>
      <c r="E2517" s="4" t="s">
        <v>16</v>
      </c>
      <c r="F2517" s="4" t="s">
        <v>17</v>
      </c>
      <c r="G2517" s="4" t="s">
        <v>18</v>
      </c>
      <c r="H2517" s="4" t="s">
        <v>253</v>
      </c>
      <c r="I2517" s="5" t="str">
        <f t="shared" si="39"/>
        <v>2025-09</v>
      </c>
      <c r="J2517" s="4" t="s">
        <v>20</v>
      </c>
      <c r="K2517" s="5" t="s">
        <v>342</v>
      </c>
      <c r="L2517" s="2">
        <v>73000</v>
      </c>
      <c r="M2517" s="3">
        <v>1</v>
      </c>
      <c r="N2517" s="2">
        <v>73000</v>
      </c>
      <c r="O2517" s="2">
        <v>7300</v>
      </c>
      <c r="P2517" s="2">
        <v>80300</v>
      </c>
      <c r="Q2517" s="2">
        <f>P2517*8.5%</f>
        <v>6825.5000000000009</v>
      </c>
    </row>
    <row r="2518" spans="1:17" x14ac:dyDescent="0.4">
      <c r="A2518" s="4" t="s">
        <v>56</v>
      </c>
      <c r="B2518" s="4" t="s">
        <v>26</v>
      </c>
      <c r="C2518" s="32" t="s">
        <v>436</v>
      </c>
      <c r="D2518" s="4" t="s">
        <v>57</v>
      </c>
      <c r="E2518" s="4" t="s">
        <v>44</v>
      </c>
      <c r="F2518" s="4" t="s">
        <v>31</v>
      </c>
      <c r="G2518" s="4" t="s">
        <v>18</v>
      </c>
      <c r="H2518" s="4" t="s">
        <v>253</v>
      </c>
      <c r="I2518" s="5" t="str">
        <f t="shared" si="39"/>
        <v>2025-09</v>
      </c>
      <c r="J2518" s="4" t="s">
        <v>20</v>
      </c>
      <c r="K2518" s="5" t="s">
        <v>342</v>
      </c>
      <c r="L2518" s="2">
        <v>3049</v>
      </c>
      <c r="M2518" s="3">
        <v>20</v>
      </c>
      <c r="N2518" s="2">
        <v>60980</v>
      </c>
      <c r="O2518" s="2">
        <v>0</v>
      </c>
      <c r="P2518" s="2">
        <v>60980</v>
      </c>
      <c r="Q2518" s="2">
        <f>P2518*8.5%</f>
        <v>5183.3</v>
      </c>
    </row>
    <row r="2519" spans="1:17" hidden="1" x14ac:dyDescent="0.4">
      <c r="A2519" s="4" t="s">
        <v>13</v>
      </c>
      <c r="B2519" s="4" t="s">
        <v>14</v>
      </c>
      <c r="C2519" s="30" t="s">
        <v>434</v>
      </c>
      <c r="D2519" s="4" t="s">
        <v>15</v>
      </c>
      <c r="E2519" s="4" t="s">
        <v>16</v>
      </c>
      <c r="F2519" s="4" t="s">
        <v>17</v>
      </c>
      <c r="G2519" s="4" t="s">
        <v>18</v>
      </c>
      <c r="H2519" s="4" t="s">
        <v>253</v>
      </c>
      <c r="I2519" s="5" t="str">
        <f t="shared" si="39"/>
        <v>2025-09</v>
      </c>
      <c r="J2519" s="4" t="s">
        <v>118</v>
      </c>
      <c r="K2519" s="5" t="s">
        <v>342</v>
      </c>
      <c r="L2519" s="2">
        <v>42000</v>
      </c>
      <c r="M2519" s="3">
        <v>2</v>
      </c>
      <c r="N2519" s="2">
        <v>84000</v>
      </c>
      <c r="O2519" s="2">
        <v>8400</v>
      </c>
      <c r="P2519" s="2">
        <v>92400</v>
      </c>
      <c r="Q2519" s="2">
        <f>P2519*8.5%</f>
        <v>7854.0000000000009</v>
      </c>
    </row>
    <row r="2520" spans="1:17" hidden="1" x14ac:dyDescent="0.4">
      <c r="A2520" s="4" t="s">
        <v>51</v>
      </c>
      <c r="B2520" s="4" t="s">
        <v>14</v>
      </c>
      <c r="C2520" s="30" t="s">
        <v>434</v>
      </c>
      <c r="D2520" s="4" t="s">
        <v>52</v>
      </c>
      <c r="E2520" s="4" t="s">
        <v>16</v>
      </c>
      <c r="F2520" s="4" t="s">
        <v>17</v>
      </c>
      <c r="G2520" s="4" t="s">
        <v>18</v>
      </c>
      <c r="H2520" s="4" t="s">
        <v>253</v>
      </c>
      <c r="I2520" s="5" t="str">
        <f t="shared" si="39"/>
        <v>2025-09</v>
      </c>
      <c r="J2520" s="4" t="s">
        <v>118</v>
      </c>
      <c r="K2520" s="5" t="s">
        <v>342</v>
      </c>
      <c r="L2520" s="2">
        <v>73000</v>
      </c>
      <c r="M2520" s="3">
        <v>1</v>
      </c>
      <c r="N2520" s="2">
        <v>73000</v>
      </c>
      <c r="O2520" s="2">
        <v>7300</v>
      </c>
      <c r="P2520" s="2">
        <v>80300</v>
      </c>
      <c r="Q2520" s="2">
        <f>P2520*8.5%</f>
        <v>6825.5000000000009</v>
      </c>
    </row>
    <row r="2521" spans="1:17" hidden="1" x14ac:dyDescent="0.4">
      <c r="A2521" s="4" t="s">
        <v>80</v>
      </c>
      <c r="B2521" s="4" t="s">
        <v>26</v>
      </c>
      <c r="C2521" s="32" t="s">
        <v>436</v>
      </c>
      <c r="D2521" s="4" t="s">
        <v>81</v>
      </c>
      <c r="E2521" s="4" t="s">
        <v>16</v>
      </c>
      <c r="F2521" s="4" t="s">
        <v>17</v>
      </c>
      <c r="G2521" s="4" t="s">
        <v>18</v>
      </c>
      <c r="H2521" s="4" t="s">
        <v>253</v>
      </c>
      <c r="I2521" s="5" t="str">
        <f t="shared" si="39"/>
        <v>2025-09</v>
      </c>
      <c r="J2521" s="4" t="s">
        <v>34</v>
      </c>
      <c r="K2521" s="5" t="s">
        <v>342</v>
      </c>
      <c r="L2521" s="2">
        <v>17696</v>
      </c>
      <c r="M2521" s="3">
        <v>1</v>
      </c>
      <c r="N2521" s="2">
        <v>17696</v>
      </c>
      <c r="O2521" s="2">
        <v>1770</v>
      </c>
      <c r="P2521" s="2">
        <v>19466</v>
      </c>
      <c r="Q2521" s="2">
        <f>P2521*8.5%</f>
        <v>1654.6100000000001</v>
      </c>
    </row>
    <row r="2522" spans="1:17" hidden="1" x14ac:dyDescent="0.4">
      <c r="A2522" s="4" t="s">
        <v>82</v>
      </c>
      <c r="B2522" s="4" t="s">
        <v>26</v>
      </c>
      <c r="C2522" s="32" t="s">
        <v>436</v>
      </c>
      <c r="D2522" s="4" t="s">
        <v>81</v>
      </c>
      <c r="E2522" s="4" t="s">
        <v>16</v>
      </c>
      <c r="F2522" s="4" t="s">
        <v>17</v>
      </c>
      <c r="G2522" s="4" t="s">
        <v>18</v>
      </c>
      <c r="H2522" s="4" t="s">
        <v>253</v>
      </c>
      <c r="I2522" s="5" t="str">
        <f t="shared" si="39"/>
        <v>2025-09</v>
      </c>
      <c r="J2522" s="4" t="s">
        <v>34</v>
      </c>
      <c r="K2522" s="5" t="s">
        <v>342</v>
      </c>
      <c r="L2522" s="2">
        <v>20925</v>
      </c>
      <c r="M2522" s="3">
        <v>1</v>
      </c>
      <c r="N2522" s="2">
        <v>20925</v>
      </c>
      <c r="O2522" s="2">
        <v>2093</v>
      </c>
      <c r="P2522" s="2">
        <v>23018</v>
      </c>
      <c r="Q2522" s="2">
        <f>P2522*8.5%</f>
        <v>1956.5300000000002</v>
      </c>
    </row>
    <row r="2523" spans="1:17" hidden="1" x14ac:dyDescent="0.4">
      <c r="A2523" s="4" t="s">
        <v>13</v>
      </c>
      <c r="B2523" s="4" t="s">
        <v>14</v>
      </c>
      <c r="C2523" s="30" t="s">
        <v>434</v>
      </c>
      <c r="D2523" s="4" t="s">
        <v>15</v>
      </c>
      <c r="E2523" s="4" t="s">
        <v>16</v>
      </c>
      <c r="F2523" s="4" t="s">
        <v>17</v>
      </c>
      <c r="G2523" s="4" t="s">
        <v>18</v>
      </c>
      <c r="H2523" s="4" t="s">
        <v>253</v>
      </c>
      <c r="I2523" s="5" t="str">
        <f t="shared" si="39"/>
        <v>2025-09</v>
      </c>
      <c r="J2523" s="4" t="s">
        <v>34</v>
      </c>
      <c r="K2523" s="5" t="s">
        <v>342</v>
      </c>
      <c r="L2523" s="2">
        <v>42000</v>
      </c>
      <c r="M2523" s="3">
        <v>3</v>
      </c>
      <c r="N2523" s="2">
        <v>126000</v>
      </c>
      <c r="O2523" s="2">
        <v>12600</v>
      </c>
      <c r="P2523" s="2">
        <v>138600</v>
      </c>
      <c r="Q2523" s="2">
        <f>P2523*8.5%</f>
        <v>11781</v>
      </c>
    </row>
    <row r="2524" spans="1:17" hidden="1" x14ac:dyDescent="0.4">
      <c r="A2524" s="4" t="s">
        <v>21</v>
      </c>
      <c r="B2524" s="4" t="s">
        <v>14</v>
      </c>
      <c r="C2524" s="31" t="s">
        <v>435</v>
      </c>
      <c r="D2524" s="4" t="s">
        <v>22</v>
      </c>
      <c r="E2524" s="4" t="s">
        <v>16</v>
      </c>
      <c r="F2524" s="4" t="s">
        <v>17</v>
      </c>
      <c r="G2524" s="4" t="s">
        <v>18</v>
      </c>
      <c r="H2524" s="4" t="s">
        <v>253</v>
      </c>
      <c r="I2524" s="5" t="str">
        <f t="shared" si="39"/>
        <v>2025-09</v>
      </c>
      <c r="J2524" s="4" t="s">
        <v>34</v>
      </c>
      <c r="K2524" s="5" t="s">
        <v>342</v>
      </c>
      <c r="L2524" s="2">
        <v>55500</v>
      </c>
      <c r="M2524" s="3">
        <v>1</v>
      </c>
      <c r="N2524" s="2">
        <v>55500</v>
      </c>
      <c r="O2524" s="2">
        <v>5550</v>
      </c>
      <c r="P2524" s="2">
        <v>61050</v>
      </c>
      <c r="Q2524" s="2">
        <f>P2524*8.5%</f>
        <v>5189.25</v>
      </c>
    </row>
    <row r="2525" spans="1:17" hidden="1" x14ac:dyDescent="0.4">
      <c r="A2525" s="4" t="s">
        <v>35</v>
      </c>
      <c r="B2525" s="4" t="s">
        <v>14</v>
      </c>
      <c r="C2525" s="30" t="s">
        <v>434</v>
      </c>
      <c r="D2525" s="4" t="s">
        <v>36</v>
      </c>
      <c r="E2525" s="4" t="s">
        <v>16</v>
      </c>
      <c r="F2525" s="4" t="s">
        <v>17</v>
      </c>
      <c r="G2525" s="4" t="s">
        <v>18</v>
      </c>
      <c r="H2525" s="4" t="s">
        <v>253</v>
      </c>
      <c r="I2525" s="5" t="str">
        <f t="shared" si="39"/>
        <v>2025-09</v>
      </c>
      <c r="J2525" s="4" t="s">
        <v>34</v>
      </c>
      <c r="K2525" s="5" t="s">
        <v>342</v>
      </c>
      <c r="L2525" s="2">
        <v>116220</v>
      </c>
      <c r="M2525" s="3">
        <v>1</v>
      </c>
      <c r="N2525" s="2">
        <v>116220</v>
      </c>
      <c r="O2525" s="2">
        <v>11622</v>
      </c>
      <c r="P2525" s="2">
        <v>127842</v>
      </c>
      <c r="Q2525" s="2">
        <f>P2525*8.5%</f>
        <v>10866.570000000002</v>
      </c>
    </row>
    <row r="2526" spans="1:17" hidden="1" x14ac:dyDescent="0.4">
      <c r="A2526" s="4" t="s">
        <v>23</v>
      </c>
      <c r="B2526" s="4" t="s">
        <v>14</v>
      </c>
      <c r="C2526" s="31" t="s">
        <v>435</v>
      </c>
      <c r="D2526" s="4" t="s">
        <v>24</v>
      </c>
      <c r="E2526" s="4" t="s">
        <v>16</v>
      </c>
      <c r="F2526" s="4" t="s">
        <v>17</v>
      </c>
      <c r="G2526" s="4" t="s">
        <v>18</v>
      </c>
      <c r="H2526" s="4" t="s">
        <v>253</v>
      </c>
      <c r="I2526" s="5" t="str">
        <f t="shared" si="39"/>
        <v>2025-09</v>
      </c>
      <c r="J2526" s="4" t="s">
        <v>34</v>
      </c>
      <c r="K2526" s="5" t="s">
        <v>342</v>
      </c>
      <c r="L2526" s="2">
        <v>55500</v>
      </c>
      <c r="M2526" s="3">
        <v>3</v>
      </c>
      <c r="N2526" s="2">
        <v>166500</v>
      </c>
      <c r="O2526" s="2">
        <v>16650</v>
      </c>
      <c r="P2526" s="2">
        <v>183150</v>
      </c>
      <c r="Q2526" s="2">
        <f>P2526*8.5%</f>
        <v>15567.750000000002</v>
      </c>
    </row>
    <row r="2527" spans="1:17" hidden="1" x14ac:dyDescent="0.4">
      <c r="A2527" s="4" t="s">
        <v>42</v>
      </c>
      <c r="B2527" s="4" t="s">
        <v>14</v>
      </c>
      <c r="C2527" s="30" t="s">
        <v>434</v>
      </c>
      <c r="D2527" s="4" t="s">
        <v>43</v>
      </c>
      <c r="E2527" s="4" t="s">
        <v>44</v>
      </c>
      <c r="F2527" s="4" t="s">
        <v>31</v>
      </c>
      <c r="G2527" s="4" t="s">
        <v>18</v>
      </c>
      <c r="H2527" s="4" t="s">
        <v>253</v>
      </c>
      <c r="I2527" s="5" t="str">
        <f t="shared" si="39"/>
        <v>2025-09</v>
      </c>
      <c r="J2527" s="4" t="s">
        <v>34</v>
      </c>
      <c r="K2527" s="5" t="s">
        <v>342</v>
      </c>
      <c r="L2527" s="2">
        <v>7300</v>
      </c>
      <c r="M2527" s="3">
        <v>65.400000000000006</v>
      </c>
      <c r="N2527" s="2">
        <v>477420</v>
      </c>
      <c r="O2527" s="2">
        <v>0</v>
      </c>
      <c r="P2527" s="2">
        <v>477420</v>
      </c>
      <c r="Q2527" s="2">
        <f>P2527*8.5%</f>
        <v>40580.700000000004</v>
      </c>
    </row>
    <row r="2528" spans="1:17" hidden="1" x14ac:dyDescent="0.4">
      <c r="A2528" s="4" t="s">
        <v>32</v>
      </c>
      <c r="B2528" s="4" t="s">
        <v>14</v>
      </c>
      <c r="C2528" s="31" t="s">
        <v>435</v>
      </c>
      <c r="D2528" s="4" t="s">
        <v>33</v>
      </c>
      <c r="E2528" s="4" t="s">
        <v>16</v>
      </c>
      <c r="F2528" s="4" t="s">
        <v>17</v>
      </c>
      <c r="G2528" s="4" t="s">
        <v>18</v>
      </c>
      <c r="H2528" s="4" t="s">
        <v>253</v>
      </c>
      <c r="I2528" s="5" t="str">
        <f t="shared" si="39"/>
        <v>2025-09</v>
      </c>
      <c r="J2528" s="4" t="s">
        <v>49</v>
      </c>
      <c r="K2528" s="5" t="s">
        <v>343</v>
      </c>
      <c r="L2528" s="2">
        <v>44000</v>
      </c>
      <c r="M2528" s="3">
        <v>4</v>
      </c>
      <c r="N2528" s="2">
        <v>176000</v>
      </c>
      <c r="O2528" s="2">
        <v>17600</v>
      </c>
      <c r="P2528" s="2">
        <v>193600</v>
      </c>
      <c r="Q2528" s="2">
        <f>P2528*12%</f>
        <v>23232</v>
      </c>
    </row>
    <row r="2529" spans="1:17" hidden="1" x14ac:dyDescent="0.4">
      <c r="A2529" s="4" t="s">
        <v>13</v>
      </c>
      <c r="B2529" s="4" t="s">
        <v>14</v>
      </c>
      <c r="C2529" s="30" t="s">
        <v>434</v>
      </c>
      <c r="D2529" s="4" t="s">
        <v>15</v>
      </c>
      <c r="E2529" s="4" t="s">
        <v>16</v>
      </c>
      <c r="F2529" s="4" t="s">
        <v>17</v>
      </c>
      <c r="G2529" s="4" t="s">
        <v>18</v>
      </c>
      <c r="H2529" s="4" t="s">
        <v>253</v>
      </c>
      <c r="I2529" s="5" t="str">
        <f t="shared" si="39"/>
        <v>2025-09</v>
      </c>
      <c r="J2529" s="4" t="s">
        <v>49</v>
      </c>
      <c r="K2529" s="5" t="s">
        <v>343</v>
      </c>
      <c r="L2529" s="2">
        <v>42000</v>
      </c>
      <c r="M2529" s="3">
        <v>5</v>
      </c>
      <c r="N2529" s="2">
        <v>210000</v>
      </c>
      <c r="O2529" s="2">
        <v>21000</v>
      </c>
      <c r="P2529" s="2">
        <v>231000</v>
      </c>
      <c r="Q2529" s="2">
        <f>P2529*12%</f>
        <v>27720</v>
      </c>
    </row>
    <row r="2530" spans="1:17" hidden="1" x14ac:dyDescent="0.4">
      <c r="A2530" s="4" t="s">
        <v>23</v>
      </c>
      <c r="B2530" s="4" t="s">
        <v>14</v>
      </c>
      <c r="C2530" s="31" t="s">
        <v>435</v>
      </c>
      <c r="D2530" s="4" t="s">
        <v>24</v>
      </c>
      <c r="E2530" s="4" t="s">
        <v>16</v>
      </c>
      <c r="F2530" s="4" t="s">
        <v>17</v>
      </c>
      <c r="G2530" s="4" t="s">
        <v>18</v>
      </c>
      <c r="H2530" s="4" t="s">
        <v>253</v>
      </c>
      <c r="I2530" s="5" t="str">
        <f t="shared" si="39"/>
        <v>2025-09</v>
      </c>
      <c r="J2530" s="4" t="s">
        <v>49</v>
      </c>
      <c r="K2530" s="5" t="s">
        <v>343</v>
      </c>
      <c r="L2530" s="2">
        <v>55500</v>
      </c>
      <c r="M2530" s="3">
        <v>4</v>
      </c>
      <c r="N2530" s="2">
        <v>222000</v>
      </c>
      <c r="O2530" s="2">
        <v>22200</v>
      </c>
      <c r="P2530" s="2">
        <v>244200</v>
      </c>
      <c r="Q2530" s="2">
        <f>P2530*12%</f>
        <v>29304</v>
      </c>
    </row>
    <row r="2531" spans="1:17" x14ac:dyDescent="0.4">
      <c r="A2531" s="4" t="s">
        <v>21</v>
      </c>
      <c r="B2531" s="4" t="s">
        <v>14</v>
      </c>
      <c r="C2531" s="31" t="s">
        <v>435</v>
      </c>
      <c r="D2531" s="4" t="s">
        <v>22</v>
      </c>
      <c r="E2531" s="4" t="s">
        <v>16</v>
      </c>
      <c r="F2531" s="4" t="s">
        <v>17</v>
      </c>
      <c r="G2531" s="4" t="s">
        <v>18</v>
      </c>
      <c r="H2531" s="4" t="s">
        <v>254</v>
      </c>
      <c r="I2531" s="5" t="str">
        <f t="shared" si="39"/>
        <v>2025-09</v>
      </c>
      <c r="J2531" s="4" t="s">
        <v>20</v>
      </c>
      <c r="K2531" s="5" t="s">
        <v>342</v>
      </c>
      <c r="L2531" s="2">
        <v>55500</v>
      </c>
      <c r="M2531" s="3">
        <v>1</v>
      </c>
      <c r="N2531" s="2">
        <v>55500</v>
      </c>
      <c r="O2531" s="2">
        <v>5550</v>
      </c>
      <c r="P2531" s="2">
        <v>61050</v>
      </c>
      <c r="Q2531" s="2">
        <f>P2531*8.5%</f>
        <v>5189.25</v>
      </c>
    </row>
    <row r="2532" spans="1:17" x14ac:dyDescent="0.4">
      <c r="A2532" s="4" t="s">
        <v>23</v>
      </c>
      <c r="B2532" s="4" t="s">
        <v>14</v>
      </c>
      <c r="C2532" s="31" t="s">
        <v>435</v>
      </c>
      <c r="D2532" s="4" t="s">
        <v>24</v>
      </c>
      <c r="E2532" s="4" t="s">
        <v>16</v>
      </c>
      <c r="F2532" s="4" t="s">
        <v>17</v>
      </c>
      <c r="G2532" s="4" t="s">
        <v>18</v>
      </c>
      <c r="H2532" s="4" t="s">
        <v>254</v>
      </c>
      <c r="I2532" s="5" t="str">
        <f t="shared" si="39"/>
        <v>2025-09</v>
      </c>
      <c r="J2532" s="4" t="s">
        <v>20</v>
      </c>
      <c r="K2532" s="5" t="s">
        <v>342</v>
      </c>
      <c r="L2532" s="2">
        <v>55500</v>
      </c>
      <c r="M2532" s="3">
        <v>3</v>
      </c>
      <c r="N2532" s="2">
        <v>166500</v>
      </c>
      <c r="O2532" s="2">
        <v>16650</v>
      </c>
      <c r="P2532" s="2">
        <v>183150</v>
      </c>
      <c r="Q2532" s="2">
        <f>P2532*8.5%</f>
        <v>15567.750000000002</v>
      </c>
    </row>
    <row r="2533" spans="1:17" x14ac:dyDescent="0.4">
      <c r="A2533" s="4" t="s">
        <v>56</v>
      </c>
      <c r="B2533" s="4" t="s">
        <v>26</v>
      </c>
      <c r="C2533" s="32" t="s">
        <v>436</v>
      </c>
      <c r="D2533" s="4" t="s">
        <v>57</v>
      </c>
      <c r="E2533" s="4" t="s">
        <v>44</v>
      </c>
      <c r="F2533" s="4" t="s">
        <v>31</v>
      </c>
      <c r="G2533" s="4" t="s">
        <v>18</v>
      </c>
      <c r="H2533" s="4" t="s">
        <v>254</v>
      </c>
      <c r="I2533" s="5" t="str">
        <f t="shared" si="39"/>
        <v>2025-09</v>
      </c>
      <c r="J2533" s="4" t="s">
        <v>20</v>
      </c>
      <c r="K2533" s="5" t="s">
        <v>342</v>
      </c>
      <c r="L2533" s="2">
        <v>3671</v>
      </c>
      <c r="M2533" s="3">
        <v>25</v>
      </c>
      <c r="N2533" s="2">
        <v>91775</v>
      </c>
      <c r="O2533" s="2">
        <v>0</v>
      </c>
      <c r="P2533" s="2">
        <v>91775</v>
      </c>
      <c r="Q2533" s="2">
        <f>P2533*8.5%</f>
        <v>7800.8750000000009</v>
      </c>
    </row>
    <row r="2534" spans="1:17" hidden="1" x14ac:dyDescent="0.4">
      <c r="A2534" s="4" t="s">
        <v>32</v>
      </c>
      <c r="B2534" s="4" t="s">
        <v>14</v>
      </c>
      <c r="C2534" s="31" t="s">
        <v>435</v>
      </c>
      <c r="D2534" s="4" t="s">
        <v>33</v>
      </c>
      <c r="E2534" s="4" t="s">
        <v>16</v>
      </c>
      <c r="F2534" s="4" t="s">
        <v>17</v>
      </c>
      <c r="G2534" s="4" t="s">
        <v>18</v>
      </c>
      <c r="H2534" s="4" t="s">
        <v>254</v>
      </c>
      <c r="I2534" s="5" t="str">
        <f t="shared" si="39"/>
        <v>2025-09</v>
      </c>
      <c r="J2534" s="4" t="s">
        <v>118</v>
      </c>
      <c r="K2534" s="5" t="s">
        <v>342</v>
      </c>
      <c r="L2534" s="2">
        <v>44000</v>
      </c>
      <c r="M2534" s="3">
        <v>1</v>
      </c>
      <c r="N2534" s="2">
        <v>44000</v>
      </c>
      <c r="O2534" s="2">
        <v>4400</v>
      </c>
      <c r="P2534" s="2">
        <v>48400</v>
      </c>
      <c r="Q2534" s="2">
        <f>P2534*8.5%</f>
        <v>4114</v>
      </c>
    </row>
    <row r="2535" spans="1:17" hidden="1" x14ac:dyDescent="0.4">
      <c r="A2535" s="4" t="s">
        <v>13</v>
      </c>
      <c r="B2535" s="4" t="s">
        <v>14</v>
      </c>
      <c r="C2535" s="30" t="s">
        <v>434</v>
      </c>
      <c r="D2535" s="4" t="s">
        <v>15</v>
      </c>
      <c r="E2535" s="4" t="s">
        <v>16</v>
      </c>
      <c r="F2535" s="4" t="s">
        <v>17</v>
      </c>
      <c r="G2535" s="4" t="s">
        <v>18</v>
      </c>
      <c r="H2535" s="4" t="s">
        <v>254</v>
      </c>
      <c r="I2535" s="5" t="str">
        <f t="shared" si="39"/>
        <v>2025-09</v>
      </c>
      <c r="J2535" s="4" t="s">
        <v>118</v>
      </c>
      <c r="K2535" s="5" t="s">
        <v>342</v>
      </c>
      <c r="L2535" s="2">
        <v>42000</v>
      </c>
      <c r="M2535" s="3">
        <v>1</v>
      </c>
      <c r="N2535" s="2">
        <v>42000</v>
      </c>
      <c r="O2535" s="2">
        <v>4200</v>
      </c>
      <c r="P2535" s="2">
        <v>46200</v>
      </c>
      <c r="Q2535" s="2">
        <f>P2535*8.5%</f>
        <v>3927.0000000000005</v>
      </c>
    </row>
    <row r="2536" spans="1:17" hidden="1" x14ac:dyDescent="0.4">
      <c r="A2536" s="4" t="s">
        <v>23</v>
      </c>
      <c r="B2536" s="4" t="s">
        <v>14</v>
      </c>
      <c r="C2536" s="31" t="s">
        <v>435</v>
      </c>
      <c r="D2536" s="4" t="s">
        <v>24</v>
      </c>
      <c r="E2536" s="4" t="s">
        <v>16</v>
      </c>
      <c r="F2536" s="4" t="s">
        <v>17</v>
      </c>
      <c r="G2536" s="4" t="s">
        <v>18</v>
      </c>
      <c r="H2536" s="4" t="s">
        <v>254</v>
      </c>
      <c r="I2536" s="5" t="str">
        <f t="shared" si="39"/>
        <v>2025-09</v>
      </c>
      <c r="J2536" s="4" t="s">
        <v>118</v>
      </c>
      <c r="K2536" s="5" t="s">
        <v>342</v>
      </c>
      <c r="L2536" s="2">
        <v>55500</v>
      </c>
      <c r="M2536" s="3">
        <v>2</v>
      </c>
      <c r="N2536" s="2">
        <v>111000</v>
      </c>
      <c r="O2536" s="2">
        <v>11100</v>
      </c>
      <c r="P2536" s="2">
        <v>122100</v>
      </c>
      <c r="Q2536" s="2">
        <f>P2536*8.5%</f>
        <v>10378.5</v>
      </c>
    </row>
    <row r="2537" spans="1:17" hidden="1" x14ac:dyDescent="0.4">
      <c r="A2537" s="4" t="s">
        <v>51</v>
      </c>
      <c r="B2537" s="4" t="s">
        <v>14</v>
      </c>
      <c r="C2537" s="30" t="s">
        <v>434</v>
      </c>
      <c r="D2537" s="4" t="s">
        <v>52</v>
      </c>
      <c r="E2537" s="4" t="s">
        <v>16</v>
      </c>
      <c r="F2537" s="4" t="s">
        <v>17</v>
      </c>
      <c r="G2537" s="4" t="s">
        <v>233</v>
      </c>
      <c r="H2537" s="4" t="s">
        <v>254</v>
      </c>
      <c r="I2537" s="5" t="str">
        <f t="shared" si="39"/>
        <v>2025-09</v>
      </c>
      <c r="J2537" s="4" t="s">
        <v>118</v>
      </c>
      <c r="K2537" s="5" t="s">
        <v>342</v>
      </c>
      <c r="L2537" s="2">
        <v>73000</v>
      </c>
      <c r="M2537" s="3">
        <v>-1</v>
      </c>
      <c r="N2537" s="2">
        <v>-73000</v>
      </c>
      <c r="O2537" s="2">
        <v>-7300</v>
      </c>
      <c r="P2537" s="2">
        <v>-80300</v>
      </c>
      <c r="Q2537" s="2">
        <f>P2537*8.5%</f>
        <v>-6825.5000000000009</v>
      </c>
    </row>
    <row r="2538" spans="1:17" hidden="1" x14ac:dyDescent="0.4">
      <c r="A2538" s="4" t="s">
        <v>64</v>
      </c>
      <c r="B2538" s="4" t="s">
        <v>65</v>
      </c>
      <c r="C2538" s="32" t="s">
        <v>436</v>
      </c>
      <c r="D2538" s="4" t="s">
        <v>66</v>
      </c>
      <c r="E2538" s="4" t="s">
        <v>16</v>
      </c>
      <c r="F2538" s="4" t="s">
        <v>17</v>
      </c>
      <c r="G2538" s="4" t="s">
        <v>18</v>
      </c>
      <c r="H2538" s="4" t="s">
        <v>254</v>
      </c>
      <c r="I2538" s="5" t="str">
        <f t="shared" si="39"/>
        <v>2025-09</v>
      </c>
      <c r="J2538" s="4" t="s">
        <v>34</v>
      </c>
      <c r="K2538" s="5" t="s">
        <v>342</v>
      </c>
      <c r="L2538" s="2">
        <v>10283</v>
      </c>
      <c r="M2538" s="3">
        <v>1</v>
      </c>
      <c r="N2538" s="2">
        <v>10283</v>
      </c>
      <c r="O2538" s="2">
        <v>1028</v>
      </c>
      <c r="P2538" s="2">
        <v>11311</v>
      </c>
      <c r="Q2538" s="2">
        <f>P2538*8.5%</f>
        <v>961.43500000000006</v>
      </c>
    </row>
    <row r="2539" spans="1:17" hidden="1" x14ac:dyDescent="0.4">
      <c r="A2539" s="4" t="s">
        <v>32</v>
      </c>
      <c r="B2539" s="4" t="s">
        <v>14</v>
      </c>
      <c r="C2539" s="31" t="s">
        <v>435</v>
      </c>
      <c r="D2539" s="4" t="s">
        <v>33</v>
      </c>
      <c r="E2539" s="4" t="s">
        <v>16</v>
      </c>
      <c r="F2539" s="4" t="s">
        <v>17</v>
      </c>
      <c r="G2539" s="4" t="s">
        <v>18</v>
      </c>
      <c r="H2539" s="4" t="s">
        <v>254</v>
      </c>
      <c r="I2539" s="5" t="str">
        <f t="shared" si="39"/>
        <v>2025-09</v>
      </c>
      <c r="J2539" s="4" t="s">
        <v>34</v>
      </c>
      <c r="K2539" s="5" t="s">
        <v>342</v>
      </c>
      <c r="L2539" s="2">
        <v>44000</v>
      </c>
      <c r="M2539" s="3">
        <v>3</v>
      </c>
      <c r="N2539" s="2">
        <v>132000</v>
      </c>
      <c r="O2539" s="2">
        <v>13200</v>
      </c>
      <c r="P2539" s="2">
        <v>145200</v>
      </c>
      <c r="Q2539" s="2">
        <f>P2539*8.5%</f>
        <v>12342</v>
      </c>
    </row>
    <row r="2540" spans="1:17" hidden="1" x14ac:dyDescent="0.4">
      <c r="A2540" s="4" t="s">
        <v>13</v>
      </c>
      <c r="B2540" s="4" t="s">
        <v>14</v>
      </c>
      <c r="C2540" s="30" t="s">
        <v>434</v>
      </c>
      <c r="D2540" s="4" t="s">
        <v>15</v>
      </c>
      <c r="E2540" s="4" t="s">
        <v>16</v>
      </c>
      <c r="F2540" s="4" t="s">
        <v>17</v>
      </c>
      <c r="G2540" s="4" t="s">
        <v>18</v>
      </c>
      <c r="H2540" s="4" t="s">
        <v>254</v>
      </c>
      <c r="I2540" s="5" t="str">
        <f t="shared" si="39"/>
        <v>2025-09</v>
      </c>
      <c r="J2540" s="4" t="s">
        <v>34</v>
      </c>
      <c r="K2540" s="5" t="s">
        <v>342</v>
      </c>
      <c r="L2540" s="2">
        <v>42000</v>
      </c>
      <c r="M2540" s="3">
        <v>5</v>
      </c>
      <c r="N2540" s="2">
        <v>210000</v>
      </c>
      <c r="O2540" s="2">
        <v>21000</v>
      </c>
      <c r="P2540" s="2">
        <v>231000</v>
      </c>
      <c r="Q2540" s="2">
        <f>P2540*8.5%</f>
        <v>19635</v>
      </c>
    </row>
    <row r="2541" spans="1:17" hidden="1" x14ac:dyDescent="0.4">
      <c r="A2541" s="4" t="s">
        <v>21</v>
      </c>
      <c r="B2541" s="4" t="s">
        <v>14</v>
      </c>
      <c r="C2541" s="31" t="s">
        <v>435</v>
      </c>
      <c r="D2541" s="4" t="s">
        <v>22</v>
      </c>
      <c r="E2541" s="4" t="s">
        <v>16</v>
      </c>
      <c r="F2541" s="4" t="s">
        <v>17</v>
      </c>
      <c r="G2541" s="4" t="s">
        <v>18</v>
      </c>
      <c r="H2541" s="4" t="s">
        <v>254</v>
      </c>
      <c r="I2541" s="5" t="str">
        <f t="shared" si="39"/>
        <v>2025-09</v>
      </c>
      <c r="J2541" s="4" t="s">
        <v>34</v>
      </c>
      <c r="K2541" s="5" t="s">
        <v>342</v>
      </c>
      <c r="L2541" s="2">
        <v>55500</v>
      </c>
      <c r="M2541" s="3">
        <v>1</v>
      </c>
      <c r="N2541" s="2">
        <v>55500</v>
      </c>
      <c r="O2541" s="2">
        <v>5550</v>
      </c>
      <c r="P2541" s="2">
        <v>61050</v>
      </c>
      <c r="Q2541" s="2">
        <f>P2541*8.5%</f>
        <v>5189.25</v>
      </c>
    </row>
    <row r="2542" spans="1:17" hidden="1" x14ac:dyDescent="0.4">
      <c r="A2542" s="4" t="s">
        <v>23</v>
      </c>
      <c r="B2542" s="4" t="s">
        <v>14</v>
      </c>
      <c r="C2542" s="31" t="s">
        <v>435</v>
      </c>
      <c r="D2542" s="4" t="s">
        <v>24</v>
      </c>
      <c r="E2542" s="4" t="s">
        <v>16</v>
      </c>
      <c r="F2542" s="4" t="s">
        <v>17</v>
      </c>
      <c r="G2542" s="4" t="s">
        <v>18</v>
      </c>
      <c r="H2542" s="4" t="s">
        <v>254</v>
      </c>
      <c r="I2542" s="5" t="str">
        <f t="shared" si="39"/>
        <v>2025-09</v>
      </c>
      <c r="J2542" s="4" t="s">
        <v>34</v>
      </c>
      <c r="K2542" s="5" t="s">
        <v>342</v>
      </c>
      <c r="L2542" s="2">
        <v>55500</v>
      </c>
      <c r="M2542" s="3">
        <v>3</v>
      </c>
      <c r="N2542" s="2">
        <v>166500</v>
      </c>
      <c r="O2542" s="2">
        <v>16650</v>
      </c>
      <c r="P2542" s="2">
        <v>183150</v>
      </c>
      <c r="Q2542" s="2">
        <f>P2542*8.5%</f>
        <v>15567.750000000002</v>
      </c>
    </row>
    <row r="2543" spans="1:17" hidden="1" x14ac:dyDescent="0.4">
      <c r="A2543" s="4" t="s">
        <v>51</v>
      </c>
      <c r="B2543" s="4" t="s">
        <v>14</v>
      </c>
      <c r="C2543" s="30" t="s">
        <v>434</v>
      </c>
      <c r="D2543" s="4" t="s">
        <v>52</v>
      </c>
      <c r="E2543" s="4" t="s">
        <v>16</v>
      </c>
      <c r="F2543" s="4" t="s">
        <v>17</v>
      </c>
      <c r="G2543" s="4" t="s">
        <v>18</v>
      </c>
      <c r="H2543" s="4" t="s">
        <v>254</v>
      </c>
      <c r="I2543" s="5" t="str">
        <f t="shared" si="39"/>
        <v>2025-09</v>
      </c>
      <c r="J2543" s="4" t="s">
        <v>34</v>
      </c>
      <c r="K2543" s="5" t="s">
        <v>342</v>
      </c>
      <c r="L2543" s="2">
        <v>73000</v>
      </c>
      <c r="M2543" s="3">
        <v>1</v>
      </c>
      <c r="N2543" s="2">
        <v>73000</v>
      </c>
      <c r="O2543" s="2">
        <v>7300</v>
      </c>
      <c r="P2543" s="2">
        <v>80300</v>
      </c>
      <c r="Q2543" s="2">
        <f>P2543*8.5%</f>
        <v>6825.5000000000009</v>
      </c>
    </row>
    <row r="2544" spans="1:17" hidden="1" x14ac:dyDescent="0.4">
      <c r="A2544" s="4" t="s">
        <v>42</v>
      </c>
      <c r="B2544" s="4" t="s">
        <v>14</v>
      </c>
      <c r="C2544" s="30" t="s">
        <v>434</v>
      </c>
      <c r="D2544" s="4" t="s">
        <v>43</v>
      </c>
      <c r="E2544" s="4" t="s">
        <v>44</v>
      </c>
      <c r="F2544" s="4" t="s">
        <v>31</v>
      </c>
      <c r="G2544" s="4" t="s">
        <v>18</v>
      </c>
      <c r="H2544" s="4" t="s">
        <v>254</v>
      </c>
      <c r="I2544" s="5" t="str">
        <f t="shared" si="39"/>
        <v>2025-09</v>
      </c>
      <c r="J2544" s="4" t="s">
        <v>34</v>
      </c>
      <c r="K2544" s="5" t="s">
        <v>342</v>
      </c>
      <c r="L2544" s="2">
        <v>7300</v>
      </c>
      <c r="M2544" s="3">
        <v>45.7</v>
      </c>
      <c r="N2544" s="2">
        <v>333610</v>
      </c>
      <c r="O2544" s="2">
        <v>0</v>
      </c>
      <c r="P2544" s="2">
        <v>333610</v>
      </c>
      <c r="Q2544" s="2">
        <f>P2544*8.5%</f>
        <v>28356.850000000002</v>
      </c>
    </row>
    <row r="2545" spans="1:17" hidden="1" x14ac:dyDescent="0.4">
      <c r="A2545" s="4" t="s">
        <v>13</v>
      </c>
      <c r="B2545" s="4" t="s">
        <v>14</v>
      </c>
      <c r="C2545" s="30" t="s">
        <v>434</v>
      </c>
      <c r="D2545" s="4" t="s">
        <v>15</v>
      </c>
      <c r="E2545" s="4" t="s">
        <v>16</v>
      </c>
      <c r="F2545" s="4" t="s">
        <v>17</v>
      </c>
      <c r="G2545" s="4" t="s">
        <v>18</v>
      </c>
      <c r="H2545" s="4" t="s">
        <v>254</v>
      </c>
      <c r="I2545" s="5" t="str">
        <f t="shared" si="39"/>
        <v>2025-09</v>
      </c>
      <c r="J2545" s="4" t="s">
        <v>59</v>
      </c>
      <c r="K2545" s="5" t="s">
        <v>343</v>
      </c>
      <c r="L2545" s="2">
        <v>42000</v>
      </c>
      <c r="M2545" s="3">
        <v>2</v>
      </c>
      <c r="N2545" s="2">
        <v>84000</v>
      </c>
      <c r="O2545" s="2">
        <v>8400</v>
      </c>
      <c r="P2545" s="2">
        <v>92400</v>
      </c>
      <c r="Q2545" s="2">
        <f>P2545*12%</f>
        <v>11088</v>
      </c>
    </row>
    <row r="2546" spans="1:17" hidden="1" x14ac:dyDescent="0.4">
      <c r="A2546" s="4" t="s">
        <v>23</v>
      </c>
      <c r="B2546" s="4" t="s">
        <v>14</v>
      </c>
      <c r="C2546" s="31" t="s">
        <v>435</v>
      </c>
      <c r="D2546" s="4" t="s">
        <v>24</v>
      </c>
      <c r="E2546" s="4" t="s">
        <v>16</v>
      </c>
      <c r="F2546" s="4" t="s">
        <v>17</v>
      </c>
      <c r="G2546" s="4" t="s">
        <v>18</v>
      </c>
      <c r="H2546" s="4" t="s">
        <v>254</v>
      </c>
      <c r="I2546" s="5" t="str">
        <f t="shared" si="39"/>
        <v>2025-09</v>
      </c>
      <c r="J2546" s="4" t="s">
        <v>59</v>
      </c>
      <c r="K2546" s="5" t="s">
        <v>343</v>
      </c>
      <c r="L2546" s="2">
        <v>55500</v>
      </c>
      <c r="M2546" s="3">
        <v>2</v>
      </c>
      <c r="N2546" s="2">
        <v>111000</v>
      </c>
      <c r="O2546" s="2">
        <v>11100</v>
      </c>
      <c r="P2546" s="2">
        <v>122100</v>
      </c>
      <c r="Q2546" s="2">
        <f>P2546*12%</f>
        <v>14652</v>
      </c>
    </row>
    <row r="2547" spans="1:17" hidden="1" x14ac:dyDescent="0.4">
      <c r="A2547" s="4" t="s">
        <v>100</v>
      </c>
      <c r="B2547" s="4" t="s">
        <v>26</v>
      </c>
      <c r="C2547" s="32" t="s">
        <v>436</v>
      </c>
      <c r="D2547" s="4" t="s">
        <v>101</v>
      </c>
      <c r="E2547" s="4" t="s">
        <v>28</v>
      </c>
      <c r="F2547" s="4" t="s">
        <v>17</v>
      </c>
      <c r="G2547" s="4" t="s">
        <v>18</v>
      </c>
      <c r="H2547" s="4" t="s">
        <v>254</v>
      </c>
      <c r="I2547" s="5" t="str">
        <f t="shared" si="39"/>
        <v>2025-09</v>
      </c>
      <c r="J2547" s="4" t="s">
        <v>59</v>
      </c>
      <c r="K2547" s="5" t="s">
        <v>343</v>
      </c>
      <c r="L2547" s="2">
        <v>5620</v>
      </c>
      <c r="M2547" s="3">
        <v>4</v>
      </c>
      <c r="N2547" s="2">
        <v>22480</v>
      </c>
      <c r="O2547" s="2">
        <v>2248</v>
      </c>
      <c r="P2547" s="2">
        <v>24728</v>
      </c>
      <c r="Q2547" s="2">
        <f>P2547*12%</f>
        <v>2967.3599999999997</v>
      </c>
    </row>
    <row r="2548" spans="1:17" hidden="1" x14ac:dyDescent="0.4">
      <c r="A2548" s="4" t="s">
        <v>32</v>
      </c>
      <c r="B2548" s="4" t="s">
        <v>14</v>
      </c>
      <c r="C2548" s="31" t="s">
        <v>435</v>
      </c>
      <c r="D2548" s="4" t="s">
        <v>33</v>
      </c>
      <c r="E2548" s="4" t="s">
        <v>16</v>
      </c>
      <c r="F2548" s="4" t="s">
        <v>17</v>
      </c>
      <c r="G2548" s="4" t="s">
        <v>18</v>
      </c>
      <c r="H2548" s="4" t="s">
        <v>254</v>
      </c>
      <c r="I2548" s="5" t="str">
        <f t="shared" si="39"/>
        <v>2025-09</v>
      </c>
      <c r="J2548" s="4" t="s">
        <v>50</v>
      </c>
      <c r="K2548" s="5" t="s">
        <v>343</v>
      </c>
      <c r="L2548" s="2">
        <v>44000</v>
      </c>
      <c r="M2548" s="3">
        <v>1</v>
      </c>
      <c r="N2548" s="2">
        <v>44000</v>
      </c>
      <c r="O2548" s="2">
        <v>4400</v>
      </c>
      <c r="P2548" s="2">
        <v>48400</v>
      </c>
      <c r="Q2548" s="2">
        <f>P2548*12%</f>
        <v>5808</v>
      </c>
    </row>
    <row r="2549" spans="1:17" hidden="1" x14ac:dyDescent="0.4">
      <c r="A2549" s="4" t="s">
        <v>13</v>
      </c>
      <c r="B2549" s="4" t="s">
        <v>14</v>
      </c>
      <c r="C2549" s="30" t="s">
        <v>434</v>
      </c>
      <c r="D2549" s="4" t="s">
        <v>15</v>
      </c>
      <c r="E2549" s="4" t="s">
        <v>16</v>
      </c>
      <c r="F2549" s="4" t="s">
        <v>17</v>
      </c>
      <c r="G2549" s="4" t="s">
        <v>18</v>
      </c>
      <c r="H2549" s="4" t="s">
        <v>254</v>
      </c>
      <c r="I2549" s="5" t="str">
        <f t="shared" si="39"/>
        <v>2025-09</v>
      </c>
      <c r="J2549" s="4" t="s">
        <v>50</v>
      </c>
      <c r="K2549" s="5" t="s">
        <v>343</v>
      </c>
      <c r="L2549" s="2">
        <v>42000</v>
      </c>
      <c r="M2549" s="3">
        <v>10</v>
      </c>
      <c r="N2549" s="2">
        <v>420000</v>
      </c>
      <c r="O2549" s="2">
        <v>42000</v>
      </c>
      <c r="P2549" s="2">
        <v>462000</v>
      </c>
      <c r="Q2549" s="2">
        <f>P2549*12%</f>
        <v>55440</v>
      </c>
    </row>
    <row r="2550" spans="1:17" hidden="1" x14ac:dyDescent="0.4">
      <c r="A2550" s="4" t="s">
        <v>23</v>
      </c>
      <c r="B2550" s="4" t="s">
        <v>14</v>
      </c>
      <c r="C2550" s="31" t="s">
        <v>435</v>
      </c>
      <c r="D2550" s="4" t="s">
        <v>24</v>
      </c>
      <c r="E2550" s="4" t="s">
        <v>16</v>
      </c>
      <c r="F2550" s="4" t="s">
        <v>17</v>
      </c>
      <c r="G2550" s="4" t="s">
        <v>18</v>
      </c>
      <c r="H2550" s="4" t="s">
        <v>254</v>
      </c>
      <c r="I2550" s="5" t="str">
        <f t="shared" si="39"/>
        <v>2025-09</v>
      </c>
      <c r="J2550" s="4" t="s">
        <v>50</v>
      </c>
      <c r="K2550" s="5" t="s">
        <v>343</v>
      </c>
      <c r="L2550" s="2">
        <v>55500</v>
      </c>
      <c r="M2550" s="3">
        <v>3</v>
      </c>
      <c r="N2550" s="2">
        <v>166500</v>
      </c>
      <c r="O2550" s="2">
        <v>16650</v>
      </c>
      <c r="P2550" s="2">
        <v>183150</v>
      </c>
      <c r="Q2550" s="2">
        <f>P2550*12%</f>
        <v>21978</v>
      </c>
    </row>
    <row r="2551" spans="1:17" hidden="1" x14ac:dyDescent="0.4">
      <c r="A2551" s="4" t="s">
        <v>51</v>
      </c>
      <c r="B2551" s="4" t="s">
        <v>14</v>
      </c>
      <c r="C2551" s="30" t="s">
        <v>434</v>
      </c>
      <c r="D2551" s="4" t="s">
        <v>52</v>
      </c>
      <c r="E2551" s="4" t="s">
        <v>16</v>
      </c>
      <c r="F2551" s="4" t="s">
        <v>17</v>
      </c>
      <c r="G2551" s="4" t="s">
        <v>18</v>
      </c>
      <c r="H2551" s="4" t="s">
        <v>254</v>
      </c>
      <c r="I2551" s="5" t="str">
        <f t="shared" si="39"/>
        <v>2025-09</v>
      </c>
      <c r="J2551" s="4" t="s">
        <v>50</v>
      </c>
      <c r="K2551" s="5" t="s">
        <v>343</v>
      </c>
      <c r="L2551" s="2">
        <v>73000</v>
      </c>
      <c r="M2551" s="3">
        <v>1</v>
      </c>
      <c r="N2551" s="2">
        <v>73000</v>
      </c>
      <c r="O2551" s="2">
        <v>7300</v>
      </c>
      <c r="P2551" s="2">
        <v>80300</v>
      </c>
      <c r="Q2551" s="2">
        <f>P2551*12%</f>
        <v>9636</v>
      </c>
    </row>
    <row r="2552" spans="1:17" x14ac:dyDescent="0.4">
      <c r="A2552" s="4" t="s">
        <v>58</v>
      </c>
      <c r="B2552" s="4" t="s">
        <v>14</v>
      </c>
      <c r="C2552" s="30" t="s">
        <v>434</v>
      </c>
      <c r="D2552" s="4" t="s">
        <v>36</v>
      </c>
      <c r="E2552" s="4" t="s">
        <v>16</v>
      </c>
      <c r="F2552" s="4" t="s">
        <v>17</v>
      </c>
      <c r="G2552" s="4" t="s">
        <v>18</v>
      </c>
      <c r="H2552" s="4" t="s">
        <v>255</v>
      </c>
      <c r="I2552" s="5" t="str">
        <f t="shared" si="39"/>
        <v>2025-09</v>
      </c>
      <c r="J2552" s="4" t="s">
        <v>20</v>
      </c>
      <c r="K2552" s="5" t="s">
        <v>342</v>
      </c>
      <c r="L2552" s="2">
        <v>120880</v>
      </c>
      <c r="M2552" s="3">
        <v>1</v>
      </c>
      <c r="N2552" s="2">
        <v>120880</v>
      </c>
      <c r="O2552" s="2">
        <v>12088</v>
      </c>
      <c r="P2552" s="2">
        <v>132968</v>
      </c>
      <c r="Q2552" s="2">
        <f>P2552*8.5%</f>
        <v>11302.28</v>
      </c>
    </row>
    <row r="2553" spans="1:17" x14ac:dyDescent="0.4">
      <c r="A2553" s="4" t="s">
        <v>13</v>
      </c>
      <c r="B2553" s="4" t="s">
        <v>14</v>
      </c>
      <c r="C2553" s="30" t="s">
        <v>434</v>
      </c>
      <c r="D2553" s="4" t="s">
        <v>15</v>
      </c>
      <c r="E2553" s="4" t="s">
        <v>16</v>
      </c>
      <c r="F2553" s="4" t="s">
        <v>17</v>
      </c>
      <c r="G2553" s="4" t="s">
        <v>18</v>
      </c>
      <c r="H2553" s="4" t="s">
        <v>255</v>
      </c>
      <c r="I2553" s="5" t="str">
        <f t="shared" si="39"/>
        <v>2025-09</v>
      </c>
      <c r="J2553" s="4" t="s">
        <v>20</v>
      </c>
      <c r="K2553" s="5" t="s">
        <v>342</v>
      </c>
      <c r="L2553" s="2">
        <v>42000</v>
      </c>
      <c r="M2553" s="3">
        <v>1</v>
      </c>
      <c r="N2553" s="2">
        <v>42000</v>
      </c>
      <c r="O2553" s="2">
        <v>4200</v>
      </c>
      <c r="P2553" s="2">
        <v>46200</v>
      </c>
      <c r="Q2553" s="2">
        <f>P2553*8.5%</f>
        <v>3927.0000000000005</v>
      </c>
    </row>
    <row r="2554" spans="1:17" x14ac:dyDescent="0.4">
      <c r="A2554" s="4" t="s">
        <v>21</v>
      </c>
      <c r="B2554" s="4" t="s">
        <v>14</v>
      </c>
      <c r="C2554" s="31" t="s">
        <v>435</v>
      </c>
      <c r="D2554" s="4" t="s">
        <v>22</v>
      </c>
      <c r="E2554" s="4" t="s">
        <v>16</v>
      </c>
      <c r="F2554" s="4" t="s">
        <v>17</v>
      </c>
      <c r="G2554" s="4" t="s">
        <v>18</v>
      </c>
      <c r="H2554" s="4" t="s">
        <v>255</v>
      </c>
      <c r="I2554" s="5" t="str">
        <f t="shared" si="39"/>
        <v>2025-09</v>
      </c>
      <c r="J2554" s="4" t="s">
        <v>20</v>
      </c>
      <c r="K2554" s="5" t="s">
        <v>342</v>
      </c>
      <c r="L2554" s="2">
        <v>55500</v>
      </c>
      <c r="M2554" s="3">
        <v>1</v>
      </c>
      <c r="N2554" s="2">
        <v>55500</v>
      </c>
      <c r="O2554" s="2">
        <v>5550</v>
      </c>
      <c r="P2554" s="2">
        <v>61050</v>
      </c>
      <c r="Q2554" s="2">
        <f>P2554*8.5%</f>
        <v>5189.25</v>
      </c>
    </row>
    <row r="2555" spans="1:17" x14ac:dyDescent="0.4">
      <c r="A2555" s="4" t="s">
        <v>23</v>
      </c>
      <c r="B2555" s="4" t="s">
        <v>14</v>
      </c>
      <c r="C2555" s="31" t="s">
        <v>435</v>
      </c>
      <c r="D2555" s="4" t="s">
        <v>24</v>
      </c>
      <c r="E2555" s="4" t="s">
        <v>16</v>
      </c>
      <c r="F2555" s="4" t="s">
        <v>17</v>
      </c>
      <c r="G2555" s="4" t="s">
        <v>18</v>
      </c>
      <c r="H2555" s="4" t="s">
        <v>255</v>
      </c>
      <c r="I2555" s="5" t="str">
        <f t="shared" si="39"/>
        <v>2025-09</v>
      </c>
      <c r="J2555" s="4" t="s">
        <v>20</v>
      </c>
      <c r="K2555" s="5" t="s">
        <v>342</v>
      </c>
      <c r="L2555" s="2">
        <v>55500</v>
      </c>
      <c r="M2555" s="3">
        <v>3</v>
      </c>
      <c r="N2555" s="2">
        <v>166500</v>
      </c>
      <c r="O2555" s="2">
        <v>16650</v>
      </c>
      <c r="P2555" s="2">
        <v>183150</v>
      </c>
      <c r="Q2555" s="2">
        <f>P2555*8.5%</f>
        <v>15567.750000000002</v>
      </c>
    </row>
    <row r="2556" spans="1:17" x14ac:dyDescent="0.4">
      <c r="A2556" s="4" t="s">
        <v>54</v>
      </c>
      <c r="B2556" s="4" t="s">
        <v>26</v>
      </c>
      <c r="C2556" s="32" t="s">
        <v>436</v>
      </c>
      <c r="D2556" s="4" t="s">
        <v>55</v>
      </c>
      <c r="E2556" s="4" t="s">
        <v>28</v>
      </c>
      <c r="F2556" s="4" t="s">
        <v>31</v>
      </c>
      <c r="G2556" s="4" t="s">
        <v>18</v>
      </c>
      <c r="H2556" s="4" t="s">
        <v>255</v>
      </c>
      <c r="I2556" s="5" t="str">
        <f t="shared" si="39"/>
        <v>2025-09</v>
      </c>
      <c r="J2556" s="4" t="s">
        <v>20</v>
      </c>
      <c r="K2556" s="5" t="s">
        <v>342</v>
      </c>
      <c r="L2556" s="2">
        <v>5919</v>
      </c>
      <c r="M2556" s="3">
        <v>1</v>
      </c>
      <c r="N2556" s="2">
        <v>5919</v>
      </c>
      <c r="O2556" s="2">
        <v>0</v>
      </c>
      <c r="P2556" s="2">
        <v>5919</v>
      </c>
      <c r="Q2556" s="2">
        <f>P2556*8.5%</f>
        <v>503.11500000000001</v>
      </c>
    </row>
    <row r="2557" spans="1:17" x14ac:dyDescent="0.4">
      <c r="A2557" s="4" t="s">
        <v>25</v>
      </c>
      <c r="B2557" s="4" t="s">
        <v>26</v>
      </c>
      <c r="C2557" s="32" t="s">
        <v>436</v>
      </c>
      <c r="D2557" s="4" t="s">
        <v>27</v>
      </c>
      <c r="E2557" s="4" t="s">
        <v>28</v>
      </c>
      <c r="F2557" s="4" t="s">
        <v>17</v>
      </c>
      <c r="G2557" s="4" t="s">
        <v>18</v>
      </c>
      <c r="H2557" s="4" t="s">
        <v>255</v>
      </c>
      <c r="I2557" s="5" t="str">
        <f t="shared" si="39"/>
        <v>2025-09</v>
      </c>
      <c r="J2557" s="4" t="s">
        <v>20</v>
      </c>
      <c r="K2557" s="5" t="s">
        <v>342</v>
      </c>
      <c r="L2557" s="2">
        <v>2631</v>
      </c>
      <c r="M2557" s="3">
        <v>1</v>
      </c>
      <c r="N2557" s="2">
        <v>2631</v>
      </c>
      <c r="O2557" s="2">
        <v>263</v>
      </c>
      <c r="P2557" s="2">
        <v>2894</v>
      </c>
      <c r="Q2557" s="2">
        <f>P2557*8.5%</f>
        <v>245.99</v>
      </c>
    </row>
    <row r="2558" spans="1:17" hidden="1" x14ac:dyDescent="0.4">
      <c r="A2558" s="4" t="s">
        <v>13</v>
      </c>
      <c r="B2558" s="4" t="s">
        <v>14</v>
      </c>
      <c r="C2558" s="30" t="s">
        <v>434</v>
      </c>
      <c r="D2558" s="4" t="s">
        <v>15</v>
      </c>
      <c r="E2558" s="4" t="s">
        <v>16</v>
      </c>
      <c r="F2558" s="4" t="s">
        <v>17</v>
      </c>
      <c r="G2558" s="4" t="s">
        <v>18</v>
      </c>
      <c r="H2558" s="4" t="s">
        <v>255</v>
      </c>
      <c r="I2558" s="5" t="str">
        <f t="shared" si="39"/>
        <v>2025-09</v>
      </c>
      <c r="J2558" s="4" t="s">
        <v>118</v>
      </c>
      <c r="K2558" s="5" t="s">
        <v>342</v>
      </c>
      <c r="L2558" s="2">
        <v>42000</v>
      </c>
      <c r="M2558" s="3">
        <v>4</v>
      </c>
      <c r="N2558" s="2">
        <v>168000</v>
      </c>
      <c r="O2558" s="2">
        <v>16800</v>
      </c>
      <c r="P2558" s="2">
        <v>184800</v>
      </c>
      <c r="Q2558" s="2">
        <f>P2558*8.5%</f>
        <v>15708.000000000002</v>
      </c>
    </row>
    <row r="2559" spans="1:17" hidden="1" x14ac:dyDescent="0.4">
      <c r="A2559" s="4" t="s">
        <v>32</v>
      </c>
      <c r="B2559" s="4" t="s">
        <v>14</v>
      </c>
      <c r="C2559" s="31" t="s">
        <v>435</v>
      </c>
      <c r="D2559" s="4" t="s">
        <v>33</v>
      </c>
      <c r="E2559" s="4" t="s">
        <v>16</v>
      </c>
      <c r="F2559" s="4" t="s">
        <v>17</v>
      </c>
      <c r="G2559" s="4" t="s">
        <v>18</v>
      </c>
      <c r="H2559" s="4" t="s">
        <v>255</v>
      </c>
      <c r="I2559" s="5" t="str">
        <f t="shared" si="39"/>
        <v>2025-09</v>
      </c>
      <c r="J2559" s="4" t="s">
        <v>34</v>
      </c>
      <c r="K2559" s="5" t="s">
        <v>342</v>
      </c>
      <c r="L2559" s="2">
        <v>44000</v>
      </c>
      <c r="M2559" s="3">
        <v>3</v>
      </c>
      <c r="N2559" s="2">
        <v>132000</v>
      </c>
      <c r="O2559" s="2">
        <v>13200</v>
      </c>
      <c r="P2559" s="2">
        <v>145200</v>
      </c>
      <c r="Q2559" s="2">
        <f>P2559*8.5%</f>
        <v>12342</v>
      </c>
    </row>
    <row r="2560" spans="1:17" hidden="1" x14ac:dyDescent="0.4">
      <c r="A2560" s="4" t="s">
        <v>58</v>
      </c>
      <c r="B2560" s="4" t="s">
        <v>14</v>
      </c>
      <c r="C2560" s="30" t="s">
        <v>434</v>
      </c>
      <c r="D2560" s="4" t="s">
        <v>36</v>
      </c>
      <c r="E2560" s="4" t="s">
        <v>16</v>
      </c>
      <c r="F2560" s="4" t="s">
        <v>17</v>
      </c>
      <c r="G2560" s="4" t="s">
        <v>18</v>
      </c>
      <c r="H2560" s="4" t="s">
        <v>255</v>
      </c>
      <c r="I2560" s="5" t="str">
        <f t="shared" si="39"/>
        <v>2025-09</v>
      </c>
      <c r="J2560" s="4" t="s">
        <v>34</v>
      </c>
      <c r="K2560" s="5" t="s">
        <v>342</v>
      </c>
      <c r="L2560" s="2">
        <v>120880</v>
      </c>
      <c r="M2560" s="3">
        <v>1</v>
      </c>
      <c r="N2560" s="2">
        <v>120880</v>
      </c>
      <c r="O2560" s="2">
        <v>12088</v>
      </c>
      <c r="P2560" s="2">
        <v>132968</v>
      </c>
      <c r="Q2560" s="2">
        <f>P2560*8.5%</f>
        <v>11302.28</v>
      </c>
    </row>
    <row r="2561" spans="1:17" hidden="1" x14ac:dyDescent="0.4">
      <c r="A2561" s="4" t="s">
        <v>13</v>
      </c>
      <c r="B2561" s="4" t="s">
        <v>14</v>
      </c>
      <c r="C2561" s="30" t="s">
        <v>434</v>
      </c>
      <c r="D2561" s="4" t="s">
        <v>15</v>
      </c>
      <c r="E2561" s="4" t="s">
        <v>16</v>
      </c>
      <c r="F2561" s="4" t="s">
        <v>17</v>
      </c>
      <c r="G2561" s="4" t="s">
        <v>18</v>
      </c>
      <c r="H2561" s="4" t="s">
        <v>255</v>
      </c>
      <c r="I2561" s="5" t="str">
        <f t="shared" si="39"/>
        <v>2025-09</v>
      </c>
      <c r="J2561" s="4" t="s">
        <v>34</v>
      </c>
      <c r="K2561" s="5" t="s">
        <v>342</v>
      </c>
      <c r="L2561" s="2">
        <v>42000</v>
      </c>
      <c r="M2561" s="3">
        <v>3</v>
      </c>
      <c r="N2561" s="2">
        <v>126000</v>
      </c>
      <c r="O2561" s="2">
        <v>12600</v>
      </c>
      <c r="P2561" s="2">
        <v>138600</v>
      </c>
      <c r="Q2561" s="2">
        <f>P2561*8.5%</f>
        <v>11781</v>
      </c>
    </row>
    <row r="2562" spans="1:17" hidden="1" x14ac:dyDescent="0.4">
      <c r="A2562" s="4" t="s">
        <v>21</v>
      </c>
      <c r="B2562" s="4" t="s">
        <v>14</v>
      </c>
      <c r="C2562" s="31" t="s">
        <v>435</v>
      </c>
      <c r="D2562" s="4" t="s">
        <v>22</v>
      </c>
      <c r="E2562" s="4" t="s">
        <v>16</v>
      </c>
      <c r="F2562" s="4" t="s">
        <v>17</v>
      </c>
      <c r="G2562" s="4" t="s">
        <v>18</v>
      </c>
      <c r="H2562" s="4" t="s">
        <v>255</v>
      </c>
      <c r="I2562" s="5" t="str">
        <f t="shared" ref="I2562:I2625" si="40">TEXT(H2562,"yyyy-mm")</f>
        <v>2025-09</v>
      </c>
      <c r="J2562" s="4" t="s">
        <v>34</v>
      </c>
      <c r="K2562" s="5" t="s">
        <v>342</v>
      </c>
      <c r="L2562" s="2">
        <v>55500</v>
      </c>
      <c r="M2562" s="3">
        <v>1</v>
      </c>
      <c r="N2562" s="2">
        <v>55500</v>
      </c>
      <c r="O2562" s="2">
        <v>5550</v>
      </c>
      <c r="P2562" s="2">
        <v>61050</v>
      </c>
      <c r="Q2562" s="2">
        <f>P2562*8.5%</f>
        <v>5189.25</v>
      </c>
    </row>
    <row r="2563" spans="1:17" hidden="1" x14ac:dyDescent="0.4">
      <c r="A2563" s="4" t="s">
        <v>23</v>
      </c>
      <c r="B2563" s="4" t="s">
        <v>14</v>
      </c>
      <c r="C2563" s="31" t="s">
        <v>435</v>
      </c>
      <c r="D2563" s="4" t="s">
        <v>24</v>
      </c>
      <c r="E2563" s="4" t="s">
        <v>16</v>
      </c>
      <c r="F2563" s="4" t="s">
        <v>17</v>
      </c>
      <c r="G2563" s="4" t="s">
        <v>18</v>
      </c>
      <c r="H2563" s="4" t="s">
        <v>255</v>
      </c>
      <c r="I2563" s="5" t="str">
        <f t="shared" si="40"/>
        <v>2025-09</v>
      </c>
      <c r="J2563" s="4" t="s">
        <v>34</v>
      </c>
      <c r="K2563" s="5" t="s">
        <v>342</v>
      </c>
      <c r="L2563" s="2">
        <v>55500</v>
      </c>
      <c r="M2563" s="3">
        <v>4</v>
      </c>
      <c r="N2563" s="2">
        <v>222000</v>
      </c>
      <c r="O2563" s="2">
        <v>22200</v>
      </c>
      <c r="P2563" s="2">
        <v>244200</v>
      </c>
      <c r="Q2563" s="2">
        <f>P2563*8.5%</f>
        <v>20757</v>
      </c>
    </row>
    <row r="2564" spans="1:17" hidden="1" x14ac:dyDescent="0.4">
      <c r="A2564" s="4" t="s">
        <v>51</v>
      </c>
      <c r="B2564" s="4" t="s">
        <v>14</v>
      </c>
      <c r="C2564" s="30" t="s">
        <v>434</v>
      </c>
      <c r="D2564" s="4" t="s">
        <v>52</v>
      </c>
      <c r="E2564" s="4" t="s">
        <v>16</v>
      </c>
      <c r="F2564" s="4" t="s">
        <v>17</v>
      </c>
      <c r="G2564" s="4" t="s">
        <v>18</v>
      </c>
      <c r="H2564" s="4" t="s">
        <v>255</v>
      </c>
      <c r="I2564" s="5" t="str">
        <f t="shared" si="40"/>
        <v>2025-09</v>
      </c>
      <c r="J2564" s="4" t="s">
        <v>34</v>
      </c>
      <c r="K2564" s="5" t="s">
        <v>342</v>
      </c>
      <c r="L2564" s="2">
        <v>73000</v>
      </c>
      <c r="M2564" s="3">
        <v>1</v>
      </c>
      <c r="N2564" s="2">
        <v>73000</v>
      </c>
      <c r="O2564" s="2">
        <v>7300</v>
      </c>
      <c r="P2564" s="2">
        <v>80300</v>
      </c>
      <c r="Q2564" s="2">
        <f>P2564*8.5%</f>
        <v>6825.5000000000009</v>
      </c>
    </row>
    <row r="2565" spans="1:17" hidden="1" x14ac:dyDescent="0.4">
      <c r="A2565" s="4" t="s">
        <v>42</v>
      </c>
      <c r="B2565" s="4" t="s">
        <v>14</v>
      </c>
      <c r="C2565" s="30" t="s">
        <v>434</v>
      </c>
      <c r="D2565" s="4" t="s">
        <v>43</v>
      </c>
      <c r="E2565" s="4" t="s">
        <v>44</v>
      </c>
      <c r="F2565" s="4" t="s">
        <v>31</v>
      </c>
      <c r="G2565" s="4" t="s">
        <v>18</v>
      </c>
      <c r="H2565" s="4" t="s">
        <v>255</v>
      </c>
      <c r="I2565" s="5" t="str">
        <f t="shared" si="40"/>
        <v>2025-09</v>
      </c>
      <c r="J2565" s="4" t="s">
        <v>34</v>
      </c>
      <c r="K2565" s="5" t="s">
        <v>342</v>
      </c>
      <c r="L2565" s="2">
        <v>7300</v>
      </c>
      <c r="M2565" s="3">
        <v>45.2</v>
      </c>
      <c r="N2565" s="2">
        <v>329960</v>
      </c>
      <c r="O2565" s="2">
        <v>0</v>
      </c>
      <c r="P2565" s="2">
        <v>329960</v>
      </c>
      <c r="Q2565" s="2">
        <f>P2565*8.5%</f>
        <v>28046.600000000002</v>
      </c>
    </row>
    <row r="2566" spans="1:17" hidden="1" x14ac:dyDescent="0.4">
      <c r="A2566" s="4" t="s">
        <v>13</v>
      </c>
      <c r="B2566" s="4" t="s">
        <v>14</v>
      </c>
      <c r="C2566" s="30" t="s">
        <v>434</v>
      </c>
      <c r="D2566" s="4" t="s">
        <v>15</v>
      </c>
      <c r="E2566" s="4" t="s">
        <v>16</v>
      </c>
      <c r="F2566" s="4" t="s">
        <v>17</v>
      </c>
      <c r="G2566" s="4" t="s">
        <v>18</v>
      </c>
      <c r="H2566" s="4" t="s">
        <v>255</v>
      </c>
      <c r="I2566" s="5" t="str">
        <f t="shared" si="40"/>
        <v>2025-09</v>
      </c>
      <c r="J2566" s="4" t="s">
        <v>59</v>
      </c>
      <c r="K2566" s="5" t="s">
        <v>343</v>
      </c>
      <c r="L2566" s="2">
        <v>42000</v>
      </c>
      <c r="M2566" s="3">
        <v>4</v>
      </c>
      <c r="N2566" s="2">
        <v>168000</v>
      </c>
      <c r="O2566" s="2">
        <v>16800</v>
      </c>
      <c r="P2566" s="2">
        <v>184800</v>
      </c>
      <c r="Q2566" s="2">
        <f>P2566*12%</f>
        <v>22176</v>
      </c>
    </row>
    <row r="2567" spans="1:17" hidden="1" x14ac:dyDescent="0.4">
      <c r="A2567" s="4" t="s">
        <v>35</v>
      </c>
      <c r="B2567" s="4" t="s">
        <v>14</v>
      </c>
      <c r="C2567" s="30" t="s">
        <v>434</v>
      </c>
      <c r="D2567" s="4" t="s">
        <v>36</v>
      </c>
      <c r="E2567" s="4" t="s">
        <v>16</v>
      </c>
      <c r="F2567" s="4" t="s">
        <v>17</v>
      </c>
      <c r="G2567" s="4" t="s">
        <v>18</v>
      </c>
      <c r="H2567" s="4" t="s">
        <v>255</v>
      </c>
      <c r="I2567" s="5" t="str">
        <f t="shared" si="40"/>
        <v>2025-09</v>
      </c>
      <c r="J2567" s="4" t="s">
        <v>59</v>
      </c>
      <c r="K2567" s="5" t="s">
        <v>343</v>
      </c>
      <c r="L2567" s="2">
        <v>116220</v>
      </c>
      <c r="M2567" s="3">
        <v>1</v>
      </c>
      <c r="N2567" s="2">
        <v>116220</v>
      </c>
      <c r="O2567" s="2">
        <v>11622</v>
      </c>
      <c r="P2567" s="2">
        <v>127842</v>
      </c>
      <c r="Q2567" s="2">
        <f>P2567*12%</f>
        <v>15341.039999999999</v>
      </c>
    </row>
    <row r="2568" spans="1:17" hidden="1" x14ac:dyDescent="0.4">
      <c r="A2568" s="4" t="s">
        <v>23</v>
      </c>
      <c r="B2568" s="4" t="s">
        <v>14</v>
      </c>
      <c r="C2568" s="31" t="s">
        <v>435</v>
      </c>
      <c r="D2568" s="4" t="s">
        <v>24</v>
      </c>
      <c r="E2568" s="4" t="s">
        <v>16</v>
      </c>
      <c r="F2568" s="4" t="s">
        <v>17</v>
      </c>
      <c r="G2568" s="4" t="s">
        <v>18</v>
      </c>
      <c r="H2568" s="4" t="s">
        <v>255</v>
      </c>
      <c r="I2568" s="5" t="str">
        <f t="shared" si="40"/>
        <v>2025-09</v>
      </c>
      <c r="J2568" s="4" t="s">
        <v>59</v>
      </c>
      <c r="K2568" s="5" t="s">
        <v>343</v>
      </c>
      <c r="L2568" s="2">
        <v>55500</v>
      </c>
      <c r="M2568" s="3">
        <v>2</v>
      </c>
      <c r="N2568" s="2">
        <v>111000</v>
      </c>
      <c r="O2568" s="2">
        <v>11100</v>
      </c>
      <c r="P2568" s="2">
        <v>122100</v>
      </c>
      <c r="Q2568" s="2">
        <f>P2568*12%</f>
        <v>14652</v>
      </c>
    </row>
    <row r="2569" spans="1:17" hidden="1" x14ac:dyDescent="0.4">
      <c r="A2569" s="4" t="s">
        <v>51</v>
      </c>
      <c r="B2569" s="4" t="s">
        <v>14</v>
      </c>
      <c r="C2569" s="30" t="s">
        <v>434</v>
      </c>
      <c r="D2569" s="4" t="s">
        <v>52</v>
      </c>
      <c r="E2569" s="4" t="s">
        <v>16</v>
      </c>
      <c r="F2569" s="4" t="s">
        <v>17</v>
      </c>
      <c r="G2569" s="4" t="s">
        <v>18</v>
      </c>
      <c r="H2569" s="4" t="s">
        <v>255</v>
      </c>
      <c r="I2569" s="5" t="str">
        <f t="shared" si="40"/>
        <v>2025-09</v>
      </c>
      <c r="J2569" s="4" t="s">
        <v>59</v>
      </c>
      <c r="K2569" s="5" t="s">
        <v>343</v>
      </c>
      <c r="L2569" s="2">
        <v>73000</v>
      </c>
      <c r="M2569" s="3">
        <v>1</v>
      </c>
      <c r="N2569" s="2">
        <v>73000</v>
      </c>
      <c r="O2569" s="2">
        <v>7300</v>
      </c>
      <c r="P2569" s="2">
        <v>80300</v>
      </c>
      <c r="Q2569" s="2">
        <f>P2569*12%</f>
        <v>9636</v>
      </c>
    </row>
    <row r="2570" spans="1:17" hidden="1" x14ac:dyDescent="0.4">
      <c r="A2570" s="4" t="s">
        <v>39</v>
      </c>
      <c r="B2570" s="4" t="s">
        <v>26</v>
      </c>
      <c r="C2570" s="32" t="s">
        <v>436</v>
      </c>
      <c r="D2570" s="4" t="s">
        <v>27</v>
      </c>
      <c r="E2570" s="4" t="s">
        <v>28</v>
      </c>
      <c r="F2570" s="4" t="s">
        <v>17</v>
      </c>
      <c r="G2570" s="4" t="s">
        <v>18</v>
      </c>
      <c r="H2570" s="4" t="s">
        <v>255</v>
      </c>
      <c r="I2570" s="5" t="str">
        <f t="shared" si="40"/>
        <v>2025-09</v>
      </c>
      <c r="J2570" s="4" t="s">
        <v>59</v>
      </c>
      <c r="K2570" s="5" t="s">
        <v>343</v>
      </c>
      <c r="L2570" s="2">
        <v>4018</v>
      </c>
      <c r="M2570" s="3">
        <v>4</v>
      </c>
      <c r="N2570" s="2">
        <v>16072</v>
      </c>
      <c r="O2570" s="2">
        <v>1607</v>
      </c>
      <c r="P2570" s="2">
        <v>17679</v>
      </c>
      <c r="Q2570" s="2">
        <f>P2570*12%</f>
        <v>2121.48</v>
      </c>
    </row>
    <row r="2571" spans="1:17" hidden="1" x14ac:dyDescent="0.4">
      <c r="A2571" s="4" t="s">
        <v>32</v>
      </c>
      <c r="B2571" s="4" t="s">
        <v>14</v>
      </c>
      <c r="C2571" s="31" t="s">
        <v>435</v>
      </c>
      <c r="D2571" s="4" t="s">
        <v>33</v>
      </c>
      <c r="E2571" s="4" t="s">
        <v>16</v>
      </c>
      <c r="F2571" s="4" t="s">
        <v>17</v>
      </c>
      <c r="G2571" s="4" t="s">
        <v>18</v>
      </c>
      <c r="H2571" s="4" t="s">
        <v>255</v>
      </c>
      <c r="I2571" s="5" t="str">
        <f t="shared" si="40"/>
        <v>2025-09</v>
      </c>
      <c r="J2571" s="4" t="s">
        <v>49</v>
      </c>
      <c r="K2571" s="5" t="s">
        <v>343</v>
      </c>
      <c r="L2571" s="2">
        <v>44000</v>
      </c>
      <c r="M2571" s="3">
        <v>5</v>
      </c>
      <c r="N2571" s="2">
        <v>220000</v>
      </c>
      <c r="O2571" s="2">
        <v>22000</v>
      </c>
      <c r="P2571" s="2">
        <v>242000</v>
      </c>
      <c r="Q2571" s="2">
        <f>P2571*12%</f>
        <v>29040</v>
      </c>
    </row>
    <row r="2572" spans="1:17" hidden="1" x14ac:dyDescent="0.4">
      <c r="A2572" s="4" t="s">
        <v>13</v>
      </c>
      <c r="B2572" s="4" t="s">
        <v>14</v>
      </c>
      <c r="C2572" s="30" t="s">
        <v>434</v>
      </c>
      <c r="D2572" s="4" t="s">
        <v>15</v>
      </c>
      <c r="E2572" s="4" t="s">
        <v>16</v>
      </c>
      <c r="F2572" s="4" t="s">
        <v>17</v>
      </c>
      <c r="G2572" s="4" t="s">
        <v>18</v>
      </c>
      <c r="H2572" s="4" t="s">
        <v>255</v>
      </c>
      <c r="I2572" s="5" t="str">
        <f t="shared" si="40"/>
        <v>2025-09</v>
      </c>
      <c r="J2572" s="4" t="s">
        <v>49</v>
      </c>
      <c r="K2572" s="5" t="s">
        <v>343</v>
      </c>
      <c r="L2572" s="2">
        <v>42000</v>
      </c>
      <c r="M2572" s="3">
        <v>6</v>
      </c>
      <c r="N2572" s="2">
        <v>252000</v>
      </c>
      <c r="O2572" s="2">
        <v>25200</v>
      </c>
      <c r="P2572" s="2">
        <v>277200</v>
      </c>
      <c r="Q2572" s="2">
        <f>P2572*12%</f>
        <v>33264</v>
      </c>
    </row>
    <row r="2573" spans="1:17" hidden="1" x14ac:dyDescent="0.4">
      <c r="A2573" s="4" t="s">
        <v>35</v>
      </c>
      <c r="B2573" s="4" t="s">
        <v>14</v>
      </c>
      <c r="C2573" s="30" t="s">
        <v>434</v>
      </c>
      <c r="D2573" s="4" t="s">
        <v>36</v>
      </c>
      <c r="E2573" s="4" t="s">
        <v>16</v>
      </c>
      <c r="F2573" s="4" t="s">
        <v>17</v>
      </c>
      <c r="G2573" s="4" t="s">
        <v>18</v>
      </c>
      <c r="H2573" s="4" t="s">
        <v>255</v>
      </c>
      <c r="I2573" s="5" t="str">
        <f t="shared" si="40"/>
        <v>2025-09</v>
      </c>
      <c r="J2573" s="4" t="s">
        <v>49</v>
      </c>
      <c r="K2573" s="5" t="s">
        <v>343</v>
      </c>
      <c r="L2573" s="2">
        <v>116220</v>
      </c>
      <c r="M2573" s="3">
        <v>2</v>
      </c>
      <c r="N2573" s="2">
        <v>232440</v>
      </c>
      <c r="O2573" s="2">
        <v>23244</v>
      </c>
      <c r="P2573" s="2">
        <v>255684</v>
      </c>
      <c r="Q2573" s="2">
        <f>P2573*12%</f>
        <v>30682.079999999998</v>
      </c>
    </row>
    <row r="2574" spans="1:17" hidden="1" x14ac:dyDescent="0.4">
      <c r="A2574" s="4" t="s">
        <v>23</v>
      </c>
      <c r="B2574" s="4" t="s">
        <v>14</v>
      </c>
      <c r="C2574" s="31" t="s">
        <v>435</v>
      </c>
      <c r="D2574" s="4" t="s">
        <v>24</v>
      </c>
      <c r="E2574" s="4" t="s">
        <v>16</v>
      </c>
      <c r="F2574" s="4" t="s">
        <v>17</v>
      </c>
      <c r="G2574" s="4" t="s">
        <v>18</v>
      </c>
      <c r="H2574" s="4" t="s">
        <v>255</v>
      </c>
      <c r="I2574" s="5" t="str">
        <f t="shared" si="40"/>
        <v>2025-09</v>
      </c>
      <c r="J2574" s="4" t="s">
        <v>49</v>
      </c>
      <c r="K2574" s="5" t="s">
        <v>343</v>
      </c>
      <c r="L2574" s="2">
        <v>55500</v>
      </c>
      <c r="M2574" s="3">
        <v>5</v>
      </c>
      <c r="N2574" s="2">
        <v>277500</v>
      </c>
      <c r="O2574" s="2">
        <v>27750</v>
      </c>
      <c r="P2574" s="2">
        <v>305250</v>
      </c>
      <c r="Q2574" s="2">
        <f>P2574*12%</f>
        <v>36630</v>
      </c>
    </row>
    <row r="2575" spans="1:17" hidden="1" x14ac:dyDescent="0.4">
      <c r="A2575" s="4" t="s">
        <v>51</v>
      </c>
      <c r="B2575" s="4" t="s">
        <v>14</v>
      </c>
      <c r="C2575" s="30" t="s">
        <v>434</v>
      </c>
      <c r="D2575" s="4" t="s">
        <v>52</v>
      </c>
      <c r="E2575" s="4" t="s">
        <v>16</v>
      </c>
      <c r="F2575" s="4" t="s">
        <v>17</v>
      </c>
      <c r="G2575" s="4" t="s">
        <v>18</v>
      </c>
      <c r="H2575" s="4" t="s">
        <v>255</v>
      </c>
      <c r="I2575" s="5" t="str">
        <f t="shared" si="40"/>
        <v>2025-09</v>
      </c>
      <c r="J2575" s="4" t="s">
        <v>49</v>
      </c>
      <c r="K2575" s="5" t="s">
        <v>343</v>
      </c>
      <c r="L2575" s="2">
        <v>73000</v>
      </c>
      <c r="M2575" s="3">
        <v>1</v>
      </c>
      <c r="N2575" s="2">
        <v>73000</v>
      </c>
      <c r="O2575" s="2">
        <v>7300</v>
      </c>
      <c r="P2575" s="2">
        <v>80300</v>
      </c>
      <c r="Q2575" s="2">
        <f>P2575*12%</f>
        <v>9636</v>
      </c>
    </row>
    <row r="2576" spans="1:17" x14ac:dyDescent="0.4">
      <c r="A2576" s="4" t="s">
        <v>13</v>
      </c>
      <c r="B2576" s="4" t="s">
        <v>14</v>
      </c>
      <c r="C2576" s="30" t="s">
        <v>434</v>
      </c>
      <c r="D2576" s="4" t="s">
        <v>15</v>
      </c>
      <c r="E2576" s="4" t="s">
        <v>16</v>
      </c>
      <c r="F2576" s="4" t="s">
        <v>17</v>
      </c>
      <c r="G2576" s="4" t="s">
        <v>18</v>
      </c>
      <c r="H2576" s="4" t="s">
        <v>256</v>
      </c>
      <c r="I2576" s="5" t="str">
        <f t="shared" si="40"/>
        <v>2025-09</v>
      </c>
      <c r="J2576" s="4" t="s">
        <v>20</v>
      </c>
      <c r="K2576" s="5" t="s">
        <v>342</v>
      </c>
      <c r="L2576" s="2">
        <v>42000</v>
      </c>
      <c r="M2576" s="3">
        <v>1</v>
      </c>
      <c r="N2576" s="2">
        <v>42000</v>
      </c>
      <c r="O2576" s="2">
        <v>4200</v>
      </c>
      <c r="P2576" s="2">
        <v>46200</v>
      </c>
      <c r="Q2576" s="2">
        <f>P2576*8.5%</f>
        <v>3927.0000000000005</v>
      </c>
    </row>
    <row r="2577" spans="1:17" x14ac:dyDescent="0.4">
      <c r="A2577" s="4" t="s">
        <v>21</v>
      </c>
      <c r="B2577" s="4" t="s">
        <v>14</v>
      </c>
      <c r="C2577" s="31" t="s">
        <v>435</v>
      </c>
      <c r="D2577" s="4" t="s">
        <v>22</v>
      </c>
      <c r="E2577" s="4" t="s">
        <v>16</v>
      </c>
      <c r="F2577" s="4" t="s">
        <v>17</v>
      </c>
      <c r="G2577" s="4" t="s">
        <v>18</v>
      </c>
      <c r="H2577" s="4" t="s">
        <v>256</v>
      </c>
      <c r="I2577" s="5" t="str">
        <f t="shared" si="40"/>
        <v>2025-09</v>
      </c>
      <c r="J2577" s="4" t="s">
        <v>20</v>
      </c>
      <c r="K2577" s="5" t="s">
        <v>342</v>
      </c>
      <c r="L2577" s="2">
        <v>55500</v>
      </c>
      <c r="M2577" s="3">
        <v>2</v>
      </c>
      <c r="N2577" s="2">
        <v>111000</v>
      </c>
      <c r="O2577" s="2">
        <v>11100</v>
      </c>
      <c r="P2577" s="2">
        <v>122100</v>
      </c>
      <c r="Q2577" s="2">
        <f>P2577*8.5%</f>
        <v>10378.5</v>
      </c>
    </row>
    <row r="2578" spans="1:17" x14ac:dyDescent="0.4">
      <c r="A2578" s="4" t="s">
        <v>23</v>
      </c>
      <c r="B2578" s="4" t="s">
        <v>14</v>
      </c>
      <c r="C2578" s="31" t="s">
        <v>435</v>
      </c>
      <c r="D2578" s="4" t="s">
        <v>24</v>
      </c>
      <c r="E2578" s="4" t="s">
        <v>16</v>
      </c>
      <c r="F2578" s="4" t="s">
        <v>17</v>
      </c>
      <c r="G2578" s="4" t="s">
        <v>18</v>
      </c>
      <c r="H2578" s="4" t="s">
        <v>256</v>
      </c>
      <c r="I2578" s="5" t="str">
        <f t="shared" si="40"/>
        <v>2025-09</v>
      </c>
      <c r="J2578" s="4" t="s">
        <v>20</v>
      </c>
      <c r="K2578" s="5" t="s">
        <v>342</v>
      </c>
      <c r="L2578" s="2">
        <v>55500</v>
      </c>
      <c r="M2578" s="3">
        <v>1</v>
      </c>
      <c r="N2578" s="2">
        <v>55500</v>
      </c>
      <c r="O2578" s="2">
        <v>5550</v>
      </c>
      <c r="P2578" s="2">
        <v>61050</v>
      </c>
      <c r="Q2578" s="2">
        <f>P2578*8.5%</f>
        <v>5189.25</v>
      </c>
    </row>
    <row r="2579" spans="1:17" x14ac:dyDescent="0.4">
      <c r="A2579" s="4" t="s">
        <v>76</v>
      </c>
      <c r="B2579" s="4" t="s">
        <v>65</v>
      </c>
      <c r="C2579" s="32" t="s">
        <v>436</v>
      </c>
      <c r="D2579" s="4" t="s">
        <v>27</v>
      </c>
      <c r="E2579" s="4" t="s">
        <v>28</v>
      </c>
      <c r="F2579" s="4" t="s">
        <v>17</v>
      </c>
      <c r="G2579" s="4" t="s">
        <v>18</v>
      </c>
      <c r="H2579" s="4" t="s">
        <v>256</v>
      </c>
      <c r="I2579" s="5" t="str">
        <f t="shared" si="40"/>
        <v>2025-09</v>
      </c>
      <c r="J2579" s="4" t="s">
        <v>20</v>
      </c>
      <c r="K2579" s="5" t="s">
        <v>342</v>
      </c>
      <c r="L2579" s="2">
        <v>17338</v>
      </c>
      <c r="M2579" s="3">
        <v>1</v>
      </c>
      <c r="N2579" s="2">
        <v>17338</v>
      </c>
      <c r="O2579" s="2">
        <v>1734</v>
      </c>
      <c r="P2579" s="2">
        <v>19072</v>
      </c>
      <c r="Q2579" s="2">
        <f>P2579*8.5%</f>
        <v>1621.1200000000001</v>
      </c>
    </row>
    <row r="2580" spans="1:17" x14ac:dyDescent="0.4">
      <c r="A2580" s="4" t="s">
        <v>56</v>
      </c>
      <c r="B2580" s="4" t="s">
        <v>26</v>
      </c>
      <c r="C2580" s="32" t="s">
        <v>436</v>
      </c>
      <c r="D2580" s="4" t="s">
        <v>57</v>
      </c>
      <c r="E2580" s="4" t="s">
        <v>44</v>
      </c>
      <c r="F2580" s="4" t="s">
        <v>31</v>
      </c>
      <c r="G2580" s="4" t="s">
        <v>18</v>
      </c>
      <c r="H2580" s="4" t="s">
        <v>256</v>
      </c>
      <c r="I2580" s="5" t="str">
        <f t="shared" si="40"/>
        <v>2025-09</v>
      </c>
      <c r="J2580" s="4" t="s">
        <v>20</v>
      </c>
      <c r="K2580" s="5" t="s">
        <v>342</v>
      </c>
      <c r="L2580" s="2">
        <v>3671</v>
      </c>
      <c r="M2580" s="3">
        <v>20</v>
      </c>
      <c r="N2580" s="2">
        <v>73420</v>
      </c>
      <c r="O2580" s="2">
        <v>0</v>
      </c>
      <c r="P2580" s="2">
        <v>73420</v>
      </c>
      <c r="Q2580" s="2">
        <f>P2580*8.5%</f>
        <v>6240.7000000000007</v>
      </c>
    </row>
    <row r="2581" spans="1:17" hidden="1" x14ac:dyDescent="0.4">
      <c r="A2581" s="4" t="s">
        <v>13</v>
      </c>
      <c r="B2581" s="4" t="s">
        <v>14</v>
      </c>
      <c r="C2581" s="30" t="s">
        <v>434</v>
      </c>
      <c r="D2581" s="4" t="s">
        <v>15</v>
      </c>
      <c r="E2581" s="4" t="s">
        <v>16</v>
      </c>
      <c r="F2581" s="4" t="s">
        <v>17</v>
      </c>
      <c r="G2581" s="4" t="s">
        <v>18</v>
      </c>
      <c r="H2581" s="4" t="s">
        <v>256</v>
      </c>
      <c r="I2581" s="5" t="str">
        <f t="shared" si="40"/>
        <v>2025-09</v>
      </c>
      <c r="J2581" s="4" t="s">
        <v>34</v>
      </c>
      <c r="K2581" s="5" t="s">
        <v>342</v>
      </c>
      <c r="L2581" s="2">
        <v>42000</v>
      </c>
      <c r="M2581" s="3">
        <v>5</v>
      </c>
      <c r="N2581" s="2">
        <v>210000</v>
      </c>
      <c r="O2581" s="2">
        <v>21000</v>
      </c>
      <c r="P2581" s="2">
        <v>231000</v>
      </c>
      <c r="Q2581" s="2">
        <f>P2581*8.5%</f>
        <v>19635</v>
      </c>
    </row>
    <row r="2582" spans="1:17" hidden="1" x14ac:dyDescent="0.4">
      <c r="A2582" s="4" t="s">
        <v>21</v>
      </c>
      <c r="B2582" s="4" t="s">
        <v>14</v>
      </c>
      <c r="C2582" s="31" t="s">
        <v>435</v>
      </c>
      <c r="D2582" s="4" t="s">
        <v>22</v>
      </c>
      <c r="E2582" s="4" t="s">
        <v>16</v>
      </c>
      <c r="F2582" s="4" t="s">
        <v>17</v>
      </c>
      <c r="G2582" s="4" t="s">
        <v>18</v>
      </c>
      <c r="H2582" s="4" t="s">
        <v>256</v>
      </c>
      <c r="I2582" s="5" t="str">
        <f t="shared" si="40"/>
        <v>2025-09</v>
      </c>
      <c r="J2582" s="4" t="s">
        <v>34</v>
      </c>
      <c r="K2582" s="5" t="s">
        <v>342</v>
      </c>
      <c r="L2582" s="2">
        <v>55500</v>
      </c>
      <c r="M2582" s="3">
        <v>2</v>
      </c>
      <c r="N2582" s="2">
        <v>111000</v>
      </c>
      <c r="O2582" s="2">
        <v>11100</v>
      </c>
      <c r="P2582" s="2">
        <v>122100</v>
      </c>
      <c r="Q2582" s="2">
        <f>P2582*8.5%</f>
        <v>10378.5</v>
      </c>
    </row>
    <row r="2583" spans="1:17" hidden="1" x14ac:dyDescent="0.4">
      <c r="A2583" s="4" t="s">
        <v>23</v>
      </c>
      <c r="B2583" s="4" t="s">
        <v>14</v>
      </c>
      <c r="C2583" s="31" t="s">
        <v>435</v>
      </c>
      <c r="D2583" s="4" t="s">
        <v>24</v>
      </c>
      <c r="E2583" s="4" t="s">
        <v>16</v>
      </c>
      <c r="F2583" s="4" t="s">
        <v>17</v>
      </c>
      <c r="G2583" s="4" t="s">
        <v>18</v>
      </c>
      <c r="H2583" s="4" t="s">
        <v>256</v>
      </c>
      <c r="I2583" s="5" t="str">
        <f t="shared" si="40"/>
        <v>2025-09</v>
      </c>
      <c r="J2583" s="4" t="s">
        <v>34</v>
      </c>
      <c r="K2583" s="5" t="s">
        <v>342</v>
      </c>
      <c r="L2583" s="2">
        <v>55500</v>
      </c>
      <c r="M2583" s="3">
        <v>2</v>
      </c>
      <c r="N2583" s="2">
        <v>111000</v>
      </c>
      <c r="O2583" s="2">
        <v>11100</v>
      </c>
      <c r="P2583" s="2">
        <v>122100</v>
      </c>
      <c r="Q2583" s="2">
        <f>P2583*8.5%</f>
        <v>10378.5</v>
      </c>
    </row>
    <row r="2584" spans="1:17" hidden="1" x14ac:dyDescent="0.4">
      <c r="A2584" s="4" t="s">
        <v>84</v>
      </c>
      <c r="B2584" s="4" t="s">
        <v>26</v>
      </c>
      <c r="C2584" s="32" t="s">
        <v>436</v>
      </c>
      <c r="D2584" s="4" t="s">
        <v>85</v>
      </c>
      <c r="E2584" s="4" t="s">
        <v>28</v>
      </c>
      <c r="F2584" s="4" t="s">
        <v>17</v>
      </c>
      <c r="G2584" s="4" t="s">
        <v>18</v>
      </c>
      <c r="H2584" s="4" t="s">
        <v>256</v>
      </c>
      <c r="I2584" s="5" t="str">
        <f t="shared" si="40"/>
        <v>2025-09</v>
      </c>
      <c r="J2584" s="4" t="s">
        <v>34</v>
      </c>
      <c r="K2584" s="5" t="s">
        <v>342</v>
      </c>
      <c r="L2584" s="2">
        <v>5032</v>
      </c>
      <c r="M2584" s="3">
        <v>1</v>
      </c>
      <c r="N2584" s="2">
        <v>5032</v>
      </c>
      <c r="O2584" s="2">
        <v>503</v>
      </c>
      <c r="P2584" s="2">
        <v>5535</v>
      </c>
      <c r="Q2584" s="2">
        <f>P2584*8.5%</f>
        <v>470.47500000000002</v>
      </c>
    </row>
    <row r="2585" spans="1:17" hidden="1" x14ac:dyDescent="0.4">
      <c r="A2585" s="4" t="s">
        <v>42</v>
      </c>
      <c r="B2585" s="4" t="s">
        <v>14</v>
      </c>
      <c r="C2585" s="30" t="s">
        <v>434</v>
      </c>
      <c r="D2585" s="4" t="s">
        <v>43</v>
      </c>
      <c r="E2585" s="4" t="s">
        <v>44</v>
      </c>
      <c r="F2585" s="4" t="s">
        <v>31</v>
      </c>
      <c r="G2585" s="4" t="s">
        <v>18</v>
      </c>
      <c r="H2585" s="4" t="s">
        <v>256</v>
      </c>
      <c r="I2585" s="5" t="str">
        <f t="shared" si="40"/>
        <v>2025-09</v>
      </c>
      <c r="J2585" s="4" t="s">
        <v>34</v>
      </c>
      <c r="K2585" s="5" t="s">
        <v>342</v>
      </c>
      <c r="L2585" s="2">
        <v>7300</v>
      </c>
      <c r="M2585" s="3">
        <v>62.7</v>
      </c>
      <c r="N2585" s="2">
        <v>457710</v>
      </c>
      <c r="O2585" s="2">
        <v>0</v>
      </c>
      <c r="P2585" s="2">
        <v>457710</v>
      </c>
      <c r="Q2585" s="2">
        <f>P2585*8.5%</f>
        <v>38905.350000000006</v>
      </c>
    </row>
    <row r="2586" spans="1:17" hidden="1" x14ac:dyDescent="0.4">
      <c r="A2586" s="4" t="s">
        <v>35</v>
      </c>
      <c r="B2586" s="4" t="s">
        <v>14</v>
      </c>
      <c r="C2586" s="30" t="s">
        <v>434</v>
      </c>
      <c r="D2586" s="4" t="s">
        <v>36</v>
      </c>
      <c r="E2586" s="4" t="s">
        <v>16</v>
      </c>
      <c r="F2586" s="4" t="s">
        <v>17</v>
      </c>
      <c r="G2586" s="4" t="s">
        <v>18</v>
      </c>
      <c r="H2586" s="4" t="s">
        <v>256</v>
      </c>
      <c r="I2586" s="5" t="str">
        <f t="shared" si="40"/>
        <v>2025-09</v>
      </c>
      <c r="J2586" s="4" t="s">
        <v>60</v>
      </c>
      <c r="K2586" s="5" t="s">
        <v>343</v>
      </c>
      <c r="L2586" s="2">
        <v>116220</v>
      </c>
      <c r="M2586" s="3">
        <v>4</v>
      </c>
      <c r="N2586" s="2">
        <v>464880</v>
      </c>
      <c r="O2586" s="2">
        <v>46488</v>
      </c>
      <c r="P2586" s="2">
        <v>511368</v>
      </c>
      <c r="Q2586" s="2">
        <f>P2586*12%</f>
        <v>61364.159999999996</v>
      </c>
    </row>
    <row r="2587" spans="1:17" hidden="1" x14ac:dyDescent="0.4">
      <c r="A2587" s="4" t="s">
        <v>23</v>
      </c>
      <c r="B2587" s="4" t="s">
        <v>14</v>
      </c>
      <c r="C2587" s="31" t="s">
        <v>435</v>
      </c>
      <c r="D2587" s="4" t="s">
        <v>24</v>
      </c>
      <c r="E2587" s="4" t="s">
        <v>16</v>
      </c>
      <c r="F2587" s="4" t="s">
        <v>17</v>
      </c>
      <c r="G2587" s="4" t="s">
        <v>18</v>
      </c>
      <c r="H2587" s="4" t="s">
        <v>256</v>
      </c>
      <c r="I2587" s="5" t="str">
        <f t="shared" si="40"/>
        <v>2025-09</v>
      </c>
      <c r="J2587" s="4" t="s">
        <v>60</v>
      </c>
      <c r="K2587" s="5" t="s">
        <v>343</v>
      </c>
      <c r="L2587" s="2">
        <v>55500</v>
      </c>
      <c r="M2587" s="3">
        <v>10</v>
      </c>
      <c r="N2587" s="2">
        <v>555000</v>
      </c>
      <c r="O2587" s="2">
        <v>55500</v>
      </c>
      <c r="P2587" s="2">
        <v>610500</v>
      </c>
      <c r="Q2587" s="2">
        <f>P2587*12%</f>
        <v>73260</v>
      </c>
    </row>
    <row r="2588" spans="1:17" hidden="1" x14ac:dyDescent="0.4">
      <c r="A2588" s="4" t="s">
        <v>32</v>
      </c>
      <c r="B2588" s="4" t="s">
        <v>14</v>
      </c>
      <c r="C2588" s="31" t="s">
        <v>435</v>
      </c>
      <c r="D2588" s="4" t="s">
        <v>33</v>
      </c>
      <c r="E2588" s="4" t="s">
        <v>16</v>
      </c>
      <c r="F2588" s="4" t="s">
        <v>17</v>
      </c>
      <c r="G2588" s="4" t="s">
        <v>18</v>
      </c>
      <c r="H2588" s="4" t="s">
        <v>256</v>
      </c>
      <c r="I2588" s="5" t="str">
        <f t="shared" si="40"/>
        <v>2025-09</v>
      </c>
      <c r="J2588" s="4" t="s">
        <v>49</v>
      </c>
      <c r="K2588" s="5" t="s">
        <v>343</v>
      </c>
      <c r="L2588" s="2">
        <v>44000</v>
      </c>
      <c r="M2588" s="3">
        <v>4</v>
      </c>
      <c r="N2588" s="2">
        <v>176000</v>
      </c>
      <c r="O2588" s="2">
        <v>17600</v>
      </c>
      <c r="P2588" s="2">
        <v>193600</v>
      </c>
      <c r="Q2588" s="2">
        <f>P2588*12%</f>
        <v>23232</v>
      </c>
    </row>
    <row r="2589" spans="1:17" hidden="1" x14ac:dyDescent="0.4">
      <c r="A2589" s="4" t="s">
        <v>13</v>
      </c>
      <c r="B2589" s="4" t="s">
        <v>14</v>
      </c>
      <c r="C2589" s="30" t="s">
        <v>434</v>
      </c>
      <c r="D2589" s="4" t="s">
        <v>15</v>
      </c>
      <c r="E2589" s="4" t="s">
        <v>16</v>
      </c>
      <c r="F2589" s="4" t="s">
        <v>17</v>
      </c>
      <c r="G2589" s="4" t="s">
        <v>18</v>
      </c>
      <c r="H2589" s="4" t="s">
        <v>256</v>
      </c>
      <c r="I2589" s="5" t="str">
        <f t="shared" si="40"/>
        <v>2025-09</v>
      </c>
      <c r="J2589" s="4" t="s">
        <v>49</v>
      </c>
      <c r="K2589" s="5" t="s">
        <v>343</v>
      </c>
      <c r="L2589" s="2">
        <v>42000</v>
      </c>
      <c r="M2589" s="3">
        <v>6</v>
      </c>
      <c r="N2589" s="2">
        <v>252000</v>
      </c>
      <c r="O2589" s="2">
        <v>25200</v>
      </c>
      <c r="P2589" s="2">
        <v>277200</v>
      </c>
      <c r="Q2589" s="2">
        <f>P2589*12%</f>
        <v>33264</v>
      </c>
    </row>
    <row r="2590" spans="1:17" hidden="1" x14ac:dyDescent="0.4">
      <c r="A2590" s="4" t="s">
        <v>35</v>
      </c>
      <c r="B2590" s="4" t="s">
        <v>14</v>
      </c>
      <c r="C2590" s="30" t="s">
        <v>434</v>
      </c>
      <c r="D2590" s="4" t="s">
        <v>36</v>
      </c>
      <c r="E2590" s="4" t="s">
        <v>16</v>
      </c>
      <c r="F2590" s="4" t="s">
        <v>17</v>
      </c>
      <c r="G2590" s="4" t="s">
        <v>18</v>
      </c>
      <c r="H2590" s="4" t="s">
        <v>256</v>
      </c>
      <c r="I2590" s="5" t="str">
        <f t="shared" si="40"/>
        <v>2025-09</v>
      </c>
      <c r="J2590" s="4" t="s">
        <v>49</v>
      </c>
      <c r="K2590" s="5" t="s">
        <v>343</v>
      </c>
      <c r="L2590" s="2">
        <v>116220</v>
      </c>
      <c r="M2590" s="3">
        <v>1</v>
      </c>
      <c r="N2590" s="2">
        <v>116220</v>
      </c>
      <c r="O2590" s="2">
        <v>11622</v>
      </c>
      <c r="P2590" s="2">
        <v>127842</v>
      </c>
      <c r="Q2590" s="2">
        <f>P2590*12%</f>
        <v>15341.039999999999</v>
      </c>
    </row>
    <row r="2591" spans="1:17" hidden="1" x14ac:dyDescent="0.4">
      <c r="A2591" s="4" t="s">
        <v>23</v>
      </c>
      <c r="B2591" s="4" t="s">
        <v>14</v>
      </c>
      <c r="C2591" s="31" t="s">
        <v>435</v>
      </c>
      <c r="D2591" s="4" t="s">
        <v>24</v>
      </c>
      <c r="E2591" s="4" t="s">
        <v>16</v>
      </c>
      <c r="F2591" s="4" t="s">
        <v>17</v>
      </c>
      <c r="G2591" s="4" t="s">
        <v>18</v>
      </c>
      <c r="H2591" s="4" t="s">
        <v>256</v>
      </c>
      <c r="I2591" s="5" t="str">
        <f t="shared" si="40"/>
        <v>2025-09</v>
      </c>
      <c r="J2591" s="4" t="s">
        <v>49</v>
      </c>
      <c r="K2591" s="5" t="s">
        <v>343</v>
      </c>
      <c r="L2591" s="2">
        <v>55500</v>
      </c>
      <c r="M2591" s="3">
        <v>4</v>
      </c>
      <c r="N2591" s="2">
        <v>222000</v>
      </c>
      <c r="O2591" s="2">
        <v>22200</v>
      </c>
      <c r="P2591" s="2">
        <v>244200</v>
      </c>
      <c r="Q2591" s="2">
        <f>P2591*12%</f>
        <v>29304</v>
      </c>
    </row>
    <row r="2592" spans="1:17" x14ac:dyDescent="0.4">
      <c r="A2592" s="4" t="s">
        <v>13</v>
      </c>
      <c r="B2592" s="4" t="s">
        <v>14</v>
      </c>
      <c r="C2592" s="30" t="s">
        <v>434</v>
      </c>
      <c r="D2592" s="4" t="s">
        <v>15</v>
      </c>
      <c r="E2592" s="4" t="s">
        <v>16</v>
      </c>
      <c r="F2592" s="4" t="s">
        <v>17</v>
      </c>
      <c r="G2592" s="4" t="s">
        <v>18</v>
      </c>
      <c r="H2592" s="4" t="s">
        <v>257</v>
      </c>
      <c r="I2592" s="5" t="str">
        <f t="shared" si="40"/>
        <v>2025-09</v>
      </c>
      <c r="J2592" s="4" t="s">
        <v>20</v>
      </c>
      <c r="K2592" s="5" t="s">
        <v>342</v>
      </c>
      <c r="L2592" s="2">
        <v>42000</v>
      </c>
      <c r="M2592" s="3">
        <v>1</v>
      </c>
      <c r="N2592" s="2">
        <v>42000</v>
      </c>
      <c r="O2592" s="2">
        <v>4200</v>
      </c>
      <c r="P2592" s="2">
        <v>46200</v>
      </c>
      <c r="Q2592" s="2">
        <f>P2592*8.5%</f>
        <v>3927.0000000000005</v>
      </c>
    </row>
    <row r="2593" spans="1:17" x14ac:dyDescent="0.4">
      <c r="A2593" s="4" t="s">
        <v>21</v>
      </c>
      <c r="B2593" s="4" t="s">
        <v>14</v>
      </c>
      <c r="C2593" s="31" t="s">
        <v>435</v>
      </c>
      <c r="D2593" s="4" t="s">
        <v>22</v>
      </c>
      <c r="E2593" s="4" t="s">
        <v>16</v>
      </c>
      <c r="F2593" s="4" t="s">
        <v>17</v>
      </c>
      <c r="G2593" s="4" t="s">
        <v>18</v>
      </c>
      <c r="H2593" s="4" t="s">
        <v>257</v>
      </c>
      <c r="I2593" s="5" t="str">
        <f t="shared" si="40"/>
        <v>2025-09</v>
      </c>
      <c r="J2593" s="4" t="s">
        <v>20</v>
      </c>
      <c r="K2593" s="5" t="s">
        <v>342</v>
      </c>
      <c r="L2593" s="2">
        <v>55500</v>
      </c>
      <c r="M2593" s="3">
        <v>1</v>
      </c>
      <c r="N2593" s="2">
        <v>55500</v>
      </c>
      <c r="O2593" s="2">
        <v>5550</v>
      </c>
      <c r="P2593" s="2">
        <v>61050</v>
      </c>
      <c r="Q2593" s="2">
        <f>P2593*8.5%</f>
        <v>5189.25</v>
      </c>
    </row>
    <row r="2594" spans="1:17" x14ac:dyDescent="0.4">
      <c r="A2594" s="4" t="s">
        <v>23</v>
      </c>
      <c r="B2594" s="4" t="s">
        <v>14</v>
      </c>
      <c r="C2594" s="31" t="s">
        <v>435</v>
      </c>
      <c r="D2594" s="4" t="s">
        <v>24</v>
      </c>
      <c r="E2594" s="4" t="s">
        <v>16</v>
      </c>
      <c r="F2594" s="4" t="s">
        <v>17</v>
      </c>
      <c r="G2594" s="4" t="s">
        <v>18</v>
      </c>
      <c r="H2594" s="4" t="s">
        <v>257</v>
      </c>
      <c r="I2594" s="5" t="str">
        <f t="shared" si="40"/>
        <v>2025-09</v>
      </c>
      <c r="J2594" s="4" t="s">
        <v>20</v>
      </c>
      <c r="K2594" s="5" t="s">
        <v>342</v>
      </c>
      <c r="L2594" s="2">
        <v>55500</v>
      </c>
      <c r="M2594" s="3">
        <v>3</v>
      </c>
      <c r="N2594" s="2">
        <v>166500</v>
      </c>
      <c r="O2594" s="2">
        <v>16650</v>
      </c>
      <c r="P2594" s="2">
        <v>183150</v>
      </c>
      <c r="Q2594" s="2">
        <f>P2594*8.5%</f>
        <v>15567.750000000002</v>
      </c>
    </row>
    <row r="2595" spans="1:17" x14ac:dyDescent="0.4">
      <c r="A2595" s="4" t="s">
        <v>29</v>
      </c>
      <c r="B2595" s="4" t="s">
        <v>26</v>
      </c>
      <c r="C2595" s="32" t="s">
        <v>436</v>
      </c>
      <c r="D2595" s="4" t="s">
        <v>30</v>
      </c>
      <c r="E2595" s="4" t="s">
        <v>28</v>
      </c>
      <c r="F2595" s="4" t="s">
        <v>31</v>
      </c>
      <c r="G2595" s="4" t="s">
        <v>18</v>
      </c>
      <c r="H2595" s="4" t="s">
        <v>257</v>
      </c>
      <c r="I2595" s="5" t="str">
        <f t="shared" si="40"/>
        <v>2025-09</v>
      </c>
      <c r="J2595" s="4" t="s">
        <v>20</v>
      </c>
      <c r="K2595" s="5" t="s">
        <v>342</v>
      </c>
      <c r="L2595" s="2">
        <v>3719</v>
      </c>
      <c r="M2595" s="3">
        <v>1</v>
      </c>
      <c r="N2595" s="2">
        <v>3719</v>
      </c>
      <c r="O2595" s="2">
        <v>0</v>
      </c>
      <c r="P2595" s="2">
        <v>3719</v>
      </c>
      <c r="Q2595" s="2">
        <f>P2595*8.5%</f>
        <v>316.11500000000001</v>
      </c>
    </row>
    <row r="2596" spans="1:17" x14ac:dyDescent="0.4">
      <c r="A2596" s="4" t="s">
        <v>56</v>
      </c>
      <c r="B2596" s="4" t="s">
        <v>26</v>
      </c>
      <c r="C2596" s="32" t="s">
        <v>436</v>
      </c>
      <c r="D2596" s="4" t="s">
        <v>57</v>
      </c>
      <c r="E2596" s="4" t="s">
        <v>44</v>
      </c>
      <c r="F2596" s="4" t="s">
        <v>31</v>
      </c>
      <c r="G2596" s="4" t="s">
        <v>18</v>
      </c>
      <c r="H2596" s="4" t="s">
        <v>257</v>
      </c>
      <c r="I2596" s="5" t="str">
        <f t="shared" si="40"/>
        <v>2025-09</v>
      </c>
      <c r="J2596" s="4" t="s">
        <v>20</v>
      </c>
      <c r="K2596" s="5" t="s">
        <v>342</v>
      </c>
      <c r="L2596" s="2">
        <v>3671</v>
      </c>
      <c r="M2596" s="3">
        <v>20</v>
      </c>
      <c r="N2596" s="2">
        <v>73420</v>
      </c>
      <c r="O2596" s="2">
        <v>0</v>
      </c>
      <c r="P2596" s="2">
        <v>73420</v>
      </c>
      <c r="Q2596" s="2">
        <f>P2596*8.5%</f>
        <v>6240.7000000000007</v>
      </c>
    </row>
    <row r="2597" spans="1:17" hidden="1" x14ac:dyDescent="0.4">
      <c r="A2597" s="4" t="s">
        <v>32</v>
      </c>
      <c r="B2597" s="4" t="s">
        <v>14</v>
      </c>
      <c r="C2597" s="31" t="s">
        <v>435</v>
      </c>
      <c r="D2597" s="4" t="s">
        <v>33</v>
      </c>
      <c r="E2597" s="4" t="s">
        <v>16</v>
      </c>
      <c r="F2597" s="4" t="s">
        <v>17</v>
      </c>
      <c r="G2597" s="4" t="s">
        <v>18</v>
      </c>
      <c r="H2597" s="4" t="s">
        <v>257</v>
      </c>
      <c r="I2597" s="5" t="str">
        <f t="shared" si="40"/>
        <v>2025-09</v>
      </c>
      <c r="J2597" s="4" t="s">
        <v>118</v>
      </c>
      <c r="K2597" s="5" t="s">
        <v>342</v>
      </c>
      <c r="L2597" s="2">
        <v>44000</v>
      </c>
      <c r="M2597" s="3">
        <v>2</v>
      </c>
      <c r="N2597" s="2">
        <v>88000</v>
      </c>
      <c r="O2597" s="2">
        <v>8800</v>
      </c>
      <c r="P2597" s="2">
        <v>96800</v>
      </c>
      <c r="Q2597" s="2">
        <f>P2597*8.5%</f>
        <v>8228</v>
      </c>
    </row>
    <row r="2598" spans="1:17" hidden="1" x14ac:dyDescent="0.4">
      <c r="A2598" s="4" t="s">
        <v>13</v>
      </c>
      <c r="B2598" s="4" t="s">
        <v>14</v>
      </c>
      <c r="C2598" s="30" t="s">
        <v>434</v>
      </c>
      <c r="D2598" s="4" t="s">
        <v>15</v>
      </c>
      <c r="E2598" s="4" t="s">
        <v>16</v>
      </c>
      <c r="F2598" s="4" t="s">
        <v>17</v>
      </c>
      <c r="G2598" s="4" t="s">
        <v>18</v>
      </c>
      <c r="H2598" s="4" t="s">
        <v>257</v>
      </c>
      <c r="I2598" s="5" t="str">
        <f t="shared" si="40"/>
        <v>2025-09</v>
      </c>
      <c r="J2598" s="4" t="s">
        <v>118</v>
      </c>
      <c r="K2598" s="5" t="s">
        <v>342</v>
      </c>
      <c r="L2598" s="2">
        <v>42000</v>
      </c>
      <c r="M2598" s="3">
        <v>2</v>
      </c>
      <c r="N2598" s="2">
        <v>84000</v>
      </c>
      <c r="O2598" s="2">
        <v>8400</v>
      </c>
      <c r="P2598" s="2">
        <v>92400</v>
      </c>
      <c r="Q2598" s="2">
        <f>P2598*8.5%</f>
        <v>7854.0000000000009</v>
      </c>
    </row>
    <row r="2599" spans="1:17" hidden="1" x14ac:dyDescent="0.4">
      <c r="A2599" s="4" t="s">
        <v>23</v>
      </c>
      <c r="B2599" s="4" t="s">
        <v>14</v>
      </c>
      <c r="C2599" s="31" t="s">
        <v>435</v>
      </c>
      <c r="D2599" s="4" t="s">
        <v>24</v>
      </c>
      <c r="E2599" s="4" t="s">
        <v>16</v>
      </c>
      <c r="F2599" s="4" t="s">
        <v>17</v>
      </c>
      <c r="G2599" s="4" t="s">
        <v>18</v>
      </c>
      <c r="H2599" s="4" t="s">
        <v>257</v>
      </c>
      <c r="I2599" s="5" t="str">
        <f t="shared" si="40"/>
        <v>2025-09</v>
      </c>
      <c r="J2599" s="4" t="s">
        <v>118</v>
      </c>
      <c r="K2599" s="5" t="s">
        <v>342</v>
      </c>
      <c r="L2599" s="2">
        <v>55500</v>
      </c>
      <c r="M2599" s="3">
        <v>2</v>
      </c>
      <c r="N2599" s="2">
        <v>111000</v>
      </c>
      <c r="O2599" s="2">
        <v>11100</v>
      </c>
      <c r="P2599" s="2">
        <v>122100</v>
      </c>
      <c r="Q2599" s="2">
        <f>P2599*8.5%</f>
        <v>10378.5</v>
      </c>
    </row>
    <row r="2600" spans="1:17" hidden="1" x14ac:dyDescent="0.4">
      <c r="A2600" s="4" t="s">
        <v>32</v>
      </c>
      <c r="B2600" s="4" t="s">
        <v>14</v>
      </c>
      <c r="C2600" s="31" t="s">
        <v>435</v>
      </c>
      <c r="D2600" s="4" t="s">
        <v>33</v>
      </c>
      <c r="E2600" s="4" t="s">
        <v>16</v>
      </c>
      <c r="F2600" s="4" t="s">
        <v>17</v>
      </c>
      <c r="G2600" s="4" t="s">
        <v>18</v>
      </c>
      <c r="H2600" s="4" t="s">
        <v>257</v>
      </c>
      <c r="I2600" s="5" t="str">
        <f t="shared" si="40"/>
        <v>2025-09</v>
      </c>
      <c r="J2600" s="4" t="s">
        <v>34</v>
      </c>
      <c r="K2600" s="5" t="s">
        <v>342</v>
      </c>
      <c r="L2600" s="2">
        <v>44000</v>
      </c>
      <c r="M2600" s="3">
        <v>2</v>
      </c>
      <c r="N2600" s="2">
        <v>88000</v>
      </c>
      <c r="O2600" s="2">
        <v>8800</v>
      </c>
      <c r="P2600" s="2">
        <v>96800</v>
      </c>
      <c r="Q2600" s="2">
        <f>P2600*8.5%</f>
        <v>8228</v>
      </c>
    </row>
    <row r="2601" spans="1:17" hidden="1" x14ac:dyDescent="0.4">
      <c r="A2601" s="4" t="s">
        <v>13</v>
      </c>
      <c r="B2601" s="4" t="s">
        <v>14</v>
      </c>
      <c r="C2601" s="30" t="s">
        <v>434</v>
      </c>
      <c r="D2601" s="4" t="s">
        <v>15</v>
      </c>
      <c r="E2601" s="4" t="s">
        <v>16</v>
      </c>
      <c r="F2601" s="4" t="s">
        <v>17</v>
      </c>
      <c r="G2601" s="4" t="s">
        <v>18</v>
      </c>
      <c r="H2601" s="4" t="s">
        <v>257</v>
      </c>
      <c r="I2601" s="5" t="str">
        <f t="shared" si="40"/>
        <v>2025-09</v>
      </c>
      <c r="J2601" s="4" t="s">
        <v>34</v>
      </c>
      <c r="K2601" s="5" t="s">
        <v>342</v>
      </c>
      <c r="L2601" s="2">
        <v>42000</v>
      </c>
      <c r="M2601" s="3">
        <v>3</v>
      </c>
      <c r="N2601" s="2">
        <v>126000</v>
      </c>
      <c r="O2601" s="2">
        <v>12600</v>
      </c>
      <c r="P2601" s="2">
        <v>138600</v>
      </c>
      <c r="Q2601" s="2">
        <f>P2601*8.5%</f>
        <v>11781</v>
      </c>
    </row>
    <row r="2602" spans="1:17" hidden="1" x14ac:dyDescent="0.4">
      <c r="A2602" s="4" t="s">
        <v>21</v>
      </c>
      <c r="B2602" s="4" t="s">
        <v>14</v>
      </c>
      <c r="C2602" s="31" t="s">
        <v>435</v>
      </c>
      <c r="D2602" s="4" t="s">
        <v>22</v>
      </c>
      <c r="E2602" s="4" t="s">
        <v>16</v>
      </c>
      <c r="F2602" s="4" t="s">
        <v>17</v>
      </c>
      <c r="G2602" s="4" t="s">
        <v>18</v>
      </c>
      <c r="H2602" s="4" t="s">
        <v>257</v>
      </c>
      <c r="I2602" s="5" t="str">
        <f t="shared" si="40"/>
        <v>2025-09</v>
      </c>
      <c r="J2602" s="4" t="s">
        <v>34</v>
      </c>
      <c r="K2602" s="5" t="s">
        <v>342</v>
      </c>
      <c r="L2602" s="2">
        <v>55500</v>
      </c>
      <c r="M2602" s="3">
        <v>1</v>
      </c>
      <c r="N2602" s="2">
        <v>55500</v>
      </c>
      <c r="O2602" s="2">
        <v>5550</v>
      </c>
      <c r="P2602" s="2">
        <v>61050</v>
      </c>
      <c r="Q2602" s="2">
        <f>P2602*8.5%</f>
        <v>5189.25</v>
      </c>
    </row>
    <row r="2603" spans="1:17" hidden="1" x14ac:dyDescent="0.4">
      <c r="A2603" s="4" t="s">
        <v>35</v>
      </c>
      <c r="B2603" s="4" t="s">
        <v>14</v>
      </c>
      <c r="C2603" s="30" t="s">
        <v>434</v>
      </c>
      <c r="D2603" s="4" t="s">
        <v>36</v>
      </c>
      <c r="E2603" s="4" t="s">
        <v>16</v>
      </c>
      <c r="F2603" s="4" t="s">
        <v>17</v>
      </c>
      <c r="G2603" s="4" t="s">
        <v>18</v>
      </c>
      <c r="H2603" s="4" t="s">
        <v>257</v>
      </c>
      <c r="I2603" s="5" t="str">
        <f t="shared" si="40"/>
        <v>2025-09</v>
      </c>
      <c r="J2603" s="4" t="s">
        <v>34</v>
      </c>
      <c r="K2603" s="5" t="s">
        <v>342</v>
      </c>
      <c r="L2603" s="2">
        <v>116220</v>
      </c>
      <c r="M2603" s="3">
        <v>1</v>
      </c>
      <c r="N2603" s="2">
        <v>116220</v>
      </c>
      <c r="O2603" s="2">
        <v>11622</v>
      </c>
      <c r="P2603" s="2">
        <v>127842</v>
      </c>
      <c r="Q2603" s="2">
        <f>P2603*8.5%</f>
        <v>10866.570000000002</v>
      </c>
    </row>
    <row r="2604" spans="1:17" hidden="1" x14ac:dyDescent="0.4">
      <c r="A2604" s="4" t="s">
        <v>23</v>
      </c>
      <c r="B2604" s="4" t="s">
        <v>14</v>
      </c>
      <c r="C2604" s="31" t="s">
        <v>435</v>
      </c>
      <c r="D2604" s="4" t="s">
        <v>24</v>
      </c>
      <c r="E2604" s="4" t="s">
        <v>16</v>
      </c>
      <c r="F2604" s="4" t="s">
        <v>17</v>
      </c>
      <c r="G2604" s="4" t="s">
        <v>18</v>
      </c>
      <c r="H2604" s="4" t="s">
        <v>257</v>
      </c>
      <c r="I2604" s="5" t="str">
        <f t="shared" si="40"/>
        <v>2025-09</v>
      </c>
      <c r="J2604" s="4" t="s">
        <v>34</v>
      </c>
      <c r="K2604" s="5" t="s">
        <v>342</v>
      </c>
      <c r="L2604" s="2">
        <v>55500</v>
      </c>
      <c r="M2604" s="3">
        <v>3</v>
      </c>
      <c r="N2604" s="2">
        <v>166500</v>
      </c>
      <c r="O2604" s="2">
        <v>16650</v>
      </c>
      <c r="P2604" s="2">
        <v>183150</v>
      </c>
      <c r="Q2604" s="2">
        <f>P2604*8.5%</f>
        <v>15567.750000000002</v>
      </c>
    </row>
    <row r="2605" spans="1:17" hidden="1" x14ac:dyDescent="0.4">
      <c r="A2605" s="4" t="s">
        <v>67</v>
      </c>
      <c r="B2605" s="4" t="s">
        <v>26</v>
      </c>
      <c r="C2605" s="32" t="s">
        <v>436</v>
      </c>
      <c r="D2605" s="4" t="s">
        <v>63</v>
      </c>
      <c r="E2605" s="4" t="s">
        <v>28</v>
      </c>
      <c r="F2605" s="4" t="s">
        <v>17</v>
      </c>
      <c r="G2605" s="4" t="s">
        <v>18</v>
      </c>
      <c r="H2605" s="4" t="s">
        <v>257</v>
      </c>
      <c r="I2605" s="5" t="str">
        <f t="shared" si="40"/>
        <v>2025-09</v>
      </c>
      <c r="J2605" s="4" t="s">
        <v>34</v>
      </c>
      <c r="K2605" s="5" t="s">
        <v>342</v>
      </c>
      <c r="L2605" s="2">
        <v>7558</v>
      </c>
      <c r="M2605" s="3">
        <v>1</v>
      </c>
      <c r="N2605" s="2">
        <v>7558</v>
      </c>
      <c r="O2605" s="2">
        <v>756</v>
      </c>
      <c r="P2605" s="2">
        <v>8314</v>
      </c>
      <c r="Q2605" s="2">
        <f>P2605*8.5%</f>
        <v>706.69</v>
      </c>
    </row>
    <row r="2606" spans="1:17" hidden="1" x14ac:dyDescent="0.4">
      <c r="A2606" s="4" t="s">
        <v>67</v>
      </c>
      <c r="B2606" s="4" t="s">
        <v>26</v>
      </c>
      <c r="C2606" s="32" t="s">
        <v>436</v>
      </c>
      <c r="D2606" s="4" t="s">
        <v>63</v>
      </c>
      <c r="E2606" s="4" t="s">
        <v>28</v>
      </c>
      <c r="F2606" s="4" t="s">
        <v>17</v>
      </c>
      <c r="G2606" s="4" t="s">
        <v>233</v>
      </c>
      <c r="H2606" s="4" t="s">
        <v>257</v>
      </c>
      <c r="I2606" s="5" t="str">
        <f t="shared" si="40"/>
        <v>2025-09</v>
      </c>
      <c r="J2606" s="4" t="s">
        <v>34</v>
      </c>
      <c r="K2606" s="5" t="s">
        <v>342</v>
      </c>
      <c r="L2606" s="2">
        <v>7558</v>
      </c>
      <c r="M2606" s="3">
        <v>-1</v>
      </c>
      <c r="N2606" s="2">
        <v>-7558</v>
      </c>
      <c r="O2606" s="2">
        <v>-756</v>
      </c>
      <c r="P2606" s="2">
        <v>-8314</v>
      </c>
      <c r="Q2606" s="2">
        <f>P2606*8.5%</f>
        <v>-706.69</v>
      </c>
    </row>
    <row r="2607" spans="1:17" hidden="1" x14ac:dyDescent="0.4">
      <c r="A2607" s="4" t="s">
        <v>42</v>
      </c>
      <c r="B2607" s="4" t="s">
        <v>14</v>
      </c>
      <c r="C2607" s="30" t="s">
        <v>434</v>
      </c>
      <c r="D2607" s="4" t="s">
        <v>43</v>
      </c>
      <c r="E2607" s="4" t="s">
        <v>44</v>
      </c>
      <c r="F2607" s="4" t="s">
        <v>31</v>
      </c>
      <c r="G2607" s="4" t="s">
        <v>18</v>
      </c>
      <c r="H2607" s="4" t="s">
        <v>257</v>
      </c>
      <c r="I2607" s="5" t="str">
        <f t="shared" si="40"/>
        <v>2025-09</v>
      </c>
      <c r="J2607" s="4" t="s">
        <v>34</v>
      </c>
      <c r="K2607" s="5" t="s">
        <v>342</v>
      </c>
      <c r="L2607" s="2">
        <v>7300</v>
      </c>
      <c r="M2607" s="3">
        <v>66.2</v>
      </c>
      <c r="N2607" s="2">
        <v>483260</v>
      </c>
      <c r="O2607" s="2">
        <v>0</v>
      </c>
      <c r="P2607" s="2">
        <v>483260</v>
      </c>
      <c r="Q2607" s="2">
        <f>P2607*8.5%</f>
        <v>41077.100000000006</v>
      </c>
    </row>
    <row r="2608" spans="1:17" hidden="1" x14ac:dyDescent="0.4">
      <c r="A2608" s="4" t="s">
        <v>32</v>
      </c>
      <c r="B2608" s="4" t="s">
        <v>14</v>
      </c>
      <c r="C2608" s="31" t="s">
        <v>435</v>
      </c>
      <c r="D2608" s="4" t="s">
        <v>33</v>
      </c>
      <c r="E2608" s="4" t="s">
        <v>16</v>
      </c>
      <c r="F2608" s="4" t="s">
        <v>17</v>
      </c>
      <c r="G2608" s="4" t="s">
        <v>18</v>
      </c>
      <c r="H2608" s="4" t="s">
        <v>257</v>
      </c>
      <c r="I2608" s="5" t="str">
        <f t="shared" si="40"/>
        <v>2025-09</v>
      </c>
      <c r="J2608" s="4" t="s">
        <v>59</v>
      </c>
      <c r="K2608" s="5" t="s">
        <v>343</v>
      </c>
      <c r="L2608" s="2">
        <v>44000</v>
      </c>
      <c r="M2608" s="3">
        <v>2</v>
      </c>
      <c r="N2608" s="2">
        <v>88000</v>
      </c>
      <c r="O2608" s="2">
        <v>8800</v>
      </c>
      <c r="P2608" s="2">
        <v>96800</v>
      </c>
      <c r="Q2608" s="2">
        <f>P2608*12%</f>
        <v>11616</v>
      </c>
    </row>
    <row r="2609" spans="1:17" hidden="1" x14ac:dyDescent="0.4">
      <c r="A2609" s="4" t="s">
        <v>13</v>
      </c>
      <c r="B2609" s="4" t="s">
        <v>14</v>
      </c>
      <c r="C2609" s="30" t="s">
        <v>434</v>
      </c>
      <c r="D2609" s="4" t="s">
        <v>15</v>
      </c>
      <c r="E2609" s="4" t="s">
        <v>16</v>
      </c>
      <c r="F2609" s="4" t="s">
        <v>17</v>
      </c>
      <c r="G2609" s="4" t="s">
        <v>18</v>
      </c>
      <c r="H2609" s="4" t="s">
        <v>257</v>
      </c>
      <c r="I2609" s="5" t="str">
        <f t="shared" si="40"/>
        <v>2025-09</v>
      </c>
      <c r="J2609" s="4" t="s">
        <v>59</v>
      </c>
      <c r="K2609" s="5" t="s">
        <v>343</v>
      </c>
      <c r="L2609" s="2">
        <v>42000</v>
      </c>
      <c r="M2609" s="3">
        <v>2</v>
      </c>
      <c r="N2609" s="2">
        <v>84000</v>
      </c>
      <c r="O2609" s="2">
        <v>8400</v>
      </c>
      <c r="P2609" s="2">
        <v>92400</v>
      </c>
      <c r="Q2609" s="2">
        <f>P2609*12%</f>
        <v>11088</v>
      </c>
    </row>
    <row r="2610" spans="1:17" hidden="1" x14ac:dyDescent="0.4">
      <c r="A2610" s="4" t="s">
        <v>23</v>
      </c>
      <c r="B2610" s="4" t="s">
        <v>14</v>
      </c>
      <c r="C2610" s="31" t="s">
        <v>435</v>
      </c>
      <c r="D2610" s="4" t="s">
        <v>24</v>
      </c>
      <c r="E2610" s="4" t="s">
        <v>16</v>
      </c>
      <c r="F2610" s="4" t="s">
        <v>17</v>
      </c>
      <c r="G2610" s="4" t="s">
        <v>18</v>
      </c>
      <c r="H2610" s="4" t="s">
        <v>257</v>
      </c>
      <c r="I2610" s="5" t="str">
        <f t="shared" si="40"/>
        <v>2025-09</v>
      </c>
      <c r="J2610" s="4" t="s">
        <v>59</v>
      </c>
      <c r="K2610" s="5" t="s">
        <v>343</v>
      </c>
      <c r="L2610" s="2">
        <v>55500</v>
      </c>
      <c r="M2610" s="3">
        <v>1</v>
      </c>
      <c r="N2610" s="2">
        <v>55500</v>
      </c>
      <c r="O2610" s="2">
        <v>5550</v>
      </c>
      <c r="P2610" s="2">
        <v>61050</v>
      </c>
      <c r="Q2610" s="2">
        <f>P2610*12%</f>
        <v>7326</v>
      </c>
    </row>
    <row r="2611" spans="1:17" hidden="1" x14ac:dyDescent="0.4">
      <c r="A2611" s="4" t="s">
        <v>112</v>
      </c>
      <c r="B2611" s="4" t="s">
        <v>26</v>
      </c>
      <c r="C2611" s="32" t="s">
        <v>436</v>
      </c>
      <c r="D2611" s="4" t="s">
        <v>113</v>
      </c>
      <c r="E2611" s="4" t="s">
        <v>28</v>
      </c>
      <c r="F2611" s="4" t="s">
        <v>17</v>
      </c>
      <c r="G2611" s="4" t="s">
        <v>18</v>
      </c>
      <c r="H2611" s="4" t="s">
        <v>257</v>
      </c>
      <c r="I2611" s="5" t="str">
        <f t="shared" si="40"/>
        <v>2025-09</v>
      </c>
      <c r="J2611" s="4" t="s">
        <v>59</v>
      </c>
      <c r="K2611" s="5" t="s">
        <v>343</v>
      </c>
      <c r="L2611" s="2">
        <v>375</v>
      </c>
      <c r="M2611" s="3">
        <v>20</v>
      </c>
      <c r="N2611" s="2">
        <v>7500</v>
      </c>
      <c r="O2611" s="2">
        <v>750</v>
      </c>
      <c r="P2611" s="2">
        <v>8250</v>
      </c>
      <c r="Q2611" s="2">
        <f>P2611*12%</f>
        <v>990</v>
      </c>
    </row>
    <row r="2612" spans="1:17" hidden="1" x14ac:dyDescent="0.4">
      <c r="A2612" s="4" t="s">
        <v>32</v>
      </c>
      <c r="B2612" s="4" t="s">
        <v>14</v>
      </c>
      <c r="C2612" s="31" t="s">
        <v>435</v>
      </c>
      <c r="D2612" s="4" t="s">
        <v>33</v>
      </c>
      <c r="E2612" s="4" t="s">
        <v>16</v>
      </c>
      <c r="F2612" s="4" t="s">
        <v>17</v>
      </c>
      <c r="G2612" s="4" t="s">
        <v>18</v>
      </c>
      <c r="H2612" s="4" t="s">
        <v>257</v>
      </c>
      <c r="I2612" s="5" t="str">
        <f t="shared" si="40"/>
        <v>2025-09</v>
      </c>
      <c r="J2612" s="4" t="s">
        <v>50</v>
      </c>
      <c r="K2612" s="5" t="s">
        <v>343</v>
      </c>
      <c r="L2612" s="2">
        <v>44000</v>
      </c>
      <c r="M2612" s="3">
        <v>2</v>
      </c>
      <c r="N2612" s="2">
        <v>88000</v>
      </c>
      <c r="O2612" s="2">
        <v>8800</v>
      </c>
      <c r="P2612" s="2">
        <v>96800</v>
      </c>
      <c r="Q2612" s="2">
        <f>P2612*12%</f>
        <v>11616</v>
      </c>
    </row>
    <row r="2613" spans="1:17" hidden="1" x14ac:dyDescent="0.4">
      <c r="A2613" s="4" t="s">
        <v>13</v>
      </c>
      <c r="B2613" s="4" t="s">
        <v>14</v>
      </c>
      <c r="C2613" s="30" t="s">
        <v>434</v>
      </c>
      <c r="D2613" s="4" t="s">
        <v>15</v>
      </c>
      <c r="E2613" s="4" t="s">
        <v>16</v>
      </c>
      <c r="F2613" s="4" t="s">
        <v>17</v>
      </c>
      <c r="G2613" s="4" t="s">
        <v>18</v>
      </c>
      <c r="H2613" s="4" t="s">
        <v>257</v>
      </c>
      <c r="I2613" s="5" t="str">
        <f t="shared" si="40"/>
        <v>2025-09</v>
      </c>
      <c r="J2613" s="4" t="s">
        <v>50</v>
      </c>
      <c r="K2613" s="5" t="s">
        <v>343</v>
      </c>
      <c r="L2613" s="2">
        <v>42000</v>
      </c>
      <c r="M2613" s="3">
        <v>10</v>
      </c>
      <c r="N2613" s="2">
        <v>420000</v>
      </c>
      <c r="O2613" s="2">
        <v>42000</v>
      </c>
      <c r="P2613" s="2">
        <v>462000</v>
      </c>
      <c r="Q2613" s="2">
        <f>P2613*12%</f>
        <v>55440</v>
      </c>
    </row>
    <row r="2614" spans="1:17" hidden="1" x14ac:dyDescent="0.4">
      <c r="A2614" s="4" t="s">
        <v>23</v>
      </c>
      <c r="B2614" s="4" t="s">
        <v>14</v>
      </c>
      <c r="C2614" s="31" t="s">
        <v>435</v>
      </c>
      <c r="D2614" s="4" t="s">
        <v>24</v>
      </c>
      <c r="E2614" s="4" t="s">
        <v>16</v>
      </c>
      <c r="F2614" s="4" t="s">
        <v>17</v>
      </c>
      <c r="G2614" s="4" t="s">
        <v>18</v>
      </c>
      <c r="H2614" s="4" t="s">
        <v>257</v>
      </c>
      <c r="I2614" s="5" t="str">
        <f t="shared" si="40"/>
        <v>2025-09</v>
      </c>
      <c r="J2614" s="4" t="s">
        <v>50</v>
      </c>
      <c r="K2614" s="5" t="s">
        <v>343</v>
      </c>
      <c r="L2614" s="2">
        <v>55500</v>
      </c>
      <c r="M2614" s="3">
        <v>3</v>
      </c>
      <c r="N2614" s="2">
        <v>166500</v>
      </c>
      <c r="O2614" s="2">
        <v>16650</v>
      </c>
      <c r="P2614" s="2">
        <v>183150</v>
      </c>
      <c r="Q2614" s="2">
        <f>P2614*12%</f>
        <v>21978</v>
      </c>
    </row>
    <row r="2615" spans="1:17" hidden="1" x14ac:dyDescent="0.4">
      <c r="A2615" s="4" t="s">
        <v>51</v>
      </c>
      <c r="B2615" s="4" t="s">
        <v>14</v>
      </c>
      <c r="C2615" s="30" t="s">
        <v>434</v>
      </c>
      <c r="D2615" s="4" t="s">
        <v>52</v>
      </c>
      <c r="E2615" s="4" t="s">
        <v>16</v>
      </c>
      <c r="F2615" s="4" t="s">
        <v>17</v>
      </c>
      <c r="G2615" s="4" t="s">
        <v>18</v>
      </c>
      <c r="H2615" s="4" t="s">
        <v>257</v>
      </c>
      <c r="I2615" s="5" t="str">
        <f t="shared" si="40"/>
        <v>2025-09</v>
      </c>
      <c r="J2615" s="4" t="s">
        <v>50</v>
      </c>
      <c r="K2615" s="5" t="s">
        <v>343</v>
      </c>
      <c r="L2615" s="2">
        <v>73000</v>
      </c>
      <c r="M2615" s="3">
        <v>2</v>
      </c>
      <c r="N2615" s="2">
        <v>146000</v>
      </c>
      <c r="O2615" s="2">
        <v>14600</v>
      </c>
      <c r="P2615" s="2">
        <v>160600</v>
      </c>
      <c r="Q2615" s="2">
        <f>P2615*12%</f>
        <v>19272</v>
      </c>
    </row>
    <row r="2616" spans="1:17" x14ac:dyDescent="0.4">
      <c r="A2616" s="4" t="s">
        <v>13</v>
      </c>
      <c r="B2616" s="4" t="s">
        <v>14</v>
      </c>
      <c r="C2616" s="30" t="s">
        <v>434</v>
      </c>
      <c r="D2616" s="4" t="s">
        <v>15</v>
      </c>
      <c r="E2616" s="4" t="s">
        <v>16</v>
      </c>
      <c r="F2616" s="4" t="s">
        <v>17</v>
      </c>
      <c r="G2616" s="4" t="s">
        <v>18</v>
      </c>
      <c r="H2616" s="4" t="s">
        <v>258</v>
      </c>
      <c r="I2616" s="5" t="str">
        <f t="shared" si="40"/>
        <v>2025-09</v>
      </c>
      <c r="J2616" s="4" t="s">
        <v>20</v>
      </c>
      <c r="K2616" s="5" t="s">
        <v>342</v>
      </c>
      <c r="L2616" s="2">
        <v>42000</v>
      </c>
      <c r="M2616" s="3">
        <v>1</v>
      </c>
      <c r="N2616" s="2">
        <v>42000</v>
      </c>
      <c r="O2616" s="2">
        <v>4200</v>
      </c>
      <c r="P2616" s="2">
        <v>46200</v>
      </c>
      <c r="Q2616" s="2">
        <f>P2616*8.5%</f>
        <v>3927.0000000000005</v>
      </c>
    </row>
    <row r="2617" spans="1:17" x14ac:dyDescent="0.4">
      <c r="A2617" s="4" t="s">
        <v>21</v>
      </c>
      <c r="B2617" s="4" t="s">
        <v>14</v>
      </c>
      <c r="C2617" s="31" t="s">
        <v>435</v>
      </c>
      <c r="D2617" s="4" t="s">
        <v>22</v>
      </c>
      <c r="E2617" s="4" t="s">
        <v>16</v>
      </c>
      <c r="F2617" s="4" t="s">
        <v>17</v>
      </c>
      <c r="G2617" s="4" t="s">
        <v>18</v>
      </c>
      <c r="H2617" s="4" t="s">
        <v>258</v>
      </c>
      <c r="I2617" s="5" t="str">
        <f t="shared" si="40"/>
        <v>2025-09</v>
      </c>
      <c r="J2617" s="4" t="s">
        <v>20</v>
      </c>
      <c r="K2617" s="5" t="s">
        <v>342</v>
      </c>
      <c r="L2617" s="2">
        <v>55500</v>
      </c>
      <c r="M2617" s="3">
        <v>1</v>
      </c>
      <c r="N2617" s="2">
        <v>55500</v>
      </c>
      <c r="O2617" s="2">
        <v>5550</v>
      </c>
      <c r="P2617" s="2">
        <v>61050</v>
      </c>
      <c r="Q2617" s="2">
        <f>P2617*8.5%</f>
        <v>5189.25</v>
      </c>
    </row>
    <row r="2618" spans="1:17" x14ac:dyDescent="0.4">
      <c r="A2618" s="4" t="s">
        <v>23</v>
      </c>
      <c r="B2618" s="4" t="s">
        <v>14</v>
      </c>
      <c r="C2618" s="31" t="s">
        <v>435</v>
      </c>
      <c r="D2618" s="4" t="s">
        <v>24</v>
      </c>
      <c r="E2618" s="4" t="s">
        <v>16</v>
      </c>
      <c r="F2618" s="4" t="s">
        <v>17</v>
      </c>
      <c r="G2618" s="4" t="s">
        <v>18</v>
      </c>
      <c r="H2618" s="4" t="s">
        <v>258</v>
      </c>
      <c r="I2618" s="5" t="str">
        <f t="shared" si="40"/>
        <v>2025-09</v>
      </c>
      <c r="J2618" s="4" t="s">
        <v>20</v>
      </c>
      <c r="K2618" s="5" t="s">
        <v>342</v>
      </c>
      <c r="L2618" s="2">
        <v>55500</v>
      </c>
      <c r="M2618" s="3">
        <v>3</v>
      </c>
      <c r="N2618" s="2">
        <v>166500</v>
      </c>
      <c r="O2618" s="2">
        <v>16650</v>
      </c>
      <c r="P2618" s="2">
        <v>183150</v>
      </c>
      <c r="Q2618" s="2">
        <f>P2618*8.5%</f>
        <v>15567.750000000002</v>
      </c>
    </row>
    <row r="2619" spans="1:17" x14ac:dyDescent="0.4">
      <c r="A2619" s="4" t="s">
        <v>51</v>
      </c>
      <c r="B2619" s="4" t="s">
        <v>14</v>
      </c>
      <c r="C2619" s="30" t="s">
        <v>434</v>
      </c>
      <c r="D2619" s="4" t="s">
        <v>52</v>
      </c>
      <c r="E2619" s="4" t="s">
        <v>16</v>
      </c>
      <c r="F2619" s="4" t="s">
        <v>17</v>
      </c>
      <c r="G2619" s="4" t="s">
        <v>18</v>
      </c>
      <c r="H2619" s="4" t="s">
        <v>258</v>
      </c>
      <c r="I2619" s="5" t="str">
        <f t="shared" si="40"/>
        <v>2025-09</v>
      </c>
      <c r="J2619" s="4" t="s">
        <v>20</v>
      </c>
      <c r="K2619" s="5" t="s">
        <v>342</v>
      </c>
      <c r="L2619" s="2">
        <v>73000</v>
      </c>
      <c r="M2619" s="3">
        <v>1</v>
      </c>
      <c r="N2619" s="2">
        <v>73000</v>
      </c>
      <c r="O2619" s="2">
        <v>7300</v>
      </c>
      <c r="P2619" s="2">
        <v>80300</v>
      </c>
      <c r="Q2619" s="2">
        <f>P2619*8.5%</f>
        <v>6825.5000000000009</v>
      </c>
    </row>
    <row r="2620" spans="1:17" hidden="1" x14ac:dyDescent="0.4">
      <c r="A2620" s="4" t="s">
        <v>32</v>
      </c>
      <c r="B2620" s="4" t="s">
        <v>14</v>
      </c>
      <c r="C2620" s="31" t="s">
        <v>435</v>
      </c>
      <c r="D2620" s="4" t="s">
        <v>33</v>
      </c>
      <c r="E2620" s="4" t="s">
        <v>16</v>
      </c>
      <c r="F2620" s="4" t="s">
        <v>17</v>
      </c>
      <c r="G2620" s="4" t="s">
        <v>18</v>
      </c>
      <c r="H2620" s="4" t="s">
        <v>258</v>
      </c>
      <c r="I2620" s="5" t="str">
        <f t="shared" si="40"/>
        <v>2025-09</v>
      </c>
      <c r="J2620" s="4" t="s">
        <v>118</v>
      </c>
      <c r="K2620" s="5" t="s">
        <v>342</v>
      </c>
      <c r="L2620" s="2">
        <v>44000</v>
      </c>
      <c r="M2620" s="3">
        <v>1</v>
      </c>
      <c r="N2620" s="2">
        <v>44000</v>
      </c>
      <c r="O2620" s="2">
        <v>4400</v>
      </c>
      <c r="P2620" s="2">
        <v>48400</v>
      </c>
      <c r="Q2620" s="2">
        <f>P2620*8.5%</f>
        <v>4114</v>
      </c>
    </row>
    <row r="2621" spans="1:17" hidden="1" x14ac:dyDescent="0.4">
      <c r="A2621" s="4" t="s">
        <v>13</v>
      </c>
      <c r="B2621" s="4" t="s">
        <v>14</v>
      </c>
      <c r="C2621" s="30" t="s">
        <v>434</v>
      </c>
      <c r="D2621" s="4" t="s">
        <v>15</v>
      </c>
      <c r="E2621" s="4" t="s">
        <v>16</v>
      </c>
      <c r="F2621" s="4" t="s">
        <v>17</v>
      </c>
      <c r="G2621" s="4" t="s">
        <v>18</v>
      </c>
      <c r="H2621" s="4" t="s">
        <v>258</v>
      </c>
      <c r="I2621" s="5" t="str">
        <f t="shared" si="40"/>
        <v>2025-09</v>
      </c>
      <c r="J2621" s="4" t="s">
        <v>118</v>
      </c>
      <c r="K2621" s="5" t="s">
        <v>342</v>
      </c>
      <c r="L2621" s="2">
        <v>42000</v>
      </c>
      <c r="M2621" s="3">
        <v>4</v>
      </c>
      <c r="N2621" s="2">
        <v>168000</v>
      </c>
      <c r="O2621" s="2">
        <v>16800</v>
      </c>
      <c r="P2621" s="2">
        <v>184800</v>
      </c>
      <c r="Q2621" s="2">
        <f>P2621*8.5%</f>
        <v>15708.000000000002</v>
      </c>
    </row>
    <row r="2622" spans="1:17" hidden="1" x14ac:dyDescent="0.4">
      <c r="A2622" s="4" t="s">
        <v>23</v>
      </c>
      <c r="B2622" s="4" t="s">
        <v>14</v>
      </c>
      <c r="C2622" s="31" t="s">
        <v>435</v>
      </c>
      <c r="D2622" s="4" t="s">
        <v>24</v>
      </c>
      <c r="E2622" s="4" t="s">
        <v>16</v>
      </c>
      <c r="F2622" s="4" t="s">
        <v>17</v>
      </c>
      <c r="G2622" s="4" t="s">
        <v>18</v>
      </c>
      <c r="H2622" s="4" t="s">
        <v>258</v>
      </c>
      <c r="I2622" s="5" t="str">
        <f t="shared" si="40"/>
        <v>2025-09</v>
      </c>
      <c r="J2622" s="4" t="s">
        <v>118</v>
      </c>
      <c r="K2622" s="5" t="s">
        <v>342</v>
      </c>
      <c r="L2622" s="2">
        <v>55500</v>
      </c>
      <c r="M2622" s="3">
        <v>1</v>
      </c>
      <c r="N2622" s="2">
        <v>55500</v>
      </c>
      <c r="O2622" s="2">
        <v>5550</v>
      </c>
      <c r="P2622" s="2">
        <v>61050</v>
      </c>
      <c r="Q2622" s="2">
        <f>P2622*8.5%</f>
        <v>5189.25</v>
      </c>
    </row>
    <row r="2623" spans="1:17" hidden="1" x14ac:dyDescent="0.4">
      <c r="A2623" s="4" t="s">
        <v>51</v>
      </c>
      <c r="B2623" s="4" t="s">
        <v>14</v>
      </c>
      <c r="C2623" s="30" t="s">
        <v>434</v>
      </c>
      <c r="D2623" s="4" t="s">
        <v>52</v>
      </c>
      <c r="E2623" s="4" t="s">
        <v>16</v>
      </c>
      <c r="F2623" s="4" t="s">
        <v>17</v>
      </c>
      <c r="G2623" s="4" t="s">
        <v>18</v>
      </c>
      <c r="H2623" s="4" t="s">
        <v>258</v>
      </c>
      <c r="I2623" s="5" t="str">
        <f t="shared" si="40"/>
        <v>2025-09</v>
      </c>
      <c r="J2623" s="4" t="s">
        <v>118</v>
      </c>
      <c r="K2623" s="5" t="s">
        <v>342</v>
      </c>
      <c r="L2623" s="2">
        <v>73000</v>
      </c>
      <c r="M2623" s="3">
        <v>1</v>
      </c>
      <c r="N2623" s="2">
        <v>73000</v>
      </c>
      <c r="O2623" s="2">
        <v>7300</v>
      </c>
      <c r="P2623" s="2">
        <v>80300</v>
      </c>
      <c r="Q2623" s="2">
        <f>P2623*8.5%</f>
        <v>6825.5000000000009</v>
      </c>
    </row>
    <row r="2624" spans="1:17" hidden="1" x14ac:dyDescent="0.4">
      <c r="A2624" s="4" t="s">
        <v>64</v>
      </c>
      <c r="B2624" s="4" t="s">
        <v>65</v>
      </c>
      <c r="C2624" s="32" t="s">
        <v>436</v>
      </c>
      <c r="D2624" s="4" t="s">
        <v>66</v>
      </c>
      <c r="E2624" s="4" t="s">
        <v>16</v>
      </c>
      <c r="F2624" s="4" t="s">
        <v>17</v>
      </c>
      <c r="G2624" s="4" t="s">
        <v>18</v>
      </c>
      <c r="H2624" s="4" t="s">
        <v>258</v>
      </c>
      <c r="I2624" s="5" t="str">
        <f t="shared" si="40"/>
        <v>2025-09</v>
      </c>
      <c r="J2624" s="4" t="s">
        <v>34</v>
      </c>
      <c r="K2624" s="5" t="s">
        <v>342</v>
      </c>
      <c r="L2624" s="2">
        <v>10283</v>
      </c>
      <c r="M2624" s="3">
        <v>1</v>
      </c>
      <c r="N2624" s="2">
        <v>10283</v>
      </c>
      <c r="O2624" s="2">
        <v>1028</v>
      </c>
      <c r="P2624" s="2">
        <v>11311</v>
      </c>
      <c r="Q2624" s="2">
        <f>P2624*8.5%</f>
        <v>961.43500000000006</v>
      </c>
    </row>
    <row r="2625" spans="1:17" hidden="1" x14ac:dyDescent="0.4">
      <c r="A2625" s="4" t="s">
        <v>32</v>
      </c>
      <c r="B2625" s="4" t="s">
        <v>14</v>
      </c>
      <c r="C2625" s="31" t="s">
        <v>435</v>
      </c>
      <c r="D2625" s="4" t="s">
        <v>33</v>
      </c>
      <c r="E2625" s="4" t="s">
        <v>16</v>
      </c>
      <c r="F2625" s="4" t="s">
        <v>17</v>
      </c>
      <c r="G2625" s="4" t="s">
        <v>18</v>
      </c>
      <c r="H2625" s="4" t="s">
        <v>258</v>
      </c>
      <c r="I2625" s="5" t="str">
        <f t="shared" si="40"/>
        <v>2025-09</v>
      </c>
      <c r="J2625" s="4" t="s">
        <v>34</v>
      </c>
      <c r="K2625" s="5" t="s">
        <v>342</v>
      </c>
      <c r="L2625" s="2">
        <v>44000</v>
      </c>
      <c r="M2625" s="3">
        <v>3</v>
      </c>
      <c r="N2625" s="2">
        <v>132000</v>
      </c>
      <c r="O2625" s="2">
        <v>13200</v>
      </c>
      <c r="P2625" s="2">
        <v>145200</v>
      </c>
      <c r="Q2625" s="2">
        <f>P2625*8.5%</f>
        <v>12342</v>
      </c>
    </row>
    <row r="2626" spans="1:17" hidden="1" x14ac:dyDescent="0.4">
      <c r="A2626" s="4" t="s">
        <v>58</v>
      </c>
      <c r="B2626" s="4" t="s">
        <v>14</v>
      </c>
      <c r="C2626" s="30" t="s">
        <v>434</v>
      </c>
      <c r="D2626" s="4" t="s">
        <v>36</v>
      </c>
      <c r="E2626" s="4" t="s">
        <v>16</v>
      </c>
      <c r="F2626" s="4" t="s">
        <v>17</v>
      </c>
      <c r="G2626" s="4" t="s">
        <v>18</v>
      </c>
      <c r="H2626" s="4" t="s">
        <v>258</v>
      </c>
      <c r="I2626" s="5" t="str">
        <f t="shared" ref="I2626:I2689" si="41">TEXT(H2626,"yyyy-mm")</f>
        <v>2025-09</v>
      </c>
      <c r="J2626" s="4" t="s">
        <v>34</v>
      </c>
      <c r="K2626" s="5" t="s">
        <v>342</v>
      </c>
      <c r="L2626" s="2">
        <v>120880</v>
      </c>
      <c r="M2626" s="3">
        <v>1</v>
      </c>
      <c r="N2626" s="2">
        <v>120880</v>
      </c>
      <c r="O2626" s="2">
        <v>12088</v>
      </c>
      <c r="P2626" s="2">
        <v>132968</v>
      </c>
      <c r="Q2626" s="2">
        <f>P2626*8.5%</f>
        <v>11302.28</v>
      </c>
    </row>
    <row r="2627" spans="1:17" hidden="1" x14ac:dyDescent="0.4">
      <c r="A2627" s="4" t="s">
        <v>13</v>
      </c>
      <c r="B2627" s="4" t="s">
        <v>14</v>
      </c>
      <c r="C2627" s="30" t="s">
        <v>434</v>
      </c>
      <c r="D2627" s="4" t="s">
        <v>15</v>
      </c>
      <c r="E2627" s="4" t="s">
        <v>16</v>
      </c>
      <c r="F2627" s="4" t="s">
        <v>17</v>
      </c>
      <c r="G2627" s="4" t="s">
        <v>18</v>
      </c>
      <c r="H2627" s="4" t="s">
        <v>258</v>
      </c>
      <c r="I2627" s="5" t="str">
        <f t="shared" si="41"/>
        <v>2025-09</v>
      </c>
      <c r="J2627" s="4" t="s">
        <v>34</v>
      </c>
      <c r="K2627" s="5" t="s">
        <v>342</v>
      </c>
      <c r="L2627" s="2">
        <v>42000</v>
      </c>
      <c r="M2627" s="3">
        <v>4</v>
      </c>
      <c r="N2627" s="2">
        <v>168000</v>
      </c>
      <c r="O2627" s="2">
        <v>16800</v>
      </c>
      <c r="P2627" s="2">
        <v>184800</v>
      </c>
      <c r="Q2627" s="2">
        <f>P2627*8.5%</f>
        <v>15708.000000000002</v>
      </c>
    </row>
    <row r="2628" spans="1:17" hidden="1" x14ac:dyDescent="0.4">
      <c r="A2628" s="4" t="s">
        <v>21</v>
      </c>
      <c r="B2628" s="4" t="s">
        <v>14</v>
      </c>
      <c r="C2628" s="31" t="s">
        <v>435</v>
      </c>
      <c r="D2628" s="4" t="s">
        <v>22</v>
      </c>
      <c r="E2628" s="4" t="s">
        <v>16</v>
      </c>
      <c r="F2628" s="4" t="s">
        <v>17</v>
      </c>
      <c r="G2628" s="4" t="s">
        <v>18</v>
      </c>
      <c r="H2628" s="4" t="s">
        <v>258</v>
      </c>
      <c r="I2628" s="5" t="str">
        <f t="shared" si="41"/>
        <v>2025-09</v>
      </c>
      <c r="J2628" s="4" t="s">
        <v>34</v>
      </c>
      <c r="K2628" s="5" t="s">
        <v>342</v>
      </c>
      <c r="L2628" s="2">
        <v>55500</v>
      </c>
      <c r="M2628" s="3">
        <v>2</v>
      </c>
      <c r="N2628" s="2">
        <v>111000</v>
      </c>
      <c r="O2628" s="2">
        <v>11100</v>
      </c>
      <c r="P2628" s="2">
        <v>122100</v>
      </c>
      <c r="Q2628" s="2">
        <f>P2628*8.5%</f>
        <v>10378.5</v>
      </c>
    </row>
    <row r="2629" spans="1:17" hidden="1" x14ac:dyDescent="0.4">
      <c r="A2629" s="4" t="s">
        <v>23</v>
      </c>
      <c r="B2629" s="4" t="s">
        <v>14</v>
      </c>
      <c r="C2629" s="31" t="s">
        <v>435</v>
      </c>
      <c r="D2629" s="4" t="s">
        <v>24</v>
      </c>
      <c r="E2629" s="4" t="s">
        <v>16</v>
      </c>
      <c r="F2629" s="4" t="s">
        <v>17</v>
      </c>
      <c r="G2629" s="4" t="s">
        <v>18</v>
      </c>
      <c r="H2629" s="4" t="s">
        <v>258</v>
      </c>
      <c r="I2629" s="5" t="str">
        <f t="shared" si="41"/>
        <v>2025-09</v>
      </c>
      <c r="J2629" s="4" t="s">
        <v>34</v>
      </c>
      <c r="K2629" s="5" t="s">
        <v>342</v>
      </c>
      <c r="L2629" s="2">
        <v>55500</v>
      </c>
      <c r="M2629" s="3">
        <v>4</v>
      </c>
      <c r="N2629" s="2">
        <v>222000</v>
      </c>
      <c r="O2629" s="2">
        <v>22200</v>
      </c>
      <c r="P2629" s="2">
        <v>244200</v>
      </c>
      <c r="Q2629" s="2">
        <f>P2629*8.5%</f>
        <v>20757</v>
      </c>
    </row>
    <row r="2630" spans="1:17" hidden="1" x14ac:dyDescent="0.4">
      <c r="A2630" s="4" t="s">
        <v>51</v>
      </c>
      <c r="B2630" s="4" t="s">
        <v>14</v>
      </c>
      <c r="C2630" s="30" t="s">
        <v>434</v>
      </c>
      <c r="D2630" s="4" t="s">
        <v>52</v>
      </c>
      <c r="E2630" s="4" t="s">
        <v>16</v>
      </c>
      <c r="F2630" s="4" t="s">
        <v>17</v>
      </c>
      <c r="G2630" s="4" t="s">
        <v>18</v>
      </c>
      <c r="H2630" s="4" t="s">
        <v>258</v>
      </c>
      <c r="I2630" s="5" t="str">
        <f t="shared" si="41"/>
        <v>2025-09</v>
      </c>
      <c r="J2630" s="4" t="s">
        <v>34</v>
      </c>
      <c r="K2630" s="5" t="s">
        <v>342</v>
      </c>
      <c r="L2630" s="2">
        <v>73000</v>
      </c>
      <c r="M2630" s="3">
        <v>1</v>
      </c>
      <c r="N2630" s="2">
        <v>73000</v>
      </c>
      <c r="O2630" s="2">
        <v>7300</v>
      </c>
      <c r="P2630" s="2">
        <v>80300</v>
      </c>
      <c r="Q2630" s="2">
        <f>P2630*8.5%</f>
        <v>6825.5000000000009</v>
      </c>
    </row>
    <row r="2631" spans="1:17" hidden="1" x14ac:dyDescent="0.4">
      <c r="A2631" s="4" t="s">
        <v>67</v>
      </c>
      <c r="B2631" s="4" t="s">
        <v>26</v>
      </c>
      <c r="C2631" s="32" t="s">
        <v>436</v>
      </c>
      <c r="D2631" s="4" t="s">
        <v>63</v>
      </c>
      <c r="E2631" s="4" t="s">
        <v>28</v>
      </c>
      <c r="F2631" s="4" t="s">
        <v>17</v>
      </c>
      <c r="G2631" s="4" t="s">
        <v>18</v>
      </c>
      <c r="H2631" s="4" t="s">
        <v>258</v>
      </c>
      <c r="I2631" s="5" t="str">
        <f t="shared" si="41"/>
        <v>2025-09</v>
      </c>
      <c r="J2631" s="4" t="s">
        <v>34</v>
      </c>
      <c r="K2631" s="5" t="s">
        <v>342</v>
      </c>
      <c r="L2631" s="2">
        <v>7558</v>
      </c>
      <c r="M2631" s="3">
        <v>1</v>
      </c>
      <c r="N2631" s="2">
        <v>7558</v>
      </c>
      <c r="O2631" s="2">
        <v>756</v>
      </c>
      <c r="P2631" s="2">
        <v>8314</v>
      </c>
      <c r="Q2631" s="2">
        <f>P2631*8.5%</f>
        <v>706.69</v>
      </c>
    </row>
    <row r="2632" spans="1:17" hidden="1" x14ac:dyDescent="0.4">
      <c r="A2632" s="4" t="s">
        <v>37</v>
      </c>
      <c r="B2632" s="4" t="s">
        <v>26</v>
      </c>
      <c r="C2632" s="32" t="s">
        <v>436</v>
      </c>
      <c r="D2632" s="4" t="s">
        <v>38</v>
      </c>
      <c r="E2632" s="4" t="s">
        <v>28</v>
      </c>
      <c r="F2632" s="4" t="s">
        <v>17</v>
      </c>
      <c r="G2632" s="4" t="s">
        <v>18</v>
      </c>
      <c r="H2632" s="4" t="s">
        <v>258</v>
      </c>
      <c r="I2632" s="5" t="str">
        <f t="shared" si="41"/>
        <v>2025-09</v>
      </c>
      <c r="J2632" s="4" t="s">
        <v>34</v>
      </c>
      <c r="K2632" s="5" t="s">
        <v>342</v>
      </c>
      <c r="L2632" s="2">
        <v>395</v>
      </c>
      <c r="M2632" s="3">
        <v>20</v>
      </c>
      <c r="N2632" s="2">
        <v>7900</v>
      </c>
      <c r="O2632" s="2">
        <v>790</v>
      </c>
      <c r="P2632" s="2">
        <v>8690</v>
      </c>
      <c r="Q2632" s="2">
        <f>P2632*8.5%</f>
        <v>738.65000000000009</v>
      </c>
    </row>
    <row r="2633" spans="1:17" hidden="1" x14ac:dyDescent="0.4">
      <c r="A2633" s="4" t="s">
        <v>40</v>
      </c>
      <c r="B2633" s="4" t="s">
        <v>26</v>
      </c>
      <c r="C2633" s="32" t="s">
        <v>436</v>
      </c>
      <c r="D2633" s="4" t="s">
        <v>41</v>
      </c>
      <c r="E2633" s="4" t="s">
        <v>28</v>
      </c>
      <c r="F2633" s="4" t="s">
        <v>17</v>
      </c>
      <c r="G2633" s="4" t="s">
        <v>18</v>
      </c>
      <c r="H2633" s="4" t="s">
        <v>258</v>
      </c>
      <c r="I2633" s="5" t="str">
        <f t="shared" si="41"/>
        <v>2025-09</v>
      </c>
      <c r="J2633" s="4" t="s">
        <v>34</v>
      </c>
      <c r="K2633" s="5" t="s">
        <v>342</v>
      </c>
      <c r="L2633" s="2">
        <v>17936</v>
      </c>
      <c r="M2633" s="3">
        <v>2</v>
      </c>
      <c r="N2633" s="2">
        <v>35872</v>
      </c>
      <c r="O2633" s="2">
        <v>3587</v>
      </c>
      <c r="P2633" s="2">
        <v>39459</v>
      </c>
      <c r="Q2633" s="2">
        <f>P2633*8.5%</f>
        <v>3354.0150000000003</v>
      </c>
    </row>
    <row r="2634" spans="1:17" hidden="1" x14ac:dyDescent="0.4">
      <c r="A2634" s="4" t="s">
        <v>42</v>
      </c>
      <c r="B2634" s="4" t="s">
        <v>14</v>
      </c>
      <c r="C2634" s="30" t="s">
        <v>434</v>
      </c>
      <c r="D2634" s="4" t="s">
        <v>43</v>
      </c>
      <c r="E2634" s="4" t="s">
        <v>44</v>
      </c>
      <c r="F2634" s="4" t="s">
        <v>31</v>
      </c>
      <c r="G2634" s="4" t="s">
        <v>18</v>
      </c>
      <c r="H2634" s="4" t="s">
        <v>258</v>
      </c>
      <c r="I2634" s="5" t="str">
        <f t="shared" si="41"/>
        <v>2025-09</v>
      </c>
      <c r="J2634" s="4" t="s">
        <v>34</v>
      </c>
      <c r="K2634" s="5" t="s">
        <v>342</v>
      </c>
      <c r="L2634" s="2">
        <v>7300</v>
      </c>
      <c r="M2634" s="3">
        <v>46.9</v>
      </c>
      <c r="N2634" s="2">
        <v>342370</v>
      </c>
      <c r="O2634" s="2">
        <v>0</v>
      </c>
      <c r="P2634" s="2">
        <v>342370</v>
      </c>
      <c r="Q2634" s="2">
        <f>P2634*8.5%</f>
        <v>29101.45</v>
      </c>
    </row>
    <row r="2635" spans="1:17" hidden="1" x14ac:dyDescent="0.4">
      <c r="A2635" s="4" t="s">
        <v>13</v>
      </c>
      <c r="B2635" s="4" t="s">
        <v>14</v>
      </c>
      <c r="C2635" s="30" t="s">
        <v>434</v>
      </c>
      <c r="D2635" s="4" t="s">
        <v>15</v>
      </c>
      <c r="E2635" s="4" t="s">
        <v>16</v>
      </c>
      <c r="F2635" s="4" t="s">
        <v>17</v>
      </c>
      <c r="G2635" s="4" t="s">
        <v>18</v>
      </c>
      <c r="H2635" s="4" t="s">
        <v>258</v>
      </c>
      <c r="I2635" s="5" t="str">
        <f t="shared" si="41"/>
        <v>2025-09</v>
      </c>
      <c r="J2635" s="4" t="s">
        <v>59</v>
      </c>
      <c r="K2635" s="5" t="s">
        <v>343</v>
      </c>
      <c r="L2635" s="2">
        <v>42000</v>
      </c>
      <c r="M2635" s="3">
        <v>4</v>
      </c>
      <c r="N2635" s="2">
        <v>168000</v>
      </c>
      <c r="O2635" s="2">
        <v>16800</v>
      </c>
      <c r="P2635" s="2">
        <v>184800</v>
      </c>
      <c r="Q2635" s="2">
        <f>P2635*12%</f>
        <v>22176</v>
      </c>
    </row>
    <row r="2636" spans="1:17" hidden="1" x14ac:dyDescent="0.4">
      <c r="A2636" s="4" t="s">
        <v>35</v>
      </c>
      <c r="B2636" s="4" t="s">
        <v>14</v>
      </c>
      <c r="C2636" s="30" t="s">
        <v>434</v>
      </c>
      <c r="D2636" s="4" t="s">
        <v>36</v>
      </c>
      <c r="E2636" s="4" t="s">
        <v>16</v>
      </c>
      <c r="F2636" s="4" t="s">
        <v>17</v>
      </c>
      <c r="G2636" s="4" t="s">
        <v>18</v>
      </c>
      <c r="H2636" s="4" t="s">
        <v>258</v>
      </c>
      <c r="I2636" s="5" t="str">
        <f t="shared" si="41"/>
        <v>2025-09</v>
      </c>
      <c r="J2636" s="4" t="s">
        <v>59</v>
      </c>
      <c r="K2636" s="5" t="s">
        <v>343</v>
      </c>
      <c r="L2636" s="2">
        <v>116220</v>
      </c>
      <c r="M2636" s="3">
        <v>1</v>
      </c>
      <c r="N2636" s="2">
        <v>116220</v>
      </c>
      <c r="O2636" s="2">
        <v>11622</v>
      </c>
      <c r="P2636" s="2">
        <v>127842</v>
      </c>
      <c r="Q2636" s="2">
        <f>P2636*12%</f>
        <v>15341.039999999999</v>
      </c>
    </row>
    <row r="2637" spans="1:17" hidden="1" x14ac:dyDescent="0.4">
      <c r="A2637" s="4" t="s">
        <v>23</v>
      </c>
      <c r="B2637" s="4" t="s">
        <v>14</v>
      </c>
      <c r="C2637" s="31" t="s">
        <v>435</v>
      </c>
      <c r="D2637" s="4" t="s">
        <v>24</v>
      </c>
      <c r="E2637" s="4" t="s">
        <v>16</v>
      </c>
      <c r="F2637" s="4" t="s">
        <v>17</v>
      </c>
      <c r="G2637" s="4" t="s">
        <v>18</v>
      </c>
      <c r="H2637" s="4" t="s">
        <v>258</v>
      </c>
      <c r="I2637" s="5" t="str">
        <f t="shared" si="41"/>
        <v>2025-09</v>
      </c>
      <c r="J2637" s="4" t="s">
        <v>59</v>
      </c>
      <c r="K2637" s="5" t="s">
        <v>343</v>
      </c>
      <c r="L2637" s="2">
        <v>55500</v>
      </c>
      <c r="M2637" s="3">
        <v>2</v>
      </c>
      <c r="N2637" s="2">
        <v>111000</v>
      </c>
      <c r="O2637" s="2">
        <v>11100</v>
      </c>
      <c r="P2637" s="2">
        <v>122100</v>
      </c>
      <c r="Q2637" s="2">
        <f>P2637*12%</f>
        <v>14652</v>
      </c>
    </row>
    <row r="2638" spans="1:17" hidden="1" x14ac:dyDescent="0.4">
      <c r="A2638" s="4" t="s">
        <v>51</v>
      </c>
      <c r="B2638" s="4" t="s">
        <v>14</v>
      </c>
      <c r="C2638" s="30" t="s">
        <v>434</v>
      </c>
      <c r="D2638" s="4" t="s">
        <v>52</v>
      </c>
      <c r="E2638" s="4" t="s">
        <v>16</v>
      </c>
      <c r="F2638" s="4" t="s">
        <v>17</v>
      </c>
      <c r="G2638" s="4" t="s">
        <v>18</v>
      </c>
      <c r="H2638" s="4" t="s">
        <v>258</v>
      </c>
      <c r="I2638" s="5" t="str">
        <f t="shared" si="41"/>
        <v>2025-09</v>
      </c>
      <c r="J2638" s="4" t="s">
        <v>59</v>
      </c>
      <c r="K2638" s="5" t="s">
        <v>343</v>
      </c>
      <c r="L2638" s="2">
        <v>73000</v>
      </c>
      <c r="M2638" s="3">
        <v>1</v>
      </c>
      <c r="N2638" s="2">
        <v>73000</v>
      </c>
      <c r="O2638" s="2">
        <v>7300</v>
      </c>
      <c r="P2638" s="2">
        <v>80300</v>
      </c>
      <c r="Q2638" s="2">
        <f>P2638*12%</f>
        <v>9636</v>
      </c>
    </row>
    <row r="2639" spans="1:17" hidden="1" x14ac:dyDescent="0.4">
      <c r="A2639" s="4" t="s">
        <v>32</v>
      </c>
      <c r="B2639" s="4" t="s">
        <v>14</v>
      </c>
      <c r="C2639" s="31" t="s">
        <v>435</v>
      </c>
      <c r="D2639" s="4" t="s">
        <v>33</v>
      </c>
      <c r="E2639" s="4" t="s">
        <v>16</v>
      </c>
      <c r="F2639" s="4" t="s">
        <v>17</v>
      </c>
      <c r="G2639" s="4" t="s">
        <v>18</v>
      </c>
      <c r="H2639" s="4" t="s">
        <v>258</v>
      </c>
      <c r="I2639" s="5" t="str">
        <f t="shared" si="41"/>
        <v>2025-09</v>
      </c>
      <c r="J2639" s="4" t="s">
        <v>49</v>
      </c>
      <c r="K2639" s="5" t="s">
        <v>343</v>
      </c>
      <c r="L2639" s="2">
        <v>44000</v>
      </c>
      <c r="M2639" s="3">
        <v>4</v>
      </c>
      <c r="N2639" s="2">
        <v>176000</v>
      </c>
      <c r="O2639" s="2">
        <v>17600</v>
      </c>
      <c r="P2639" s="2">
        <v>193600</v>
      </c>
      <c r="Q2639" s="2">
        <f>P2639*12%</f>
        <v>23232</v>
      </c>
    </row>
    <row r="2640" spans="1:17" hidden="1" x14ac:dyDescent="0.4">
      <c r="A2640" s="4" t="s">
        <v>13</v>
      </c>
      <c r="B2640" s="4" t="s">
        <v>14</v>
      </c>
      <c r="C2640" s="30" t="s">
        <v>434</v>
      </c>
      <c r="D2640" s="4" t="s">
        <v>15</v>
      </c>
      <c r="E2640" s="4" t="s">
        <v>16</v>
      </c>
      <c r="F2640" s="4" t="s">
        <v>17</v>
      </c>
      <c r="G2640" s="4" t="s">
        <v>18</v>
      </c>
      <c r="H2640" s="4" t="s">
        <v>258</v>
      </c>
      <c r="I2640" s="5" t="str">
        <f t="shared" si="41"/>
        <v>2025-09</v>
      </c>
      <c r="J2640" s="4" t="s">
        <v>49</v>
      </c>
      <c r="K2640" s="5" t="s">
        <v>343</v>
      </c>
      <c r="L2640" s="2">
        <v>42000</v>
      </c>
      <c r="M2640" s="3">
        <v>6</v>
      </c>
      <c r="N2640" s="2">
        <v>252000</v>
      </c>
      <c r="O2640" s="2">
        <v>25200</v>
      </c>
      <c r="P2640" s="2">
        <v>277200</v>
      </c>
      <c r="Q2640" s="2">
        <f>P2640*12%</f>
        <v>33264</v>
      </c>
    </row>
    <row r="2641" spans="1:17" hidden="1" x14ac:dyDescent="0.4">
      <c r="A2641" s="4" t="s">
        <v>35</v>
      </c>
      <c r="B2641" s="4" t="s">
        <v>14</v>
      </c>
      <c r="C2641" s="30" t="s">
        <v>434</v>
      </c>
      <c r="D2641" s="4" t="s">
        <v>36</v>
      </c>
      <c r="E2641" s="4" t="s">
        <v>16</v>
      </c>
      <c r="F2641" s="4" t="s">
        <v>17</v>
      </c>
      <c r="G2641" s="4" t="s">
        <v>18</v>
      </c>
      <c r="H2641" s="4" t="s">
        <v>258</v>
      </c>
      <c r="I2641" s="5" t="str">
        <f t="shared" si="41"/>
        <v>2025-09</v>
      </c>
      <c r="J2641" s="4" t="s">
        <v>49</v>
      </c>
      <c r="K2641" s="5" t="s">
        <v>343</v>
      </c>
      <c r="L2641" s="2">
        <v>116220</v>
      </c>
      <c r="M2641" s="3">
        <v>1</v>
      </c>
      <c r="N2641" s="2">
        <v>116220</v>
      </c>
      <c r="O2641" s="2">
        <v>11622</v>
      </c>
      <c r="P2641" s="2">
        <v>127842</v>
      </c>
      <c r="Q2641" s="2">
        <f>P2641*12%</f>
        <v>15341.039999999999</v>
      </c>
    </row>
    <row r="2642" spans="1:17" hidden="1" x14ac:dyDescent="0.4">
      <c r="A2642" s="4" t="s">
        <v>23</v>
      </c>
      <c r="B2642" s="4" t="s">
        <v>14</v>
      </c>
      <c r="C2642" s="31" t="s">
        <v>435</v>
      </c>
      <c r="D2642" s="4" t="s">
        <v>24</v>
      </c>
      <c r="E2642" s="4" t="s">
        <v>16</v>
      </c>
      <c r="F2642" s="4" t="s">
        <v>17</v>
      </c>
      <c r="G2642" s="4" t="s">
        <v>18</v>
      </c>
      <c r="H2642" s="4" t="s">
        <v>258</v>
      </c>
      <c r="I2642" s="5" t="str">
        <f t="shared" si="41"/>
        <v>2025-09</v>
      </c>
      <c r="J2642" s="4" t="s">
        <v>49</v>
      </c>
      <c r="K2642" s="5" t="s">
        <v>343</v>
      </c>
      <c r="L2642" s="2">
        <v>55500</v>
      </c>
      <c r="M2642" s="3">
        <v>2</v>
      </c>
      <c r="N2642" s="2">
        <v>111000</v>
      </c>
      <c r="O2642" s="2">
        <v>11100</v>
      </c>
      <c r="P2642" s="2">
        <v>122100</v>
      </c>
      <c r="Q2642" s="2">
        <f>P2642*12%</f>
        <v>14652</v>
      </c>
    </row>
    <row r="2643" spans="1:17" hidden="1" x14ac:dyDescent="0.4">
      <c r="A2643" s="4" t="s">
        <v>51</v>
      </c>
      <c r="B2643" s="4" t="s">
        <v>14</v>
      </c>
      <c r="C2643" s="30" t="s">
        <v>434</v>
      </c>
      <c r="D2643" s="4" t="s">
        <v>52</v>
      </c>
      <c r="E2643" s="4" t="s">
        <v>16</v>
      </c>
      <c r="F2643" s="4" t="s">
        <v>17</v>
      </c>
      <c r="G2643" s="4" t="s">
        <v>18</v>
      </c>
      <c r="H2643" s="4" t="s">
        <v>258</v>
      </c>
      <c r="I2643" s="5" t="str">
        <f t="shared" si="41"/>
        <v>2025-09</v>
      </c>
      <c r="J2643" s="4" t="s">
        <v>49</v>
      </c>
      <c r="K2643" s="5" t="s">
        <v>343</v>
      </c>
      <c r="L2643" s="2">
        <v>73000</v>
      </c>
      <c r="M2643" s="3">
        <v>1</v>
      </c>
      <c r="N2643" s="2">
        <v>73000</v>
      </c>
      <c r="O2643" s="2">
        <v>7300</v>
      </c>
      <c r="P2643" s="2">
        <v>80300</v>
      </c>
      <c r="Q2643" s="2">
        <f>P2643*12%</f>
        <v>9636</v>
      </c>
    </row>
    <row r="2644" spans="1:17" x14ac:dyDescent="0.4">
      <c r="A2644" s="4" t="s">
        <v>13</v>
      </c>
      <c r="B2644" s="4" t="s">
        <v>14</v>
      </c>
      <c r="C2644" s="30" t="s">
        <v>434</v>
      </c>
      <c r="D2644" s="4" t="s">
        <v>15</v>
      </c>
      <c r="E2644" s="4" t="s">
        <v>16</v>
      </c>
      <c r="F2644" s="4" t="s">
        <v>17</v>
      </c>
      <c r="G2644" s="4" t="s">
        <v>18</v>
      </c>
      <c r="H2644" s="4" t="s">
        <v>259</v>
      </c>
      <c r="I2644" s="5" t="str">
        <f t="shared" si="41"/>
        <v>2025-09</v>
      </c>
      <c r="J2644" s="4" t="s">
        <v>20</v>
      </c>
      <c r="K2644" s="5" t="s">
        <v>342</v>
      </c>
      <c r="L2644" s="2">
        <v>42000</v>
      </c>
      <c r="M2644" s="3">
        <v>1</v>
      </c>
      <c r="N2644" s="2">
        <v>42000</v>
      </c>
      <c r="O2644" s="2">
        <v>4200</v>
      </c>
      <c r="P2644" s="2">
        <v>46200</v>
      </c>
      <c r="Q2644" s="2">
        <f>P2644*8.5%</f>
        <v>3927.0000000000005</v>
      </c>
    </row>
    <row r="2645" spans="1:17" x14ac:dyDescent="0.4">
      <c r="A2645" s="4" t="s">
        <v>21</v>
      </c>
      <c r="B2645" s="4" t="s">
        <v>14</v>
      </c>
      <c r="C2645" s="31" t="s">
        <v>435</v>
      </c>
      <c r="D2645" s="4" t="s">
        <v>22</v>
      </c>
      <c r="E2645" s="4" t="s">
        <v>16</v>
      </c>
      <c r="F2645" s="4" t="s">
        <v>17</v>
      </c>
      <c r="G2645" s="4" t="s">
        <v>18</v>
      </c>
      <c r="H2645" s="4" t="s">
        <v>259</v>
      </c>
      <c r="I2645" s="5" t="str">
        <f t="shared" si="41"/>
        <v>2025-09</v>
      </c>
      <c r="J2645" s="4" t="s">
        <v>20</v>
      </c>
      <c r="K2645" s="5" t="s">
        <v>342</v>
      </c>
      <c r="L2645" s="2">
        <v>55500</v>
      </c>
      <c r="M2645" s="3">
        <v>2</v>
      </c>
      <c r="N2645" s="2">
        <v>111000</v>
      </c>
      <c r="O2645" s="2">
        <v>11100</v>
      </c>
      <c r="P2645" s="2">
        <v>122100</v>
      </c>
      <c r="Q2645" s="2">
        <f>P2645*8.5%</f>
        <v>10378.5</v>
      </c>
    </row>
    <row r="2646" spans="1:17" x14ac:dyDescent="0.4">
      <c r="A2646" s="4" t="s">
        <v>23</v>
      </c>
      <c r="B2646" s="4" t="s">
        <v>14</v>
      </c>
      <c r="C2646" s="31" t="s">
        <v>435</v>
      </c>
      <c r="D2646" s="4" t="s">
        <v>24</v>
      </c>
      <c r="E2646" s="4" t="s">
        <v>16</v>
      </c>
      <c r="F2646" s="4" t="s">
        <v>17</v>
      </c>
      <c r="G2646" s="4" t="s">
        <v>18</v>
      </c>
      <c r="H2646" s="4" t="s">
        <v>259</v>
      </c>
      <c r="I2646" s="5" t="str">
        <f t="shared" si="41"/>
        <v>2025-09</v>
      </c>
      <c r="J2646" s="4" t="s">
        <v>20</v>
      </c>
      <c r="K2646" s="5" t="s">
        <v>342</v>
      </c>
      <c r="L2646" s="2">
        <v>55500</v>
      </c>
      <c r="M2646" s="3">
        <v>2</v>
      </c>
      <c r="N2646" s="2">
        <v>111000</v>
      </c>
      <c r="O2646" s="2">
        <v>11100</v>
      </c>
      <c r="P2646" s="2">
        <v>122100</v>
      </c>
      <c r="Q2646" s="2">
        <f>P2646*8.5%</f>
        <v>10378.5</v>
      </c>
    </row>
    <row r="2647" spans="1:17" x14ac:dyDescent="0.4">
      <c r="A2647" s="4" t="s">
        <v>54</v>
      </c>
      <c r="B2647" s="4" t="s">
        <v>26</v>
      </c>
      <c r="C2647" s="32" t="s">
        <v>436</v>
      </c>
      <c r="D2647" s="4" t="s">
        <v>55</v>
      </c>
      <c r="E2647" s="4" t="s">
        <v>28</v>
      </c>
      <c r="F2647" s="4" t="s">
        <v>31</v>
      </c>
      <c r="G2647" s="4" t="s">
        <v>18</v>
      </c>
      <c r="H2647" s="4" t="s">
        <v>259</v>
      </c>
      <c r="I2647" s="5" t="str">
        <f t="shared" si="41"/>
        <v>2025-09</v>
      </c>
      <c r="J2647" s="4" t="s">
        <v>20</v>
      </c>
      <c r="K2647" s="5" t="s">
        <v>342</v>
      </c>
      <c r="L2647" s="2">
        <v>5919</v>
      </c>
      <c r="M2647" s="3">
        <v>1</v>
      </c>
      <c r="N2647" s="2">
        <v>5919</v>
      </c>
      <c r="O2647" s="2">
        <v>0</v>
      </c>
      <c r="P2647" s="2">
        <v>5919</v>
      </c>
      <c r="Q2647" s="2">
        <f>P2647*8.5%</f>
        <v>503.11500000000001</v>
      </c>
    </row>
    <row r="2648" spans="1:17" x14ac:dyDescent="0.4">
      <c r="A2648" s="4" t="s">
        <v>56</v>
      </c>
      <c r="B2648" s="4" t="s">
        <v>26</v>
      </c>
      <c r="C2648" s="32" t="s">
        <v>436</v>
      </c>
      <c r="D2648" s="4" t="s">
        <v>57</v>
      </c>
      <c r="E2648" s="4" t="s">
        <v>44</v>
      </c>
      <c r="F2648" s="4" t="s">
        <v>31</v>
      </c>
      <c r="G2648" s="4" t="s">
        <v>18</v>
      </c>
      <c r="H2648" s="4" t="s">
        <v>259</v>
      </c>
      <c r="I2648" s="5" t="str">
        <f t="shared" si="41"/>
        <v>2025-09</v>
      </c>
      <c r="J2648" s="4" t="s">
        <v>20</v>
      </c>
      <c r="K2648" s="5" t="s">
        <v>342</v>
      </c>
      <c r="L2648" s="2">
        <v>3671</v>
      </c>
      <c r="M2648" s="3">
        <v>20</v>
      </c>
      <c r="N2648" s="2">
        <v>73420</v>
      </c>
      <c r="O2648" s="2">
        <v>0</v>
      </c>
      <c r="P2648" s="2">
        <v>73420</v>
      </c>
      <c r="Q2648" s="2">
        <f>P2648*8.5%</f>
        <v>6240.7000000000007</v>
      </c>
    </row>
    <row r="2649" spans="1:17" hidden="1" x14ac:dyDescent="0.4">
      <c r="A2649" s="4" t="s">
        <v>32</v>
      </c>
      <c r="B2649" s="4" t="s">
        <v>14</v>
      </c>
      <c r="C2649" s="31" t="s">
        <v>435</v>
      </c>
      <c r="D2649" s="4" t="s">
        <v>33</v>
      </c>
      <c r="E2649" s="4" t="s">
        <v>16</v>
      </c>
      <c r="F2649" s="4" t="s">
        <v>17</v>
      </c>
      <c r="G2649" s="4" t="s">
        <v>18</v>
      </c>
      <c r="H2649" s="4" t="s">
        <v>259</v>
      </c>
      <c r="I2649" s="5" t="str">
        <f t="shared" si="41"/>
        <v>2025-09</v>
      </c>
      <c r="J2649" s="4" t="s">
        <v>118</v>
      </c>
      <c r="K2649" s="5" t="s">
        <v>342</v>
      </c>
      <c r="L2649" s="2">
        <v>44000</v>
      </c>
      <c r="M2649" s="3">
        <v>4</v>
      </c>
      <c r="N2649" s="2">
        <v>176000</v>
      </c>
      <c r="O2649" s="2">
        <v>17600</v>
      </c>
      <c r="P2649" s="2">
        <v>193600</v>
      </c>
      <c r="Q2649" s="2">
        <f>P2649*8.5%</f>
        <v>16456</v>
      </c>
    </row>
    <row r="2650" spans="1:17" hidden="1" x14ac:dyDescent="0.4">
      <c r="A2650" s="4" t="s">
        <v>13</v>
      </c>
      <c r="B2650" s="4" t="s">
        <v>14</v>
      </c>
      <c r="C2650" s="30" t="s">
        <v>434</v>
      </c>
      <c r="D2650" s="4" t="s">
        <v>15</v>
      </c>
      <c r="E2650" s="4" t="s">
        <v>16</v>
      </c>
      <c r="F2650" s="4" t="s">
        <v>17</v>
      </c>
      <c r="G2650" s="4" t="s">
        <v>18</v>
      </c>
      <c r="H2650" s="4" t="s">
        <v>259</v>
      </c>
      <c r="I2650" s="5" t="str">
        <f t="shared" si="41"/>
        <v>2025-09</v>
      </c>
      <c r="J2650" s="4" t="s">
        <v>118</v>
      </c>
      <c r="K2650" s="5" t="s">
        <v>342</v>
      </c>
      <c r="L2650" s="2">
        <v>42000</v>
      </c>
      <c r="M2650" s="3">
        <v>4</v>
      </c>
      <c r="N2650" s="2">
        <v>168000</v>
      </c>
      <c r="O2650" s="2">
        <v>16800</v>
      </c>
      <c r="P2650" s="2">
        <v>184800</v>
      </c>
      <c r="Q2650" s="2">
        <f>P2650*8.5%</f>
        <v>15708.000000000002</v>
      </c>
    </row>
    <row r="2651" spans="1:17" hidden="1" x14ac:dyDescent="0.4">
      <c r="A2651" s="4" t="s">
        <v>23</v>
      </c>
      <c r="B2651" s="4" t="s">
        <v>14</v>
      </c>
      <c r="C2651" s="31" t="s">
        <v>435</v>
      </c>
      <c r="D2651" s="4" t="s">
        <v>24</v>
      </c>
      <c r="E2651" s="4" t="s">
        <v>16</v>
      </c>
      <c r="F2651" s="4" t="s">
        <v>17</v>
      </c>
      <c r="G2651" s="4" t="s">
        <v>18</v>
      </c>
      <c r="H2651" s="4" t="s">
        <v>259</v>
      </c>
      <c r="I2651" s="5" t="str">
        <f t="shared" si="41"/>
        <v>2025-09</v>
      </c>
      <c r="J2651" s="4" t="s">
        <v>118</v>
      </c>
      <c r="K2651" s="5" t="s">
        <v>342</v>
      </c>
      <c r="L2651" s="2">
        <v>55500</v>
      </c>
      <c r="M2651" s="3">
        <v>1</v>
      </c>
      <c r="N2651" s="2">
        <v>55500</v>
      </c>
      <c r="O2651" s="2">
        <v>5550</v>
      </c>
      <c r="P2651" s="2">
        <v>61050</v>
      </c>
      <c r="Q2651" s="2">
        <f>P2651*8.5%</f>
        <v>5189.25</v>
      </c>
    </row>
    <row r="2652" spans="1:17" hidden="1" x14ac:dyDescent="0.4">
      <c r="A2652" s="4" t="s">
        <v>13</v>
      </c>
      <c r="B2652" s="4" t="s">
        <v>14</v>
      </c>
      <c r="C2652" s="30" t="s">
        <v>434</v>
      </c>
      <c r="D2652" s="4" t="s">
        <v>15</v>
      </c>
      <c r="E2652" s="4" t="s">
        <v>16</v>
      </c>
      <c r="F2652" s="4" t="s">
        <v>17</v>
      </c>
      <c r="G2652" s="4" t="s">
        <v>18</v>
      </c>
      <c r="H2652" s="4" t="s">
        <v>259</v>
      </c>
      <c r="I2652" s="5" t="str">
        <f t="shared" si="41"/>
        <v>2025-09</v>
      </c>
      <c r="J2652" s="4" t="s">
        <v>34</v>
      </c>
      <c r="K2652" s="5" t="s">
        <v>342</v>
      </c>
      <c r="L2652" s="2">
        <v>42000</v>
      </c>
      <c r="M2652" s="3">
        <v>4</v>
      </c>
      <c r="N2652" s="2">
        <v>168000</v>
      </c>
      <c r="O2652" s="2">
        <v>16800</v>
      </c>
      <c r="P2652" s="2">
        <v>184800</v>
      </c>
      <c r="Q2652" s="2">
        <f>P2652*8.5%</f>
        <v>15708.000000000002</v>
      </c>
    </row>
    <row r="2653" spans="1:17" hidden="1" x14ac:dyDescent="0.4">
      <c r="A2653" s="4" t="s">
        <v>21</v>
      </c>
      <c r="B2653" s="4" t="s">
        <v>14</v>
      </c>
      <c r="C2653" s="31" t="s">
        <v>435</v>
      </c>
      <c r="D2653" s="4" t="s">
        <v>22</v>
      </c>
      <c r="E2653" s="4" t="s">
        <v>16</v>
      </c>
      <c r="F2653" s="4" t="s">
        <v>17</v>
      </c>
      <c r="G2653" s="4" t="s">
        <v>18</v>
      </c>
      <c r="H2653" s="4" t="s">
        <v>259</v>
      </c>
      <c r="I2653" s="5" t="str">
        <f t="shared" si="41"/>
        <v>2025-09</v>
      </c>
      <c r="J2653" s="4" t="s">
        <v>34</v>
      </c>
      <c r="K2653" s="5" t="s">
        <v>342</v>
      </c>
      <c r="L2653" s="2">
        <v>55500</v>
      </c>
      <c r="M2653" s="3">
        <v>1</v>
      </c>
      <c r="N2653" s="2">
        <v>55500</v>
      </c>
      <c r="O2653" s="2">
        <v>5550</v>
      </c>
      <c r="P2653" s="2">
        <v>61050</v>
      </c>
      <c r="Q2653" s="2">
        <f>P2653*8.5%</f>
        <v>5189.25</v>
      </c>
    </row>
    <row r="2654" spans="1:17" hidden="1" x14ac:dyDescent="0.4">
      <c r="A2654" s="4" t="s">
        <v>23</v>
      </c>
      <c r="B2654" s="4" t="s">
        <v>14</v>
      </c>
      <c r="C2654" s="31" t="s">
        <v>435</v>
      </c>
      <c r="D2654" s="4" t="s">
        <v>24</v>
      </c>
      <c r="E2654" s="4" t="s">
        <v>16</v>
      </c>
      <c r="F2654" s="4" t="s">
        <v>17</v>
      </c>
      <c r="G2654" s="4" t="s">
        <v>18</v>
      </c>
      <c r="H2654" s="4" t="s">
        <v>259</v>
      </c>
      <c r="I2654" s="5" t="str">
        <f t="shared" si="41"/>
        <v>2025-09</v>
      </c>
      <c r="J2654" s="4" t="s">
        <v>34</v>
      </c>
      <c r="K2654" s="5" t="s">
        <v>342</v>
      </c>
      <c r="L2654" s="2">
        <v>55500</v>
      </c>
      <c r="M2654" s="3">
        <v>3</v>
      </c>
      <c r="N2654" s="2">
        <v>166500</v>
      </c>
      <c r="O2654" s="2">
        <v>16650</v>
      </c>
      <c r="P2654" s="2">
        <v>183150</v>
      </c>
      <c r="Q2654" s="2">
        <f>P2654*8.5%</f>
        <v>15567.750000000002</v>
      </c>
    </row>
    <row r="2655" spans="1:17" hidden="1" x14ac:dyDescent="0.4">
      <c r="A2655" s="4" t="s">
        <v>51</v>
      </c>
      <c r="B2655" s="4" t="s">
        <v>14</v>
      </c>
      <c r="C2655" s="30" t="s">
        <v>434</v>
      </c>
      <c r="D2655" s="4" t="s">
        <v>52</v>
      </c>
      <c r="E2655" s="4" t="s">
        <v>16</v>
      </c>
      <c r="F2655" s="4" t="s">
        <v>17</v>
      </c>
      <c r="G2655" s="4" t="s">
        <v>18</v>
      </c>
      <c r="H2655" s="4" t="s">
        <v>259</v>
      </c>
      <c r="I2655" s="5" t="str">
        <f t="shared" si="41"/>
        <v>2025-09</v>
      </c>
      <c r="J2655" s="4" t="s">
        <v>34</v>
      </c>
      <c r="K2655" s="5" t="s">
        <v>342</v>
      </c>
      <c r="L2655" s="2">
        <v>73000</v>
      </c>
      <c r="M2655" s="3">
        <v>1</v>
      </c>
      <c r="N2655" s="2">
        <v>73000</v>
      </c>
      <c r="O2655" s="2">
        <v>7300</v>
      </c>
      <c r="P2655" s="2">
        <v>80300</v>
      </c>
      <c r="Q2655" s="2">
        <f>P2655*8.5%</f>
        <v>6825.5000000000009</v>
      </c>
    </row>
    <row r="2656" spans="1:17" hidden="1" x14ac:dyDescent="0.4">
      <c r="A2656" s="4" t="s">
        <v>70</v>
      </c>
      <c r="B2656" s="4" t="s">
        <v>26</v>
      </c>
      <c r="C2656" s="32" t="s">
        <v>436</v>
      </c>
      <c r="D2656" s="4" t="s">
        <v>71</v>
      </c>
      <c r="E2656" s="4" t="s">
        <v>28</v>
      </c>
      <c r="F2656" s="4" t="s">
        <v>31</v>
      </c>
      <c r="G2656" s="4" t="s">
        <v>18</v>
      </c>
      <c r="H2656" s="4" t="s">
        <v>259</v>
      </c>
      <c r="I2656" s="5" t="str">
        <f t="shared" si="41"/>
        <v>2025-09</v>
      </c>
      <c r="J2656" s="4" t="s">
        <v>34</v>
      </c>
      <c r="K2656" s="5" t="s">
        <v>342</v>
      </c>
      <c r="L2656" s="2">
        <v>6624</v>
      </c>
      <c r="M2656" s="3">
        <v>3</v>
      </c>
      <c r="N2656" s="2">
        <v>19872</v>
      </c>
      <c r="O2656" s="2">
        <v>0</v>
      </c>
      <c r="P2656" s="2">
        <v>19872</v>
      </c>
      <c r="Q2656" s="2">
        <f>P2656*8.5%</f>
        <v>1689.1200000000001</v>
      </c>
    </row>
    <row r="2657" spans="1:17" hidden="1" x14ac:dyDescent="0.4">
      <c r="A2657" s="4" t="s">
        <v>42</v>
      </c>
      <c r="B2657" s="4" t="s">
        <v>14</v>
      </c>
      <c r="C2657" s="30" t="s">
        <v>434</v>
      </c>
      <c r="D2657" s="4" t="s">
        <v>43</v>
      </c>
      <c r="E2657" s="4" t="s">
        <v>44</v>
      </c>
      <c r="F2657" s="4" t="s">
        <v>31</v>
      </c>
      <c r="G2657" s="4" t="s">
        <v>18</v>
      </c>
      <c r="H2657" s="4" t="s">
        <v>259</v>
      </c>
      <c r="I2657" s="5" t="str">
        <f t="shared" si="41"/>
        <v>2025-09</v>
      </c>
      <c r="J2657" s="4" t="s">
        <v>34</v>
      </c>
      <c r="K2657" s="5" t="s">
        <v>342</v>
      </c>
      <c r="L2657" s="2">
        <v>7300</v>
      </c>
      <c r="M2657" s="3">
        <v>46.6</v>
      </c>
      <c r="N2657" s="2">
        <v>340180</v>
      </c>
      <c r="O2657" s="2">
        <v>0</v>
      </c>
      <c r="P2657" s="2">
        <v>340180</v>
      </c>
      <c r="Q2657" s="2">
        <f>P2657*8.5%</f>
        <v>28915.300000000003</v>
      </c>
    </row>
    <row r="2658" spans="1:17" hidden="1" x14ac:dyDescent="0.4">
      <c r="A2658" s="4" t="s">
        <v>202</v>
      </c>
      <c r="B2658" s="4" t="s">
        <v>26</v>
      </c>
      <c r="C2658" s="32" t="s">
        <v>436</v>
      </c>
      <c r="D2658" s="4" t="s">
        <v>203</v>
      </c>
      <c r="E2658" s="4" t="s">
        <v>47</v>
      </c>
      <c r="F2658" s="4" t="s">
        <v>17</v>
      </c>
      <c r="G2658" s="4" t="s">
        <v>18</v>
      </c>
      <c r="H2658" s="4" t="s">
        <v>259</v>
      </c>
      <c r="I2658" s="5" t="str">
        <f t="shared" si="41"/>
        <v>2025-09</v>
      </c>
      <c r="J2658" s="4" t="s">
        <v>34</v>
      </c>
      <c r="K2658" s="5" t="s">
        <v>342</v>
      </c>
      <c r="L2658" s="2">
        <v>13153</v>
      </c>
      <c r="M2658" s="3">
        <v>2</v>
      </c>
      <c r="N2658" s="2">
        <v>26306</v>
      </c>
      <c r="O2658" s="2">
        <v>2631</v>
      </c>
      <c r="P2658" s="2">
        <v>28937</v>
      </c>
      <c r="Q2658" s="2">
        <f>P2658*8.5%</f>
        <v>2459.645</v>
      </c>
    </row>
    <row r="2659" spans="1:17" hidden="1" x14ac:dyDescent="0.4">
      <c r="A2659" s="4" t="s">
        <v>58</v>
      </c>
      <c r="B2659" s="4" t="s">
        <v>14</v>
      </c>
      <c r="C2659" s="30" t="s">
        <v>434</v>
      </c>
      <c r="D2659" s="4" t="s">
        <v>36</v>
      </c>
      <c r="E2659" s="4" t="s">
        <v>16</v>
      </c>
      <c r="F2659" s="4" t="s">
        <v>17</v>
      </c>
      <c r="G2659" s="4" t="s">
        <v>18</v>
      </c>
      <c r="H2659" s="4" t="s">
        <v>259</v>
      </c>
      <c r="I2659" s="5" t="str">
        <f t="shared" si="41"/>
        <v>2025-09</v>
      </c>
      <c r="J2659" s="4" t="s">
        <v>153</v>
      </c>
      <c r="K2659" s="5" t="s">
        <v>343</v>
      </c>
      <c r="L2659" s="2">
        <v>120880</v>
      </c>
      <c r="M2659" s="3">
        <v>1</v>
      </c>
      <c r="N2659" s="2">
        <v>120880</v>
      </c>
      <c r="O2659" s="2">
        <v>12088</v>
      </c>
      <c r="P2659" s="2">
        <v>132968</v>
      </c>
      <c r="Q2659" s="2">
        <f>P2659*12%</f>
        <v>15956.16</v>
      </c>
    </row>
    <row r="2660" spans="1:17" hidden="1" x14ac:dyDescent="0.4">
      <c r="A2660" s="4" t="s">
        <v>13</v>
      </c>
      <c r="B2660" s="4" t="s">
        <v>14</v>
      </c>
      <c r="C2660" s="30" t="s">
        <v>434</v>
      </c>
      <c r="D2660" s="4" t="s">
        <v>15</v>
      </c>
      <c r="E2660" s="4" t="s">
        <v>16</v>
      </c>
      <c r="F2660" s="4" t="s">
        <v>17</v>
      </c>
      <c r="G2660" s="4" t="s">
        <v>18</v>
      </c>
      <c r="H2660" s="4" t="s">
        <v>259</v>
      </c>
      <c r="I2660" s="5" t="str">
        <f t="shared" si="41"/>
        <v>2025-09</v>
      </c>
      <c r="J2660" s="4" t="s">
        <v>153</v>
      </c>
      <c r="K2660" s="5" t="s">
        <v>343</v>
      </c>
      <c r="L2660" s="2">
        <v>42000</v>
      </c>
      <c r="M2660" s="3">
        <v>16</v>
      </c>
      <c r="N2660" s="2">
        <v>672000</v>
      </c>
      <c r="O2660" s="2">
        <v>67200</v>
      </c>
      <c r="P2660" s="2">
        <v>739200</v>
      </c>
      <c r="Q2660" s="2">
        <f>P2660*12%</f>
        <v>88704</v>
      </c>
    </row>
    <row r="2661" spans="1:17" hidden="1" x14ac:dyDescent="0.4">
      <c r="A2661" s="4" t="s">
        <v>35</v>
      </c>
      <c r="B2661" s="4" t="s">
        <v>14</v>
      </c>
      <c r="C2661" s="30" t="s">
        <v>434</v>
      </c>
      <c r="D2661" s="4" t="s">
        <v>36</v>
      </c>
      <c r="E2661" s="4" t="s">
        <v>16</v>
      </c>
      <c r="F2661" s="4" t="s">
        <v>17</v>
      </c>
      <c r="G2661" s="4" t="s">
        <v>18</v>
      </c>
      <c r="H2661" s="4" t="s">
        <v>259</v>
      </c>
      <c r="I2661" s="5" t="str">
        <f t="shared" si="41"/>
        <v>2025-09</v>
      </c>
      <c r="J2661" s="4" t="s">
        <v>153</v>
      </c>
      <c r="K2661" s="5" t="s">
        <v>343</v>
      </c>
      <c r="L2661" s="2">
        <v>116220</v>
      </c>
      <c r="M2661" s="3">
        <v>1</v>
      </c>
      <c r="N2661" s="2">
        <v>116220</v>
      </c>
      <c r="O2661" s="2">
        <v>11622</v>
      </c>
      <c r="P2661" s="2">
        <v>127842</v>
      </c>
      <c r="Q2661" s="2">
        <f>P2661*12%</f>
        <v>15341.039999999999</v>
      </c>
    </row>
    <row r="2662" spans="1:17" hidden="1" x14ac:dyDescent="0.4">
      <c r="A2662" s="4" t="s">
        <v>23</v>
      </c>
      <c r="B2662" s="4" t="s">
        <v>14</v>
      </c>
      <c r="C2662" s="31" t="s">
        <v>435</v>
      </c>
      <c r="D2662" s="4" t="s">
        <v>24</v>
      </c>
      <c r="E2662" s="4" t="s">
        <v>16</v>
      </c>
      <c r="F2662" s="4" t="s">
        <v>17</v>
      </c>
      <c r="G2662" s="4" t="s">
        <v>18</v>
      </c>
      <c r="H2662" s="4" t="s">
        <v>259</v>
      </c>
      <c r="I2662" s="5" t="str">
        <f t="shared" si="41"/>
        <v>2025-09</v>
      </c>
      <c r="J2662" s="4" t="s">
        <v>153</v>
      </c>
      <c r="K2662" s="5" t="s">
        <v>343</v>
      </c>
      <c r="L2662" s="2">
        <v>55500</v>
      </c>
      <c r="M2662" s="3">
        <v>10</v>
      </c>
      <c r="N2662" s="2">
        <v>555000</v>
      </c>
      <c r="O2662" s="2">
        <v>55500</v>
      </c>
      <c r="P2662" s="2">
        <v>610500</v>
      </c>
      <c r="Q2662" s="2">
        <f>P2662*12%</f>
        <v>73260</v>
      </c>
    </row>
    <row r="2663" spans="1:17" hidden="1" x14ac:dyDescent="0.4">
      <c r="A2663" s="4" t="s">
        <v>51</v>
      </c>
      <c r="B2663" s="4" t="s">
        <v>14</v>
      </c>
      <c r="C2663" s="30" t="s">
        <v>434</v>
      </c>
      <c r="D2663" s="4" t="s">
        <v>52</v>
      </c>
      <c r="E2663" s="4" t="s">
        <v>16</v>
      </c>
      <c r="F2663" s="4" t="s">
        <v>17</v>
      </c>
      <c r="G2663" s="4" t="s">
        <v>18</v>
      </c>
      <c r="H2663" s="4" t="s">
        <v>259</v>
      </c>
      <c r="I2663" s="5" t="str">
        <f t="shared" si="41"/>
        <v>2025-09</v>
      </c>
      <c r="J2663" s="4" t="s">
        <v>153</v>
      </c>
      <c r="K2663" s="5" t="s">
        <v>343</v>
      </c>
      <c r="L2663" s="2">
        <v>73000</v>
      </c>
      <c r="M2663" s="3">
        <v>1</v>
      </c>
      <c r="N2663" s="2">
        <v>73000</v>
      </c>
      <c r="O2663" s="2">
        <v>7300</v>
      </c>
      <c r="P2663" s="2">
        <v>80300</v>
      </c>
      <c r="Q2663" s="2">
        <f>P2663*12%</f>
        <v>9636</v>
      </c>
    </row>
    <row r="2664" spans="1:17" hidden="1" x14ac:dyDescent="0.4">
      <c r="A2664" s="4" t="s">
        <v>32</v>
      </c>
      <c r="B2664" s="4" t="s">
        <v>14</v>
      </c>
      <c r="C2664" s="31" t="s">
        <v>435</v>
      </c>
      <c r="D2664" s="4" t="s">
        <v>33</v>
      </c>
      <c r="E2664" s="4" t="s">
        <v>16</v>
      </c>
      <c r="F2664" s="4" t="s">
        <v>17</v>
      </c>
      <c r="G2664" s="4" t="s">
        <v>18</v>
      </c>
      <c r="H2664" s="4" t="s">
        <v>259</v>
      </c>
      <c r="I2664" s="5" t="str">
        <f t="shared" si="41"/>
        <v>2025-09</v>
      </c>
      <c r="J2664" s="4" t="s">
        <v>50</v>
      </c>
      <c r="K2664" s="5" t="s">
        <v>343</v>
      </c>
      <c r="L2664" s="2">
        <v>44000</v>
      </c>
      <c r="M2664" s="3">
        <v>2</v>
      </c>
      <c r="N2664" s="2">
        <v>88000</v>
      </c>
      <c r="O2664" s="2">
        <v>8800</v>
      </c>
      <c r="P2664" s="2">
        <v>96800</v>
      </c>
      <c r="Q2664" s="2">
        <f>P2664*12%</f>
        <v>11616</v>
      </c>
    </row>
    <row r="2665" spans="1:17" hidden="1" x14ac:dyDescent="0.4">
      <c r="A2665" s="4" t="s">
        <v>13</v>
      </c>
      <c r="B2665" s="4" t="s">
        <v>14</v>
      </c>
      <c r="C2665" s="30" t="s">
        <v>434</v>
      </c>
      <c r="D2665" s="4" t="s">
        <v>15</v>
      </c>
      <c r="E2665" s="4" t="s">
        <v>16</v>
      </c>
      <c r="F2665" s="4" t="s">
        <v>17</v>
      </c>
      <c r="G2665" s="4" t="s">
        <v>18</v>
      </c>
      <c r="H2665" s="4" t="s">
        <v>259</v>
      </c>
      <c r="I2665" s="5" t="str">
        <f t="shared" si="41"/>
        <v>2025-09</v>
      </c>
      <c r="J2665" s="4" t="s">
        <v>50</v>
      </c>
      <c r="K2665" s="5" t="s">
        <v>343</v>
      </c>
      <c r="L2665" s="2">
        <v>42000</v>
      </c>
      <c r="M2665" s="3">
        <v>10</v>
      </c>
      <c r="N2665" s="2">
        <v>420000</v>
      </c>
      <c r="O2665" s="2">
        <v>42000</v>
      </c>
      <c r="P2665" s="2">
        <v>462000</v>
      </c>
      <c r="Q2665" s="2">
        <f>P2665*12%</f>
        <v>55440</v>
      </c>
    </row>
    <row r="2666" spans="1:17" hidden="1" x14ac:dyDescent="0.4">
      <c r="A2666" s="4" t="s">
        <v>23</v>
      </c>
      <c r="B2666" s="4" t="s">
        <v>14</v>
      </c>
      <c r="C2666" s="31" t="s">
        <v>435</v>
      </c>
      <c r="D2666" s="4" t="s">
        <v>24</v>
      </c>
      <c r="E2666" s="4" t="s">
        <v>16</v>
      </c>
      <c r="F2666" s="4" t="s">
        <v>17</v>
      </c>
      <c r="G2666" s="4" t="s">
        <v>18</v>
      </c>
      <c r="H2666" s="4" t="s">
        <v>259</v>
      </c>
      <c r="I2666" s="5" t="str">
        <f t="shared" si="41"/>
        <v>2025-09</v>
      </c>
      <c r="J2666" s="4" t="s">
        <v>50</v>
      </c>
      <c r="K2666" s="5" t="s">
        <v>343</v>
      </c>
      <c r="L2666" s="2">
        <v>55500</v>
      </c>
      <c r="M2666" s="3">
        <v>5</v>
      </c>
      <c r="N2666" s="2">
        <v>277500</v>
      </c>
      <c r="O2666" s="2">
        <v>27750</v>
      </c>
      <c r="P2666" s="2">
        <v>305250</v>
      </c>
      <c r="Q2666" s="2">
        <f>P2666*12%</f>
        <v>36630</v>
      </c>
    </row>
    <row r="2667" spans="1:17" hidden="1" x14ac:dyDescent="0.4">
      <c r="A2667" s="4" t="s">
        <v>51</v>
      </c>
      <c r="B2667" s="4" t="s">
        <v>14</v>
      </c>
      <c r="C2667" s="30" t="s">
        <v>434</v>
      </c>
      <c r="D2667" s="4" t="s">
        <v>52</v>
      </c>
      <c r="E2667" s="4" t="s">
        <v>16</v>
      </c>
      <c r="F2667" s="4" t="s">
        <v>17</v>
      </c>
      <c r="G2667" s="4" t="s">
        <v>18</v>
      </c>
      <c r="H2667" s="4" t="s">
        <v>259</v>
      </c>
      <c r="I2667" s="5" t="str">
        <f t="shared" si="41"/>
        <v>2025-09</v>
      </c>
      <c r="J2667" s="4" t="s">
        <v>50</v>
      </c>
      <c r="K2667" s="5" t="s">
        <v>343</v>
      </c>
      <c r="L2667" s="2">
        <v>73000</v>
      </c>
      <c r="M2667" s="3">
        <v>1</v>
      </c>
      <c r="N2667" s="2">
        <v>73000</v>
      </c>
      <c r="O2667" s="2">
        <v>7300</v>
      </c>
      <c r="P2667" s="2">
        <v>80300</v>
      </c>
      <c r="Q2667" s="2">
        <f>P2667*12%</f>
        <v>9636</v>
      </c>
    </row>
    <row r="2668" spans="1:17" x14ac:dyDescent="0.4">
      <c r="A2668" s="4" t="s">
        <v>58</v>
      </c>
      <c r="B2668" s="4" t="s">
        <v>14</v>
      </c>
      <c r="C2668" s="30" t="s">
        <v>434</v>
      </c>
      <c r="D2668" s="4" t="s">
        <v>36</v>
      </c>
      <c r="E2668" s="4" t="s">
        <v>16</v>
      </c>
      <c r="F2668" s="4" t="s">
        <v>17</v>
      </c>
      <c r="G2668" s="4" t="s">
        <v>18</v>
      </c>
      <c r="H2668" s="4" t="s">
        <v>260</v>
      </c>
      <c r="I2668" s="5" t="str">
        <f t="shared" si="41"/>
        <v>2025-10</v>
      </c>
      <c r="J2668" s="4" t="s">
        <v>20</v>
      </c>
      <c r="K2668" s="5" t="s">
        <v>342</v>
      </c>
      <c r="L2668" s="2">
        <v>120880</v>
      </c>
      <c r="M2668" s="3">
        <v>1</v>
      </c>
      <c r="N2668" s="2">
        <v>120880</v>
      </c>
      <c r="O2668" s="2">
        <v>12088</v>
      </c>
      <c r="P2668" s="2">
        <v>132968</v>
      </c>
      <c r="Q2668" s="2">
        <f>P2668*8.5%</f>
        <v>11302.28</v>
      </c>
    </row>
    <row r="2669" spans="1:17" x14ac:dyDescent="0.4">
      <c r="A2669" s="4" t="s">
        <v>21</v>
      </c>
      <c r="B2669" s="4" t="s">
        <v>14</v>
      </c>
      <c r="C2669" s="31" t="s">
        <v>435</v>
      </c>
      <c r="D2669" s="4" t="s">
        <v>22</v>
      </c>
      <c r="E2669" s="4" t="s">
        <v>16</v>
      </c>
      <c r="F2669" s="4" t="s">
        <v>17</v>
      </c>
      <c r="G2669" s="4" t="s">
        <v>18</v>
      </c>
      <c r="H2669" s="4" t="s">
        <v>260</v>
      </c>
      <c r="I2669" s="5" t="str">
        <f t="shared" si="41"/>
        <v>2025-10</v>
      </c>
      <c r="J2669" s="4" t="s">
        <v>20</v>
      </c>
      <c r="K2669" s="5" t="s">
        <v>342</v>
      </c>
      <c r="L2669" s="2">
        <v>55500</v>
      </c>
      <c r="M2669" s="3">
        <v>1</v>
      </c>
      <c r="N2669" s="2">
        <v>55500</v>
      </c>
      <c r="O2669" s="2">
        <v>5550</v>
      </c>
      <c r="P2669" s="2">
        <v>61050</v>
      </c>
      <c r="Q2669" s="2">
        <f>P2669*8.5%</f>
        <v>5189.25</v>
      </c>
    </row>
    <row r="2670" spans="1:17" x14ac:dyDescent="0.4">
      <c r="A2670" s="4" t="s">
        <v>23</v>
      </c>
      <c r="B2670" s="4" t="s">
        <v>14</v>
      </c>
      <c r="C2670" s="31" t="s">
        <v>435</v>
      </c>
      <c r="D2670" s="4" t="s">
        <v>24</v>
      </c>
      <c r="E2670" s="4" t="s">
        <v>16</v>
      </c>
      <c r="F2670" s="4" t="s">
        <v>17</v>
      </c>
      <c r="G2670" s="4" t="s">
        <v>18</v>
      </c>
      <c r="H2670" s="4" t="s">
        <v>260</v>
      </c>
      <c r="I2670" s="5" t="str">
        <f t="shared" si="41"/>
        <v>2025-10</v>
      </c>
      <c r="J2670" s="4" t="s">
        <v>20</v>
      </c>
      <c r="K2670" s="5" t="s">
        <v>342</v>
      </c>
      <c r="L2670" s="2">
        <v>55500</v>
      </c>
      <c r="M2670" s="3">
        <v>3</v>
      </c>
      <c r="N2670" s="2">
        <v>166500</v>
      </c>
      <c r="O2670" s="2">
        <v>16650</v>
      </c>
      <c r="P2670" s="2">
        <v>183150</v>
      </c>
      <c r="Q2670" s="2">
        <f>P2670*8.5%</f>
        <v>15567.750000000002</v>
      </c>
    </row>
    <row r="2671" spans="1:17" x14ac:dyDescent="0.4">
      <c r="A2671" s="4" t="s">
        <v>56</v>
      </c>
      <c r="B2671" s="4" t="s">
        <v>26</v>
      </c>
      <c r="C2671" s="32" t="s">
        <v>436</v>
      </c>
      <c r="D2671" s="4" t="s">
        <v>57</v>
      </c>
      <c r="E2671" s="4" t="s">
        <v>44</v>
      </c>
      <c r="F2671" s="4" t="s">
        <v>31</v>
      </c>
      <c r="G2671" s="4" t="s">
        <v>18</v>
      </c>
      <c r="H2671" s="4" t="s">
        <v>260</v>
      </c>
      <c r="I2671" s="5" t="str">
        <f t="shared" si="41"/>
        <v>2025-10</v>
      </c>
      <c r="J2671" s="4" t="s">
        <v>20</v>
      </c>
      <c r="K2671" s="5" t="s">
        <v>342</v>
      </c>
      <c r="L2671" s="2">
        <v>3671</v>
      </c>
      <c r="M2671" s="3">
        <v>20</v>
      </c>
      <c r="N2671" s="2">
        <v>73420</v>
      </c>
      <c r="O2671" s="2">
        <v>0</v>
      </c>
      <c r="P2671" s="2">
        <v>73420</v>
      </c>
      <c r="Q2671" s="2">
        <f>P2671*8.5%</f>
        <v>6240.7000000000007</v>
      </c>
    </row>
    <row r="2672" spans="1:17" hidden="1" x14ac:dyDescent="0.4">
      <c r="A2672" s="4" t="s">
        <v>32</v>
      </c>
      <c r="B2672" s="4" t="s">
        <v>14</v>
      </c>
      <c r="C2672" s="31" t="s">
        <v>435</v>
      </c>
      <c r="D2672" s="4" t="s">
        <v>33</v>
      </c>
      <c r="E2672" s="4" t="s">
        <v>16</v>
      </c>
      <c r="F2672" s="4" t="s">
        <v>17</v>
      </c>
      <c r="G2672" s="4" t="s">
        <v>18</v>
      </c>
      <c r="H2672" s="4" t="s">
        <v>260</v>
      </c>
      <c r="I2672" s="5" t="str">
        <f t="shared" si="41"/>
        <v>2025-10</v>
      </c>
      <c r="J2672" s="4" t="s">
        <v>118</v>
      </c>
      <c r="K2672" s="5" t="s">
        <v>342</v>
      </c>
      <c r="L2672" s="2">
        <v>44000</v>
      </c>
      <c r="M2672" s="3">
        <v>7</v>
      </c>
      <c r="N2672" s="2">
        <v>308000</v>
      </c>
      <c r="O2672" s="2">
        <v>30800</v>
      </c>
      <c r="P2672" s="2">
        <v>338800</v>
      </c>
      <c r="Q2672" s="2">
        <f>P2672*8.5%</f>
        <v>28798.000000000004</v>
      </c>
    </row>
    <row r="2673" spans="1:17" hidden="1" x14ac:dyDescent="0.4">
      <c r="A2673" s="4" t="s">
        <v>13</v>
      </c>
      <c r="B2673" s="4" t="s">
        <v>14</v>
      </c>
      <c r="C2673" s="30" t="s">
        <v>434</v>
      </c>
      <c r="D2673" s="4" t="s">
        <v>15</v>
      </c>
      <c r="E2673" s="4" t="s">
        <v>16</v>
      </c>
      <c r="F2673" s="4" t="s">
        <v>17</v>
      </c>
      <c r="G2673" s="4" t="s">
        <v>18</v>
      </c>
      <c r="H2673" s="4" t="s">
        <v>260</v>
      </c>
      <c r="I2673" s="5" t="str">
        <f t="shared" si="41"/>
        <v>2025-10</v>
      </c>
      <c r="J2673" s="4" t="s">
        <v>118</v>
      </c>
      <c r="K2673" s="5" t="s">
        <v>342</v>
      </c>
      <c r="L2673" s="2">
        <v>42000</v>
      </c>
      <c r="M2673" s="3">
        <v>4</v>
      </c>
      <c r="N2673" s="2">
        <v>168000</v>
      </c>
      <c r="O2673" s="2">
        <v>16800</v>
      </c>
      <c r="P2673" s="2">
        <v>184800</v>
      </c>
      <c r="Q2673" s="2">
        <f>P2673*8.5%</f>
        <v>15708.000000000002</v>
      </c>
    </row>
    <row r="2674" spans="1:17" hidden="1" x14ac:dyDescent="0.4">
      <c r="A2674" s="4" t="s">
        <v>23</v>
      </c>
      <c r="B2674" s="4" t="s">
        <v>14</v>
      </c>
      <c r="C2674" s="31" t="s">
        <v>435</v>
      </c>
      <c r="D2674" s="4" t="s">
        <v>24</v>
      </c>
      <c r="E2674" s="4" t="s">
        <v>16</v>
      </c>
      <c r="F2674" s="4" t="s">
        <v>17</v>
      </c>
      <c r="G2674" s="4" t="s">
        <v>18</v>
      </c>
      <c r="H2674" s="4" t="s">
        <v>260</v>
      </c>
      <c r="I2674" s="5" t="str">
        <f t="shared" si="41"/>
        <v>2025-10</v>
      </c>
      <c r="J2674" s="4" t="s">
        <v>118</v>
      </c>
      <c r="K2674" s="5" t="s">
        <v>342</v>
      </c>
      <c r="L2674" s="2">
        <v>55500</v>
      </c>
      <c r="M2674" s="3">
        <v>2</v>
      </c>
      <c r="N2674" s="2">
        <v>111000</v>
      </c>
      <c r="O2674" s="2">
        <v>11100</v>
      </c>
      <c r="P2674" s="2">
        <v>122100</v>
      </c>
      <c r="Q2674" s="2">
        <f>P2674*8.5%</f>
        <v>10378.5</v>
      </c>
    </row>
    <row r="2675" spans="1:17" hidden="1" x14ac:dyDescent="0.4">
      <c r="A2675" s="4" t="s">
        <v>51</v>
      </c>
      <c r="B2675" s="4" t="s">
        <v>14</v>
      </c>
      <c r="C2675" s="30" t="s">
        <v>434</v>
      </c>
      <c r="D2675" s="4" t="s">
        <v>52</v>
      </c>
      <c r="E2675" s="4" t="s">
        <v>16</v>
      </c>
      <c r="F2675" s="4" t="s">
        <v>17</v>
      </c>
      <c r="G2675" s="4" t="s">
        <v>18</v>
      </c>
      <c r="H2675" s="4" t="s">
        <v>260</v>
      </c>
      <c r="I2675" s="5" t="str">
        <f t="shared" si="41"/>
        <v>2025-10</v>
      </c>
      <c r="J2675" s="4" t="s">
        <v>118</v>
      </c>
      <c r="K2675" s="5" t="s">
        <v>342</v>
      </c>
      <c r="L2675" s="2">
        <v>73000</v>
      </c>
      <c r="M2675" s="3">
        <v>1</v>
      </c>
      <c r="N2675" s="2">
        <v>73000</v>
      </c>
      <c r="O2675" s="2">
        <v>7300</v>
      </c>
      <c r="P2675" s="2">
        <v>80300</v>
      </c>
      <c r="Q2675" s="2">
        <f>P2675*8.5%</f>
        <v>6825.5000000000009</v>
      </c>
    </row>
    <row r="2676" spans="1:17" hidden="1" x14ac:dyDescent="0.4">
      <c r="A2676" s="4" t="s">
        <v>32</v>
      </c>
      <c r="B2676" s="4" t="s">
        <v>14</v>
      </c>
      <c r="C2676" s="31" t="s">
        <v>435</v>
      </c>
      <c r="D2676" s="4" t="s">
        <v>33</v>
      </c>
      <c r="E2676" s="4" t="s">
        <v>16</v>
      </c>
      <c r="F2676" s="4" t="s">
        <v>17</v>
      </c>
      <c r="G2676" s="4" t="s">
        <v>18</v>
      </c>
      <c r="H2676" s="4" t="s">
        <v>260</v>
      </c>
      <c r="I2676" s="5" t="str">
        <f t="shared" si="41"/>
        <v>2025-10</v>
      </c>
      <c r="J2676" s="4" t="s">
        <v>34</v>
      </c>
      <c r="K2676" s="5" t="s">
        <v>342</v>
      </c>
      <c r="L2676" s="2">
        <v>44000</v>
      </c>
      <c r="M2676" s="3">
        <v>2</v>
      </c>
      <c r="N2676" s="2">
        <v>88000</v>
      </c>
      <c r="O2676" s="2">
        <v>8800</v>
      </c>
      <c r="P2676" s="2">
        <v>96800</v>
      </c>
      <c r="Q2676" s="2">
        <f>P2676*8.5%</f>
        <v>8228</v>
      </c>
    </row>
    <row r="2677" spans="1:17" hidden="1" x14ac:dyDescent="0.4">
      <c r="A2677" s="4" t="s">
        <v>13</v>
      </c>
      <c r="B2677" s="4" t="s">
        <v>14</v>
      </c>
      <c r="C2677" s="30" t="s">
        <v>434</v>
      </c>
      <c r="D2677" s="4" t="s">
        <v>15</v>
      </c>
      <c r="E2677" s="4" t="s">
        <v>16</v>
      </c>
      <c r="F2677" s="4" t="s">
        <v>17</v>
      </c>
      <c r="G2677" s="4" t="s">
        <v>18</v>
      </c>
      <c r="H2677" s="4" t="s">
        <v>260</v>
      </c>
      <c r="I2677" s="5" t="str">
        <f t="shared" si="41"/>
        <v>2025-10</v>
      </c>
      <c r="J2677" s="4" t="s">
        <v>34</v>
      </c>
      <c r="K2677" s="5" t="s">
        <v>342</v>
      </c>
      <c r="L2677" s="2">
        <v>42000</v>
      </c>
      <c r="M2677" s="3">
        <v>4</v>
      </c>
      <c r="N2677" s="2">
        <v>168000</v>
      </c>
      <c r="O2677" s="2">
        <v>16800</v>
      </c>
      <c r="P2677" s="2">
        <v>184800</v>
      </c>
      <c r="Q2677" s="2">
        <f>P2677*8.5%</f>
        <v>15708.000000000002</v>
      </c>
    </row>
    <row r="2678" spans="1:17" hidden="1" x14ac:dyDescent="0.4">
      <c r="A2678" s="4" t="s">
        <v>21</v>
      </c>
      <c r="B2678" s="4" t="s">
        <v>14</v>
      </c>
      <c r="C2678" s="31" t="s">
        <v>435</v>
      </c>
      <c r="D2678" s="4" t="s">
        <v>22</v>
      </c>
      <c r="E2678" s="4" t="s">
        <v>16</v>
      </c>
      <c r="F2678" s="4" t="s">
        <v>17</v>
      </c>
      <c r="G2678" s="4" t="s">
        <v>18</v>
      </c>
      <c r="H2678" s="4" t="s">
        <v>260</v>
      </c>
      <c r="I2678" s="5" t="str">
        <f t="shared" si="41"/>
        <v>2025-10</v>
      </c>
      <c r="J2678" s="4" t="s">
        <v>34</v>
      </c>
      <c r="K2678" s="5" t="s">
        <v>342</v>
      </c>
      <c r="L2678" s="2">
        <v>55500</v>
      </c>
      <c r="M2678" s="3">
        <v>1</v>
      </c>
      <c r="N2678" s="2">
        <v>55500</v>
      </c>
      <c r="O2678" s="2">
        <v>5550</v>
      </c>
      <c r="P2678" s="2">
        <v>61050</v>
      </c>
      <c r="Q2678" s="2">
        <f>P2678*8.5%</f>
        <v>5189.25</v>
      </c>
    </row>
    <row r="2679" spans="1:17" hidden="1" x14ac:dyDescent="0.4">
      <c r="A2679" s="4" t="s">
        <v>84</v>
      </c>
      <c r="B2679" s="4" t="s">
        <v>26</v>
      </c>
      <c r="C2679" s="32" t="s">
        <v>436</v>
      </c>
      <c r="D2679" s="4" t="s">
        <v>85</v>
      </c>
      <c r="E2679" s="4" t="s">
        <v>28</v>
      </c>
      <c r="F2679" s="4" t="s">
        <v>17</v>
      </c>
      <c r="G2679" s="4" t="s">
        <v>18</v>
      </c>
      <c r="H2679" s="4" t="s">
        <v>260</v>
      </c>
      <c r="I2679" s="5" t="str">
        <f t="shared" si="41"/>
        <v>2025-10</v>
      </c>
      <c r="J2679" s="4" t="s">
        <v>34</v>
      </c>
      <c r="K2679" s="5" t="s">
        <v>342</v>
      </c>
      <c r="L2679" s="2">
        <v>5032</v>
      </c>
      <c r="M2679" s="3">
        <v>1</v>
      </c>
      <c r="N2679" s="2">
        <v>5032</v>
      </c>
      <c r="O2679" s="2">
        <v>503</v>
      </c>
      <c r="P2679" s="2">
        <v>5535</v>
      </c>
      <c r="Q2679" s="2">
        <f>P2679*8.5%</f>
        <v>470.47500000000002</v>
      </c>
    </row>
    <row r="2680" spans="1:17" hidden="1" x14ac:dyDescent="0.4">
      <c r="A2680" s="4" t="s">
        <v>86</v>
      </c>
      <c r="B2680" s="4" t="s">
        <v>26</v>
      </c>
      <c r="C2680" s="32" t="s">
        <v>436</v>
      </c>
      <c r="D2680" s="4" t="s">
        <v>78</v>
      </c>
      <c r="E2680" s="4" t="s">
        <v>28</v>
      </c>
      <c r="F2680" s="4" t="s">
        <v>17</v>
      </c>
      <c r="G2680" s="4" t="s">
        <v>18</v>
      </c>
      <c r="H2680" s="4" t="s">
        <v>260</v>
      </c>
      <c r="I2680" s="5" t="str">
        <f t="shared" si="41"/>
        <v>2025-10</v>
      </c>
      <c r="J2680" s="4" t="s">
        <v>34</v>
      </c>
      <c r="K2680" s="5" t="s">
        <v>342</v>
      </c>
      <c r="L2680" s="2">
        <v>15544</v>
      </c>
      <c r="M2680" s="3">
        <v>1</v>
      </c>
      <c r="N2680" s="2">
        <v>15544</v>
      </c>
      <c r="O2680" s="2">
        <v>1554</v>
      </c>
      <c r="P2680" s="2">
        <v>17098</v>
      </c>
      <c r="Q2680" s="2">
        <f>P2680*8.5%</f>
        <v>1453.3300000000002</v>
      </c>
    </row>
    <row r="2681" spans="1:17" hidden="1" x14ac:dyDescent="0.4">
      <c r="A2681" s="4" t="s">
        <v>42</v>
      </c>
      <c r="B2681" s="4" t="s">
        <v>14</v>
      </c>
      <c r="C2681" s="30" t="s">
        <v>434</v>
      </c>
      <c r="D2681" s="4" t="s">
        <v>43</v>
      </c>
      <c r="E2681" s="4" t="s">
        <v>44</v>
      </c>
      <c r="F2681" s="4" t="s">
        <v>31</v>
      </c>
      <c r="G2681" s="4" t="s">
        <v>18</v>
      </c>
      <c r="H2681" s="4" t="s">
        <v>260</v>
      </c>
      <c r="I2681" s="5" t="str">
        <f t="shared" si="41"/>
        <v>2025-10</v>
      </c>
      <c r="J2681" s="4" t="s">
        <v>34</v>
      </c>
      <c r="K2681" s="5" t="s">
        <v>342</v>
      </c>
      <c r="L2681" s="2">
        <v>7300</v>
      </c>
      <c r="M2681" s="3">
        <v>33.1</v>
      </c>
      <c r="N2681" s="2">
        <v>241630</v>
      </c>
      <c r="O2681" s="2">
        <v>0</v>
      </c>
      <c r="P2681" s="2">
        <v>241630</v>
      </c>
      <c r="Q2681" s="2">
        <f>P2681*8.5%</f>
        <v>20538.550000000003</v>
      </c>
    </row>
    <row r="2682" spans="1:17" hidden="1" x14ac:dyDescent="0.4">
      <c r="A2682" s="4" t="s">
        <v>32</v>
      </c>
      <c r="B2682" s="4" t="s">
        <v>14</v>
      </c>
      <c r="C2682" s="31" t="s">
        <v>435</v>
      </c>
      <c r="D2682" s="4" t="s">
        <v>33</v>
      </c>
      <c r="E2682" s="4" t="s">
        <v>16</v>
      </c>
      <c r="F2682" s="4" t="s">
        <v>17</v>
      </c>
      <c r="G2682" s="4" t="s">
        <v>18</v>
      </c>
      <c r="H2682" s="4" t="s">
        <v>260</v>
      </c>
      <c r="I2682" s="5" t="str">
        <f t="shared" si="41"/>
        <v>2025-10</v>
      </c>
      <c r="J2682" s="4" t="s">
        <v>59</v>
      </c>
      <c r="K2682" s="5" t="s">
        <v>343</v>
      </c>
      <c r="L2682" s="2">
        <v>44000</v>
      </c>
      <c r="M2682" s="3">
        <v>1</v>
      </c>
      <c r="N2682" s="2">
        <v>44000</v>
      </c>
      <c r="O2682" s="2">
        <v>4400</v>
      </c>
      <c r="P2682" s="2">
        <v>48400</v>
      </c>
      <c r="Q2682" s="2">
        <f>P2682*12%</f>
        <v>5808</v>
      </c>
    </row>
    <row r="2683" spans="1:17" hidden="1" x14ac:dyDescent="0.4">
      <c r="A2683" s="4" t="s">
        <v>13</v>
      </c>
      <c r="B2683" s="4" t="s">
        <v>14</v>
      </c>
      <c r="C2683" s="30" t="s">
        <v>434</v>
      </c>
      <c r="D2683" s="4" t="s">
        <v>15</v>
      </c>
      <c r="E2683" s="4" t="s">
        <v>16</v>
      </c>
      <c r="F2683" s="4" t="s">
        <v>17</v>
      </c>
      <c r="G2683" s="4" t="s">
        <v>18</v>
      </c>
      <c r="H2683" s="4" t="s">
        <v>260</v>
      </c>
      <c r="I2683" s="5" t="str">
        <f t="shared" si="41"/>
        <v>2025-10</v>
      </c>
      <c r="J2683" s="4" t="s">
        <v>59</v>
      </c>
      <c r="K2683" s="5" t="s">
        <v>343</v>
      </c>
      <c r="L2683" s="2">
        <v>42000</v>
      </c>
      <c r="M2683" s="3">
        <v>3</v>
      </c>
      <c r="N2683" s="2">
        <v>126000</v>
      </c>
      <c r="O2683" s="2">
        <v>12600</v>
      </c>
      <c r="P2683" s="2">
        <v>138600</v>
      </c>
      <c r="Q2683" s="2">
        <f>P2683*12%</f>
        <v>16632</v>
      </c>
    </row>
    <row r="2684" spans="1:17" hidden="1" x14ac:dyDescent="0.4">
      <c r="A2684" s="4" t="s">
        <v>32</v>
      </c>
      <c r="B2684" s="4" t="s">
        <v>14</v>
      </c>
      <c r="C2684" s="31" t="s">
        <v>435</v>
      </c>
      <c r="D2684" s="4" t="s">
        <v>33</v>
      </c>
      <c r="E2684" s="4" t="s">
        <v>16</v>
      </c>
      <c r="F2684" s="4" t="s">
        <v>17</v>
      </c>
      <c r="G2684" s="4" t="s">
        <v>18</v>
      </c>
      <c r="H2684" s="4" t="s">
        <v>260</v>
      </c>
      <c r="I2684" s="5" t="str">
        <f t="shared" si="41"/>
        <v>2025-10</v>
      </c>
      <c r="J2684" s="4" t="s">
        <v>49</v>
      </c>
      <c r="K2684" s="5" t="s">
        <v>343</v>
      </c>
      <c r="L2684" s="2">
        <v>44000</v>
      </c>
      <c r="M2684" s="3">
        <v>7</v>
      </c>
      <c r="N2684" s="2">
        <v>308000</v>
      </c>
      <c r="O2684" s="2">
        <v>30800</v>
      </c>
      <c r="P2684" s="2">
        <v>338800</v>
      </c>
      <c r="Q2684" s="2">
        <f>P2684*12%</f>
        <v>40656</v>
      </c>
    </row>
    <row r="2685" spans="1:17" hidden="1" x14ac:dyDescent="0.4">
      <c r="A2685" s="4" t="s">
        <v>13</v>
      </c>
      <c r="B2685" s="4" t="s">
        <v>14</v>
      </c>
      <c r="C2685" s="30" t="s">
        <v>434</v>
      </c>
      <c r="D2685" s="4" t="s">
        <v>15</v>
      </c>
      <c r="E2685" s="4" t="s">
        <v>16</v>
      </c>
      <c r="F2685" s="4" t="s">
        <v>17</v>
      </c>
      <c r="G2685" s="4" t="s">
        <v>18</v>
      </c>
      <c r="H2685" s="4" t="s">
        <v>260</v>
      </c>
      <c r="I2685" s="5" t="str">
        <f t="shared" si="41"/>
        <v>2025-10</v>
      </c>
      <c r="J2685" s="4" t="s">
        <v>49</v>
      </c>
      <c r="K2685" s="5" t="s">
        <v>343</v>
      </c>
      <c r="L2685" s="2">
        <v>42000</v>
      </c>
      <c r="M2685" s="3">
        <v>7</v>
      </c>
      <c r="N2685" s="2">
        <v>294000</v>
      </c>
      <c r="O2685" s="2">
        <v>29400</v>
      </c>
      <c r="P2685" s="2">
        <v>323400</v>
      </c>
      <c r="Q2685" s="2">
        <f>P2685*12%</f>
        <v>38808</v>
      </c>
    </row>
    <row r="2686" spans="1:17" hidden="1" x14ac:dyDescent="0.4">
      <c r="A2686" s="4" t="s">
        <v>35</v>
      </c>
      <c r="B2686" s="4" t="s">
        <v>14</v>
      </c>
      <c r="C2686" s="30" t="s">
        <v>434</v>
      </c>
      <c r="D2686" s="4" t="s">
        <v>36</v>
      </c>
      <c r="E2686" s="4" t="s">
        <v>16</v>
      </c>
      <c r="F2686" s="4" t="s">
        <v>17</v>
      </c>
      <c r="G2686" s="4" t="s">
        <v>18</v>
      </c>
      <c r="H2686" s="4" t="s">
        <v>260</v>
      </c>
      <c r="I2686" s="5" t="str">
        <f t="shared" si="41"/>
        <v>2025-10</v>
      </c>
      <c r="J2686" s="4" t="s">
        <v>49</v>
      </c>
      <c r="K2686" s="5" t="s">
        <v>343</v>
      </c>
      <c r="L2686" s="2">
        <v>116220</v>
      </c>
      <c r="M2686" s="3">
        <v>1</v>
      </c>
      <c r="N2686" s="2">
        <v>116220</v>
      </c>
      <c r="O2686" s="2">
        <v>11622</v>
      </c>
      <c r="P2686" s="2">
        <v>127842</v>
      </c>
      <c r="Q2686" s="2">
        <f>P2686*12%</f>
        <v>15341.039999999999</v>
      </c>
    </row>
    <row r="2687" spans="1:17" hidden="1" x14ac:dyDescent="0.4">
      <c r="A2687" s="4" t="s">
        <v>23</v>
      </c>
      <c r="B2687" s="4" t="s">
        <v>14</v>
      </c>
      <c r="C2687" s="31" t="s">
        <v>435</v>
      </c>
      <c r="D2687" s="4" t="s">
        <v>24</v>
      </c>
      <c r="E2687" s="4" t="s">
        <v>16</v>
      </c>
      <c r="F2687" s="4" t="s">
        <v>17</v>
      </c>
      <c r="G2687" s="4" t="s">
        <v>18</v>
      </c>
      <c r="H2687" s="4" t="s">
        <v>260</v>
      </c>
      <c r="I2687" s="5" t="str">
        <f t="shared" si="41"/>
        <v>2025-10</v>
      </c>
      <c r="J2687" s="4" t="s">
        <v>49</v>
      </c>
      <c r="K2687" s="5" t="s">
        <v>343</v>
      </c>
      <c r="L2687" s="2">
        <v>55500</v>
      </c>
      <c r="M2687" s="3">
        <v>4</v>
      </c>
      <c r="N2687" s="2">
        <v>222000</v>
      </c>
      <c r="O2687" s="2">
        <v>22200</v>
      </c>
      <c r="P2687" s="2">
        <v>244200</v>
      </c>
      <c r="Q2687" s="2">
        <f>P2687*12%</f>
        <v>29304</v>
      </c>
    </row>
    <row r="2688" spans="1:17" hidden="1" x14ac:dyDescent="0.4">
      <c r="A2688" s="4" t="s">
        <v>51</v>
      </c>
      <c r="B2688" s="4" t="s">
        <v>14</v>
      </c>
      <c r="C2688" s="30" t="s">
        <v>434</v>
      </c>
      <c r="D2688" s="4" t="s">
        <v>52</v>
      </c>
      <c r="E2688" s="4" t="s">
        <v>16</v>
      </c>
      <c r="F2688" s="4" t="s">
        <v>17</v>
      </c>
      <c r="G2688" s="4" t="s">
        <v>18</v>
      </c>
      <c r="H2688" s="4" t="s">
        <v>260</v>
      </c>
      <c r="I2688" s="5" t="str">
        <f t="shared" si="41"/>
        <v>2025-10</v>
      </c>
      <c r="J2688" s="4" t="s">
        <v>49</v>
      </c>
      <c r="K2688" s="5" t="s">
        <v>343</v>
      </c>
      <c r="L2688" s="2">
        <v>73000</v>
      </c>
      <c r="M2688" s="3">
        <v>1</v>
      </c>
      <c r="N2688" s="2">
        <v>73000</v>
      </c>
      <c r="O2688" s="2">
        <v>7300</v>
      </c>
      <c r="P2688" s="2">
        <v>80300</v>
      </c>
      <c r="Q2688" s="2">
        <f>P2688*12%</f>
        <v>9636</v>
      </c>
    </row>
    <row r="2689" spans="1:17" x14ac:dyDescent="0.4">
      <c r="A2689" s="4" t="s">
        <v>13</v>
      </c>
      <c r="B2689" s="4" t="s">
        <v>14</v>
      </c>
      <c r="C2689" s="30" t="s">
        <v>434</v>
      </c>
      <c r="D2689" s="4" t="s">
        <v>15</v>
      </c>
      <c r="E2689" s="4" t="s">
        <v>16</v>
      </c>
      <c r="F2689" s="4" t="s">
        <v>17</v>
      </c>
      <c r="G2689" s="4" t="s">
        <v>18</v>
      </c>
      <c r="H2689" s="4" t="s">
        <v>261</v>
      </c>
      <c r="I2689" s="5" t="str">
        <f t="shared" si="41"/>
        <v>2025-10</v>
      </c>
      <c r="J2689" s="4" t="s">
        <v>20</v>
      </c>
      <c r="K2689" s="5" t="s">
        <v>342</v>
      </c>
      <c r="L2689" s="2">
        <v>42000</v>
      </c>
      <c r="M2689" s="3">
        <v>1</v>
      </c>
      <c r="N2689" s="2">
        <v>42000</v>
      </c>
      <c r="O2689" s="2">
        <v>4200</v>
      </c>
      <c r="P2689" s="2">
        <v>46200</v>
      </c>
      <c r="Q2689" s="2">
        <f>P2689*8.5%</f>
        <v>3927.0000000000005</v>
      </c>
    </row>
    <row r="2690" spans="1:17" x14ac:dyDescent="0.4">
      <c r="A2690" s="4" t="s">
        <v>21</v>
      </c>
      <c r="B2690" s="4" t="s">
        <v>14</v>
      </c>
      <c r="C2690" s="31" t="s">
        <v>435</v>
      </c>
      <c r="D2690" s="4" t="s">
        <v>22</v>
      </c>
      <c r="E2690" s="4" t="s">
        <v>16</v>
      </c>
      <c r="F2690" s="4" t="s">
        <v>17</v>
      </c>
      <c r="G2690" s="4" t="s">
        <v>18</v>
      </c>
      <c r="H2690" s="4" t="s">
        <v>261</v>
      </c>
      <c r="I2690" s="5" t="str">
        <f t="shared" ref="I2690:I2753" si="42">TEXT(H2690,"yyyy-mm")</f>
        <v>2025-10</v>
      </c>
      <c r="J2690" s="4" t="s">
        <v>20</v>
      </c>
      <c r="K2690" s="5" t="s">
        <v>342</v>
      </c>
      <c r="L2690" s="2">
        <v>55500</v>
      </c>
      <c r="M2690" s="3">
        <v>1</v>
      </c>
      <c r="N2690" s="2">
        <v>55500</v>
      </c>
      <c r="O2690" s="2">
        <v>5550</v>
      </c>
      <c r="P2690" s="2">
        <v>61050</v>
      </c>
      <c r="Q2690" s="2">
        <f>P2690*8.5%</f>
        <v>5189.25</v>
      </c>
    </row>
    <row r="2691" spans="1:17" x14ac:dyDescent="0.4">
      <c r="A2691" s="4" t="s">
        <v>23</v>
      </c>
      <c r="B2691" s="4" t="s">
        <v>14</v>
      </c>
      <c r="C2691" s="31" t="s">
        <v>435</v>
      </c>
      <c r="D2691" s="4" t="s">
        <v>24</v>
      </c>
      <c r="E2691" s="4" t="s">
        <v>16</v>
      </c>
      <c r="F2691" s="4" t="s">
        <v>17</v>
      </c>
      <c r="G2691" s="4" t="s">
        <v>18</v>
      </c>
      <c r="H2691" s="4" t="s">
        <v>261</v>
      </c>
      <c r="I2691" s="5" t="str">
        <f t="shared" si="42"/>
        <v>2025-10</v>
      </c>
      <c r="J2691" s="4" t="s">
        <v>20</v>
      </c>
      <c r="K2691" s="5" t="s">
        <v>342</v>
      </c>
      <c r="L2691" s="2">
        <v>55500</v>
      </c>
      <c r="M2691" s="3">
        <v>3</v>
      </c>
      <c r="N2691" s="2">
        <v>166500</v>
      </c>
      <c r="O2691" s="2">
        <v>16650</v>
      </c>
      <c r="P2691" s="2">
        <v>183150</v>
      </c>
      <c r="Q2691" s="2">
        <f>P2691*8.5%</f>
        <v>15567.750000000002</v>
      </c>
    </row>
    <row r="2692" spans="1:17" x14ac:dyDescent="0.4">
      <c r="A2692" s="4" t="s">
        <v>76</v>
      </c>
      <c r="B2692" s="4" t="s">
        <v>65</v>
      </c>
      <c r="C2692" s="32" t="s">
        <v>436</v>
      </c>
      <c r="D2692" s="4" t="s">
        <v>27</v>
      </c>
      <c r="E2692" s="4" t="s">
        <v>28</v>
      </c>
      <c r="F2692" s="4" t="s">
        <v>17</v>
      </c>
      <c r="G2692" s="4" t="s">
        <v>18</v>
      </c>
      <c r="H2692" s="4" t="s">
        <v>261</v>
      </c>
      <c r="I2692" s="5" t="str">
        <f t="shared" si="42"/>
        <v>2025-10</v>
      </c>
      <c r="J2692" s="4" t="s">
        <v>20</v>
      </c>
      <c r="K2692" s="5" t="s">
        <v>342</v>
      </c>
      <c r="L2692" s="2">
        <v>17338</v>
      </c>
      <c r="M2692" s="3">
        <v>1</v>
      </c>
      <c r="N2692" s="2">
        <v>17338</v>
      </c>
      <c r="O2692" s="2">
        <v>1734</v>
      </c>
      <c r="P2692" s="2">
        <v>19072</v>
      </c>
      <c r="Q2692" s="2">
        <f>P2692*8.5%</f>
        <v>1621.1200000000001</v>
      </c>
    </row>
    <row r="2693" spans="1:17" x14ac:dyDescent="0.4">
      <c r="A2693" s="4" t="s">
        <v>100</v>
      </c>
      <c r="B2693" s="4" t="s">
        <v>26</v>
      </c>
      <c r="C2693" s="32" t="s">
        <v>436</v>
      </c>
      <c r="D2693" s="4" t="s">
        <v>101</v>
      </c>
      <c r="E2693" s="4" t="s">
        <v>28</v>
      </c>
      <c r="F2693" s="4" t="s">
        <v>17</v>
      </c>
      <c r="G2693" s="4" t="s">
        <v>18</v>
      </c>
      <c r="H2693" s="4" t="s">
        <v>261</v>
      </c>
      <c r="I2693" s="5" t="str">
        <f t="shared" si="42"/>
        <v>2025-10</v>
      </c>
      <c r="J2693" s="4" t="s">
        <v>20</v>
      </c>
      <c r="K2693" s="5" t="s">
        <v>342</v>
      </c>
      <c r="L2693" s="2">
        <v>5620</v>
      </c>
      <c r="M2693" s="3">
        <v>4</v>
      </c>
      <c r="N2693" s="2">
        <v>22480</v>
      </c>
      <c r="O2693" s="2">
        <v>2248</v>
      </c>
      <c r="P2693" s="2">
        <v>24728</v>
      </c>
      <c r="Q2693" s="2">
        <f>P2693*8.5%</f>
        <v>2101.88</v>
      </c>
    </row>
    <row r="2694" spans="1:17" hidden="1" x14ac:dyDescent="0.4">
      <c r="A2694" s="4" t="s">
        <v>32</v>
      </c>
      <c r="B2694" s="4" t="s">
        <v>14</v>
      </c>
      <c r="C2694" s="31" t="s">
        <v>435</v>
      </c>
      <c r="D2694" s="4" t="s">
        <v>33</v>
      </c>
      <c r="E2694" s="4" t="s">
        <v>16</v>
      </c>
      <c r="F2694" s="4" t="s">
        <v>17</v>
      </c>
      <c r="G2694" s="4" t="s">
        <v>18</v>
      </c>
      <c r="H2694" s="4" t="s">
        <v>261</v>
      </c>
      <c r="I2694" s="5" t="str">
        <f t="shared" si="42"/>
        <v>2025-10</v>
      </c>
      <c r="J2694" s="4" t="s">
        <v>118</v>
      </c>
      <c r="K2694" s="5" t="s">
        <v>342</v>
      </c>
      <c r="L2694" s="2">
        <v>44000</v>
      </c>
      <c r="M2694" s="3">
        <v>1</v>
      </c>
      <c r="N2694" s="2">
        <v>44000</v>
      </c>
      <c r="O2694" s="2">
        <v>4400</v>
      </c>
      <c r="P2694" s="2">
        <v>48400</v>
      </c>
      <c r="Q2694" s="2">
        <f>P2694*8.5%</f>
        <v>4114</v>
      </c>
    </row>
    <row r="2695" spans="1:17" hidden="1" x14ac:dyDescent="0.4">
      <c r="A2695" s="4" t="s">
        <v>13</v>
      </c>
      <c r="B2695" s="4" t="s">
        <v>14</v>
      </c>
      <c r="C2695" s="30" t="s">
        <v>434</v>
      </c>
      <c r="D2695" s="4" t="s">
        <v>15</v>
      </c>
      <c r="E2695" s="4" t="s">
        <v>16</v>
      </c>
      <c r="F2695" s="4" t="s">
        <v>17</v>
      </c>
      <c r="G2695" s="4" t="s">
        <v>18</v>
      </c>
      <c r="H2695" s="4" t="s">
        <v>261</v>
      </c>
      <c r="I2695" s="5" t="str">
        <f t="shared" si="42"/>
        <v>2025-10</v>
      </c>
      <c r="J2695" s="4" t="s">
        <v>118</v>
      </c>
      <c r="K2695" s="5" t="s">
        <v>342</v>
      </c>
      <c r="L2695" s="2">
        <v>42000</v>
      </c>
      <c r="M2695" s="3">
        <v>1</v>
      </c>
      <c r="N2695" s="2">
        <v>42000</v>
      </c>
      <c r="O2695" s="2">
        <v>4200</v>
      </c>
      <c r="P2695" s="2">
        <v>46200</v>
      </c>
      <c r="Q2695" s="2">
        <f>P2695*8.5%</f>
        <v>3927.0000000000005</v>
      </c>
    </row>
    <row r="2696" spans="1:17" hidden="1" x14ac:dyDescent="0.4">
      <c r="A2696" s="4" t="s">
        <v>23</v>
      </c>
      <c r="B2696" s="4" t="s">
        <v>14</v>
      </c>
      <c r="C2696" s="31" t="s">
        <v>435</v>
      </c>
      <c r="D2696" s="4" t="s">
        <v>24</v>
      </c>
      <c r="E2696" s="4" t="s">
        <v>16</v>
      </c>
      <c r="F2696" s="4" t="s">
        <v>17</v>
      </c>
      <c r="G2696" s="4" t="s">
        <v>18</v>
      </c>
      <c r="H2696" s="4" t="s">
        <v>261</v>
      </c>
      <c r="I2696" s="5" t="str">
        <f t="shared" si="42"/>
        <v>2025-10</v>
      </c>
      <c r="J2696" s="4" t="s">
        <v>118</v>
      </c>
      <c r="K2696" s="5" t="s">
        <v>342</v>
      </c>
      <c r="L2696" s="2">
        <v>55500</v>
      </c>
      <c r="M2696" s="3">
        <v>1</v>
      </c>
      <c r="N2696" s="2">
        <v>55500</v>
      </c>
      <c r="O2696" s="2">
        <v>5550</v>
      </c>
      <c r="P2696" s="2">
        <v>61050</v>
      </c>
      <c r="Q2696" s="2">
        <f>P2696*8.5%</f>
        <v>5189.25</v>
      </c>
    </row>
    <row r="2697" spans="1:17" hidden="1" x14ac:dyDescent="0.4">
      <c r="A2697" s="4" t="s">
        <v>32</v>
      </c>
      <c r="B2697" s="4" t="s">
        <v>14</v>
      </c>
      <c r="C2697" s="31" t="s">
        <v>435</v>
      </c>
      <c r="D2697" s="4" t="s">
        <v>33</v>
      </c>
      <c r="E2697" s="4" t="s">
        <v>16</v>
      </c>
      <c r="F2697" s="4" t="s">
        <v>17</v>
      </c>
      <c r="G2697" s="4" t="s">
        <v>18</v>
      </c>
      <c r="H2697" s="4" t="s">
        <v>261</v>
      </c>
      <c r="I2697" s="5" t="str">
        <f t="shared" si="42"/>
        <v>2025-10</v>
      </c>
      <c r="J2697" s="4" t="s">
        <v>59</v>
      </c>
      <c r="K2697" s="5" t="s">
        <v>343</v>
      </c>
      <c r="L2697" s="2">
        <v>44000</v>
      </c>
      <c r="M2697" s="3">
        <v>1</v>
      </c>
      <c r="N2697" s="2">
        <v>44000</v>
      </c>
      <c r="O2697" s="2">
        <v>4400</v>
      </c>
      <c r="P2697" s="2">
        <v>48400</v>
      </c>
      <c r="Q2697" s="2">
        <f>P2697*12%</f>
        <v>5808</v>
      </c>
    </row>
    <row r="2698" spans="1:17" hidden="1" x14ac:dyDescent="0.4">
      <c r="A2698" s="4" t="s">
        <v>13</v>
      </c>
      <c r="B2698" s="4" t="s">
        <v>14</v>
      </c>
      <c r="C2698" s="30" t="s">
        <v>434</v>
      </c>
      <c r="D2698" s="4" t="s">
        <v>15</v>
      </c>
      <c r="E2698" s="4" t="s">
        <v>16</v>
      </c>
      <c r="F2698" s="4" t="s">
        <v>17</v>
      </c>
      <c r="G2698" s="4" t="s">
        <v>18</v>
      </c>
      <c r="H2698" s="4" t="s">
        <v>261</v>
      </c>
      <c r="I2698" s="5" t="str">
        <f t="shared" si="42"/>
        <v>2025-10</v>
      </c>
      <c r="J2698" s="4" t="s">
        <v>59</v>
      </c>
      <c r="K2698" s="5" t="s">
        <v>343</v>
      </c>
      <c r="L2698" s="2">
        <v>42000</v>
      </c>
      <c r="M2698" s="3">
        <v>2</v>
      </c>
      <c r="N2698" s="2">
        <v>84000</v>
      </c>
      <c r="O2698" s="2">
        <v>8400</v>
      </c>
      <c r="P2698" s="2">
        <v>92400</v>
      </c>
      <c r="Q2698" s="2">
        <f>P2698*12%</f>
        <v>11088</v>
      </c>
    </row>
    <row r="2699" spans="1:17" hidden="1" x14ac:dyDescent="0.4">
      <c r="A2699" s="4" t="s">
        <v>23</v>
      </c>
      <c r="B2699" s="4" t="s">
        <v>14</v>
      </c>
      <c r="C2699" s="31" t="s">
        <v>435</v>
      </c>
      <c r="D2699" s="4" t="s">
        <v>24</v>
      </c>
      <c r="E2699" s="4" t="s">
        <v>16</v>
      </c>
      <c r="F2699" s="4" t="s">
        <v>17</v>
      </c>
      <c r="G2699" s="4" t="s">
        <v>18</v>
      </c>
      <c r="H2699" s="4" t="s">
        <v>261</v>
      </c>
      <c r="I2699" s="5" t="str">
        <f t="shared" si="42"/>
        <v>2025-10</v>
      </c>
      <c r="J2699" s="4" t="s">
        <v>59</v>
      </c>
      <c r="K2699" s="5" t="s">
        <v>343</v>
      </c>
      <c r="L2699" s="2">
        <v>55500</v>
      </c>
      <c r="M2699" s="3">
        <v>1</v>
      </c>
      <c r="N2699" s="2">
        <v>55500</v>
      </c>
      <c r="O2699" s="2">
        <v>5550</v>
      </c>
      <c r="P2699" s="2">
        <v>61050</v>
      </c>
      <c r="Q2699" s="2">
        <f>P2699*12%</f>
        <v>7326</v>
      </c>
    </row>
    <row r="2700" spans="1:17" hidden="1" x14ac:dyDescent="0.4">
      <c r="A2700" s="4" t="s">
        <v>32</v>
      </c>
      <c r="B2700" s="4" t="s">
        <v>14</v>
      </c>
      <c r="C2700" s="31" t="s">
        <v>435</v>
      </c>
      <c r="D2700" s="4" t="s">
        <v>33</v>
      </c>
      <c r="E2700" s="4" t="s">
        <v>16</v>
      </c>
      <c r="F2700" s="4" t="s">
        <v>17</v>
      </c>
      <c r="G2700" s="4" t="s">
        <v>18</v>
      </c>
      <c r="H2700" s="4" t="s">
        <v>261</v>
      </c>
      <c r="I2700" s="5" t="str">
        <f t="shared" si="42"/>
        <v>2025-10</v>
      </c>
      <c r="J2700" s="4" t="s">
        <v>49</v>
      </c>
      <c r="K2700" s="5" t="s">
        <v>343</v>
      </c>
      <c r="L2700" s="2">
        <v>44000</v>
      </c>
      <c r="M2700" s="3">
        <v>4</v>
      </c>
      <c r="N2700" s="2">
        <v>176000</v>
      </c>
      <c r="O2700" s="2">
        <v>17600</v>
      </c>
      <c r="P2700" s="2">
        <v>193600</v>
      </c>
      <c r="Q2700" s="2">
        <f>P2700*12%</f>
        <v>23232</v>
      </c>
    </row>
    <row r="2701" spans="1:17" hidden="1" x14ac:dyDescent="0.4">
      <c r="A2701" s="4" t="s">
        <v>13</v>
      </c>
      <c r="B2701" s="4" t="s">
        <v>14</v>
      </c>
      <c r="C2701" s="30" t="s">
        <v>434</v>
      </c>
      <c r="D2701" s="4" t="s">
        <v>15</v>
      </c>
      <c r="E2701" s="4" t="s">
        <v>16</v>
      </c>
      <c r="F2701" s="4" t="s">
        <v>17</v>
      </c>
      <c r="G2701" s="4" t="s">
        <v>18</v>
      </c>
      <c r="H2701" s="4" t="s">
        <v>261</v>
      </c>
      <c r="I2701" s="5" t="str">
        <f t="shared" si="42"/>
        <v>2025-10</v>
      </c>
      <c r="J2701" s="4" t="s">
        <v>49</v>
      </c>
      <c r="K2701" s="5" t="s">
        <v>343</v>
      </c>
      <c r="L2701" s="2">
        <v>42000</v>
      </c>
      <c r="M2701" s="3">
        <v>6</v>
      </c>
      <c r="N2701" s="2">
        <v>252000</v>
      </c>
      <c r="O2701" s="2">
        <v>25200</v>
      </c>
      <c r="P2701" s="2">
        <v>277200</v>
      </c>
      <c r="Q2701" s="2">
        <f>P2701*12%</f>
        <v>33264</v>
      </c>
    </row>
    <row r="2702" spans="1:17" hidden="1" x14ac:dyDescent="0.4">
      <c r="A2702" s="4" t="s">
        <v>35</v>
      </c>
      <c r="B2702" s="4" t="s">
        <v>14</v>
      </c>
      <c r="C2702" s="30" t="s">
        <v>434</v>
      </c>
      <c r="D2702" s="4" t="s">
        <v>36</v>
      </c>
      <c r="E2702" s="4" t="s">
        <v>16</v>
      </c>
      <c r="F2702" s="4" t="s">
        <v>17</v>
      </c>
      <c r="G2702" s="4" t="s">
        <v>18</v>
      </c>
      <c r="H2702" s="4" t="s">
        <v>261</v>
      </c>
      <c r="I2702" s="5" t="str">
        <f t="shared" si="42"/>
        <v>2025-10</v>
      </c>
      <c r="J2702" s="4" t="s">
        <v>49</v>
      </c>
      <c r="K2702" s="5" t="s">
        <v>343</v>
      </c>
      <c r="L2702" s="2">
        <v>116220</v>
      </c>
      <c r="M2702" s="3">
        <v>1</v>
      </c>
      <c r="N2702" s="2">
        <v>116220</v>
      </c>
      <c r="O2702" s="2">
        <v>11622</v>
      </c>
      <c r="P2702" s="2">
        <v>127842</v>
      </c>
      <c r="Q2702" s="2">
        <f>P2702*12%</f>
        <v>15341.039999999999</v>
      </c>
    </row>
    <row r="2703" spans="1:17" hidden="1" x14ac:dyDescent="0.4">
      <c r="A2703" s="4" t="s">
        <v>23</v>
      </c>
      <c r="B2703" s="4" t="s">
        <v>14</v>
      </c>
      <c r="C2703" s="31" t="s">
        <v>435</v>
      </c>
      <c r="D2703" s="4" t="s">
        <v>24</v>
      </c>
      <c r="E2703" s="4" t="s">
        <v>16</v>
      </c>
      <c r="F2703" s="4" t="s">
        <v>17</v>
      </c>
      <c r="G2703" s="4" t="s">
        <v>18</v>
      </c>
      <c r="H2703" s="4" t="s">
        <v>261</v>
      </c>
      <c r="I2703" s="5" t="str">
        <f t="shared" si="42"/>
        <v>2025-10</v>
      </c>
      <c r="J2703" s="4" t="s">
        <v>49</v>
      </c>
      <c r="K2703" s="5" t="s">
        <v>343</v>
      </c>
      <c r="L2703" s="2">
        <v>55500</v>
      </c>
      <c r="M2703" s="3">
        <v>4</v>
      </c>
      <c r="N2703" s="2">
        <v>222000</v>
      </c>
      <c r="O2703" s="2">
        <v>22200</v>
      </c>
      <c r="P2703" s="2">
        <v>244200</v>
      </c>
      <c r="Q2703" s="2">
        <f>P2703*12%</f>
        <v>29304</v>
      </c>
    </row>
    <row r="2704" spans="1:17" hidden="1" x14ac:dyDescent="0.4">
      <c r="A2704" s="4" t="s">
        <v>51</v>
      </c>
      <c r="B2704" s="4" t="s">
        <v>14</v>
      </c>
      <c r="C2704" s="30" t="s">
        <v>434</v>
      </c>
      <c r="D2704" s="4" t="s">
        <v>52</v>
      </c>
      <c r="E2704" s="4" t="s">
        <v>16</v>
      </c>
      <c r="F2704" s="4" t="s">
        <v>17</v>
      </c>
      <c r="G2704" s="4" t="s">
        <v>18</v>
      </c>
      <c r="H2704" s="4" t="s">
        <v>261</v>
      </c>
      <c r="I2704" s="5" t="str">
        <f t="shared" si="42"/>
        <v>2025-10</v>
      </c>
      <c r="J2704" s="4" t="s">
        <v>49</v>
      </c>
      <c r="K2704" s="5" t="s">
        <v>343</v>
      </c>
      <c r="L2704" s="2">
        <v>73000</v>
      </c>
      <c r="M2704" s="3">
        <v>1</v>
      </c>
      <c r="N2704" s="2">
        <v>73000</v>
      </c>
      <c r="O2704" s="2">
        <v>7300</v>
      </c>
      <c r="P2704" s="2">
        <v>80300</v>
      </c>
      <c r="Q2704" s="2">
        <f>P2704*12%</f>
        <v>9636</v>
      </c>
    </row>
    <row r="2705" spans="1:17" hidden="1" x14ac:dyDescent="0.4">
      <c r="A2705" s="4" t="s">
        <v>13</v>
      </c>
      <c r="B2705" s="4" t="s">
        <v>14</v>
      </c>
      <c r="C2705" s="30" t="s">
        <v>434</v>
      </c>
      <c r="D2705" s="4" t="s">
        <v>15</v>
      </c>
      <c r="E2705" s="4" t="s">
        <v>16</v>
      </c>
      <c r="F2705" s="4" t="s">
        <v>17</v>
      </c>
      <c r="G2705" s="4" t="s">
        <v>18</v>
      </c>
      <c r="H2705" s="4" t="s">
        <v>261</v>
      </c>
      <c r="I2705" s="5" t="str">
        <f t="shared" si="42"/>
        <v>2025-10</v>
      </c>
      <c r="J2705" s="4" t="s">
        <v>50</v>
      </c>
      <c r="K2705" s="5" t="s">
        <v>343</v>
      </c>
      <c r="L2705" s="2">
        <v>42000</v>
      </c>
      <c r="M2705" s="3">
        <v>7</v>
      </c>
      <c r="N2705" s="2">
        <v>294000</v>
      </c>
      <c r="O2705" s="2">
        <v>29400</v>
      </c>
      <c r="P2705" s="2">
        <v>323400</v>
      </c>
      <c r="Q2705" s="2">
        <f>P2705*12%</f>
        <v>38808</v>
      </c>
    </row>
    <row r="2706" spans="1:17" hidden="1" x14ac:dyDescent="0.4">
      <c r="A2706" s="4" t="s">
        <v>23</v>
      </c>
      <c r="B2706" s="4" t="s">
        <v>14</v>
      </c>
      <c r="C2706" s="31" t="s">
        <v>435</v>
      </c>
      <c r="D2706" s="4" t="s">
        <v>24</v>
      </c>
      <c r="E2706" s="4" t="s">
        <v>16</v>
      </c>
      <c r="F2706" s="4" t="s">
        <v>17</v>
      </c>
      <c r="G2706" s="4" t="s">
        <v>18</v>
      </c>
      <c r="H2706" s="4" t="s">
        <v>261</v>
      </c>
      <c r="I2706" s="5" t="str">
        <f t="shared" si="42"/>
        <v>2025-10</v>
      </c>
      <c r="J2706" s="4" t="s">
        <v>50</v>
      </c>
      <c r="K2706" s="5" t="s">
        <v>343</v>
      </c>
      <c r="L2706" s="2">
        <v>55500</v>
      </c>
      <c r="M2706" s="3">
        <v>3</v>
      </c>
      <c r="N2706" s="2">
        <v>166500</v>
      </c>
      <c r="O2706" s="2">
        <v>16650</v>
      </c>
      <c r="P2706" s="2">
        <v>183150</v>
      </c>
      <c r="Q2706" s="2">
        <f>P2706*12%</f>
        <v>21978</v>
      </c>
    </row>
    <row r="2707" spans="1:17" hidden="1" x14ac:dyDescent="0.4">
      <c r="A2707" s="4" t="s">
        <v>51</v>
      </c>
      <c r="B2707" s="4" t="s">
        <v>14</v>
      </c>
      <c r="C2707" s="30" t="s">
        <v>434</v>
      </c>
      <c r="D2707" s="4" t="s">
        <v>52</v>
      </c>
      <c r="E2707" s="4" t="s">
        <v>16</v>
      </c>
      <c r="F2707" s="4" t="s">
        <v>17</v>
      </c>
      <c r="G2707" s="4" t="s">
        <v>18</v>
      </c>
      <c r="H2707" s="4" t="s">
        <v>261</v>
      </c>
      <c r="I2707" s="5" t="str">
        <f t="shared" si="42"/>
        <v>2025-10</v>
      </c>
      <c r="J2707" s="4" t="s">
        <v>50</v>
      </c>
      <c r="K2707" s="5" t="s">
        <v>343</v>
      </c>
      <c r="L2707" s="2">
        <v>73000</v>
      </c>
      <c r="M2707" s="3">
        <v>1</v>
      </c>
      <c r="N2707" s="2">
        <v>73000</v>
      </c>
      <c r="O2707" s="2">
        <v>7300</v>
      </c>
      <c r="P2707" s="2">
        <v>80300</v>
      </c>
      <c r="Q2707" s="2">
        <f>P2707*12%</f>
        <v>9636</v>
      </c>
    </row>
    <row r="2708" spans="1:17" x14ac:dyDescent="0.4">
      <c r="A2708" s="4" t="s">
        <v>13</v>
      </c>
      <c r="B2708" s="4" t="s">
        <v>14</v>
      </c>
      <c r="C2708" s="30" t="s">
        <v>434</v>
      </c>
      <c r="D2708" s="4" t="s">
        <v>15</v>
      </c>
      <c r="E2708" s="4" t="s">
        <v>16</v>
      </c>
      <c r="F2708" s="4" t="s">
        <v>17</v>
      </c>
      <c r="G2708" s="4" t="s">
        <v>18</v>
      </c>
      <c r="H2708" s="4" t="s">
        <v>262</v>
      </c>
      <c r="I2708" s="5" t="str">
        <f t="shared" si="42"/>
        <v>2025-10</v>
      </c>
      <c r="J2708" s="4" t="s">
        <v>20</v>
      </c>
      <c r="K2708" s="5" t="s">
        <v>342</v>
      </c>
      <c r="L2708" s="2">
        <v>42000</v>
      </c>
      <c r="M2708" s="3">
        <v>1</v>
      </c>
      <c r="N2708" s="2">
        <v>42000</v>
      </c>
      <c r="O2708" s="2">
        <v>4200</v>
      </c>
      <c r="P2708" s="2">
        <v>46200</v>
      </c>
      <c r="Q2708" s="2">
        <f>P2708*8.5%</f>
        <v>3927.0000000000005</v>
      </c>
    </row>
    <row r="2709" spans="1:17" x14ac:dyDescent="0.4">
      <c r="A2709" s="4" t="s">
        <v>21</v>
      </c>
      <c r="B2709" s="4" t="s">
        <v>14</v>
      </c>
      <c r="C2709" s="31" t="s">
        <v>435</v>
      </c>
      <c r="D2709" s="4" t="s">
        <v>22</v>
      </c>
      <c r="E2709" s="4" t="s">
        <v>16</v>
      </c>
      <c r="F2709" s="4" t="s">
        <v>17</v>
      </c>
      <c r="G2709" s="4" t="s">
        <v>18</v>
      </c>
      <c r="H2709" s="4" t="s">
        <v>262</v>
      </c>
      <c r="I2709" s="5" t="str">
        <f t="shared" si="42"/>
        <v>2025-10</v>
      </c>
      <c r="J2709" s="4" t="s">
        <v>20</v>
      </c>
      <c r="K2709" s="5" t="s">
        <v>342</v>
      </c>
      <c r="L2709" s="2">
        <v>55500</v>
      </c>
      <c r="M2709" s="3">
        <v>2</v>
      </c>
      <c r="N2709" s="2">
        <v>111000</v>
      </c>
      <c r="O2709" s="2">
        <v>11100</v>
      </c>
      <c r="P2709" s="2">
        <v>122100</v>
      </c>
      <c r="Q2709" s="2">
        <f>P2709*8.5%</f>
        <v>10378.5</v>
      </c>
    </row>
    <row r="2710" spans="1:17" x14ac:dyDescent="0.4">
      <c r="A2710" s="4" t="s">
        <v>23</v>
      </c>
      <c r="B2710" s="4" t="s">
        <v>14</v>
      </c>
      <c r="C2710" s="31" t="s">
        <v>435</v>
      </c>
      <c r="D2710" s="4" t="s">
        <v>24</v>
      </c>
      <c r="E2710" s="4" t="s">
        <v>16</v>
      </c>
      <c r="F2710" s="4" t="s">
        <v>17</v>
      </c>
      <c r="G2710" s="4" t="s">
        <v>18</v>
      </c>
      <c r="H2710" s="4" t="s">
        <v>262</v>
      </c>
      <c r="I2710" s="5" t="str">
        <f t="shared" si="42"/>
        <v>2025-10</v>
      </c>
      <c r="J2710" s="4" t="s">
        <v>20</v>
      </c>
      <c r="K2710" s="5" t="s">
        <v>342</v>
      </c>
      <c r="L2710" s="2">
        <v>55500</v>
      </c>
      <c r="M2710" s="3">
        <v>2</v>
      </c>
      <c r="N2710" s="2">
        <v>111000</v>
      </c>
      <c r="O2710" s="2">
        <v>11100</v>
      </c>
      <c r="P2710" s="2">
        <v>122100</v>
      </c>
      <c r="Q2710" s="2">
        <f>P2710*8.5%</f>
        <v>10378.5</v>
      </c>
    </row>
    <row r="2711" spans="1:17" x14ac:dyDescent="0.4">
      <c r="A2711" s="4" t="s">
        <v>56</v>
      </c>
      <c r="B2711" s="4" t="s">
        <v>26</v>
      </c>
      <c r="C2711" s="32" t="s">
        <v>436</v>
      </c>
      <c r="D2711" s="4" t="s">
        <v>57</v>
      </c>
      <c r="E2711" s="4" t="s">
        <v>44</v>
      </c>
      <c r="F2711" s="4" t="s">
        <v>31</v>
      </c>
      <c r="G2711" s="4" t="s">
        <v>18</v>
      </c>
      <c r="H2711" s="4" t="s">
        <v>262</v>
      </c>
      <c r="I2711" s="5" t="str">
        <f t="shared" si="42"/>
        <v>2025-10</v>
      </c>
      <c r="J2711" s="4" t="s">
        <v>20</v>
      </c>
      <c r="K2711" s="5" t="s">
        <v>342</v>
      </c>
      <c r="L2711" s="2">
        <v>3671</v>
      </c>
      <c r="M2711" s="3">
        <v>20</v>
      </c>
      <c r="N2711" s="2">
        <v>73420</v>
      </c>
      <c r="O2711" s="2">
        <v>0</v>
      </c>
      <c r="P2711" s="2">
        <v>73420</v>
      </c>
      <c r="Q2711" s="2">
        <f>P2711*8.5%</f>
        <v>6240.7000000000007</v>
      </c>
    </row>
    <row r="2712" spans="1:17" hidden="1" x14ac:dyDescent="0.4">
      <c r="A2712" s="4" t="s">
        <v>13</v>
      </c>
      <c r="B2712" s="4" t="s">
        <v>14</v>
      </c>
      <c r="C2712" s="30" t="s">
        <v>434</v>
      </c>
      <c r="D2712" s="4" t="s">
        <v>15</v>
      </c>
      <c r="E2712" s="4" t="s">
        <v>16</v>
      </c>
      <c r="F2712" s="4" t="s">
        <v>17</v>
      </c>
      <c r="G2712" s="4" t="s">
        <v>18</v>
      </c>
      <c r="H2712" s="4" t="s">
        <v>262</v>
      </c>
      <c r="I2712" s="5" t="str">
        <f t="shared" si="42"/>
        <v>2025-10</v>
      </c>
      <c r="J2712" s="4" t="s">
        <v>34</v>
      </c>
      <c r="K2712" s="5" t="s">
        <v>342</v>
      </c>
      <c r="L2712" s="2">
        <v>42000</v>
      </c>
      <c r="M2712" s="3">
        <v>2</v>
      </c>
      <c r="N2712" s="2">
        <v>84000</v>
      </c>
      <c r="O2712" s="2">
        <v>8400</v>
      </c>
      <c r="P2712" s="2">
        <v>92400</v>
      </c>
      <c r="Q2712" s="2">
        <f>P2712*8.5%</f>
        <v>7854.0000000000009</v>
      </c>
    </row>
    <row r="2713" spans="1:17" hidden="1" x14ac:dyDescent="0.4">
      <c r="A2713" s="4" t="s">
        <v>21</v>
      </c>
      <c r="B2713" s="4" t="s">
        <v>14</v>
      </c>
      <c r="C2713" s="31" t="s">
        <v>435</v>
      </c>
      <c r="D2713" s="4" t="s">
        <v>22</v>
      </c>
      <c r="E2713" s="4" t="s">
        <v>16</v>
      </c>
      <c r="F2713" s="4" t="s">
        <v>17</v>
      </c>
      <c r="G2713" s="4" t="s">
        <v>18</v>
      </c>
      <c r="H2713" s="4" t="s">
        <v>262</v>
      </c>
      <c r="I2713" s="5" t="str">
        <f t="shared" si="42"/>
        <v>2025-10</v>
      </c>
      <c r="J2713" s="4" t="s">
        <v>34</v>
      </c>
      <c r="K2713" s="5" t="s">
        <v>342</v>
      </c>
      <c r="L2713" s="2">
        <v>55500</v>
      </c>
      <c r="M2713" s="3">
        <v>1</v>
      </c>
      <c r="N2713" s="2">
        <v>55500</v>
      </c>
      <c r="O2713" s="2">
        <v>5550</v>
      </c>
      <c r="P2713" s="2">
        <v>61050</v>
      </c>
      <c r="Q2713" s="2">
        <f>P2713*8.5%</f>
        <v>5189.25</v>
      </c>
    </row>
    <row r="2714" spans="1:17" hidden="1" x14ac:dyDescent="0.4">
      <c r="A2714" s="4" t="s">
        <v>23</v>
      </c>
      <c r="B2714" s="4" t="s">
        <v>14</v>
      </c>
      <c r="C2714" s="31" t="s">
        <v>435</v>
      </c>
      <c r="D2714" s="4" t="s">
        <v>24</v>
      </c>
      <c r="E2714" s="4" t="s">
        <v>16</v>
      </c>
      <c r="F2714" s="4" t="s">
        <v>17</v>
      </c>
      <c r="G2714" s="4" t="s">
        <v>18</v>
      </c>
      <c r="H2714" s="4" t="s">
        <v>262</v>
      </c>
      <c r="I2714" s="5" t="str">
        <f t="shared" si="42"/>
        <v>2025-10</v>
      </c>
      <c r="J2714" s="4" t="s">
        <v>34</v>
      </c>
      <c r="K2714" s="5" t="s">
        <v>342</v>
      </c>
      <c r="L2714" s="2">
        <v>55500</v>
      </c>
      <c r="M2714" s="3">
        <v>4</v>
      </c>
      <c r="N2714" s="2">
        <v>222000</v>
      </c>
      <c r="O2714" s="2">
        <v>22200</v>
      </c>
      <c r="P2714" s="2">
        <v>244200</v>
      </c>
      <c r="Q2714" s="2">
        <f>P2714*8.5%</f>
        <v>20757</v>
      </c>
    </row>
    <row r="2715" spans="1:17" hidden="1" x14ac:dyDescent="0.4">
      <c r="A2715" s="4" t="s">
        <v>51</v>
      </c>
      <c r="B2715" s="4" t="s">
        <v>14</v>
      </c>
      <c r="C2715" s="30" t="s">
        <v>434</v>
      </c>
      <c r="D2715" s="4" t="s">
        <v>52</v>
      </c>
      <c r="E2715" s="4" t="s">
        <v>16</v>
      </c>
      <c r="F2715" s="4" t="s">
        <v>17</v>
      </c>
      <c r="G2715" s="4" t="s">
        <v>18</v>
      </c>
      <c r="H2715" s="4" t="s">
        <v>262</v>
      </c>
      <c r="I2715" s="5" t="str">
        <f t="shared" si="42"/>
        <v>2025-10</v>
      </c>
      <c r="J2715" s="4" t="s">
        <v>34</v>
      </c>
      <c r="K2715" s="5" t="s">
        <v>342</v>
      </c>
      <c r="L2715" s="2">
        <v>73000</v>
      </c>
      <c r="M2715" s="3">
        <v>1</v>
      </c>
      <c r="N2715" s="2">
        <v>73000</v>
      </c>
      <c r="O2715" s="2">
        <v>7300</v>
      </c>
      <c r="P2715" s="2">
        <v>80300</v>
      </c>
      <c r="Q2715" s="2">
        <f>P2715*8.5%</f>
        <v>6825.5000000000009</v>
      </c>
    </row>
    <row r="2716" spans="1:17" hidden="1" x14ac:dyDescent="0.4">
      <c r="A2716" s="4" t="s">
        <v>42</v>
      </c>
      <c r="B2716" s="4" t="s">
        <v>14</v>
      </c>
      <c r="C2716" s="30" t="s">
        <v>434</v>
      </c>
      <c r="D2716" s="4" t="s">
        <v>43</v>
      </c>
      <c r="E2716" s="4" t="s">
        <v>44</v>
      </c>
      <c r="F2716" s="4" t="s">
        <v>31</v>
      </c>
      <c r="G2716" s="4" t="s">
        <v>18</v>
      </c>
      <c r="H2716" s="4" t="s">
        <v>262</v>
      </c>
      <c r="I2716" s="5" t="str">
        <f t="shared" si="42"/>
        <v>2025-10</v>
      </c>
      <c r="J2716" s="4" t="s">
        <v>34</v>
      </c>
      <c r="K2716" s="5" t="s">
        <v>342</v>
      </c>
      <c r="L2716" s="2">
        <v>7300</v>
      </c>
      <c r="M2716" s="3">
        <v>45.3</v>
      </c>
      <c r="N2716" s="2">
        <v>330690</v>
      </c>
      <c r="O2716" s="2">
        <v>0</v>
      </c>
      <c r="P2716" s="2">
        <v>330690</v>
      </c>
      <c r="Q2716" s="2">
        <f>P2716*8.5%</f>
        <v>28108.65</v>
      </c>
    </row>
    <row r="2717" spans="1:17" x14ac:dyDescent="0.4">
      <c r="A2717" s="4" t="s">
        <v>13</v>
      </c>
      <c r="B2717" s="4" t="s">
        <v>14</v>
      </c>
      <c r="C2717" s="30" t="s">
        <v>434</v>
      </c>
      <c r="D2717" s="4" t="s">
        <v>15</v>
      </c>
      <c r="E2717" s="4" t="s">
        <v>16</v>
      </c>
      <c r="F2717" s="4" t="s">
        <v>17</v>
      </c>
      <c r="G2717" s="4" t="s">
        <v>18</v>
      </c>
      <c r="H2717" s="4" t="s">
        <v>263</v>
      </c>
      <c r="I2717" s="5" t="str">
        <f t="shared" si="42"/>
        <v>2025-10</v>
      </c>
      <c r="J2717" s="4" t="s">
        <v>20</v>
      </c>
      <c r="K2717" s="5" t="s">
        <v>342</v>
      </c>
      <c r="L2717" s="2">
        <v>42000</v>
      </c>
      <c r="M2717" s="3">
        <v>1</v>
      </c>
      <c r="N2717" s="2">
        <v>42000</v>
      </c>
      <c r="O2717" s="2">
        <v>4200</v>
      </c>
      <c r="P2717" s="2">
        <v>46200</v>
      </c>
      <c r="Q2717" s="2">
        <f>P2717*8.5%</f>
        <v>3927.0000000000005</v>
      </c>
    </row>
    <row r="2718" spans="1:17" x14ac:dyDescent="0.4">
      <c r="A2718" s="4" t="s">
        <v>21</v>
      </c>
      <c r="B2718" s="4" t="s">
        <v>14</v>
      </c>
      <c r="C2718" s="31" t="s">
        <v>435</v>
      </c>
      <c r="D2718" s="4" t="s">
        <v>22</v>
      </c>
      <c r="E2718" s="4" t="s">
        <v>16</v>
      </c>
      <c r="F2718" s="4" t="s">
        <v>17</v>
      </c>
      <c r="G2718" s="4" t="s">
        <v>18</v>
      </c>
      <c r="H2718" s="4" t="s">
        <v>263</v>
      </c>
      <c r="I2718" s="5" t="str">
        <f t="shared" si="42"/>
        <v>2025-10</v>
      </c>
      <c r="J2718" s="4" t="s">
        <v>20</v>
      </c>
      <c r="K2718" s="5" t="s">
        <v>342</v>
      </c>
      <c r="L2718" s="2">
        <v>55500</v>
      </c>
      <c r="M2718" s="3">
        <v>1</v>
      </c>
      <c r="N2718" s="2">
        <v>55500</v>
      </c>
      <c r="O2718" s="2">
        <v>5550</v>
      </c>
      <c r="P2718" s="2">
        <v>61050</v>
      </c>
      <c r="Q2718" s="2">
        <f>P2718*8.5%</f>
        <v>5189.25</v>
      </c>
    </row>
    <row r="2719" spans="1:17" x14ac:dyDescent="0.4">
      <c r="A2719" s="4" t="s">
        <v>23</v>
      </c>
      <c r="B2719" s="4" t="s">
        <v>14</v>
      </c>
      <c r="C2719" s="31" t="s">
        <v>435</v>
      </c>
      <c r="D2719" s="4" t="s">
        <v>24</v>
      </c>
      <c r="E2719" s="4" t="s">
        <v>16</v>
      </c>
      <c r="F2719" s="4" t="s">
        <v>17</v>
      </c>
      <c r="G2719" s="4" t="s">
        <v>18</v>
      </c>
      <c r="H2719" s="4" t="s">
        <v>263</v>
      </c>
      <c r="I2719" s="5" t="str">
        <f t="shared" si="42"/>
        <v>2025-10</v>
      </c>
      <c r="J2719" s="4" t="s">
        <v>20</v>
      </c>
      <c r="K2719" s="5" t="s">
        <v>342</v>
      </c>
      <c r="L2719" s="2">
        <v>55500</v>
      </c>
      <c r="M2719" s="3">
        <v>2</v>
      </c>
      <c r="N2719" s="2">
        <v>111000</v>
      </c>
      <c r="O2719" s="2">
        <v>11100</v>
      </c>
      <c r="P2719" s="2">
        <v>122100</v>
      </c>
      <c r="Q2719" s="2">
        <f>P2719*8.5%</f>
        <v>10378.5</v>
      </c>
    </row>
    <row r="2720" spans="1:17" x14ac:dyDescent="0.4">
      <c r="A2720" s="4" t="s">
        <v>54</v>
      </c>
      <c r="B2720" s="4" t="s">
        <v>26</v>
      </c>
      <c r="C2720" s="32" t="s">
        <v>436</v>
      </c>
      <c r="D2720" s="4" t="s">
        <v>55</v>
      </c>
      <c r="E2720" s="4" t="s">
        <v>28</v>
      </c>
      <c r="F2720" s="4" t="s">
        <v>31</v>
      </c>
      <c r="G2720" s="4" t="s">
        <v>18</v>
      </c>
      <c r="H2720" s="4" t="s">
        <v>263</v>
      </c>
      <c r="I2720" s="5" t="str">
        <f t="shared" si="42"/>
        <v>2025-10</v>
      </c>
      <c r="J2720" s="4" t="s">
        <v>20</v>
      </c>
      <c r="K2720" s="5" t="s">
        <v>342</v>
      </c>
      <c r="L2720" s="2">
        <v>5919</v>
      </c>
      <c r="M2720" s="3">
        <v>1</v>
      </c>
      <c r="N2720" s="2">
        <v>5919</v>
      </c>
      <c r="O2720" s="2">
        <v>0</v>
      </c>
      <c r="P2720" s="2">
        <v>5919</v>
      </c>
      <c r="Q2720" s="2">
        <f>P2720*8.5%</f>
        <v>503.11500000000001</v>
      </c>
    </row>
    <row r="2721" spans="1:17" x14ac:dyDescent="0.4">
      <c r="A2721" s="4" t="s">
        <v>25</v>
      </c>
      <c r="B2721" s="4" t="s">
        <v>26</v>
      </c>
      <c r="C2721" s="32" t="s">
        <v>436</v>
      </c>
      <c r="D2721" s="4" t="s">
        <v>27</v>
      </c>
      <c r="E2721" s="4" t="s">
        <v>28</v>
      </c>
      <c r="F2721" s="4" t="s">
        <v>17</v>
      </c>
      <c r="G2721" s="4" t="s">
        <v>18</v>
      </c>
      <c r="H2721" s="4" t="s">
        <v>263</v>
      </c>
      <c r="I2721" s="5" t="str">
        <f t="shared" si="42"/>
        <v>2025-10</v>
      </c>
      <c r="J2721" s="4" t="s">
        <v>20</v>
      </c>
      <c r="K2721" s="5" t="s">
        <v>342</v>
      </c>
      <c r="L2721" s="2">
        <v>2631</v>
      </c>
      <c r="M2721" s="3">
        <v>1</v>
      </c>
      <c r="N2721" s="2">
        <v>2631</v>
      </c>
      <c r="O2721" s="2">
        <v>263</v>
      </c>
      <c r="P2721" s="2">
        <v>2894</v>
      </c>
      <c r="Q2721" s="2">
        <f>P2721*8.5%</f>
        <v>245.99</v>
      </c>
    </row>
    <row r="2722" spans="1:17" hidden="1" x14ac:dyDescent="0.4">
      <c r="A2722" s="4" t="s">
        <v>32</v>
      </c>
      <c r="B2722" s="4" t="s">
        <v>14</v>
      </c>
      <c r="C2722" s="31" t="s">
        <v>435</v>
      </c>
      <c r="D2722" s="4" t="s">
        <v>33</v>
      </c>
      <c r="E2722" s="4" t="s">
        <v>16</v>
      </c>
      <c r="F2722" s="4" t="s">
        <v>17</v>
      </c>
      <c r="G2722" s="4" t="s">
        <v>18</v>
      </c>
      <c r="H2722" s="4" t="s">
        <v>263</v>
      </c>
      <c r="I2722" s="5" t="str">
        <f t="shared" si="42"/>
        <v>2025-10</v>
      </c>
      <c r="J2722" s="4" t="s">
        <v>118</v>
      </c>
      <c r="K2722" s="5" t="s">
        <v>342</v>
      </c>
      <c r="L2722" s="2">
        <v>44000</v>
      </c>
      <c r="M2722" s="3">
        <v>2</v>
      </c>
      <c r="N2722" s="2">
        <v>88000</v>
      </c>
      <c r="O2722" s="2">
        <v>8800</v>
      </c>
      <c r="P2722" s="2">
        <v>96800</v>
      </c>
      <c r="Q2722" s="2">
        <f>P2722*8.5%</f>
        <v>8228</v>
      </c>
    </row>
    <row r="2723" spans="1:17" hidden="1" x14ac:dyDescent="0.4">
      <c r="A2723" s="4" t="s">
        <v>13</v>
      </c>
      <c r="B2723" s="4" t="s">
        <v>14</v>
      </c>
      <c r="C2723" s="30" t="s">
        <v>434</v>
      </c>
      <c r="D2723" s="4" t="s">
        <v>15</v>
      </c>
      <c r="E2723" s="4" t="s">
        <v>16</v>
      </c>
      <c r="F2723" s="4" t="s">
        <v>17</v>
      </c>
      <c r="G2723" s="4" t="s">
        <v>18</v>
      </c>
      <c r="H2723" s="4" t="s">
        <v>263</v>
      </c>
      <c r="I2723" s="5" t="str">
        <f t="shared" si="42"/>
        <v>2025-10</v>
      </c>
      <c r="J2723" s="4" t="s">
        <v>118</v>
      </c>
      <c r="K2723" s="5" t="s">
        <v>342</v>
      </c>
      <c r="L2723" s="2">
        <v>42000</v>
      </c>
      <c r="M2723" s="3">
        <v>4</v>
      </c>
      <c r="N2723" s="2">
        <v>168000</v>
      </c>
      <c r="O2723" s="2">
        <v>16800</v>
      </c>
      <c r="P2723" s="2">
        <v>184800</v>
      </c>
      <c r="Q2723" s="2">
        <f>P2723*8.5%</f>
        <v>15708.000000000002</v>
      </c>
    </row>
    <row r="2724" spans="1:17" hidden="1" x14ac:dyDescent="0.4">
      <c r="A2724" s="4" t="s">
        <v>23</v>
      </c>
      <c r="B2724" s="4" t="s">
        <v>14</v>
      </c>
      <c r="C2724" s="31" t="s">
        <v>435</v>
      </c>
      <c r="D2724" s="4" t="s">
        <v>24</v>
      </c>
      <c r="E2724" s="4" t="s">
        <v>16</v>
      </c>
      <c r="F2724" s="4" t="s">
        <v>17</v>
      </c>
      <c r="G2724" s="4" t="s">
        <v>18</v>
      </c>
      <c r="H2724" s="4" t="s">
        <v>263</v>
      </c>
      <c r="I2724" s="5" t="str">
        <f t="shared" si="42"/>
        <v>2025-10</v>
      </c>
      <c r="J2724" s="4" t="s">
        <v>118</v>
      </c>
      <c r="K2724" s="5" t="s">
        <v>342</v>
      </c>
      <c r="L2724" s="2">
        <v>55500</v>
      </c>
      <c r="M2724" s="3">
        <v>3</v>
      </c>
      <c r="N2724" s="2">
        <v>166500</v>
      </c>
      <c r="O2724" s="2">
        <v>16650</v>
      </c>
      <c r="P2724" s="2">
        <v>183150</v>
      </c>
      <c r="Q2724" s="2">
        <f>P2724*8.5%</f>
        <v>15567.750000000002</v>
      </c>
    </row>
    <row r="2725" spans="1:17" hidden="1" x14ac:dyDescent="0.4">
      <c r="A2725" s="4" t="s">
        <v>32</v>
      </c>
      <c r="B2725" s="4" t="s">
        <v>14</v>
      </c>
      <c r="C2725" s="31" t="s">
        <v>435</v>
      </c>
      <c r="D2725" s="4" t="s">
        <v>33</v>
      </c>
      <c r="E2725" s="4" t="s">
        <v>16</v>
      </c>
      <c r="F2725" s="4" t="s">
        <v>17</v>
      </c>
      <c r="G2725" s="4" t="s">
        <v>18</v>
      </c>
      <c r="H2725" s="4" t="s">
        <v>263</v>
      </c>
      <c r="I2725" s="5" t="str">
        <f t="shared" si="42"/>
        <v>2025-10</v>
      </c>
      <c r="J2725" s="4" t="s">
        <v>59</v>
      </c>
      <c r="K2725" s="5" t="s">
        <v>343</v>
      </c>
      <c r="L2725" s="2">
        <v>44000</v>
      </c>
      <c r="M2725" s="3">
        <v>1</v>
      </c>
      <c r="N2725" s="2">
        <v>44000</v>
      </c>
      <c r="O2725" s="2">
        <v>4400</v>
      </c>
      <c r="P2725" s="2">
        <v>48400</v>
      </c>
      <c r="Q2725" s="2">
        <f>P2725*12%</f>
        <v>5808</v>
      </c>
    </row>
    <row r="2726" spans="1:17" hidden="1" x14ac:dyDescent="0.4">
      <c r="A2726" s="4" t="s">
        <v>13</v>
      </c>
      <c r="B2726" s="4" t="s">
        <v>14</v>
      </c>
      <c r="C2726" s="30" t="s">
        <v>434</v>
      </c>
      <c r="D2726" s="4" t="s">
        <v>15</v>
      </c>
      <c r="E2726" s="4" t="s">
        <v>16</v>
      </c>
      <c r="F2726" s="4" t="s">
        <v>17</v>
      </c>
      <c r="G2726" s="4" t="s">
        <v>18</v>
      </c>
      <c r="H2726" s="4" t="s">
        <v>263</v>
      </c>
      <c r="I2726" s="5" t="str">
        <f t="shared" si="42"/>
        <v>2025-10</v>
      </c>
      <c r="J2726" s="4" t="s">
        <v>59</v>
      </c>
      <c r="K2726" s="5" t="s">
        <v>343</v>
      </c>
      <c r="L2726" s="2">
        <v>42000</v>
      </c>
      <c r="M2726" s="3">
        <v>4</v>
      </c>
      <c r="N2726" s="2">
        <v>168000</v>
      </c>
      <c r="O2726" s="2">
        <v>16800</v>
      </c>
      <c r="P2726" s="2">
        <v>184800</v>
      </c>
      <c r="Q2726" s="2">
        <f>P2726*12%</f>
        <v>22176</v>
      </c>
    </row>
    <row r="2727" spans="1:17" hidden="1" x14ac:dyDescent="0.4">
      <c r="A2727" s="4" t="s">
        <v>23</v>
      </c>
      <c r="B2727" s="4" t="s">
        <v>14</v>
      </c>
      <c r="C2727" s="31" t="s">
        <v>435</v>
      </c>
      <c r="D2727" s="4" t="s">
        <v>24</v>
      </c>
      <c r="E2727" s="4" t="s">
        <v>16</v>
      </c>
      <c r="F2727" s="4" t="s">
        <v>17</v>
      </c>
      <c r="G2727" s="4" t="s">
        <v>18</v>
      </c>
      <c r="H2727" s="4" t="s">
        <v>263</v>
      </c>
      <c r="I2727" s="5" t="str">
        <f t="shared" si="42"/>
        <v>2025-10</v>
      </c>
      <c r="J2727" s="4" t="s">
        <v>59</v>
      </c>
      <c r="K2727" s="5" t="s">
        <v>343</v>
      </c>
      <c r="L2727" s="2">
        <v>55500</v>
      </c>
      <c r="M2727" s="3">
        <v>2</v>
      </c>
      <c r="N2727" s="2">
        <v>111000</v>
      </c>
      <c r="O2727" s="2">
        <v>11100</v>
      </c>
      <c r="P2727" s="2">
        <v>122100</v>
      </c>
      <c r="Q2727" s="2">
        <f>P2727*12%</f>
        <v>14652</v>
      </c>
    </row>
    <row r="2728" spans="1:17" hidden="1" x14ac:dyDescent="0.4">
      <c r="A2728" s="4" t="s">
        <v>51</v>
      </c>
      <c r="B2728" s="4" t="s">
        <v>14</v>
      </c>
      <c r="C2728" s="30" t="s">
        <v>434</v>
      </c>
      <c r="D2728" s="4" t="s">
        <v>52</v>
      </c>
      <c r="E2728" s="4" t="s">
        <v>16</v>
      </c>
      <c r="F2728" s="4" t="s">
        <v>17</v>
      </c>
      <c r="G2728" s="4" t="s">
        <v>18</v>
      </c>
      <c r="H2728" s="4" t="s">
        <v>263</v>
      </c>
      <c r="I2728" s="5" t="str">
        <f t="shared" si="42"/>
        <v>2025-10</v>
      </c>
      <c r="J2728" s="4" t="s">
        <v>59</v>
      </c>
      <c r="K2728" s="5" t="s">
        <v>343</v>
      </c>
      <c r="L2728" s="2">
        <v>73000</v>
      </c>
      <c r="M2728" s="3">
        <v>1</v>
      </c>
      <c r="N2728" s="2">
        <v>73000</v>
      </c>
      <c r="O2728" s="2">
        <v>7300</v>
      </c>
      <c r="P2728" s="2">
        <v>80300</v>
      </c>
      <c r="Q2728" s="2">
        <f>P2728*12%</f>
        <v>9636</v>
      </c>
    </row>
    <row r="2729" spans="1:17" hidden="1" x14ac:dyDescent="0.4">
      <c r="A2729" s="4" t="s">
        <v>32</v>
      </c>
      <c r="B2729" s="4" t="s">
        <v>14</v>
      </c>
      <c r="C2729" s="31" t="s">
        <v>435</v>
      </c>
      <c r="D2729" s="4" t="s">
        <v>33</v>
      </c>
      <c r="E2729" s="4" t="s">
        <v>16</v>
      </c>
      <c r="F2729" s="4" t="s">
        <v>17</v>
      </c>
      <c r="G2729" s="4" t="s">
        <v>18</v>
      </c>
      <c r="H2729" s="4" t="s">
        <v>263</v>
      </c>
      <c r="I2729" s="5" t="str">
        <f t="shared" si="42"/>
        <v>2025-10</v>
      </c>
      <c r="J2729" s="4" t="s">
        <v>49</v>
      </c>
      <c r="K2729" s="5" t="s">
        <v>343</v>
      </c>
      <c r="L2729" s="2">
        <v>44000</v>
      </c>
      <c r="M2729" s="3">
        <v>3</v>
      </c>
      <c r="N2729" s="2">
        <v>132000</v>
      </c>
      <c r="O2729" s="2">
        <v>13200</v>
      </c>
      <c r="P2729" s="2">
        <v>145200</v>
      </c>
      <c r="Q2729" s="2">
        <f>P2729*12%</f>
        <v>17424</v>
      </c>
    </row>
    <row r="2730" spans="1:17" hidden="1" x14ac:dyDescent="0.4">
      <c r="A2730" s="4" t="s">
        <v>13</v>
      </c>
      <c r="B2730" s="4" t="s">
        <v>14</v>
      </c>
      <c r="C2730" s="30" t="s">
        <v>434</v>
      </c>
      <c r="D2730" s="4" t="s">
        <v>15</v>
      </c>
      <c r="E2730" s="4" t="s">
        <v>16</v>
      </c>
      <c r="F2730" s="4" t="s">
        <v>17</v>
      </c>
      <c r="G2730" s="4" t="s">
        <v>18</v>
      </c>
      <c r="H2730" s="4" t="s">
        <v>263</v>
      </c>
      <c r="I2730" s="5" t="str">
        <f t="shared" si="42"/>
        <v>2025-10</v>
      </c>
      <c r="J2730" s="4" t="s">
        <v>49</v>
      </c>
      <c r="K2730" s="5" t="s">
        <v>343</v>
      </c>
      <c r="L2730" s="2">
        <v>42000</v>
      </c>
      <c r="M2730" s="3">
        <v>4</v>
      </c>
      <c r="N2730" s="2">
        <v>168000</v>
      </c>
      <c r="O2730" s="2">
        <v>16800</v>
      </c>
      <c r="P2730" s="2">
        <v>184800</v>
      </c>
      <c r="Q2730" s="2">
        <f>P2730*12%</f>
        <v>22176</v>
      </c>
    </row>
    <row r="2731" spans="1:17" hidden="1" x14ac:dyDescent="0.4">
      <c r="A2731" s="4" t="s">
        <v>35</v>
      </c>
      <c r="B2731" s="4" t="s">
        <v>14</v>
      </c>
      <c r="C2731" s="30" t="s">
        <v>434</v>
      </c>
      <c r="D2731" s="4" t="s">
        <v>36</v>
      </c>
      <c r="E2731" s="4" t="s">
        <v>16</v>
      </c>
      <c r="F2731" s="4" t="s">
        <v>17</v>
      </c>
      <c r="G2731" s="4" t="s">
        <v>18</v>
      </c>
      <c r="H2731" s="4" t="s">
        <v>263</v>
      </c>
      <c r="I2731" s="5" t="str">
        <f t="shared" si="42"/>
        <v>2025-10</v>
      </c>
      <c r="J2731" s="4" t="s">
        <v>49</v>
      </c>
      <c r="K2731" s="5" t="s">
        <v>343</v>
      </c>
      <c r="L2731" s="2">
        <v>116220</v>
      </c>
      <c r="M2731" s="3">
        <v>1</v>
      </c>
      <c r="N2731" s="2">
        <v>116220</v>
      </c>
      <c r="O2731" s="2">
        <v>11622</v>
      </c>
      <c r="P2731" s="2">
        <v>127842</v>
      </c>
      <c r="Q2731" s="2">
        <f>P2731*12%</f>
        <v>15341.039999999999</v>
      </c>
    </row>
    <row r="2732" spans="1:17" hidden="1" x14ac:dyDescent="0.4">
      <c r="A2732" s="4" t="s">
        <v>23</v>
      </c>
      <c r="B2732" s="4" t="s">
        <v>14</v>
      </c>
      <c r="C2732" s="31" t="s">
        <v>435</v>
      </c>
      <c r="D2732" s="4" t="s">
        <v>24</v>
      </c>
      <c r="E2732" s="4" t="s">
        <v>16</v>
      </c>
      <c r="F2732" s="4" t="s">
        <v>17</v>
      </c>
      <c r="G2732" s="4" t="s">
        <v>18</v>
      </c>
      <c r="H2732" s="4" t="s">
        <v>263</v>
      </c>
      <c r="I2732" s="5" t="str">
        <f t="shared" si="42"/>
        <v>2025-10</v>
      </c>
      <c r="J2732" s="4" t="s">
        <v>49</v>
      </c>
      <c r="K2732" s="5" t="s">
        <v>343</v>
      </c>
      <c r="L2732" s="2">
        <v>55500</v>
      </c>
      <c r="M2732" s="3">
        <v>2</v>
      </c>
      <c r="N2732" s="2">
        <v>111000</v>
      </c>
      <c r="O2732" s="2">
        <v>11100</v>
      </c>
      <c r="P2732" s="2">
        <v>122100</v>
      </c>
      <c r="Q2732" s="2">
        <f>P2732*12%</f>
        <v>14652</v>
      </c>
    </row>
    <row r="2733" spans="1:17" hidden="1" x14ac:dyDescent="0.4">
      <c r="A2733" s="4" t="s">
        <v>51</v>
      </c>
      <c r="B2733" s="4" t="s">
        <v>14</v>
      </c>
      <c r="C2733" s="30" t="s">
        <v>434</v>
      </c>
      <c r="D2733" s="4" t="s">
        <v>52</v>
      </c>
      <c r="E2733" s="4" t="s">
        <v>16</v>
      </c>
      <c r="F2733" s="4" t="s">
        <v>17</v>
      </c>
      <c r="G2733" s="4" t="s">
        <v>18</v>
      </c>
      <c r="H2733" s="4" t="s">
        <v>263</v>
      </c>
      <c r="I2733" s="5" t="str">
        <f t="shared" si="42"/>
        <v>2025-10</v>
      </c>
      <c r="J2733" s="4" t="s">
        <v>49</v>
      </c>
      <c r="K2733" s="5" t="s">
        <v>343</v>
      </c>
      <c r="L2733" s="2">
        <v>73000</v>
      </c>
      <c r="M2733" s="3">
        <v>1</v>
      </c>
      <c r="N2733" s="2">
        <v>73000</v>
      </c>
      <c r="O2733" s="2">
        <v>7300</v>
      </c>
      <c r="P2733" s="2">
        <v>80300</v>
      </c>
      <c r="Q2733" s="2">
        <f>P2733*12%</f>
        <v>9636</v>
      </c>
    </row>
    <row r="2734" spans="1:17" x14ac:dyDescent="0.4">
      <c r="A2734" s="4" t="s">
        <v>13</v>
      </c>
      <c r="B2734" s="4" t="s">
        <v>14</v>
      </c>
      <c r="C2734" s="30" t="s">
        <v>434</v>
      </c>
      <c r="D2734" s="4" t="s">
        <v>15</v>
      </c>
      <c r="E2734" s="4" t="s">
        <v>16</v>
      </c>
      <c r="F2734" s="4" t="s">
        <v>17</v>
      </c>
      <c r="G2734" s="4" t="s">
        <v>18</v>
      </c>
      <c r="H2734" s="4" t="s">
        <v>264</v>
      </c>
      <c r="I2734" s="5" t="str">
        <f t="shared" si="42"/>
        <v>2025-10</v>
      </c>
      <c r="J2734" s="4" t="s">
        <v>20</v>
      </c>
      <c r="K2734" s="5" t="s">
        <v>342</v>
      </c>
      <c r="L2734" s="2">
        <v>42000</v>
      </c>
      <c r="M2734" s="3">
        <v>1</v>
      </c>
      <c r="N2734" s="2">
        <v>42000</v>
      </c>
      <c r="O2734" s="2">
        <v>4200</v>
      </c>
      <c r="P2734" s="2">
        <v>46200</v>
      </c>
      <c r="Q2734" s="2">
        <f>P2734*8.5%</f>
        <v>3927.0000000000005</v>
      </c>
    </row>
    <row r="2735" spans="1:17" x14ac:dyDescent="0.4">
      <c r="A2735" s="4" t="s">
        <v>21</v>
      </c>
      <c r="B2735" s="4" t="s">
        <v>14</v>
      </c>
      <c r="C2735" s="31" t="s">
        <v>435</v>
      </c>
      <c r="D2735" s="4" t="s">
        <v>22</v>
      </c>
      <c r="E2735" s="4" t="s">
        <v>16</v>
      </c>
      <c r="F2735" s="4" t="s">
        <v>17</v>
      </c>
      <c r="G2735" s="4" t="s">
        <v>18</v>
      </c>
      <c r="H2735" s="4" t="s">
        <v>264</v>
      </c>
      <c r="I2735" s="5" t="str">
        <f t="shared" si="42"/>
        <v>2025-10</v>
      </c>
      <c r="J2735" s="4" t="s">
        <v>20</v>
      </c>
      <c r="K2735" s="5" t="s">
        <v>342</v>
      </c>
      <c r="L2735" s="2">
        <v>55500</v>
      </c>
      <c r="M2735" s="3">
        <v>2</v>
      </c>
      <c r="N2735" s="2">
        <v>111000</v>
      </c>
      <c r="O2735" s="2">
        <v>11100</v>
      </c>
      <c r="P2735" s="2">
        <v>122100</v>
      </c>
      <c r="Q2735" s="2">
        <f>P2735*8.5%</f>
        <v>10378.5</v>
      </c>
    </row>
    <row r="2736" spans="1:17" x14ac:dyDescent="0.4">
      <c r="A2736" s="4" t="s">
        <v>23</v>
      </c>
      <c r="B2736" s="4" t="s">
        <v>14</v>
      </c>
      <c r="C2736" s="31" t="s">
        <v>435</v>
      </c>
      <c r="D2736" s="4" t="s">
        <v>24</v>
      </c>
      <c r="E2736" s="4" t="s">
        <v>16</v>
      </c>
      <c r="F2736" s="4" t="s">
        <v>17</v>
      </c>
      <c r="G2736" s="4" t="s">
        <v>18</v>
      </c>
      <c r="H2736" s="4" t="s">
        <v>264</v>
      </c>
      <c r="I2736" s="5" t="str">
        <f t="shared" si="42"/>
        <v>2025-10</v>
      </c>
      <c r="J2736" s="4" t="s">
        <v>20</v>
      </c>
      <c r="K2736" s="5" t="s">
        <v>342</v>
      </c>
      <c r="L2736" s="2">
        <v>55500</v>
      </c>
      <c r="M2736" s="3">
        <v>2</v>
      </c>
      <c r="N2736" s="2">
        <v>111000</v>
      </c>
      <c r="O2736" s="2">
        <v>11100</v>
      </c>
      <c r="P2736" s="2">
        <v>122100</v>
      </c>
      <c r="Q2736" s="2">
        <f>P2736*8.5%</f>
        <v>10378.5</v>
      </c>
    </row>
    <row r="2737" spans="1:17" x14ac:dyDescent="0.4">
      <c r="A2737" s="4" t="s">
        <v>56</v>
      </c>
      <c r="B2737" s="4" t="s">
        <v>26</v>
      </c>
      <c r="C2737" s="32" t="s">
        <v>436</v>
      </c>
      <c r="D2737" s="4" t="s">
        <v>57</v>
      </c>
      <c r="E2737" s="4" t="s">
        <v>44</v>
      </c>
      <c r="F2737" s="4" t="s">
        <v>31</v>
      </c>
      <c r="G2737" s="4" t="s">
        <v>18</v>
      </c>
      <c r="H2737" s="4" t="s">
        <v>264</v>
      </c>
      <c r="I2737" s="5" t="str">
        <f t="shared" si="42"/>
        <v>2025-10</v>
      </c>
      <c r="J2737" s="4" t="s">
        <v>20</v>
      </c>
      <c r="K2737" s="5" t="s">
        <v>342</v>
      </c>
      <c r="L2737" s="2">
        <v>3671</v>
      </c>
      <c r="M2737" s="3">
        <v>20</v>
      </c>
      <c r="N2737" s="2">
        <v>73420</v>
      </c>
      <c r="O2737" s="2">
        <v>0</v>
      </c>
      <c r="P2737" s="2">
        <v>73420</v>
      </c>
      <c r="Q2737" s="2">
        <f>P2737*8.5%</f>
        <v>6240.7000000000007</v>
      </c>
    </row>
    <row r="2738" spans="1:17" hidden="1" x14ac:dyDescent="0.4">
      <c r="A2738" s="4" t="s">
        <v>32</v>
      </c>
      <c r="B2738" s="4" t="s">
        <v>14</v>
      </c>
      <c r="C2738" s="31" t="s">
        <v>435</v>
      </c>
      <c r="D2738" s="4" t="s">
        <v>33</v>
      </c>
      <c r="E2738" s="4" t="s">
        <v>16</v>
      </c>
      <c r="F2738" s="4" t="s">
        <v>17</v>
      </c>
      <c r="G2738" s="4" t="s">
        <v>18</v>
      </c>
      <c r="H2738" s="4" t="s">
        <v>264</v>
      </c>
      <c r="I2738" s="5" t="str">
        <f t="shared" si="42"/>
        <v>2025-10</v>
      </c>
      <c r="J2738" s="4" t="s">
        <v>34</v>
      </c>
      <c r="K2738" s="5" t="s">
        <v>342</v>
      </c>
      <c r="L2738" s="2">
        <v>44000</v>
      </c>
      <c r="M2738" s="3">
        <v>3</v>
      </c>
      <c r="N2738" s="2">
        <v>132000</v>
      </c>
      <c r="O2738" s="2">
        <v>13200</v>
      </c>
      <c r="P2738" s="2">
        <v>145200</v>
      </c>
      <c r="Q2738" s="2">
        <f>P2738*8.5%</f>
        <v>12342</v>
      </c>
    </row>
    <row r="2739" spans="1:17" hidden="1" x14ac:dyDescent="0.4">
      <c r="A2739" s="4" t="s">
        <v>58</v>
      </c>
      <c r="B2739" s="4" t="s">
        <v>14</v>
      </c>
      <c r="C2739" s="30" t="s">
        <v>434</v>
      </c>
      <c r="D2739" s="4" t="s">
        <v>36</v>
      </c>
      <c r="E2739" s="4" t="s">
        <v>16</v>
      </c>
      <c r="F2739" s="4" t="s">
        <v>17</v>
      </c>
      <c r="G2739" s="4" t="s">
        <v>18</v>
      </c>
      <c r="H2739" s="4" t="s">
        <v>264</v>
      </c>
      <c r="I2739" s="5" t="str">
        <f t="shared" si="42"/>
        <v>2025-10</v>
      </c>
      <c r="J2739" s="4" t="s">
        <v>34</v>
      </c>
      <c r="K2739" s="5" t="s">
        <v>342</v>
      </c>
      <c r="L2739" s="2">
        <v>120880</v>
      </c>
      <c r="M2739" s="3">
        <v>1</v>
      </c>
      <c r="N2739" s="2">
        <v>120880</v>
      </c>
      <c r="O2739" s="2">
        <v>12088</v>
      </c>
      <c r="P2739" s="2">
        <v>132968</v>
      </c>
      <c r="Q2739" s="2">
        <f>P2739*8.5%</f>
        <v>11302.28</v>
      </c>
    </row>
    <row r="2740" spans="1:17" hidden="1" x14ac:dyDescent="0.4">
      <c r="A2740" s="4" t="s">
        <v>13</v>
      </c>
      <c r="B2740" s="4" t="s">
        <v>14</v>
      </c>
      <c r="C2740" s="30" t="s">
        <v>434</v>
      </c>
      <c r="D2740" s="4" t="s">
        <v>15</v>
      </c>
      <c r="E2740" s="4" t="s">
        <v>16</v>
      </c>
      <c r="F2740" s="4" t="s">
        <v>17</v>
      </c>
      <c r="G2740" s="4" t="s">
        <v>18</v>
      </c>
      <c r="H2740" s="4" t="s">
        <v>264</v>
      </c>
      <c r="I2740" s="5" t="str">
        <f t="shared" si="42"/>
        <v>2025-10</v>
      </c>
      <c r="J2740" s="4" t="s">
        <v>34</v>
      </c>
      <c r="K2740" s="5" t="s">
        <v>342</v>
      </c>
      <c r="L2740" s="2">
        <v>42000</v>
      </c>
      <c r="M2740" s="3">
        <v>4</v>
      </c>
      <c r="N2740" s="2">
        <v>168000</v>
      </c>
      <c r="O2740" s="2">
        <v>16800</v>
      </c>
      <c r="P2740" s="2">
        <v>184800</v>
      </c>
      <c r="Q2740" s="2">
        <f>P2740*8.5%</f>
        <v>15708.000000000002</v>
      </c>
    </row>
    <row r="2741" spans="1:17" hidden="1" x14ac:dyDescent="0.4">
      <c r="A2741" s="4" t="s">
        <v>21</v>
      </c>
      <c r="B2741" s="4" t="s">
        <v>14</v>
      </c>
      <c r="C2741" s="31" t="s">
        <v>435</v>
      </c>
      <c r="D2741" s="4" t="s">
        <v>22</v>
      </c>
      <c r="E2741" s="4" t="s">
        <v>16</v>
      </c>
      <c r="F2741" s="4" t="s">
        <v>17</v>
      </c>
      <c r="G2741" s="4" t="s">
        <v>18</v>
      </c>
      <c r="H2741" s="4" t="s">
        <v>264</v>
      </c>
      <c r="I2741" s="5" t="str">
        <f t="shared" si="42"/>
        <v>2025-10</v>
      </c>
      <c r="J2741" s="4" t="s">
        <v>34</v>
      </c>
      <c r="K2741" s="5" t="s">
        <v>342</v>
      </c>
      <c r="L2741" s="2">
        <v>55500</v>
      </c>
      <c r="M2741" s="3">
        <v>1</v>
      </c>
      <c r="N2741" s="2">
        <v>55500</v>
      </c>
      <c r="O2741" s="2">
        <v>5550</v>
      </c>
      <c r="P2741" s="2">
        <v>61050</v>
      </c>
      <c r="Q2741" s="2">
        <f>P2741*8.5%</f>
        <v>5189.25</v>
      </c>
    </row>
    <row r="2742" spans="1:17" hidden="1" x14ac:dyDescent="0.4">
      <c r="A2742" s="4" t="s">
        <v>23</v>
      </c>
      <c r="B2742" s="4" t="s">
        <v>14</v>
      </c>
      <c r="C2742" s="31" t="s">
        <v>435</v>
      </c>
      <c r="D2742" s="4" t="s">
        <v>24</v>
      </c>
      <c r="E2742" s="4" t="s">
        <v>16</v>
      </c>
      <c r="F2742" s="4" t="s">
        <v>17</v>
      </c>
      <c r="G2742" s="4" t="s">
        <v>18</v>
      </c>
      <c r="H2742" s="4" t="s">
        <v>264</v>
      </c>
      <c r="I2742" s="5" t="str">
        <f t="shared" si="42"/>
        <v>2025-10</v>
      </c>
      <c r="J2742" s="4" t="s">
        <v>34</v>
      </c>
      <c r="K2742" s="5" t="s">
        <v>342</v>
      </c>
      <c r="L2742" s="2">
        <v>55500</v>
      </c>
      <c r="M2742" s="3">
        <v>5</v>
      </c>
      <c r="N2742" s="2">
        <v>277500</v>
      </c>
      <c r="O2742" s="2">
        <v>27750</v>
      </c>
      <c r="P2742" s="2">
        <v>305250</v>
      </c>
      <c r="Q2742" s="2">
        <f>P2742*8.5%</f>
        <v>25946.250000000004</v>
      </c>
    </row>
    <row r="2743" spans="1:17" hidden="1" x14ac:dyDescent="0.4">
      <c r="A2743" s="4" t="s">
        <v>73</v>
      </c>
      <c r="B2743" s="4" t="s">
        <v>26</v>
      </c>
      <c r="C2743" s="32" t="s">
        <v>436</v>
      </c>
      <c r="D2743" s="4" t="s">
        <v>57</v>
      </c>
      <c r="E2743" s="4" t="s">
        <v>28</v>
      </c>
      <c r="F2743" s="4" t="s">
        <v>17</v>
      </c>
      <c r="G2743" s="4" t="s">
        <v>18</v>
      </c>
      <c r="H2743" s="4" t="s">
        <v>264</v>
      </c>
      <c r="I2743" s="5" t="str">
        <f t="shared" si="42"/>
        <v>2025-10</v>
      </c>
      <c r="J2743" s="4" t="s">
        <v>34</v>
      </c>
      <c r="K2743" s="5" t="s">
        <v>342</v>
      </c>
      <c r="L2743" s="2">
        <v>7055</v>
      </c>
      <c r="M2743" s="3">
        <v>2</v>
      </c>
      <c r="N2743" s="2">
        <v>14110</v>
      </c>
      <c r="O2743" s="2">
        <v>1411</v>
      </c>
      <c r="P2743" s="2">
        <v>15521</v>
      </c>
      <c r="Q2743" s="2">
        <f>P2743*8.5%</f>
        <v>1319.2850000000001</v>
      </c>
    </row>
    <row r="2744" spans="1:17" hidden="1" x14ac:dyDescent="0.4">
      <c r="A2744" s="4" t="s">
        <v>42</v>
      </c>
      <c r="B2744" s="4" t="s">
        <v>14</v>
      </c>
      <c r="C2744" s="30" t="s">
        <v>434</v>
      </c>
      <c r="D2744" s="4" t="s">
        <v>43</v>
      </c>
      <c r="E2744" s="4" t="s">
        <v>44</v>
      </c>
      <c r="F2744" s="4" t="s">
        <v>31</v>
      </c>
      <c r="G2744" s="4" t="s">
        <v>18</v>
      </c>
      <c r="H2744" s="4" t="s">
        <v>264</v>
      </c>
      <c r="I2744" s="5" t="str">
        <f t="shared" si="42"/>
        <v>2025-10</v>
      </c>
      <c r="J2744" s="4" t="s">
        <v>34</v>
      </c>
      <c r="K2744" s="5" t="s">
        <v>342</v>
      </c>
      <c r="L2744" s="2">
        <v>7300</v>
      </c>
      <c r="M2744" s="3">
        <v>48.4</v>
      </c>
      <c r="N2744" s="2">
        <v>353320</v>
      </c>
      <c r="O2744" s="2">
        <v>0</v>
      </c>
      <c r="P2744" s="2">
        <v>353320</v>
      </c>
      <c r="Q2744" s="2">
        <f>P2744*8.5%</f>
        <v>30032.2</v>
      </c>
    </row>
    <row r="2745" spans="1:17" hidden="1" x14ac:dyDescent="0.4">
      <c r="A2745" s="4" t="s">
        <v>93</v>
      </c>
      <c r="B2745" s="4" t="s">
        <v>26</v>
      </c>
      <c r="C2745" s="32" t="s">
        <v>436</v>
      </c>
      <c r="D2745" s="4" t="s">
        <v>94</v>
      </c>
      <c r="E2745" s="4" t="s">
        <v>47</v>
      </c>
      <c r="F2745" s="4" t="s">
        <v>17</v>
      </c>
      <c r="G2745" s="4" t="s">
        <v>18</v>
      </c>
      <c r="H2745" s="4" t="s">
        <v>264</v>
      </c>
      <c r="I2745" s="5" t="str">
        <f t="shared" si="42"/>
        <v>2025-10</v>
      </c>
      <c r="J2745" s="4" t="s">
        <v>34</v>
      </c>
      <c r="K2745" s="5" t="s">
        <v>342</v>
      </c>
      <c r="L2745" s="2">
        <v>5261</v>
      </c>
      <c r="M2745" s="3">
        <v>2</v>
      </c>
      <c r="N2745" s="2">
        <v>10522</v>
      </c>
      <c r="O2745" s="2">
        <v>1052</v>
      </c>
      <c r="P2745" s="2">
        <v>11574</v>
      </c>
      <c r="Q2745" s="2">
        <f>P2745*8.5%</f>
        <v>983.79000000000008</v>
      </c>
    </row>
    <row r="2746" spans="1:17" hidden="1" x14ac:dyDescent="0.4">
      <c r="A2746" s="4" t="s">
        <v>13</v>
      </c>
      <c r="B2746" s="4" t="s">
        <v>14</v>
      </c>
      <c r="C2746" s="30" t="s">
        <v>434</v>
      </c>
      <c r="D2746" s="4" t="s">
        <v>15</v>
      </c>
      <c r="E2746" s="4" t="s">
        <v>16</v>
      </c>
      <c r="F2746" s="4" t="s">
        <v>17</v>
      </c>
      <c r="G2746" s="4" t="s">
        <v>18</v>
      </c>
      <c r="H2746" s="4" t="s">
        <v>264</v>
      </c>
      <c r="I2746" s="5" t="str">
        <f t="shared" si="42"/>
        <v>2025-10</v>
      </c>
      <c r="J2746" s="4" t="s">
        <v>59</v>
      </c>
      <c r="K2746" s="5" t="s">
        <v>343</v>
      </c>
      <c r="L2746" s="2">
        <v>42000</v>
      </c>
      <c r="M2746" s="3">
        <v>2</v>
      </c>
      <c r="N2746" s="2">
        <v>84000</v>
      </c>
      <c r="O2746" s="2">
        <v>8400</v>
      </c>
      <c r="P2746" s="2">
        <v>92400</v>
      </c>
      <c r="Q2746" s="2">
        <f>P2746*12%</f>
        <v>11088</v>
      </c>
    </row>
    <row r="2747" spans="1:17" hidden="1" x14ac:dyDescent="0.4">
      <c r="A2747" s="4" t="s">
        <v>35</v>
      </c>
      <c r="B2747" s="4" t="s">
        <v>14</v>
      </c>
      <c r="C2747" s="30" t="s">
        <v>434</v>
      </c>
      <c r="D2747" s="4" t="s">
        <v>36</v>
      </c>
      <c r="E2747" s="4" t="s">
        <v>16</v>
      </c>
      <c r="F2747" s="4" t="s">
        <v>17</v>
      </c>
      <c r="G2747" s="4" t="s">
        <v>18</v>
      </c>
      <c r="H2747" s="4" t="s">
        <v>264</v>
      </c>
      <c r="I2747" s="5" t="str">
        <f t="shared" si="42"/>
        <v>2025-10</v>
      </c>
      <c r="J2747" s="4" t="s">
        <v>59</v>
      </c>
      <c r="K2747" s="5" t="s">
        <v>343</v>
      </c>
      <c r="L2747" s="2">
        <v>116220</v>
      </c>
      <c r="M2747" s="3">
        <v>1</v>
      </c>
      <c r="N2747" s="2">
        <v>116220</v>
      </c>
      <c r="O2747" s="2">
        <v>11622</v>
      </c>
      <c r="P2747" s="2">
        <v>127842</v>
      </c>
      <c r="Q2747" s="2">
        <f>P2747*12%</f>
        <v>15341.039999999999</v>
      </c>
    </row>
    <row r="2748" spans="1:17" hidden="1" x14ac:dyDescent="0.4">
      <c r="A2748" s="4" t="s">
        <v>23</v>
      </c>
      <c r="B2748" s="4" t="s">
        <v>14</v>
      </c>
      <c r="C2748" s="31" t="s">
        <v>435</v>
      </c>
      <c r="D2748" s="4" t="s">
        <v>24</v>
      </c>
      <c r="E2748" s="4" t="s">
        <v>16</v>
      </c>
      <c r="F2748" s="4" t="s">
        <v>17</v>
      </c>
      <c r="G2748" s="4" t="s">
        <v>18</v>
      </c>
      <c r="H2748" s="4" t="s">
        <v>264</v>
      </c>
      <c r="I2748" s="5" t="str">
        <f t="shared" si="42"/>
        <v>2025-10</v>
      </c>
      <c r="J2748" s="4" t="s">
        <v>59</v>
      </c>
      <c r="K2748" s="5" t="s">
        <v>343</v>
      </c>
      <c r="L2748" s="2">
        <v>55500</v>
      </c>
      <c r="M2748" s="3">
        <v>1</v>
      </c>
      <c r="N2748" s="2">
        <v>55500</v>
      </c>
      <c r="O2748" s="2">
        <v>5550</v>
      </c>
      <c r="P2748" s="2">
        <v>61050</v>
      </c>
      <c r="Q2748" s="2">
        <f>P2748*12%</f>
        <v>7326</v>
      </c>
    </row>
    <row r="2749" spans="1:17" hidden="1" x14ac:dyDescent="0.4">
      <c r="A2749" s="4" t="s">
        <v>35</v>
      </c>
      <c r="B2749" s="4" t="s">
        <v>14</v>
      </c>
      <c r="C2749" s="30" t="s">
        <v>434</v>
      </c>
      <c r="D2749" s="4" t="s">
        <v>36</v>
      </c>
      <c r="E2749" s="4" t="s">
        <v>16</v>
      </c>
      <c r="F2749" s="4" t="s">
        <v>17</v>
      </c>
      <c r="G2749" s="4" t="s">
        <v>18</v>
      </c>
      <c r="H2749" s="4" t="s">
        <v>264</v>
      </c>
      <c r="I2749" s="5" t="str">
        <f t="shared" si="42"/>
        <v>2025-10</v>
      </c>
      <c r="J2749" s="4" t="s">
        <v>60</v>
      </c>
      <c r="K2749" s="5" t="s">
        <v>343</v>
      </c>
      <c r="L2749" s="2">
        <v>116220</v>
      </c>
      <c r="M2749" s="3">
        <v>4</v>
      </c>
      <c r="N2749" s="2">
        <v>464880</v>
      </c>
      <c r="O2749" s="2">
        <v>46488</v>
      </c>
      <c r="P2749" s="2">
        <v>511368</v>
      </c>
      <c r="Q2749" s="2">
        <f>P2749*12%</f>
        <v>61364.159999999996</v>
      </c>
    </row>
    <row r="2750" spans="1:17" hidden="1" x14ac:dyDescent="0.4">
      <c r="A2750" s="4" t="s">
        <v>23</v>
      </c>
      <c r="B2750" s="4" t="s">
        <v>14</v>
      </c>
      <c r="C2750" s="31" t="s">
        <v>435</v>
      </c>
      <c r="D2750" s="4" t="s">
        <v>24</v>
      </c>
      <c r="E2750" s="4" t="s">
        <v>16</v>
      </c>
      <c r="F2750" s="4" t="s">
        <v>17</v>
      </c>
      <c r="G2750" s="4" t="s">
        <v>18</v>
      </c>
      <c r="H2750" s="4" t="s">
        <v>264</v>
      </c>
      <c r="I2750" s="5" t="str">
        <f t="shared" si="42"/>
        <v>2025-10</v>
      </c>
      <c r="J2750" s="4" t="s">
        <v>60</v>
      </c>
      <c r="K2750" s="5" t="s">
        <v>343</v>
      </c>
      <c r="L2750" s="2">
        <v>55500</v>
      </c>
      <c r="M2750" s="3">
        <v>8</v>
      </c>
      <c r="N2750" s="2">
        <v>444000</v>
      </c>
      <c r="O2750" s="2">
        <v>44400</v>
      </c>
      <c r="P2750" s="2">
        <v>488400</v>
      </c>
      <c r="Q2750" s="2">
        <f>P2750*12%</f>
        <v>58608</v>
      </c>
    </row>
    <row r="2751" spans="1:17" hidden="1" x14ac:dyDescent="0.4">
      <c r="A2751" s="4" t="s">
        <v>51</v>
      </c>
      <c r="B2751" s="4" t="s">
        <v>14</v>
      </c>
      <c r="C2751" s="30" t="s">
        <v>434</v>
      </c>
      <c r="D2751" s="4" t="s">
        <v>52</v>
      </c>
      <c r="E2751" s="4" t="s">
        <v>16</v>
      </c>
      <c r="F2751" s="4" t="s">
        <v>17</v>
      </c>
      <c r="G2751" s="4" t="s">
        <v>18</v>
      </c>
      <c r="H2751" s="4" t="s">
        <v>264</v>
      </c>
      <c r="I2751" s="5" t="str">
        <f t="shared" si="42"/>
        <v>2025-10</v>
      </c>
      <c r="J2751" s="4" t="s">
        <v>60</v>
      </c>
      <c r="K2751" s="5" t="s">
        <v>343</v>
      </c>
      <c r="L2751" s="2">
        <v>73000</v>
      </c>
      <c r="M2751" s="3">
        <v>1</v>
      </c>
      <c r="N2751" s="2">
        <v>73000</v>
      </c>
      <c r="O2751" s="2">
        <v>7300</v>
      </c>
      <c r="P2751" s="2">
        <v>80300</v>
      </c>
      <c r="Q2751" s="2">
        <f>P2751*12%</f>
        <v>9636</v>
      </c>
    </row>
    <row r="2752" spans="1:17" hidden="1" x14ac:dyDescent="0.4">
      <c r="A2752" s="4" t="s">
        <v>32</v>
      </c>
      <c r="B2752" s="4" t="s">
        <v>14</v>
      </c>
      <c r="C2752" s="31" t="s">
        <v>435</v>
      </c>
      <c r="D2752" s="4" t="s">
        <v>33</v>
      </c>
      <c r="E2752" s="4" t="s">
        <v>16</v>
      </c>
      <c r="F2752" s="4" t="s">
        <v>17</v>
      </c>
      <c r="G2752" s="4" t="s">
        <v>18</v>
      </c>
      <c r="H2752" s="4" t="s">
        <v>264</v>
      </c>
      <c r="I2752" s="5" t="str">
        <f t="shared" si="42"/>
        <v>2025-10</v>
      </c>
      <c r="J2752" s="4" t="s">
        <v>49</v>
      </c>
      <c r="K2752" s="5" t="s">
        <v>343</v>
      </c>
      <c r="L2752" s="2">
        <v>44000</v>
      </c>
      <c r="M2752" s="3">
        <v>5</v>
      </c>
      <c r="N2752" s="2">
        <v>220000</v>
      </c>
      <c r="O2752" s="2">
        <v>22000</v>
      </c>
      <c r="P2752" s="2">
        <v>242000</v>
      </c>
      <c r="Q2752" s="2">
        <f>P2752*12%</f>
        <v>29040</v>
      </c>
    </row>
    <row r="2753" spans="1:17" hidden="1" x14ac:dyDescent="0.4">
      <c r="A2753" s="4" t="s">
        <v>13</v>
      </c>
      <c r="B2753" s="4" t="s">
        <v>14</v>
      </c>
      <c r="C2753" s="30" t="s">
        <v>434</v>
      </c>
      <c r="D2753" s="4" t="s">
        <v>15</v>
      </c>
      <c r="E2753" s="4" t="s">
        <v>16</v>
      </c>
      <c r="F2753" s="4" t="s">
        <v>17</v>
      </c>
      <c r="G2753" s="4" t="s">
        <v>18</v>
      </c>
      <c r="H2753" s="4" t="s">
        <v>264</v>
      </c>
      <c r="I2753" s="5" t="str">
        <f t="shared" si="42"/>
        <v>2025-10</v>
      </c>
      <c r="J2753" s="4" t="s">
        <v>49</v>
      </c>
      <c r="K2753" s="5" t="s">
        <v>343</v>
      </c>
      <c r="L2753" s="2">
        <v>42000</v>
      </c>
      <c r="M2753" s="3">
        <v>6</v>
      </c>
      <c r="N2753" s="2">
        <v>252000</v>
      </c>
      <c r="O2753" s="2">
        <v>25200</v>
      </c>
      <c r="P2753" s="2">
        <v>277200</v>
      </c>
      <c r="Q2753" s="2">
        <f>P2753*12%</f>
        <v>33264</v>
      </c>
    </row>
    <row r="2754" spans="1:17" hidden="1" x14ac:dyDescent="0.4">
      <c r="A2754" s="4" t="s">
        <v>35</v>
      </c>
      <c r="B2754" s="4" t="s">
        <v>14</v>
      </c>
      <c r="C2754" s="30" t="s">
        <v>434</v>
      </c>
      <c r="D2754" s="4" t="s">
        <v>36</v>
      </c>
      <c r="E2754" s="4" t="s">
        <v>16</v>
      </c>
      <c r="F2754" s="4" t="s">
        <v>17</v>
      </c>
      <c r="G2754" s="4" t="s">
        <v>18</v>
      </c>
      <c r="H2754" s="4" t="s">
        <v>264</v>
      </c>
      <c r="I2754" s="5" t="str">
        <f t="shared" ref="I2754:I2817" si="43">TEXT(H2754,"yyyy-mm")</f>
        <v>2025-10</v>
      </c>
      <c r="J2754" s="4" t="s">
        <v>49</v>
      </c>
      <c r="K2754" s="5" t="s">
        <v>343</v>
      </c>
      <c r="L2754" s="2">
        <v>116220</v>
      </c>
      <c r="M2754" s="3">
        <v>1</v>
      </c>
      <c r="N2754" s="2">
        <v>116220</v>
      </c>
      <c r="O2754" s="2">
        <v>11622</v>
      </c>
      <c r="P2754" s="2">
        <v>127842</v>
      </c>
      <c r="Q2754" s="2">
        <f>P2754*12%</f>
        <v>15341.039999999999</v>
      </c>
    </row>
    <row r="2755" spans="1:17" hidden="1" x14ac:dyDescent="0.4">
      <c r="A2755" s="4" t="s">
        <v>23</v>
      </c>
      <c r="B2755" s="4" t="s">
        <v>14</v>
      </c>
      <c r="C2755" s="31" t="s">
        <v>435</v>
      </c>
      <c r="D2755" s="4" t="s">
        <v>24</v>
      </c>
      <c r="E2755" s="4" t="s">
        <v>16</v>
      </c>
      <c r="F2755" s="4" t="s">
        <v>17</v>
      </c>
      <c r="G2755" s="4" t="s">
        <v>18</v>
      </c>
      <c r="H2755" s="4" t="s">
        <v>264</v>
      </c>
      <c r="I2755" s="5" t="str">
        <f t="shared" si="43"/>
        <v>2025-10</v>
      </c>
      <c r="J2755" s="4" t="s">
        <v>49</v>
      </c>
      <c r="K2755" s="5" t="s">
        <v>343</v>
      </c>
      <c r="L2755" s="2">
        <v>55500</v>
      </c>
      <c r="M2755" s="3">
        <v>2</v>
      </c>
      <c r="N2755" s="2">
        <v>111000</v>
      </c>
      <c r="O2755" s="2">
        <v>11100</v>
      </c>
      <c r="P2755" s="2">
        <v>122100</v>
      </c>
      <c r="Q2755" s="2">
        <f>P2755*12%</f>
        <v>14652</v>
      </c>
    </row>
    <row r="2756" spans="1:17" hidden="1" x14ac:dyDescent="0.4">
      <c r="A2756" s="4" t="s">
        <v>51</v>
      </c>
      <c r="B2756" s="4" t="s">
        <v>14</v>
      </c>
      <c r="C2756" s="30" t="s">
        <v>434</v>
      </c>
      <c r="D2756" s="4" t="s">
        <v>52</v>
      </c>
      <c r="E2756" s="4" t="s">
        <v>16</v>
      </c>
      <c r="F2756" s="4" t="s">
        <v>17</v>
      </c>
      <c r="G2756" s="4" t="s">
        <v>18</v>
      </c>
      <c r="H2756" s="4" t="s">
        <v>264</v>
      </c>
      <c r="I2756" s="5" t="str">
        <f t="shared" si="43"/>
        <v>2025-10</v>
      </c>
      <c r="J2756" s="4" t="s">
        <v>49</v>
      </c>
      <c r="K2756" s="5" t="s">
        <v>343</v>
      </c>
      <c r="L2756" s="2">
        <v>73000</v>
      </c>
      <c r="M2756" s="3">
        <v>1</v>
      </c>
      <c r="N2756" s="2">
        <v>73000</v>
      </c>
      <c r="O2756" s="2">
        <v>7300</v>
      </c>
      <c r="P2756" s="2">
        <v>80300</v>
      </c>
      <c r="Q2756" s="2">
        <f>P2756*12%</f>
        <v>9636</v>
      </c>
    </row>
    <row r="2757" spans="1:17" hidden="1" x14ac:dyDescent="0.4">
      <c r="A2757" s="4" t="s">
        <v>32</v>
      </c>
      <c r="B2757" s="4" t="s">
        <v>14</v>
      </c>
      <c r="C2757" s="31" t="s">
        <v>435</v>
      </c>
      <c r="D2757" s="4" t="s">
        <v>33</v>
      </c>
      <c r="E2757" s="4" t="s">
        <v>16</v>
      </c>
      <c r="F2757" s="4" t="s">
        <v>17</v>
      </c>
      <c r="G2757" s="4" t="s">
        <v>18</v>
      </c>
      <c r="H2757" s="4" t="s">
        <v>264</v>
      </c>
      <c r="I2757" s="5" t="str">
        <f t="shared" si="43"/>
        <v>2025-10</v>
      </c>
      <c r="J2757" s="4" t="s">
        <v>50</v>
      </c>
      <c r="K2757" s="5" t="s">
        <v>343</v>
      </c>
      <c r="L2757" s="2">
        <v>44000</v>
      </c>
      <c r="M2757" s="3">
        <v>2</v>
      </c>
      <c r="N2757" s="2">
        <v>88000</v>
      </c>
      <c r="O2757" s="2">
        <v>8800</v>
      </c>
      <c r="P2757" s="2">
        <v>96800</v>
      </c>
      <c r="Q2757" s="2">
        <f>P2757*12%</f>
        <v>11616</v>
      </c>
    </row>
    <row r="2758" spans="1:17" hidden="1" x14ac:dyDescent="0.4">
      <c r="A2758" s="4" t="s">
        <v>13</v>
      </c>
      <c r="B2758" s="4" t="s">
        <v>14</v>
      </c>
      <c r="C2758" s="30" t="s">
        <v>434</v>
      </c>
      <c r="D2758" s="4" t="s">
        <v>15</v>
      </c>
      <c r="E2758" s="4" t="s">
        <v>16</v>
      </c>
      <c r="F2758" s="4" t="s">
        <v>17</v>
      </c>
      <c r="G2758" s="4" t="s">
        <v>18</v>
      </c>
      <c r="H2758" s="4" t="s">
        <v>264</v>
      </c>
      <c r="I2758" s="5" t="str">
        <f t="shared" si="43"/>
        <v>2025-10</v>
      </c>
      <c r="J2758" s="4" t="s">
        <v>50</v>
      </c>
      <c r="K2758" s="5" t="s">
        <v>343</v>
      </c>
      <c r="L2758" s="2">
        <v>42000</v>
      </c>
      <c r="M2758" s="3">
        <v>15</v>
      </c>
      <c r="N2758" s="2">
        <v>630000</v>
      </c>
      <c r="O2758" s="2">
        <v>63000</v>
      </c>
      <c r="P2758" s="2">
        <v>693000</v>
      </c>
      <c r="Q2758" s="2">
        <f>P2758*12%</f>
        <v>83160</v>
      </c>
    </row>
    <row r="2759" spans="1:17" hidden="1" x14ac:dyDescent="0.4">
      <c r="A2759" s="4" t="s">
        <v>23</v>
      </c>
      <c r="B2759" s="4" t="s">
        <v>14</v>
      </c>
      <c r="C2759" s="31" t="s">
        <v>435</v>
      </c>
      <c r="D2759" s="4" t="s">
        <v>24</v>
      </c>
      <c r="E2759" s="4" t="s">
        <v>16</v>
      </c>
      <c r="F2759" s="4" t="s">
        <v>17</v>
      </c>
      <c r="G2759" s="4" t="s">
        <v>18</v>
      </c>
      <c r="H2759" s="4" t="s">
        <v>264</v>
      </c>
      <c r="I2759" s="5" t="str">
        <f t="shared" si="43"/>
        <v>2025-10</v>
      </c>
      <c r="J2759" s="4" t="s">
        <v>50</v>
      </c>
      <c r="K2759" s="5" t="s">
        <v>343</v>
      </c>
      <c r="L2759" s="2">
        <v>55500</v>
      </c>
      <c r="M2759" s="3">
        <v>5</v>
      </c>
      <c r="N2759" s="2">
        <v>277500</v>
      </c>
      <c r="O2759" s="2">
        <v>27750</v>
      </c>
      <c r="P2759" s="2">
        <v>305250</v>
      </c>
      <c r="Q2759" s="2">
        <f>P2759*12%</f>
        <v>36630</v>
      </c>
    </row>
    <row r="2760" spans="1:17" hidden="1" x14ac:dyDescent="0.4">
      <c r="A2760" s="4" t="s">
        <v>51</v>
      </c>
      <c r="B2760" s="4" t="s">
        <v>14</v>
      </c>
      <c r="C2760" s="30" t="s">
        <v>434</v>
      </c>
      <c r="D2760" s="4" t="s">
        <v>52</v>
      </c>
      <c r="E2760" s="4" t="s">
        <v>16</v>
      </c>
      <c r="F2760" s="4" t="s">
        <v>17</v>
      </c>
      <c r="G2760" s="4" t="s">
        <v>18</v>
      </c>
      <c r="H2760" s="4" t="s">
        <v>264</v>
      </c>
      <c r="I2760" s="5" t="str">
        <f t="shared" si="43"/>
        <v>2025-10</v>
      </c>
      <c r="J2760" s="4" t="s">
        <v>50</v>
      </c>
      <c r="K2760" s="5" t="s">
        <v>343</v>
      </c>
      <c r="L2760" s="2">
        <v>73000</v>
      </c>
      <c r="M2760" s="3">
        <v>2</v>
      </c>
      <c r="N2760" s="2">
        <v>146000</v>
      </c>
      <c r="O2760" s="2">
        <v>14600</v>
      </c>
      <c r="P2760" s="2">
        <v>160600</v>
      </c>
      <c r="Q2760" s="2">
        <f>P2760*12%</f>
        <v>19272</v>
      </c>
    </row>
    <row r="2761" spans="1:17" x14ac:dyDescent="0.4">
      <c r="A2761" s="4" t="s">
        <v>13</v>
      </c>
      <c r="B2761" s="4" t="s">
        <v>14</v>
      </c>
      <c r="C2761" s="30" t="s">
        <v>434</v>
      </c>
      <c r="D2761" s="4" t="s">
        <v>15</v>
      </c>
      <c r="E2761" s="4" t="s">
        <v>16</v>
      </c>
      <c r="F2761" s="4" t="s">
        <v>17</v>
      </c>
      <c r="G2761" s="4" t="s">
        <v>18</v>
      </c>
      <c r="H2761" s="4" t="s">
        <v>265</v>
      </c>
      <c r="I2761" s="5" t="str">
        <f t="shared" si="43"/>
        <v>2025-10</v>
      </c>
      <c r="J2761" s="4" t="s">
        <v>20</v>
      </c>
      <c r="K2761" s="5" t="s">
        <v>342</v>
      </c>
      <c r="L2761" s="2">
        <v>42000</v>
      </c>
      <c r="M2761" s="3">
        <v>1</v>
      </c>
      <c r="N2761" s="2">
        <v>42000</v>
      </c>
      <c r="O2761" s="2">
        <v>4200</v>
      </c>
      <c r="P2761" s="2">
        <v>46200</v>
      </c>
      <c r="Q2761" s="2">
        <f>P2761*8.5%</f>
        <v>3927.0000000000005</v>
      </c>
    </row>
    <row r="2762" spans="1:17" x14ac:dyDescent="0.4">
      <c r="A2762" s="4" t="s">
        <v>21</v>
      </c>
      <c r="B2762" s="4" t="s">
        <v>14</v>
      </c>
      <c r="C2762" s="31" t="s">
        <v>435</v>
      </c>
      <c r="D2762" s="4" t="s">
        <v>22</v>
      </c>
      <c r="E2762" s="4" t="s">
        <v>16</v>
      </c>
      <c r="F2762" s="4" t="s">
        <v>17</v>
      </c>
      <c r="G2762" s="4" t="s">
        <v>18</v>
      </c>
      <c r="H2762" s="4" t="s">
        <v>265</v>
      </c>
      <c r="I2762" s="5" t="str">
        <f t="shared" si="43"/>
        <v>2025-10</v>
      </c>
      <c r="J2762" s="4" t="s">
        <v>20</v>
      </c>
      <c r="K2762" s="5" t="s">
        <v>342</v>
      </c>
      <c r="L2762" s="2">
        <v>55500</v>
      </c>
      <c r="M2762" s="3">
        <v>1</v>
      </c>
      <c r="N2762" s="2">
        <v>55500</v>
      </c>
      <c r="O2762" s="2">
        <v>5550</v>
      </c>
      <c r="P2762" s="2">
        <v>61050</v>
      </c>
      <c r="Q2762" s="2">
        <f>P2762*8.5%</f>
        <v>5189.25</v>
      </c>
    </row>
    <row r="2763" spans="1:17" x14ac:dyDescent="0.4">
      <c r="A2763" s="4" t="s">
        <v>23</v>
      </c>
      <c r="B2763" s="4" t="s">
        <v>14</v>
      </c>
      <c r="C2763" s="31" t="s">
        <v>435</v>
      </c>
      <c r="D2763" s="4" t="s">
        <v>24</v>
      </c>
      <c r="E2763" s="4" t="s">
        <v>16</v>
      </c>
      <c r="F2763" s="4" t="s">
        <v>17</v>
      </c>
      <c r="G2763" s="4" t="s">
        <v>18</v>
      </c>
      <c r="H2763" s="4" t="s">
        <v>265</v>
      </c>
      <c r="I2763" s="5" t="str">
        <f t="shared" si="43"/>
        <v>2025-10</v>
      </c>
      <c r="J2763" s="4" t="s">
        <v>20</v>
      </c>
      <c r="K2763" s="5" t="s">
        <v>342</v>
      </c>
      <c r="L2763" s="2">
        <v>55500</v>
      </c>
      <c r="M2763" s="3">
        <v>3</v>
      </c>
      <c r="N2763" s="2">
        <v>166500</v>
      </c>
      <c r="O2763" s="2">
        <v>16650</v>
      </c>
      <c r="P2763" s="2">
        <v>183150</v>
      </c>
      <c r="Q2763" s="2">
        <f>P2763*8.5%</f>
        <v>15567.750000000002</v>
      </c>
    </row>
    <row r="2764" spans="1:17" x14ac:dyDescent="0.4">
      <c r="A2764" s="4" t="s">
        <v>56</v>
      </c>
      <c r="B2764" s="4" t="s">
        <v>26</v>
      </c>
      <c r="C2764" s="32" t="s">
        <v>436</v>
      </c>
      <c r="D2764" s="4" t="s">
        <v>57</v>
      </c>
      <c r="E2764" s="4" t="s">
        <v>44</v>
      </c>
      <c r="F2764" s="4" t="s">
        <v>31</v>
      </c>
      <c r="G2764" s="4" t="s">
        <v>18</v>
      </c>
      <c r="H2764" s="4" t="s">
        <v>265</v>
      </c>
      <c r="I2764" s="5" t="str">
        <f t="shared" si="43"/>
        <v>2025-10</v>
      </c>
      <c r="J2764" s="4" t="s">
        <v>20</v>
      </c>
      <c r="K2764" s="5" t="s">
        <v>342</v>
      </c>
      <c r="L2764" s="2">
        <v>3671</v>
      </c>
      <c r="M2764" s="3">
        <v>25</v>
      </c>
      <c r="N2764" s="2">
        <v>91775</v>
      </c>
      <c r="O2764" s="2">
        <v>0</v>
      </c>
      <c r="P2764" s="2">
        <v>91775</v>
      </c>
      <c r="Q2764" s="2">
        <f>P2764*8.5%</f>
        <v>7800.8750000000009</v>
      </c>
    </row>
    <row r="2765" spans="1:17" hidden="1" x14ac:dyDescent="0.4">
      <c r="A2765" s="4" t="s">
        <v>32</v>
      </c>
      <c r="B2765" s="4" t="s">
        <v>14</v>
      </c>
      <c r="C2765" s="31" t="s">
        <v>435</v>
      </c>
      <c r="D2765" s="4" t="s">
        <v>33</v>
      </c>
      <c r="E2765" s="4" t="s">
        <v>16</v>
      </c>
      <c r="F2765" s="4" t="s">
        <v>17</v>
      </c>
      <c r="G2765" s="4" t="s">
        <v>18</v>
      </c>
      <c r="H2765" s="4" t="s">
        <v>265</v>
      </c>
      <c r="I2765" s="5" t="str">
        <f t="shared" si="43"/>
        <v>2025-10</v>
      </c>
      <c r="J2765" s="4" t="s">
        <v>118</v>
      </c>
      <c r="K2765" s="5" t="s">
        <v>342</v>
      </c>
      <c r="L2765" s="2">
        <v>44000</v>
      </c>
      <c r="M2765" s="3">
        <v>12</v>
      </c>
      <c r="N2765" s="2">
        <v>528000</v>
      </c>
      <c r="O2765" s="2">
        <v>52800</v>
      </c>
      <c r="P2765" s="2">
        <v>580800</v>
      </c>
      <c r="Q2765" s="2">
        <f>P2765*8.5%</f>
        <v>49368</v>
      </c>
    </row>
    <row r="2766" spans="1:17" hidden="1" x14ac:dyDescent="0.4">
      <c r="A2766" s="4" t="s">
        <v>13</v>
      </c>
      <c r="B2766" s="4" t="s">
        <v>14</v>
      </c>
      <c r="C2766" s="30" t="s">
        <v>434</v>
      </c>
      <c r="D2766" s="4" t="s">
        <v>15</v>
      </c>
      <c r="E2766" s="4" t="s">
        <v>16</v>
      </c>
      <c r="F2766" s="4" t="s">
        <v>17</v>
      </c>
      <c r="G2766" s="4" t="s">
        <v>18</v>
      </c>
      <c r="H2766" s="4" t="s">
        <v>265</v>
      </c>
      <c r="I2766" s="5" t="str">
        <f t="shared" si="43"/>
        <v>2025-10</v>
      </c>
      <c r="J2766" s="4" t="s">
        <v>118</v>
      </c>
      <c r="K2766" s="5" t="s">
        <v>342</v>
      </c>
      <c r="L2766" s="2">
        <v>42000</v>
      </c>
      <c r="M2766" s="3">
        <v>2</v>
      </c>
      <c r="N2766" s="2">
        <v>84000</v>
      </c>
      <c r="O2766" s="2">
        <v>8400</v>
      </c>
      <c r="P2766" s="2">
        <v>92400</v>
      </c>
      <c r="Q2766" s="2">
        <f>P2766*8.5%</f>
        <v>7854.0000000000009</v>
      </c>
    </row>
    <row r="2767" spans="1:17" hidden="1" x14ac:dyDescent="0.4">
      <c r="A2767" s="4" t="s">
        <v>51</v>
      </c>
      <c r="B2767" s="4" t="s">
        <v>14</v>
      </c>
      <c r="C2767" s="30" t="s">
        <v>434</v>
      </c>
      <c r="D2767" s="4" t="s">
        <v>52</v>
      </c>
      <c r="E2767" s="4" t="s">
        <v>16</v>
      </c>
      <c r="F2767" s="4" t="s">
        <v>17</v>
      </c>
      <c r="G2767" s="4" t="s">
        <v>18</v>
      </c>
      <c r="H2767" s="4" t="s">
        <v>265</v>
      </c>
      <c r="I2767" s="5" t="str">
        <f t="shared" si="43"/>
        <v>2025-10</v>
      </c>
      <c r="J2767" s="4" t="s">
        <v>118</v>
      </c>
      <c r="K2767" s="5" t="s">
        <v>342</v>
      </c>
      <c r="L2767" s="2">
        <v>73000</v>
      </c>
      <c r="M2767" s="3">
        <v>1</v>
      </c>
      <c r="N2767" s="2">
        <v>73000</v>
      </c>
      <c r="O2767" s="2">
        <v>7300</v>
      </c>
      <c r="P2767" s="2">
        <v>80300</v>
      </c>
      <c r="Q2767" s="2">
        <f>P2767*8.5%</f>
        <v>6825.5000000000009</v>
      </c>
    </row>
    <row r="2768" spans="1:17" hidden="1" x14ac:dyDescent="0.4">
      <c r="A2768" s="4" t="s">
        <v>64</v>
      </c>
      <c r="B2768" s="4" t="s">
        <v>65</v>
      </c>
      <c r="C2768" s="32" t="s">
        <v>436</v>
      </c>
      <c r="D2768" s="4" t="s">
        <v>66</v>
      </c>
      <c r="E2768" s="4" t="s">
        <v>16</v>
      </c>
      <c r="F2768" s="4" t="s">
        <v>17</v>
      </c>
      <c r="G2768" s="4" t="s">
        <v>18</v>
      </c>
      <c r="H2768" s="4" t="s">
        <v>265</v>
      </c>
      <c r="I2768" s="5" t="str">
        <f t="shared" si="43"/>
        <v>2025-10</v>
      </c>
      <c r="J2768" s="4" t="s">
        <v>34</v>
      </c>
      <c r="K2768" s="5" t="s">
        <v>342</v>
      </c>
      <c r="L2768" s="2">
        <v>10283</v>
      </c>
      <c r="M2768" s="3">
        <v>1</v>
      </c>
      <c r="N2768" s="2">
        <v>10283</v>
      </c>
      <c r="O2768" s="2">
        <v>1028</v>
      </c>
      <c r="P2768" s="2">
        <v>11311</v>
      </c>
      <c r="Q2768" s="2">
        <f>P2768*8.5%</f>
        <v>961.43500000000006</v>
      </c>
    </row>
    <row r="2769" spans="1:17" hidden="1" x14ac:dyDescent="0.4">
      <c r="A2769" s="4" t="s">
        <v>103</v>
      </c>
      <c r="B2769" s="4" t="s">
        <v>26</v>
      </c>
      <c r="C2769" s="32" t="s">
        <v>436</v>
      </c>
      <c r="D2769" s="4" t="s">
        <v>104</v>
      </c>
      <c r="E2769" s="4" t="s">
        <v>16</v>
      </c>
      <c r="F2769" s="4" t="s">
        <v>17</v>
      </c>
      <c r="G2769" s="4" t="s">
        <v>18</v>
      </c>
      <c r="H2769" s="4" t="s">
        <v>265</v>
      </c>
      <c r="I2769" s="5" t="str">
        <f t="shared" si="43"/>
        <v>2025-10</v>
      </c>
      <c r="J2769" s="4" t="s">
        <v>34</v>
      </c>
      <c r="K2769" s="5" t="s">
        <v>342</v>
      </c>
      <c r="L2769" s="2">
        <v>12555</v>
      </c>
      <c r="M2769" s="3">
        <v>1</v>
      </c>
      <c r="N2769" s="2">
        <v>12555</v>
      </c>
      <c r="O2769" s="2">
        <v>1256</v>
      </c>
      <c r="P2769" s="2">
        <v>13811</v>
      </c>
      <c r="Q2769" s="2">
        <f>P2769*8.5%</f>
        <v>1173.9350000000002</v>
      </c>
    </row>
    <row r="2770" spans="1:17" hidden="1" x14ac:dyDescent="0.4">
      <c r="A2770" s="4" t="s">
        <v>32</v>
      </c>
      <c r="B2770" s="4" t="s">
        <v>14</v>
      </c>
      <c r="C2770" s="31" t="s">
        <v>435</v>
      </c>
      <c r="D2770" s="4" t="s">
        <v>33</v>
      </c>
      <c r="E2770" s="4" t="s">
        <v>16</v>
      </c>
      <c r="F2770" s="4" t="s">
        <v>17</v>
      </c>
      <c r="G2770" s="4" t="s">
        <v>18</v>
      </c>
      <c r="H2770" s="4" t="s">
        <v>265</v>
      </c>
      <c r="I2770" s="5" t="str">
        <f t="shared" si="43"/>
        <v>2025-10</v>
      </c>
      <c r="J2770" s="4" t="s">
        <v>34</v>
      </c>
      <c r="K2770" s="5" t="s">
        <v>342</v>
      </c>
      <c r="L2770" s="2">
        <v>44000</v>
      </c>
      <c r="M2770" s="3">
        <v>3</v>
      </c>
      <c r="N2770" s="2">
        <v>132000</v>
      </c>
      <c r="O2770" s="2">
        <v>13200</v>
      </c>
      <c r="P2770" s="2">
        <v>145200</v>
      </c>
      <c r="Q2770" s="2">
        <f>P2770*8.5%</f>
        <v>12342</v>
      </c>
    </row>
    <row r="2771" spans="1:17" hidden="1" x14ac:dyDescent="0.4">
      <c r="A2771" s="4" t="s">
        <v>13</v>
      </c>
      <c r="B2771" s="4" t="s">
        <v>14</v>
      </c>
      <c r="C2771" s="30" t="s">
        <v>434</v>
      </c>
      <c r="D2771" s="4" t="s">
        <v>15</v>
      </c>
      <c r="E2771" s="4" t="s">
        <v>16</v>
      </c>
      <c r="F2771" s="4" t="s">
        <v>17</v>
      </c>
      <c r="G2771" s="4" t="s">
        <v>18</v>
      </c>
      <c r="H2771" s="4" t="s">
        <v>265</v>
      </c>
      <c r="I2771" s="5" t="str">
        <f t="shared" si="43"/>
        <v>2025-10</v>
      </c>
      <c r="J2771" s="4" t="s">
        <v>34</v>
      </c>
      <c r="K2771" s="5" t="s">
        <v>342</v>
      </c>
      <c r="L2771" s="2">
        <v>42000</v>
      </c>
      <c r="M2771" s="3">
        <v>6</v>
      </c>
      <c r="N2771" s="2">
        <v>252000</v>
      </c>
      <c r="O2771" s="2">
        <v>25200</v>
      </c>
      <c r="P2771" s="2">
        <v>277200</v>
      </c>
      <c r="Q2771" s="2">
        <f>P2771*8.5%</f>
        <v>23562</v>
      </c>
    </row>
    <row r="2772" spans="1:17" hidden="1" x14ac:dyDescent="0.4">
      <c r="A2772" s="4" t="s">
        <v>21</v>
      </c>
      <c r="B2772" s="4" t="s">
        <v>14</v>
      </c>
      <c r="C2772" s="31" t="s">
        <v>435</v>
      </c>
      <c r="D2772" s="4" t="s">
        <v>22</v>
      </c>
      <c r="E2772" s="4" t="s">
        <v>16</v>
      </c>
      <c r="F2772" s="4" t="s">
        <v>17</v>
      </c>
      <c r="G2772" s="4" t="s">
        <v>18</v>
      </c>
      <c r="H2772" s="4" t="s">
        <v>265</v>
      </c>
      <c r="I2772" s="5" t="str">
        <f t="shared" si="43"/>
        <v>2025-10</v>
      </c>
      <c r="J2772" s="4" t="s">
        <v>34</v>
      </c>
      <c r="K2772" s="5" t="s">
        <v>342</v>
      </c>
      <c r="L2772" s="2">
        <v>55500</v>
      </c>
      <c r="M2772" s="3">
        <v>2</v>
      </c>
      <c r="N2772" s="2">
        <v>111000</v>
      </c>
      <c r="O2772" s="2">
        <v>11100</v>
      </c>
      <c r="P2772" s="2">
        <v>122100</v>
      </c>
      <c r="Q2772" s="2">
        <f>P2772*8.5%</f>
        <v>10378.5</v>
      </c>
    </row>
    <row r="2773" spans="1:17" hidden="1" x14ac:dyDescent="0.4">
      <c r="A2773" s="4" t="s">
        <v>35</v>
      </c>
      <c r="B2773" s="4" t="s">
        <v>14</v>
      </c>
      <c r="C2773" s="30" t="s">
        <v>434</v>
      </c>
      <c r="D2773" s="4" t="s">
        <v>36</v>
      </c>
      <c r="E2773" s="4" t="s">
        <v>16</v>
      </c>
      <c r="F2773" s="4" t="s">
        <v>17</v>
      </c>
      <c r="G2773" s="4" t="s">
        <v>18</v>
      </c>
      <c r="H2773" s="4" t="s">
        <v>265</v>
      </c>
      <c r="I2773" s="5" t="str">
        <f t="shared" si="43"/>
        <v>2025-10</v>
      </c>
      <c r="J2773" s="4" t="s">
        <v>34</v>
      </c>
      <c r="K2773" s="5" t="s">
        <v>342</v>
      </c>
      <c r="L2773" s="2">
        <v>116220</v>
      </c>
      <c r="M2773" s="3">
        <v>1</v>
      </c>
      <c r="N2773" s="2">
        <v>116220</v>
      </c>
      <c r="O2773" s="2">
        <v>11622</v>
      </c>
      <c r="P2773" s="2">
        <v>127842</v>
      </c>
      <c r="Q2773" s="2">
        <f>P2773*8.5%</f>
        <v>10866.570000000002</v>
      </c>
    </row>
    <row r="2774" spans="1:17" hidden="1" x14ac:dyDescent="0.4">
      <c r="A2774" s="4" t="s">
        <v>23</v>
      </c>
      <c r="B2774" s="4" t="s">
        <v>14</v>
      </c>
      <c r="C2774" s="31" t="s">
        <v>435</v>
      </c>
      <c r="D2774" s="4" t="s">
        <v>24</v>
      </c>
      <c r="E2774" s="4" t="s">
        <v>16</v>
      </c>
      <c r="F2774" s="4" t="s">
        <v>17</v>
      </c>
      <c r="G2774" s="4" t="s">
        <v>18</v>
      </c>
      <c r="H2774" s="4" t="s">
        <v>265</v>
      </c>
      <c r="I2774" s="5" t="str">
        <f t="shared" si="43"/>
        <v>2025-10</v>
      </c>
      <c r="J2774" s="4" t="s">
        <v>34</v>
      </c>
      <c r="K2774" s="5" t="s">
        <v>342</v>
      </c>
      <c r="L2774" s="2">
        <v>55500</v>
      </c>
      <c r="M2774" s="3">
        <v>3</v>
      </c>
      <c r="N2774" s="2">
        <v>166500</v>
      </c>
      <c r="O2774" s="2">
        <v>16650</v>
      </c>
      <c r="P2774" s="2">
        <v>183150</v>
      </c>
      <c r="Q2774" s="2">
        <f>P2774*8.5%</f>
        <v>15567.750000000002</v>
      </c>
    </row>
    <row r="2775" spans="1:17" hidden="1" x14ac:dyDescent="0.4">
      <c r="A2775" s="4" t="s">
        <v>51</v>
      </c>
      <c r="B2775" s="4" t="s">
        <v>14</v>
      </c>
      <c r="C2775" s="30" t="s">
        <v>434</v>
      </c>
      <c r="D2775" s="4" t="s">
        <v>52</v>
      </c>
      <c r="E2775" s="4" t="s">
        <v>16</v>
      </c>
      <c r="F2775" s="4" t="s">
        <v>17</v>
      </c>
      <c r="G2775" s="4" t="s">
        <v>18</v>
      </c>
      <c r="H2775" s="4" t="s">
        <v>265</v>
      </c>
      <c r="I2775" s="5" t="str">
        <f t="shared" si="43"/>
        <v>2025-10</v>
      </c>
      <c r="J2775" s="4" t="s">
        <v>34</v>
      </c>
      <c r="K2775" s="5" t="s">
        <v>342</v>
      </c>
      <c r="L2775" s="2">
        <v>73000</v>
      </c>
      <c r="M2775" s="3">
        <v>1</v>
      </c>
      <c r="N2775" s="2">
        <v>73000</v>
      </c>
      <c r="O2775" s="2">
        <v>7300</v>
      </c>
      <c r="P2775" s="2">
        <v>80300</v>
      </c>
      <c r="Q2775" s="2">
        <f>P2775*8.5%</f>
        <v>6825.5000000000009</v>
      </c>
    </row>
    <row r="2776" spans="1:17" hidden="1" x14ac:dyDescent="0.4">
      <c r="A2776" s="4" t="s">
        <v>42</v>
      </c>
      <c r="B2776" s="4" t="s">
        <v>14</v>
      </c>
      <c r="C2776" s="30" t="s">
        <v>434</v>
      </c>
      <c r="D2776" s="4" t="s">
        <v>43</v>
      </c>
      <c r="E2776" s="4" t="s">
        <v>44</v>
      </c>
      <c r="F2776" s="4" t="s">
        <v>31</v>
      </c>
      <c r="G2776" s="4" t="s">
        <v>18</v>
      </c>
      <c r="H2776" s="4" t="s">
        <v>265</v>
      </c>
      <c r="I2776" s="5" t="str">
        <f t="shared" si="43"/>
        <v>2025-10</v>
      </c>
      <c r="J2776" s="4" t="s">
        <v>34</v>
      </c>
      <c r="K2776" s="5" t="s">
        <v>342</v>
      </c>
      <c r="L2776" s="2">
        <v>7300</v>
      </c>
      <c r="M2776" s="3">
        <v>79.599999999999994</v>
      </c>
      <c r="N2776" s="2">
        <v>581080</v>
      </c>
      <c r="O2776" s="2">
        <v>0</v>
      </c>
      <c r="P2776" s="2">
        <v>581080</v>
      </c>
      <c r="Q2776" s="2">
        <f>P2776*8.5%</f>
        <v>49391.8</v>
      </c>
    </row>
    <row r="2777" spans="1:17" x14ac:dyDescent="0.4">
      <c r="A2777" s="4" t="s">
        <v>58</v>
      </c>
      <c r="B2777" s="4" t="s">
        <v>14</v>
      </c>
      <c r="C2777" s="30" t="s">
        <v>434</v>
      </c>
      <c r="D2777" s="4" t="s">
        <v>36</v>
      </c>
      <c r="E2777" s="4" t="s">
        <v>16</v>
      </c>
      <c r="F2777" s="4" t="s">
        <v>17</v>
      </c>
      <c r="G2777" s="4" t="s">
        <v>18</v>
      </c>
      <c r="H2777" s="4" t="s">
        <v>266</v>
      </c>
      <c r="I2777" s="5" t="str">
        <f t="shared" si="43"/>
        <v>2025-10</v>
      </c>
      <c r="J2777" s="4" t="s">
        <v>20</v>
      </c>
      <c r="K2777" s="5" t="s">
        <v>342</v>
      </c>
      <c r="L2777" s="2">
        <v>120880</v>
      </c>
      <c r="M2777" s="3">
        <v>1</v>
      </c>
      <c r="N2777" s="2">
        <v>120880</v>
      </c>
      <c r="O2777" s="2">
        <v>12088</v>
      </c>
      <c r="P2777" s="2">
        <v>132968</v>
      </c>
      <c r="Q2777" s="2">
        <f>P2777*8.5%</f>
        <v>11302.28</v>
      </c>
    </row>
    <row r="2778" spans="1:17" x14ac:dyDescent="0.4">
      <c r="A2778" s="4" t="s">
        <v>13</v>
      </c>
      <c r="B2778" s="4" t="s">
        <v>14</v>
      </c>
      <c r="C2778" s="30" t="s">
        <v>434</v>
      </c>
      <c r="D2778" s="4" t="s">
        <v>15</v>
      </c>
      <c r="E2778" s="4" t="s">
        <v>16</v>
      </c>
      <c r="F2778" s="4" t="s">
        <v>17</v>
      </c>
      <c r="G2778" s="4" t="s">
        <v>18</v>
      </c>
      <c r="H2778" s="4" t="s">
        <v>266</v>
      </c>
      <c r="I2778" s="5" t="str">
        <f t="shared" si="43"/>
        <v>2025-10</v>
      </c>
      <c r="J2778" s="4" t="s">
        <v>20</v>
      </c>
      <c r="K2778" s="5" t="s">
        <v>342</v>
      </c>
      <c r="L2778" s="2">
        <v>42000</v>
      </c>
      <c r="M2778" s="3">
        <v>1</v>
      </c>
      <c r="N2778" s="2">
        <v>42000</v>
      </c>
      <c r="O2778" s="2">
        <v>4200</v>
      </c>
      <c r="P2778" s="2">
        <v>46200</v>
      </c>
      <c r="Q2778" s="2">
        <f>P2778*8.5%</f>
        <v>3927.0000000000005</v>
      </c>
    </row>
    <row r="2779" spans="1:17" x14ac:dyDescent="0.4">
      <c r="A2779" s="4" t="s">
        <v>21</v>
      </c>
      <c r="B2779" s="4" t="s">
        <v>14</v>
      </c>
      <c r="C2779" s="31" t="s">
        <v>435</v>
      </c>
      <c r="D2779" s="4" t="s">
        <v>22</v>
      </c>
      <c r="E2779" s="4" t="s">
        <v>16</v>
      </c>
      <c r="F2779" s="4" t="s">
        <v>17</v>
      </c>
      <c r="G2779" s="4" t="s">
        <v>18</v>
      </c>
      <c r="H2779" s="4" t="s">
        <v>266</v>
      </c>
      <c r="I2779" s="5" t="str">
        <f t="shared" si="43"/>
        <v>2025-10</v>
      </c>
      <c r="J2779" s="4" t="s">
        <v>20</v>
      </c>
      <c r="K2779" s="5" t="s">
        <v>342</v>
      </c>
      <c r="L2779" s="2">
        <v>55500</v>
      </c>
      <c r="M2779" s="3">
        <v>2</v>
      </c>
      <c r="N2779" s="2">
        <v>111000</v>
      </c>
      <c r="O2779" s="2">
        <v>11100</v>
      </c>
      <c r="P2779" s="2">
        <v>122100</v>
      </c>
      <c r="Q2779" s="2">
        <f>P2779*8.5%</f>
        <v>10378.5</v>
      </c>
    </row>
    <row r="2780" spans="1:17" x14ac:dyDescent="0.4">
      <c r="A2780" s="4" t="s">
        <v>23</v>
      </c>
      <c r="B2780" s="4" t="s">
        <v>14</v>
      </c>
      <c r="C2780" s="31" t="s">
        <v>435</v>
      </c>
      <c r="D2780" s="4" t="s">
        <v>24</v>
      </c>
      <c r="E2780" s="4" t="s">
        <v>16</v>
      </c>
      <c r="F2780" s="4" t="s">
        <v>17</v>
      </c>
      <c r="G2780" s="4" t="s">
        <v>18</v>
      </c>
      <c r="H2780" s="4" t="s">
        <v>266</v>
      </c>
      <c r="I2780" s="5" t="str">
        <f t="shared" si="43"/>
        <v>2025-10</v>
      </c>
      <c r="J2780" s="4" t="s">
        <v>20</v>
      </c>
      <c r="K2780" s="5" t="s">
        <v>342</v>
      </c>
      <c r="L2780" s="2">
        <v>55500</v>
      </c>
      <c r="M2780" s="3">
        <v>2</v>
      </c>
      <c r="N2780" s="2">
        <v>111000</v>
      </c>
      <c r="O2780" s="2">
        <v>11100</v>
      </c>
      <c r="P2780" s="2">
        <v>122100</v>
      </c>
      <c r="Q2780" s="2">
        <f>P2780*8.5%</f>
        <v>10378.5</v>
      </c>
    </row>
    <row r="2781" spans="1:17" x14ac:dyDescent="0.4">
      <c r="A2781" s="4" t="s">
        <v>54</v>
      </c>
      <c r="B2781" s="4" t="s">
        <v>26</v>
      </c>
      <c r="C2781" s="32" t="s">
        <v>436</v>
      </c>
      <c r="D2781" s="4" t="s">
        <v>55</v>
      </c>
      <c r="E2781" s="4" t="s">
        <v>28</v>
      </c>
      <c r="F2781" s="4" t="s">
        <v>31</v>
      </c>
      <c r="G2781" s="4" t="s">
        <v>18</v>
      </c>
      <c r="H2781" s="4" t="s">
        <v>266</v>
      </c>
      <c r="I2781" s="5" t="str">
        <f t="shared" si="43"/>
        <v>2025-10</v>
      </c>
      <c r="J2781" s="4" t="s">
        <v>20</v>
      </c>
      <c r="K2781" s="5" t="s">
        <v>342</v>
      </c>
      <c r="L2781" s="2">
        <v>5919</v>
      </c>
      <c r="M2781" s="3">
        <v>1</v>
      </c>
      <c r="N2781" s="2">
        <v>5919</v>
      </c>
      <c r="O2781" s="2">
        <v>0</v>
      </c>
      <c r="P2781" s="2">
        <v>5919</v>
      </c>
      <c r="Q2781" s="2">
        <f>P2781*8.5%</f>
        <v>503.11500000000001</v>
      </c>
    </row>
    <row r="2782" spans="1:17" x14ac:dyDescent="0.4">
      <c r="A2782" s="4" t="s">
        <v>56</v>
      </c>
      <c r="B2782" s="4" t="s">
        <v>26</v>
      </c>
      <c r="C2782" s="32" t="s">
        <v>436</v>
      </c>
      <c r="D2782" s="4" t="s">
        <v>57</v>
      </c>
      <c r="E2782" s="4" t="s">
        <v>44</v>
      </c>
      <c r="F2782" s="4" t="s">
        <v>31</v>
      </c>
      <c r="G2782" s="4" t="s">
        <v>18</v>
      </c>
      <c r="H2782" s="4" t="s">
        <v>266</v>
      </c>
      <c r="I2782" s="5" t="str">
        <f t="shared" si="43"/>
        <v>2025-10</v>
      </c>
      <c r="J2782" s="4" t="s">
        <v>20</v>
      </c>
      <c r="K2782" s="5" t="s">
        <v>342</v>
      </c>
      <c r="L2782" s="2">
        <v>3671</v>
      </c>
      <c r="M2782" s="3">
        <v>8</v>
      </c>
      <c r="N2782" s="2">
        <v>29368</v>
      </c>
      <c r="O2782" s="2">
        <v>0</v>
      </c>
      <c r="P2782" s="2">
        <v>29368</v>
      </c>
      <c r="Q2782" s="2">
        <f>P2782*8.5%</f>
        <v>2496.2800000000002</v>
      </c>
    </row>
    <row r="2783" spans="1:17" hidden="1" x14ac:dyDescent="0.4">
      <c r="A2783" s="4" t="s">
        <v>32</v>
      </c>
      <c r="B2783" s="4" t="s">
        <v>14</v>
      </c>
      <c r="C2783" s="31" t="s">
        <v>435</v>
      </c>
      <c r="D2783" s="4" t="s">
        <v>33</v>
      </c>
      <c r="E2783" s="4" t="s">
        <v>16</v>
      </c>
      <c r="F2783" s="4" t="s">
        <v>17</v>
      </c>
      <c r="G2783" s="4" t="s">
        <v>18</v>
      </c>
      <c r="H2783" s="4" t="s">
        <v>266</v>
      </c>
      <c r="I2783" s="5" t="str">
        <f t="shared" si="43"/>
        <v>2025-10</v>
      </c>
      <c r="J2783" s="4" t="s">
        <v>118</v>
      </c>
      <c r="K2783" s="5" t="s">
        <v>342</v>
      </c>
      <c r="L2783" s="2">
        <v>44000</v>
      </c>
      <c r="M2783" s="3">
        <v>1</v>
      </c>
      <c r="N2783" s="2">
        <v>44000</v>
      </c>
      <c r="O2783" s="2">
        <v>4400</v>
      </c>
      <c r="P2783" s="2">
        <v>48400</v>
      </c>
      <c r="Q2783" s="2">
        <f>P2783*8.5%</f>
        <v>4114</v>
      </c>
    </row>
    <row r="2784" spans="1:17" hidden="1" x14ac:dyDescent="0.4">
      <c r="A2784" s="4" t="s">
        <v>13</v>
      </c>
      <c r="B2784" s="4" t="s">
        <v>14</v>
      </c>
      <c r="C2784" s="30" t="s">
        <v>434</v>
      </c>
      <c r="D2784" s="4" t="s">
        <v>15</v>
      </c>
      <c r="E2784" s="4" t="s">
        <v>16</v>
      </c>
      <c r="F2784" s="4" t="s">
        <v>17</v>
      </c>
      <c r="G2784" s="4" t="s">
        <v>18</v>
      </c>
      <c r="H2784" s="4" t="s">
        <v>266</v>
      </c>
      <c r="I2784" s="5" t="str">
        <f t="shared" si="43"/>
        <v>2025-10</v>
      </c>
      <c r="J2784" s="4" t="s">
        <v>118</v>
      </c>
      <c r="K2784" s="5" t="s">
        <v>342</v>
      </c>
      <c r="L2784" s="2">
        <v>42000</v>
      </c>
      <c r="M2784" s="3">
        <v>2</v>
      </c>
      <c r="N2784" s="2">
        <v>84000</v>
      </c>
      <c r="O2784" s="2">
        <v>8400</v>
      </c>
      <c r="P2784" s="2">
        <v>92400</v>
      </c>
      <c r="Q2784" s="2">
        <f>P2784*8.5%</f>
        <v>7854.0000000000009</v>
      </c>
    </row>
    <row r="2785" spans="1:17" hidden="1" x14ac:dyDescent="0.4">
      <c r="A2785" s="4" t="s">
        <v>23</v>
      </c>
      <c r="B2785" s="4" t="s">
        <v>14</v>
      </c>
      <c r="C2785" s="31" t="s">
        <v>435</v>
      </c>
      <c r="D2785" s="4" t="s">
        <v>24</v>
      </c>
      <c r="E2785" s="4" t="s">
        <v>16</v>
      </c>
      <c r="F2785" s="4" t="s">
        <v>17</v>
      </c>
      <c r="G2785" s="4" t="s">
        <v>18</v>
      </c>
      <c r="H2785" s="4" t="s">
        <v>266</v>
      </c>
      <c r="I2785" s="5" t="str">
        <f t="shared" si="43"/>
        <v>2025-10</v>
      </c>
      <c r="J2785" s="4" t="s">
        <v>118</v>
      </c>
      <c r="K2785" s="5" t="s">
        <v>342</v>
      </c>
      <c r="L2785" s="2">
        <v>55500</v>
      </c>
      <c r="M2785" s="3">
        <v>1</v>
      </c>
      <c r="N2785" s="2">
        <v>55500</v>
      </c>
      <c r="O2785" s="2">
        <v>5550</v>
      </c>
      <c r="P2785" s="2">
        <v>61050</v>
      </c>
      <c r="Q2785" s="2">
        <f>P2785*8.5%</f>
        <v>5189.25</v>
      </c>
    </row>
    <row r="2786" spans="1:17" hidden="1" x14ac:dyDescent="0.4">
      <c r="A2786" s="4" t="s">
        <v>80</v>
      </c>
      <c r="B2786" s="4" t="s">
        <v>26</v>
      </c>
      <c r="C2786" s="32" t="s">
        <v>436</v>
      </c>
      <c r="D2786" s="4" t="s">
        <v>81</v>
      </c>
      <c r="E2786" s="4" t="s">
        <v>16</v>
      </c>
      <c r="F2786" s="4" t="s">
        <v>17</v>
      </c>
      <c r="G2786" s="4" t="s">
        <v>18</v>
      </c>
      <c r="H2786" s="4" t="s">
        <v>266</v>
      </c>
      <c r="I2786" s="5" t="str">
        <f t="shared" si="43"/>
        <v>2025-10</v>
      </c>
      <c r="J2786" s="4" t="s">
        <v>34</v>
      </c>
      <c r="K2786" s="5" t="s">
        <v>342</v>
      </c>
      <c r="L2786" s="2">
        <v>17696</v>
      </c>
      <c r="M2786" s="3">
        <v>1</v>
      </c>
      <c r="N2786" s="2">
        <v>17696</v>
      </c>
      <c r="O2786" s="2">
        <v>1770</v>
      </c>
      <c r="P2786" s="2">
        <v>19466</v>
      </c>
      <c r="Q2786" s="2">
        <f>P2786*8.5%</f>
        <v>1654.6100000000001</v>
      </c>
    </row>
    <row r="2787" spans="1:17" hidden="1" x14ac:dyDescent="0.4">
      <c r="A2787" s="4" t="s">
        <v>82</v>
      </c>
      <c r="B2787" s="4" t="s">
        <v>26</v>
      </c>
      <c r="C2787" s="32" t="s">
        <v>436</v>
      </c>
      <c r="D2787" s="4" t="s">
        <v>81</v>
      </c>
      <c r="E2787" s="4" t="s">
        <v>16</v>
      </c>
      <c r="F2787" s="4" t="s">
        <v>17</v>
      </c>
      <c r="G2787" s="4" t="s">
        <v>18</v>
      </c>
      <c r="H2787" s="4" t="s">
        <v>266</v>
      </c>
      <c r="I2787" s="5" t="str">
        <f t="shared" si="43"/>
        <v>2025-10</v>
      </c>
      <c r="J2787" s="4" t="s">
        <v>34</v>
      </c>
      <c r="K2787" s="5" t="s">
        <v>342</v>
      </c>
      <c r="L2787" s="2">
        <v>20925</v>
      </c>
      <c r="M2787" s="3">
        <v>1</v>
      </c>
      <c r="N2787" s="2">
        <v>20925</v>
      </c>
      <c r="O2787" s="2">
        <v>2093</v>
      </c>
      <c r="P2787" s="2">
        <v>23018</v>
      </c>
      <c r="Q2787" s="2">
        <f>P2787*8.5%</f>
        <v>1956.5300000000002</v>
      </c>
    </row>
    <row r="2788" spans="1:17" hidden="1" x14ac:dyDescent="0.4">
      <c r="A2788" s="4" t="s">
        <v>32</v>
      </c>
      <c r="B2788" s="4" t="s">
        <v>14</v>
      </c>
      <c r="C2788" s="31" t="s">
        <v>435</v>
      </c>
      <c r="D2788" s="4" t="s">
        <v>33</v>
      </c>
      <c r="E2788" s="4" t="s">
        <v>16</v>
      </c>
      <c r="F2788" s="4" t="s">
        <v>17</v>
      </c>
      <c r="G2788" s="4" t="s">
        <v>18</v>
      </c>
      <c r="H2788" s="4" t="s">
        <v>266</v>
      </c>
      <c r="I2788" s="5" t="str">
        <f t="shared" si="43"/>
        <v>2025-10</v>
      </c>
      <c r="J2788" s="4" t="s">
        <v>34</v>
      </c>
      <c r="K2788" s="5" t="s">
        <v>342</v>
      </c>
      <c r="L2788" s="2">
        <v>44000</v>
      </c>
      <c r="M2788" s="3">
        <v>1</v>
      </c>
      <c r="N2788" s="2">
        <v>44000</v>
      </c>
      <c r="O2788" s="2">
        <v>4400</v>
      </c>
      <c r="P2788" s="2">
        <v>48400</v>
      </c>
      <c r="Q2788" s="2">
        <f>P2788*8.5%</f>
        <v>4114</v>
      </c>
    </row>
    <row r="2789" spans="1:17" hidden="1" x14ac:dyDescent="0.4">
      <c r="A2789" s="4" t="s">
        <v>58</v>
      </c>
      <c r="B2789" s="4" t="s">
        <v>14</v>
      </c>
      <c r="C2789" s="30" t="s">
        <v>434</v>
      </c>
      <c r="D2789" s="4" t="s">
        <v>36</v>
      </c>
      <c r="E2789" s="4" t="s">
        <v>16</v>
      </c>
      <c r="F2789" s="4" t="s">
        <v>17</v>
      </c>
      <c r="G2789" s="4" t="s">
        <v>18</v>
      </c>
      <c r="H2789" s="4" t="s">
        <v>266</v>
      </c>
      <c r="I2789" s="5" t="str">
        <f t="shared" si="43"/>
        <v>2025-10</v>
      </c>
      <c r="J2789" s="4" t="s">
        <v>34</v>
      </c>
      <c r="K2789" s="5" t="s">
        <v>342</v>
      </c>
      <c r="L2789" s="2">
        <v>120880</v>
      </c>
      <c r="M2789" s="3">
        <v>1</v>
      </c>
      <c r="N2789" s="2">
        <v>120880</v>
      </c>
      <c r="O2789" s="2">
        <v>12088</v>
      </c>
      <c r="P2789" s="2">
        <v>132968</v>
      </c>
      <c r="Q2789" s="2">
        <f>P2789*8.5%</f>
        <v>11302.28</v>
      </c>
    </row>
    <row r="2790" spans="1:17" hidden="1" x14ac:dyDescent="0.4">
      <c r="A2790" s="4" t="s">
        <v>13</v>
      </c>
      <c r="B2790" s="4" t="s">
        <v>14</v>
      </c>
      <c r="C2790" s="30" t="s">
        <v>434</v>
      </c>
      <c r="D2790" s="4" t="s">
        <v>15</v>
      </c>
      <c r="E2790" s="4" t="s">
        <v>16</v>
      </c>
      <c r="F2790" s="4" t="s">
        <v>17</v>
      </c>
      <c r="G2790" s="4" t="s">
        <v>18</v>
      </c>
      <c r="H2790" s="4" t="s">
        <v>266</v>
      </c>
      <c r="I2790" s="5" t="str">
        <f t="shared" si="43"/>
        <v>2025-10</v>
      </c>
      <c r="J2790" s="4" t="s">
        <v>34</v>
      </c>
      <c r="K2790" s="5" t="s">
        <v>342</v>
      </c>
      <c r="L2790" s="2">
        <v>42000</v>
      </c>
      <c r="M2790" s="3">
        <v>3</v>
      </c>
      <c r="N2790" s="2">
        <v>126000</v>
      </c>
      <c r="O2790" s="2">
        <v>12600</v>
      </c>
      <c r="P2790" s="2">
        <v>138600</v>
      </c>
      <c r="Q2790" s="2">
        <f>P2790*8.5%</f>
        <v>11781</v>
      </c>
    </row>
    <row r="2791" spans="1:17" hidden="1" x14ac:dyDescent="0.4">
      <c r="A2791" s="4" t="s">
        <v>23</v>
      </c>
      <c r="B2791" s="4" t="s">
        <v>14</v>
      </c>
      <c r="C2791" s="31" t="s">
        <v>435</v>
      </c>
      <c r="D2791" s="4" t="s">
        <v>24</v>
      </c>
      <c r="E2791" s="4" t="s">
        <v>16</v>
      </c>
      <c r="F2791" s="4" t="s">
        <v>17</v>
      </c>
      <c r="G2791" s="4" t="s">
        <v>18</v>
      </c>
      <c r="H2791" s="4" t="s">
        <v>266</v>
      </c>
      <c r="I2791" s="5" t="str">
        <f t="shared" si="43"/>
        <v>2025-10</v>
      </c>
      <c r="J2791" s="4" t="s">
        <v>34</v>
      </c>
      <c r="K2791" s="5" t="s">
        <v>342</v>
      </c>
      <c r="L2791" s="2">
        <v>55500</v>
      </c>
      <c r="M2791" s="3">
        <v>4</v>
      </c>
      <c r="N2791" s="2">
        <v>222000</v>
      </c>
      <c r="O2791" s="2">
        <v>22200</v>
      </c>
      <c r="P2791" s="2">
        <v>244200</v>
      </c>
      <c r="Q2791" s="2">
        <f>P2791*8.5%</f>
        <v>20757</v>
      </c>
    </row>
    <row r="2792" spans="1:17" hidden="1" x14ac:dyDescent="0.4">
      <c r="A2792" s="4" t="s">
        <v>77</v>
      </c>
      <c r="B2792" s="4" t="s">
        <v>26</v>
      </c>
      <c r="C2792" s="32" t="s">
        <v>436</v>
      </c>
      <c r="D2792" s="4" t="s">
        <v>78</v>
      </c>
      <c r="E2792" s="4" t="s">
        <v>28</v>
      </c>
      <c r="F2792" s="4" t="s">
        <v>17</v>
      </c>
      <c r="G2792" s="4" t="s">
        <v>18</v>
      </c>
      <c r="H2792" s="4" t="s">
        <v>266</v>
      </c>
      <c r="I2792" s="5" t="str">
        <f t="shared" si="43"/>
        <v>2025-10</v>
      </c>
      <c r="J2792" s="4" t="s">
        <v>34</v>
      </c>
      <c r="K2792" s="5" t="s">
        <v>342</v>
      </c>
      <c r="L2792" s="2">
        <v>15544</v>
      </c>
      <c r="M2792" s="3">
        <v>1</v>
      </c>
      <c r="N2792" s="2">
        <v>15544</v>
      </c>
      <c r="O2792" s="2">
        <v>1554</v>
      </c>
      <c r="P2792" s="2">
        <v>17098</v>
      </c>
      <c r="Q2792" s="2">
        <f>P2792*8.5%</f>
        <v>1453.3300000000002</v>
      </c>
    </row>
    <row r="2793" spans="1:17" hidden="1" x14ac:dyDescent="0.4">
      <c r="A2793" s="4" t="s">
        <v>136</v>
      </c>
      <c r="B2793" s="4" t="s">
        <v>26</v>
      </c>
      <c r="C2793" s="32" t="s">
        <v>436</v>
      </c>
      <c r="D2793" s="4" t="s">
        <v>137</v>
      </c>
      <c r="E2793" s="4" t="s">
        <v>28</v>
      </c>
      <c r="F2793" s="4" t="s">
        <v>17</v>
      </c>
      <c r="G2793" s="4" t="s">
        <v>18</v>
      </c>
      <c r="H2793" s="4" t="s">
        <v>266</v>
      </c>
      <c r="I2793" s="5" t="str">
        <f t="shared" si="43"/>
        <v>2025-10</v>
      </c>
      <c r="J2793" s="4" t="s">
        <v>34</v>
      </c>
      <c r="K2793" s="5" t="s">
        <v>342</v>
      </c>
      <c r="L2793" s="2">
        <v>5548</v>
      </c>
      <c r="M2793" s="3">
        <v>1</v>
      </c>
      <c r="N2793" s="2">
        <v>5548</v>
      </c>
      <c r="O2793" s="2">
        <v>555</v>
      </c>
      <c r="P2793" s="2">
        <v>6103</v>
      </c>
      <c r="Q2793" s="2">
        <f>P2793*8.5%</f>
        <v>518.755</v>
      </c>
    </row>
    <row r="2794" spans="1:17" hidden="1" x14ac:dyDescent="0.4">
      <c r="A2794" s="4" t="s">
        <v>42</v>
      </c>
      <c r="B2794" s="4" t="s">
        <v>14</v>
      </c>
      <c r="C2794" s="30" t="s">
        <v>434</v>
      </c>
      <c r="D2794" s="4" t="s">
        <v>43</v>
      </c>
      <c r="E2794" s="4" t="s">
        <v>44</v>
      </c>
      <c r="F2794" s="4" t="s">
        <v>31</v>
      </c>
      <c r="G2794" s="4" t="s">
        <v>18</v>
      </c>
      <c r="H2794" s="4" t="s">
        <v>266</v>
      </c>
      <c r="I2794" s="5" t="str">
        <f t="shared" si="43"/>
        <v>2025-10</v>
      </c>
      <c r="J2794" s="4" t="s">
        <v>34</v>
      </c>
      <c r="K2794" s="5" t="s">
        <v>342</v>
      </c>
      <c r="L2794" s="2">
        <v>7300</v>
      </c>
      <c r="M2794" s="3">
        <v>30</v>
      </c>
      <c r="N2794" s="2">
        <v>219000</v>
      </c>
      <c r="O2794" s="2">
        <v>0</v>
      </c>
      <c r="P2794" s="2">
        <v>219000</v>
      </c>
      <c r="Q2794" s="2">
        <f>P2794*8.5%</f>
        <v>18615</v>
      </c>
    </row>
    <row r="2795" spans="1:17" hidden="1" x14ac:dyDescent="0.4">
      <c r="A2795" s="4" t="s">
        <v>32</v>
      </c>
      <c r="B2795" s="4" t="s">
        <v>14</v>
      </c>
      <c r="C2795" s="31" t="s">
        <v>435</v>
      </c>
      <c r="D2795" s="4" t="s">
        <v>33</v>
      </c>
      <c r="E2795" s="4" t="s">
        <v>16</v>
      </c>
      <c r="F2795" s="4" t="s">
        <v>17</v>
      </c>
      <c r="G2795" s="4" t="s">
        <v>18</v>
      </c>
      <c r="H2795" s="4" t="s">
        <v>266</v>
      </c>
      <c r="I2795" s="5" t="str">
        <f t="shared" si="43"/>
        <v>2025-10</v>
      </c>
      <c r="J2795" s="4" t="s">
        <v>59</v>
      </c>
      <c r="K2795" s="5" t="s">
        <v>343</v>
      </c>
      <c r="L2795" s="2">
        <v>44000</v>
      </c>
      <c r="M2795" s="3">
        <v>1</v>
      </c>
      <c r="N2795" s="2">
        <v>44000</v>
      </c>
      <c r="O2795" s="2">
        <v>4400</v>
      </c>
      <c r="P2795" s="2">
        <v>48400</v>
      </c>
      <c r="Q2795" s="2">
        <f>P2795*12%</f>
        <v>5808</v>
      </c>
    </row>
    <row r="2796" spans="1:17" hidden="1" x14ac:dyDescent="0.4">
      <c r="A2796" s="4" t="s">
        <v>13</v>
      </c>
      <c r="B2796" s="4" t="s">
        <v>14</v>
      </c>
      <c r="C2796" s="30" t="s">
        <v>434</v>
      </c>
      <c r="D2796" s="4" t="s">
        <v>15</v>
      </c>
      <c r="E2796" s="4" t="s">
        <v>16</v>
      </c>
      <c r="F2796" s="4" t="s">
        <v>17</v>
      </c>
      <c r="G2796" s="4" t="s">
        <v>18</v>
      </c>
      <c r="H2796" s="4" t="s">
        <v>266</v>
      </c>
      <c r="I2796" s="5" t="str">
        <f t="shared" si="43"/>
        <v>2025-10</v>
      </c>
      <c r="J2796" s="4" t="s">
        <v>59</v>
      </c>
      <c r="K2796" s="5" t="s">
        <v>343</v>
      </c>
      <c r="L2796" s="2">
        <v>42000</v>
      </c>
      <c r="M2796" s="3">
        <v>2</v>
      </c>
      <c r="N2796" s="2">
        <v>84000</v>
      </c>
      <c r="O2796" s="2">
        <v>8400</v>
      </c>
      <c r="P2796" s="2">
        <v>92400</v>
      </c>
      <c r="Q2796" s="2">
        <f>P2796*12%</f>
        <v>11088</v>
      </c>
    </row>
    <row r="2797" spans="1:17" hidden="1" x14ac:dyDescent="0.4">
      <c r="A2797" s="4" t="s">
        <v>35</v>
      </c>
      <c r="B2797" s="4" t="s">
        <v>14</v>
      </c>
      <c r="C2797" s="30" t="s">
        <v>434</v>
      </c>
      <c r="D2797" s="4" t="s">
        <v>36</v>
      </c>
      <c r="E2797" s="4" t="s">
        <v>16</v>
      </c>
      <c r="F2797" s="4" t="s">
        <v>17</v>
      </c>
      <c r="G2797" s="4" t="s">
        <v>18</v>
      </c>
      <c r="H2797" s="4" t="s">
        <v>266</v>
      </c>
      <c r="I2797" s="5" t="str">
        <f t="shared" si="43"/>
        <v>2025-10</v>
      </c>
      <c r="J2797" s="4" t="s">
        <v>59</v>
      </c>
      <c r="K2797" s="5" t="s">
        <v>343</v>
      </c>
      <c r="L2797" s="2">
        <v>116220</v>
      </c>
      <c r="M2797" s="3">
        <v>1</v>
      </c>
      <c r="N2797" s="2">
        <v>116220</v>
      </c>
      <c r="O2797" s="2">
        <v>11622</v>
      </c>
      <c r="P2797" s="2">
        <v>127842</v>
      </c>
      <c r="Q2797" s="2">
        <f>P2797*12%</f>
        <v>15341.039999999999</v>
      </c>
    </row>
    <row r="2798" spans="1:17" hidden="1" x14ac:dyDescent="0.4">
      <c r="A2798" s="4" t="s">
        <v>23</v>
      </c>
      <c r="B2798" s="4" t="s">
        <v>14</v>
      </c>
      <c r="C2798" s="31" t="s">
        <v>435</v>
      </c>
      <c r="D2798" s="4" t="s">
        <v>24</v>
      </c>
      <c r="E2798" s="4" t="s">
        <v>16</v>
      </c>
      <c r="F2798" s="4" t="s">
        <v>17</v>
      </c>
      <c r="G2798" s="4" t="s">
        <v>18</v>
      </c>
      <c r="H2798" s="4" t="s">
        <v>266</v>
      </c>
      <c r="I2798" s="5" t="str">
        <f t="shared" si="43"/>
        <v>2025-10</v>
      </c>
      <c r="J2798" s="4" t="s">
        <v>59</v>
      </c>
      <c r="K2798" s="5" t="s">
        <v>343</v>
      </c>
      <c r="L2798" s="2">
        <v>55500</v>
      </c>
      <c r="M2798" s="3">
        <v>1</v>
      </c>
      <c r="N2798" s="2">
        <v>55500</v>
      </c>
      <c r="O2798" s="2">
        <v>5550</v>
      </c>
      <c r="P2798" s="2">
        <v>61050</v>
      </c>
      <c r="Q2798" s="2">
        <f>P2798*12%</f>
        <v>7326</v>
      </c>
    </row>
    <row r="2799" spans="1:17" hidden="1" x14ac:dyDescent="0.4">
      <c r="A2799" s="4" t="s">
        <v>51</v>
      </c>
      <c r="B2799" s="4" t="s">
        <v>14</v>
      </c>
      <c r="C2799" s="30" t="s">
        <v>434</v>
      </c>
      <c r="D2799" s="4" t="s">
        <v>52</v>
      </c>
      <c r="E2799" s="4" t="s">
        <v>16</v>
      </c>
      <c r="F2799" s="4" t="s">
        <v>17</v>
      </c>
      <c r="G2799" s="4" t="s">
        <v>18</v>
      </c>
      <c r="H2799" s="4" t="s">
        <v>266</v>
      </c>
      <c r="I2799" s="5" t="str">
        <f t="shared" si="43"/>
        <v>2025-10</v>
      </c>
      <c r="J2799" s="4" t="s">
        <v>59</v>
      </c>
      <c r="K2799" s="5" t="s">
        <v>343</v>
      </c>
      <c r="L2799" s="2">
        <v>73000</v>
      </c>
      <c r="M2799" s="3">
        <v>1</v>
      </c>
      <c r="N2799" s="2">
        <v>73000</v>
      </c>
      <c r="O2799" s="2">
        <v>7300</v>
      </c>
      <c r="P2799" s="2">
        <v>80300</v>
      </c>
      <c r="Q2799" s="2">
        <f>P2799*12%</f>
        <v>9636</v>
      </c>
    </row>
    <row r="2800" spans="1:17" hidden="1" x14ac:dyDescent="0.4">
      <c r="A2800" s="4" t="s">
        <v>32</v>
      </c>
      <c r="B2800" s="4" t="s">
        <v>14</v>
      </c>
      <c r="C2800" s="31" t="s">
        <v>435</v>
      </c>
      <c r="D2800" s="4" t="s">
        <v>33</v>
      </c>
      <c r="E2800" s="4" t="s">
        <v>16</v>
      </c>
      <c r="F2800" s="4" t="s">
        <v>17</v>
      </c>
      <c r="G2800" s="4" t="s">
        <v>18</v>
      </c>
      <c r="H2800" s="4" t="s">
        <v>266</v>
      </c>
      <c r="I2800" s="5" t="str">
        <f t="shared" si="43"/>
        <v>2025-10</v>
      </c>
      <c r="J2800" s="4" t="s">
        <v>49</v>
      </c>
      <c r="K2800" s="5" t="s">
        <v>343</v>
      </c>
      <c r="L2800" s="2">
        <v>44000</v>
      </c>
      <c r="M2800" s="3">
        <v>4</v>
      </c>
      <c r="N2800" s="2">
        <v>176000</v>
      </c>
      <c r="O2800" s="2">
        <v>17600</v>
      </c>
      <c r="P2800" s="2">
        <v>193600</v>
      </c>
      <c r="Q2800" s="2">
        <f>P2800*12%</f>
        <v>23232</v>
      </c>
    </row>
    <row r="2801" spans="1:17" hidden="1" x14ac:dyDescent="0.4">
      <c r="A2801" s="4" t="s">
        <v>13</v>
      </c>
      <c r="B2801" s="4" t="s">
        <v>14</v>
      </c>
      <c r="C2801" s="30" t="s">
        <v>434</v>
      </c>
      <c r="D2801" s="4" t="s">
        <v>15</v>
      </c>
      <c r="E2801" s="4" t="s">
        <v>16</v>
      </c>
      <c r="F2801" s="4" t="s">
        <v>17</v>
      </c>
      <c r="G2801" s="4" t="s">
        <v>18</v>
      </c>
      <c r="H2801" s="4" t="s">
        <v>266</v>
      </c>
      <c r="I2801" s="5" t="str">
        <f t="shared" si="43"/>
        <v>2025-10</v>
      </c>
      <c r="J2801" s="4" t="s">
        <v>49</v>
      </c>
      <c r="K2801" s="5" t="s">
        <v>343</v>
      </c>
      <c r="L2801" s="2">
        <v>42000</v>
      </c>
      <c r="M2801" s="3">
        <v>6</v>
      </c>
      <c r="N2801" s="2">
        <v>252000</v>
      </c>
      <c r="O2801" s="2">
        <v>25200</v>
      </c>
      <c r="P2801" s="2">
        <v>277200</v>
      </c>
      <c r="Q2801" s="2">
        <f>P2801*12%</f>
        <v>33264</v>
      </c>
    </row>
    <row r="2802" spans="1:17" hidden="1" x14ac:dyDescent="0.4">
      <c r="A2802" s="4" t="s">
        <v>35</v>
      </c>
      <c r="B2802" s="4" t="s">
        <v>14</v>
      </c>
      <c r="C2802" s="30" t="s">
        <v>434</v>
      </c>
      <c r="D2802" s="4" t="s">
        <v>36</v>
      </c>
      <c r="E2802" s="4" t="s">
        <v>16</v>
      </c>
      <c r="F2802" s="4" t="s">
        <v>17</v>
      </c>
      <c r="G2802" s="4" t="s">
        <v>18</v>
      </c>
      <c r="H2802" s="4" t="s">
        <v>266</v>
      </c>
      <c r="I2802" s="5" t="str">
        <f t="shared" si="43"/>
        <v>2025-10</v>
      </c>
      <c r="J2802" s="4" t="s">
        <v>49</v>
      </c>
      <c r="K2802" s="5" t="s">
        <v>343</v>
      </c>
      <c r="L2802" s="2">
        <v>116220</v>
      </c>
      <c r="M2802" s="3">
        <v>1</v>
      </c>
      <c r="N2802" s="2">
        <v>116220</v>
      </c>
      <c r="O2802" s="2">
        <v>11622</v>
      </c>
      <c r="P2802" s="2">
        <v>127842</v>
      </c>
      <c r="Q2802" s="2">
        <f>P2802*12%</f>
        <v>15341.039999999999</v>
      </c>
    </row>
    <row r="2803" spans="1:17" hidden="1" x14ac:dyDescent="0.4">
      <c r="A2803" s="4" t="s">
        <v>23</v>
      </c>
      <c r="B2803" s="4" t="s">
        <v>14</v>
      </c>
      <c r="C2803" s="31" t="s">
        <v>435</v>
      </c>
      <c r="D2803" s="4" t="s">
        <v>24</v>
      </c>
      <c r="E2803" s="4" t="s">
        <v>16</v>
      </c>
      <c r="F2803" s="4" t="s">
        <v>17</v>
      </c>
      <c r="G2803" s="4" t="s">
        <v>18</v>
      </c>
      <c r="H2803" s="4" t="s">
        <v>266</v>
      </c>
      <c r="I2803" s="5" t="str">
        <f t="shared" si="43"/>
        <v>2025-10</v>
      </c>
      <c r="J2803" s="4" t="s">
        <v>49</v>
      </c>
      <c r="K2803" s="5" t="s">
        <v>343</v>
      </c>
      <c r="L2803" s="2">
        <v>55500</v>
      </c>
      <c r="M2803" s="3">
        <v>2</v>
      </c>
      <c r="N2803" s="2">
        <v>111000</v>
      </c>
      <c r="O2803" s="2">
        <v>11100</v>
      </c>
      <c r="P2803" s="2">
        <v>122100</v>
      </c>
      <c r="Q2803" s="2">
        <f>P2803*12%</f>
        <v>14652</v>
      </c>
    </row>
    <row r="2804" spans="1:17" x14ac:dyDescent="0.4">
      <c r="A2804" s="4" t="s">
        <v>13</v>
      </c>
      <c r="B2804" s="4" t="s">
        <v>14</v>
      </c>
      <c r="C2804" s="30" t="s">
        <v>434</v>
      </c>
      <c r="D2804" s="4" t="s">
        <v>15</v>
      </c>
      <c r="E2804" s="4" t="s">
        <v>16</v>
      </c>
      <c r="F2804" s="4" t="s">
        <v>17</v>
      </c>
      <c r="G2804" s="4" t="s">
        <v>18</v>
      </c>
      <c r="H2804" s="4" t="s">
        <v>267</v>
      </c>
      <c r="I2804" s="5" t="str">
        <f t="shared" si="43"/>
        <v>2025-10</v>
      </c>
      <c r="J2804" s="4" t="s">
        <v>20</v>
      </c>
      <c r="K2804" s="5" t="s">
        <v>342</v>
      </c>
      <c r="L2804" s="2">
        <v>42000</v>
      </c>
      <c r="M2804" s="3">
        <v>1</v>
      </c>
      <c r="N2804" s="2">
        <v>42000</v>
      </c>
      <c r="O2804" s="2">
        <v>4200</v>
      </c>
      <c r="P2804" s="2">
        <v>46200</v>
      </c>
      <c r="Q2804" s="2">
        <f>P2804*8.5%</f>
        <v>3927.0000000000005</v>
      </c>
    </row>
    <row r="2805" spans="1:17" x14ac:dyDescent="0.4">
      <c r="A2805" s="4" t="s">
        <v>21</v>
      </c>
      <c r="B2805" s="4" t="s">
        <v>14</v>
      </c>
      <c r="C2805" s="31" t="s">
        <v>435</v>
      </c>
      <c r="D2805" s="4" t="s">
        <v>22</v>
      </c>
      <c r="E2805" s="4" t="s">
        <v>16</v>
      </c>
      <c r="F2805" s="4" t="s">
        <v>17</v>
      </c>
      <c r="G2805" s="4" t="s">
        <v>18</v>
      </c>
      <c r="H2805" s="4" t="s">
        <v>267</v>
      </c>
      <c r="I2805" s="5" t="str">
        <f t="shared" si="43"/>
        <v>2025-10</v>
      </c>
      <c r="J2805" s="4" t="s">
        <v>20</v>
      </c>
      <c r="K2805" s="5" t="s">
        <v>342</v>
      </c>
      <c r="L2805" s="2">
        <v>55500</v>
      </c>
      <c r="M2805" s="3">
        <v>1</v>
      </c>
      <c r="N2805" s="2">
        <v>55500</v>
      </c>
      <c r="O2805" s="2">
        <v>5550</v>
      </c>
      <c r="P2805" s="2">
        <v>61050</v>
      </c>
      <c r="Q2805" s="2">
        <f>P2805*8.5%</f>
        <v>5189.25</v>
      </c>
    </row>
    <row r="2806" spans="1:17" x14ac:dyDescent="0.4">
      <c r="A2806" s="4" t="s">
        <v>23</v>
      </c>
      <c r="B2806" s="4" t="s">
        <v>14</v>
      </c>
      <c r="C2806" s="31" t="s">
        <v>435</v>
      </c>
      <c r="D2806" s="4" t="s">
        <v>24</v>
      </c>
      <c r="E2806" s="4" t="s">
        <v>16</v>
      </c>
      <c r="F2806" s="4" t="s">
        <v>17</v>
      </c>
      <c r="G2806" s="4" t="s">
        <v>18</v>
      </c>
      <c r="H2806" s="4" t="s">
        <v>267</v>
      </c>
      <c r="I2806" s="5" t="str">
        <f t="shared" si="43"/>
        <v>2025-10</v>
      </c>
      <c r="J2806" s="4" t="s">
        <v>20</v>
      </c>
      <c r="K2806" s="5" t="s">
        <v>342</v>
      </c>
      <c r="L2806" s="2">
        <v>55500</v>
      </c>
      <c r="M2806" s="3">
        <v>3</v>
      </c>
      <c r="N2806" s="2">
        <v>166500</v>
      </c>
      <c r="O2806" s="2">
        <v>16650</v>
      </c>
      <c r="P2806" s="2">
        <v>183150</v>
      </c>
      <c r="Q2806" s="2">
        <f>P2806*8.5%</f>
        <v>15567.750000000002</v>
      </c>
    </row>
    <row r="2807" spans="1:17" x14ac:dyDescent="0.4">
      <c r="A2807" s="4" t="s">
        <v>51</v>
      </c>
      <c r="B2807" s="4" t="s">
        <v>14</v>
      </c>
      <c r="C2807" s="30" t="s">
        <v>434</v>
      </c>
      <c r="D2807" s="4" t="s">
        <v>52</v>
      </c>
      <c r="E2807" s="4" t="s">
        <v>16</v>
      </c>
      <c r="F2807" s="4" t="s">
        <v>17</v>
      </c>
      <c r="G2807" s="4" t="s">
        <v>18</v>
      </c>
      <c r="H2807" s="4" t="s">
        <v>267</v>
      </c>
      <c r="I2807" s="5" t="str">
        <f t="shared" si="43"/>
        <v>2025-10</v>
      </c>
      <c r="J2807" s="4" t="s">
        <v>20</v>
      </c>
      <c r="K2807" s="5" t="s">
        <v>342</v>
      </c>
      <c r="L2807" s="2">
        <v>73000</v>
      </c>
      <c r="M2807" s="3">
        <v>1</v>
      </c>
      <c r="N2807" s="2">
        <v>73000</v>
      </c>
      <c r="O2807" s="2">
        <v>7300</v>
      </c>
      <c r="P2807" s="2">
        <v>80300</v>
      </c>
      <c r="Q2807" s="2">
        <f>P2807*8.5%</f>
        <v>6825.5000000000009</v>
      </c>
    </row>
    <row r="2808" spans="1:17" x14ac:dyDescent="0.4">
      <c r="A2808" s="4" t="s">
        <v>29</v>
      </c>
      <c r="B2808" s="4" t="s">
        <v>26</v>
      </c>
      <c r="C2808" s="32" t="s">
        <v>436</v>
      </c>
      <c r="D2808" s="4" t="s">
        <v>30</v>
      </c>
      <c r="E2808" s="4" t="s">
        <v>28</v>
      </c>
      <c r="F2808" s="4" t="s">
        <v>31</v>
      </c>
      <c r="G2808" s="4" t="s">
        <v>18</v>
      </c>
      <c r="H2808" s="4" t="s">
        <v>267</v>
      </c>
      <c r="I2808" s="5" t="str">
        <f t="shared" si="43"/>
        <v>2025-10</v>
      </c>
      <c r="J2808" s="4" t="s">
        <v>20</v>
      </c>
      <c r="K2808" s="5" t="s">
        <v>342</v>
      </c>
      <c r="L2808" s="2">
        <v>3719</v>
      </c>
      <c r="M2808" s="3">
        <v>1</v>
      </c>
      <c r="N2808" s="2">
        <v>3719</v>
      </c>
      <c r="O2808" s="2">
        <v>0</v>
      </c>
      <c r="P2808" s="2">
        <v>3719</v>
      </c>
      <c r="Q2808" s="2">
        <f>P2808*8.5%</f>
        <v>316.11500000000001</v>
      </c>
    </row>
    <row r="2809" spans="1:17" x14ac:dyDescent="0.4">
      <c r="A2809" s="4" t="s">
        <v>56</v>
      </c>
      <c r="B2809" s="4" t="s">
        <v>26</v>
      </c>
      <c r="C2809" s="32" t="s">
        <v>436</v>
      </c>
      <c r="D2809" s="4" t="s">
        <v>57</v>
      </c>
      <c r="E2809" s="4" t="s">
        <v>44</v>
      </c>
      <c r="F2809" s="4" t="s">
        <v>31</v>
      </c>
      <c r="G2809" s="4" t="s">
        <v>18</v>
      </c>
      <c r="H2809" s="4" t="s">
        <v>267</v>
      </c>
      <c r="I2809" s="5" t="str">
        <f t="shared" si="43"/>
        <v>2025-10</v>
      </c>
      <c r="J2809" s="4" t="s">
        <v>20</v>
      </c>
      <c r="K2809" s="5" t="s">
        <v>342</v>
      </c>
      <c r="L2809" s="2">
        <v>3671</v>
      </c>
      <c r="M2809" s="3">
        <v>25</v>
      </c>
      <c r="N2809" s="2">
        <v>91775</v>
      </c>
      <c r="O2809" s="2">
        <v>0</v>
      </c>
      <c r="P2809" s="2">
        <v>91775</v>
      </c>
      <c r="Q2809" s="2">
        <f>P2809*8.5%</f>
        <v>7800.8750000000009</v>
      </c>
    </row>
    <row r="2810" spans="1:17" hidden="1" x14ac:dyDescent="0.4">
      <c r="A2810" s="4" t="s">
        <v>13</v>
      </c>
      <c r="B2810" s="4" t="s">
        <v>14</v>
      </c>
      <c r="C2810" s="30" t="s">
        <v>434</v>
      </c>
      <c r="D2810" s="4" t="s">
        <v>15</v>
      </c>
      <c r="E2810" s="4" t="s">
        <v>16</v>
      </c>
      <c r="F2810" s="4" t="s">
        <v>17</v>
      </c>
      <c r="G2810" s="4" t="s">
        <v>18</v>
      </c>
      <c r="H2810" s="4" t="s">
        <v>267</v>
      </c>
      <c r="I2810" s="5" t="str">
        <f t="shared" si="43"/>
        <v>2025-10</v>
      </c>
      <c r="J2810" s="4" t="s">
        <v>34</v>
      </c>
      <c r="K2810" s="5" t="s">
        <v>342</v>
      </c>
      <c r="L2810" s="2">
        <v>42000</v>
      </c>
      <c r="M2810" s="3">
        <v>4</v>
      </c>
      <c r="N2810" s="2">
        <v>168000</v>
      </c>
      <c r="O2810" s="2">
        <v>16800</v>
      </c>
      <c r="P2810" s="2">
        <v>184800</v>
      </c>
      <c r="Q2810" s="2">
        <f>P2810*8.5%</f>
        <v>15708.000000000002</v>
      </c>
    </row>
    <row r="2811" spans="1:17" hidden="1" x14ac:dyDescent="0.4">
      <c r="A2811" s="4" t="s">
        <v>21</v>
      </c>
      <c r="B2811" s="4" t="s">
        <v>14</v>
      </c>
      <c r="C2811" s="31" t="s">
        <v>435</v>
      </c>
      <c r="D2811" s="4" t="s">
        <v>22</v>
      </c>
      <c r="E2811" s="4" t="s">
        <v>16</v>
      </c>
      <c r="F2811" s="4" t="s">
        <v>17</v>
      </c>
      <c r="G2811" s="4" t="s">
        <v>18</v>
      </c>
      <c r="H2811" s="4" t="s">
        <v>267</v>
      </c>
      <c r="I2811" s="5" t="str">
        <f t="shared" si="43"/>
        <v>2025-10</v>
      </c>
      <c r="J2811" s="4" t="s">
        <v>34</v>
      </c>
      <c r="K2811" s="5" t="s">
        <v>342</v>
      </c>
      <c r="L2811" s="2">
        <v>55500</v>
      </c>
      <c r="M2811" s="3">
        <v>1</v>
      </c>
      <c r="N2811" s="2">
        <v>55500</v>
      </c>
      <c r="O2811" s="2">
        <v>5550</v>
      </c>
      <c r="P2811" s="2">
        <v>61050</v>
      </c>
      <c r="Q2811" s="2">
        <f>P2811*8.5%</f>
        <v>5189.25</v>
      </c>
    </row>
    <row r="2812" spans="1:17" hidden="1" x14ac:dyDescent="0.4">
      <c r="A2812" s="4" t="s">
        <v>23</v>
      </c>
      <c r="B2812" s="4" t="s">
        <v>14</v>
      </c>
      <c r="C2812" s="31" t="s">
        <v>435</v>
      </c>
      <c r="D2812" s="4" t="s">
        <v>24</v>
      </c>
      <c r="E2812" s="4" t="s">
        <v>16</v>
      </c>
      <c r="F2812" s="4" t="s">
        <v>17</v>
      </c>
      <c r="G2812" s="4" t="s">
        <v>18</v>
      </c>
      <c r="H2812" s="4" t="s">
        <v>267</v>
      </c>
      <c r="I2812" s="5" t="str">
        <f t="shared" si="43"/>
        <v>2025-10</v>
      </c>
      <c r="J2812" s="4" t="s">
        <v>34</v>
      </c>
      <c r="K2812" s="5" t="s">
        <v>342</v>
      </c>
      <c r="L2812" s="2">
        <v>55500</v>
      </c>
      <c r="M2812" s="3">
        <v>3</v>
      </c>
      <c r="N2812" s="2">
        <v>166500</v>
      </c>
      <c r="O2812" s="2">
        <v>16650</v>
      </c>
      <c r="P2812" s="2">
        <v>183150</v>
      </c>
      <c r="Q2812" s="2">
        <f>P2812*8.5%</f>
        <v>15567.750000000002</v>
      </c>
    </row>
    <row r="2813" spans="1:17" hidden="1" x14ac:dyDescent="0.4">
      <c r="A2813" s="4" t="s">
        <v>51</v>
      </c>
      <c r="B2813" s="4" t="s">
        <v>14</v>
      </c>
      <c r="C2813" s="30" t="s">
        <v>434</v>
      </c>
      <c r="D2813" s="4" t="s">
        <v>52</v>
      </c>
      <c r="E2813" s="4" t="s">
        <v>16</v>
      </c>
      <c r="F2813" s="4" t="s">
        <v>17</v>
      </c>
      <c r="G2813" s="4" t="s">
        <v>18</v>
      </c>
      <c r="H2813" s="4" t="s">
        <v>267</v>
      </c>
      <c r="I2813" s="5" t="str">
        <f t="shared" si="43"/>
        <v>2025-10</v>
      </c>
      <c r="J2813" s="4" t="s">
        <v>34</v>
      </c>
      <c r="K2813" s="5" t="s">
        <v>342</v>
      </c>
      <c r="L2813" s="2">
        <v>73000</v>
      </c>
      <c r="M2813" s="3">
        <v>1</v>
      </c>
      <c r="N2813" s="2">
        <v>73000</v>
      </c>
      <c r="O2813" s="2">
        <v>7300</v>
      </c>
      <c r="P2813" s="2">
        <v>80300</v>
      </c>
      <c r="Q2813" s="2">
        <f>P2813*8.5%</f>
        <v>6825.5000000000009</v>
      </c>
    </row>
    <row r="2814" spans="1:17" hidden="1" x14ac:dyDescent="0.4">
      <c r="A2814" s="4" t="s">
        <v>67</v>
      </c>
      <c r="B2814" s="4" t="s">
        <v>26</v>
      </c>
      <c r="C2814" s="32" t="s">
        <v>436</v>
      </c>
      <c r="D2814" s="4" t="s">
        <v>63</v>
      </c>
      <c r="E2814" s="4" t="s">
        <v>28</v>
      </c>
      <c r="F2814" s="4" t="s">
        <v>17</v>
      </c>
      <c r="G2814" s="4" t="s">
        <v>18</v>
      </c>
      <c r="H2814" s="4" t="s">
        <v>267</v>
      </c>
      <c r="I2814" s="5" t="str">
        <f t="shared" si="43"/>
        <v>2025-10</v>
      </c>
      <c r="J2814" s="4" t="s">
        <v>34</v>
      </c>
      <c r="K2814" s="5" t="s">
        <v>342</v>
      </c>
      <c r="L2814" s="2">
        <v>7558</v>
      </c>
      <c r="M2814" s="3">
        <v>1</v>
      </c>
      <c r="N2814" s="2">
        <v>7558</v>
      </c>
      <c r="O2814" s="2">
        <v>756</v>
      </c>
      <c r="P2814" s="2">
        <v>8314</v>
      </c>
      <c r="Q2814" s="2">
        <f>P2814*8.5%</f>
        <v>706.69</v>
      </c>
    </row>
    <row r="2815" spans="1:17" hidden="1" x14ac:dyDescent="0.4">
      <c r="A2815" s="4" t="s">
        <v>42</v>
      </c>
      <c r="B2815" s="4" t="s">
        <v>14</v>
      </c>
      <c r="C2815" s="30" t="s">
        <v>434</v>
      </c>
      <c r="D2815" s="4" t="s">
        <v>43</v>
      </c>
      <c r="E2815" s="4" t="s">
        <v>44</v>
      </c>
      <c r="F2815" s="4" t="s">
        <v>31</v>
      </c>
      <c r="G2815" s="4" t="s">
        <v>18</v>
      </c>
      <c r="H2815" s="4" t="s">
        <v>267</v>
      </c>
      <c r="I2815" s="5" t="str">
        <f t="shared" si="43"/>
        <v>2025-10</v>
      </c>
      <c r="J2815" s="4" t="s">
        <v>34</v>
      </c>
      <c r="K2815" s="5" t="s">
        <v>342</v>
      </c>
      <c r="L2815" s="2">
        <v>7300</v>
      </c>
      <c r="M2815" s="3">
        <v>58.7</v>
      </c>
      <c r="N2815" s="2">
        <v>428510</v>
      </c>
      <c r="O2815" s="2">
        <v>0</v>
      </c>
      <c r="P2815" s="2">
        <v>428510</v>
      </c>
      <c r="Q2815" s="2">
        <f>P2815*8.5%</f>
        <v>36423.350000000006</v>
      </c>
    </row>
    <row r="2816" spans="1:17" hidden="1" x14ac:dyDescent="0.4">
      <c r="A2816" s="4" t="s">
        <v>13</v>
      </c>
      <c r="B2816" s="4" t="s">
        <v>14</v>
      </c>
      <c r="C2816" s="30" t="s">
        <v>434</v>
      </c>
      <c r="D2816" s="4" t="s">
        <v>15</v>
      </c>
      <c r="E2816" s="4" t="s">
        <v>16</v>
      </c>
      <c r="F2816" s="4" t="s">
        <v>17</v>
      </c>
      <c r="G2816" s="4" t="s">
        <v>18</v>
      </c>
      <c r="H2816" s="4" t="s">
        <v>267</v>
      </c>
      <c r="I2816" s="5" t="str">
        <f t="shared" si="43"/>
        <v>2025-10</v>
      </c>
      <c r="J2816" s="4" t="s">
        <v>59</v>
      </c>
      <c r="K2816" s="5" t="s">
        <v>343</v>
      </c>
      <c r="L2816" s="2">
        <v>42000</v>
      </c>
      <c r="M2816" s="3">
        <v>3</v>
      </c>
      <c r="N2816" s="2">
        <v>126000</v>
      </c>
      <c r="O2816" s="2">
        <v>12600</v>
      </c>
      <c r="P2816" s="2">
        <v>138600</v>
      </c>
      <c r="Q2816" s="2">
        <f>P2816*12%</f>
        <v>16632</v>
      </c>
    </row>
    <row r="2817" spans="1:17" hidden="1" x14ac:dyDescent="0.4">
      <c r="A2817" s="4" t="s">
        <v>23</v>
      </c>
      <c r="B2817" s="4" t="s">
        <v>14</v>
      </c>
      <c r="C2817" s="31" t="s">
        <v>435</v>
      </c>
      <c r="D2817" s="4" t="s">
        <v>24</v>
      </c>
      <c r="E2817" s="4" t="s">
        <v>16</v>
      </c>
      <c r="F2817" s="4" t="s">
        <v>17</v>
      </c>
      <c r="G2817" s="4" t="s">
        <v>18</v>
      </c>
      <c r="H2817" s="4" t="s">
        <v>267</v>
      </c>
      <c r="I2817" s="5" t="str">
        <f t="shared" si="43"/>
        <v>2025-10</v>
      </c>
      <c r="J2817" s="4" t="s">
        <v>59</v>
      </c>
      <c r="K2817" s="5" t="s">
        <v>343</v>
      </c>
      <c r="L2817" s="2">
        <v>55500</v>
      </c>
      <c r="M2817" s="3">
        <v>1</v>
      </c>
      <c r="N2817" s="2">
        <v>55500</v>
      </c>
      <c r="O2817" s="2">
        <v>5550</v>
      </c>
      <c r="P2817" s="2">
        <v>61050</v>
      </c>
      <c r="Q2817" s="2">
        <f>P2817*12%</f>
        <v>7326</v>
      </c>
    </row>
    <row r="2818" spans="1:17" hidden="1" x14ac:dyDescent="0.4">
      <c r="A2818" s="4" t="s">
        <v>32</v>
      </c>
      <c r="B2818" s="4" t="s">
        <v>14</v>
      </c>
      <c r="C2818" s="31" t="s">
        <v>435</v>
      </c>
      <c r="D2818" s="4" t="s">
        <v>33</v>
      </c>
      <c r="E2818" s="4" t="s">
        <v>16</v>
      </c>
      <c r="F2818" s="4" t="s">
        <v>17</v>
      </c>
      <c r="G2818" s="4" t="s">
        <v>18</v>
      </c>
      <c r="H2818" s="4" t="s">
        <v>267</v>
      </c>
      <c r="I2818" s="5" t="str">
        <f t="shared" ref="I2818:I2881" si="44">TEXT(H2818,"yyyy-mm")</f>
        <v>2025-10</v>
      </c>
      <c r="J2818" s="4" t="s">
        <v>50</v>
      </c>
      <c r="K2818" s="5" t="s">
        <v>343</v>
      </c>
      <c r="L2818" s="2">
        <v>44000</v>
      </c>
      <c r="M2818" s="3">
        <v>1</v>
      </c>
      <c r="N2818" s="2">
        <v>44000</v>
      </c>
      <c r="O2818" s="2">
        <v>4400</v>
      </c>
      <c r="P2818" s="2">
        <v>48400</v>
      </c>
      <c r="Q2818" s="2">
        <f>P2818*12%</f>
        <v>5808</v>
      </c>
    </row>
    <row r="2819" spans="1:17" hidden="1" x14ac:dyDescent="0.4">
      <c r="A2819" s="4" t="s">
        <v>13</v>
      </c>
      <c r="B2819" s="4" t="s">
        <v>14</v>
      </c>
      <c r="C2819" s="30" t="s">
        <v>434</v>
      </c>
      <c r="D2819" s="4" t="s">
        <v>15</v>
      </c>
      <c r="E2819" s="4" t="s">
        <v>16</v>
      </c>
      <c r="F2819" s="4" t="s">
        <v>17</v>
      </c>
      <c r="G2819" s="4" t="s">
        <v>18</v>
      </c>
      <c r="H2819" s="4" t="s">
        <v>267</v>
      </c>
      <c r="I2819" s="5" t="str">
        <f t="shared" si="44"/>
        <v>2025-10</v>
      </c>
      <c r="J2819" s="4" t="s">
        <v>50</v>
      </c>
      <c r="K2819" s="5" t="s">
        <v>343</v>
      </c>
      <c r="L2819" s="2">
        <v>42000</v>
      </c>
      <c r="M2819" s="3">
        <v>7</v>
      </c>
      <c r="N2819" s="2">
        <v>294000</v>
      </c>
      <c r="O2819" s="2">
        <v>29400</v>
      </c>
      <c r="P2819" s="2">
        <v>323400</v>
      </c>
      <c r="Q2819" s="2">
        <f>P2819*12%</f>
        <v>38808</v>
      </c>
    </row>
    <row r="2820" spans="1:17" hidden="1" x14ac:dyDescent="0.4">
      <c r="A2820" s="4" t="s">
        <v>23</v>
      </c>
      <c r="B2820" s="4" t="s">
        <v>14</v>
      </c>
      <c r="C2820" s="31" t="s">
        <v>435</v>
      </c>
      <c r="D2820" s="4" t="s">
        <v>24</v>
      </c>
      <c r="E2820" s="4" t="s">
        <v>16</v>
      </c>
      <c r="F2820" s="4" t="s">
        <v>17</v>
      </c>
      <c r="G2820" s="4" t="s">
        <v>18</v>
      </c>
      <c r="H2820" s="4" t="s">
        <v>267</v>
      </c>
      <c r="I2820" s="5" t="str">
        <f t="shared" si="44"/>
        <v>2025-10</v>
      </c>
      <c r="J2820" s="4" t="s">
        <v>50</v>
      </c>
      <c r="K2820" s="5" t="s">
        <v>343</v>
      </c>
      <c r="L2820" s="2">
        <v>55500</v>
      </c>
      <c r="M2820" s="3">
        <v>3</v>
      </c>
      <c r="N2820" s="2">
        <v>166500</v>
      </c>
      <c r="O2820" s="2">
        <v>16650</v>
      </c>
      <c r="P2820" s="2">
        <v>183150</v>
      </c>
      <c r="Q2820" s="2">
        <f>P2820*12%</f>
        <v>21978</v>
      </c>
    </row>
    <row r="2821" spans="1:17" x14ac:dyDescent="0.4">
      <c r="A2821" s="4" t="s">
        <v>13</v>
      </c>
      <c r="B2821" s="4" t="s">
        <v>14</v>
      </c>
      <c r="C2821" s="30" t="s">
        <v>434</v>
      </c>
      <c r="D2821" s="4" t="s">
        <v>15</v>
      </c>
      <c r="E2821" s="4" t="s">
        <v>16</v>
      </c>
      <c r="F2821" s="4" t="s">
        <v>17</v>
      </c>
      <c r="G2821" s="4" t="s">
        <v>18</v>
      </c>
      <c r="H2821" s="4" t="s">
        <v>268</v>
      </c>
      <c r="I2821" s="5" t="str">
        <f t="shared" si="44"/>
        <v>2025-10</v>
      </c>
      <c r="J2821" s="4" t="s">
        <v>20</v>
      </c>
      <c r="K2821" s="5" t="s">
        <v>342</v>
      </c>
      <c r="L2821" s="2">
        <v>42000</v>
      </c>
      <c r="M2821" s="3">
        <v>1</v>
      </c>
      <c r="N2821" s="2">
        <v>42000</v>
      </c>
      <c r="O2821" s="2">
        <v>4200</v>
      </c>
      <c r="P2821" s="2">
        <v>46200</v>
      </c>
      <c r="Q2821" s="2">
        <f>P2821*8.5%</f>
        <v>3927.0000000000005</v>
      </c>
    </row>
    <row r="2822" spans="1:17" x14ac:dyDescent="0.4">
      <c r="A2822" s="4" t="s">
        <v>21</v>
      </c>
      <c r="B2822" s="4" t="s">
        <v>14</v>
      </c>
      <c r="C2822" s="31" t="s">
        <v>435</v>
      </c>
      <c r="D2822" s="4" t="s">
        <v>22</v>
      </c>
      <c r="E2822" s="4" t="s">
        <v>16</v>
      </c>
      <c r="F2822" s="4" t="s">
        <v>17</v>
      </c>
      <c r="G2822" s="4" t="s">
        <v>18</v>
      </c>
      <c r="H2822" s="4" t="s">
        <v>268</v>
      </c>
      <c r="I2822" s="5" t="str">
        <f t="shared" si="44"/>
        <v>2025-10</v>
      </c>
      <c r="J2822" s="4" t="s">
        <v>20</v>
      </c>
      <c r="K2822" s="5" t="s">
        <v>342</v>
      </c>
      <c r="L2822" s="2">
        <v>55500</v>
      </c>
      <c r="M2822" s="3">
        <v>2</v>
      </c>
      <c r="N2822" s="2">
        <v>111000</v>
      </c>
      <c r="O2822" s="2">
        <v>11100</v>
      </c>
      <c r="P2822" s="2">
        <v>122100</v>
      </c>
      <c r="Q2822" s="2">
        <f>P2822*8.5%</f>
        <v>10378.5</v>
      </c>
    </row>
    <row r="2823" spans="1:17" x14ac:dyDescent="0.4">
      <c r="A2823" s="4" t="s">
        <v>23</v>
      </c>
      <c r="B2823" s="4" t="s">
        <v>14</v>
      </c>
      <c r="C2823" s="31" t="s">
        <v>435</v>
      </c>
      <c r="D2823" s="4" t="s">
        <v>24</v>
      </c>
      <c r="E2823" s="4" t="s">
        <v>16</v>
      </c>
      <c r="F2823" s="4" t="s">
        <v>17</v>
      </c>
      <c r="G2823" s="4" t="s">
        <v>18</v>
      </c>
      <c r="H2823" s="4" t="s">
        <v>268</v>
      </c>
      <c r="I2823" s="5" t="str">
        <f t="shared" si="44"/>
        <v>2025-10</v>
      </c>
      <c r="J2823" s="4" t="s">
        <v>20</v>
      </c>
      <c r="K2823" s="5" t="s">
        <v>342</v>
      </c>
      <c r="L2823" s="2">
        <v>55500</v>
      </c>
      <c r="M2823" s="3">
        <v>2</v>
      </c>
      <c r="N2823" s="2">
        <v>111000</v>
      </c>
      <c r="O2823" s="2">
        <v>11100</v>
      </c>
      <c r="P2823" s="2">
        <v>122100</v>
      </c>
      <c r="Q2823" s="2">
        <f>P2823*8.5%</f>
        <v>10378.5</v>
      </c>
    </row>
    <row r="2824" spans="1:17" x14ac:dyDescent="0.4">
      <c r="A2824" s="4" t="s">
        <v>56</v>
      </c>
      <c r="B2824" s="4" t="s">
        <v>26</v>
      </c>
      <c r="C2824" s="32" t="s">
        <v>436</v>
      </c>
      <c r="D2824" s="4" t="s">
        <v>57</v>
      </c>
      <c r="E2824" s="4" t="s">
        <v>44</v>
      </c>
      <c r="F2824" s="4" t="s">
        <v>31</v>
      </c>
      <c r="G2824" s="4" t="s">
        <v>18</v>
      </c>
      <c r="H2824" s="4" t="s">
        <v>268</v>
      </c>
      <c r="I2824" s="5" t="str">
        <f t="shared" si="44"/>
        <v>2025-10</v>
      </c>
      <c r="J2824" s="4" t="s">
        <v>20</v>
      </c>
      <c r="K2824" s="5" t="s">
        <v>342</v>
      </c>
      <c r="L2824" s="2">
        <v>3671</v>
      </c>
      <c r="M2824" s="3">
        <v>25</v>
      </c>
      <c r="N2824" s="2">
        <v>91775</v>
      </c>
      <c r="O2824" s="2">
        <v>0</v>
      </c>
      <c r="P2824" s="2">
        <v>91775</v>
      </c>
      <c r="Q2824" s="2">
        <f>P2824*8.5%</f>
        <v>7800.8750000000009</v>
      </c>
    </row>
    <row r="2825" spans="1:17" hidden="1" x14ac:dyDescent="0.4">
      <c r="A2825" s="4" t="s">
        <v>32</v>
      </c>
      <c r="B2825" s="4" t="s">
        <v>14</v>
      </c>
      <c r="C2825" s="31" t="s">
        <v>435</v>
      </c>
      <c r="D2825" s="4" t="s">
        <v>33</v>
      </c>
      <c r="E2825" s="4" t="s">
        <v>16</v>
      </c>
      <c r="F2825" s="4" t="s">
        <v>17</v>
      </c>
      <c r="G2825" s="4" t="s">
        <v>18</v>
      </c>
      <c r="H2825" s="4" t="s">
        <v>268</v>
      </c>
      <c r="I2825" s="5" t="str">
        <f t="shared" si="44"/>
        <v>2025-10</v>
      </c>
      <c r="J2825" s="4" t="s">
        <v>34</v>
      </c>
      <c r="K2825" s="5" t="s">
        <v>342</v>
      </c>
      <c r="L2825" s="2">
        <v>44000</v>
      </c>
      <c r="M2825" s="3">
        <v>3</v>
      </c>
      <c r="N2825" s="2">
        <v>132000</v>
      </c>
      <c r="O2825" s="2">
        <v>13200</v>
      </c>
      <c r="P2825" s="2">
        <v>145200</v>
      </c>
      <c r="Q2825" s="2">
        <f>P2825*8.5%</f>
        <v>12342</v>
      </c>
    </row>
    <row r="2826" spans="1:17" hidden="1" x14ac:dyDescent="0.4">
      <c r="A2826" s="4" t="s">
        <v>13</v>
      </c>
      <c r="B2826" s="4" t="s">
        <v>14</v>
      </c>
      <c r="C2826" s="30" t="s">
        <v>434</v>
      </c>
      <c r="D2826" s="4" t="s">
        <v>15</v>
      </c>
      <c r="E2826" s="4" t="s">
        <v>16</v>
      </c>
      <c r="F2826" s="4" t="s">
        <v>17</v>
      </c>
      <c r="G2826" s="4" t="s">
        <v>18</v>
      </c>
      <c r="H2826" s="4" t="s">
        <v>268</v>
      </c>
      <c r="I2826" s="5" t="str">
        <f t="shared" si="44"/>
        <v>2025-10</v>
      </c>
      <c r="J2826" s="4" t="s">
        <v>34</v>
      </c>
      <c r="K2826" s="5" t="s">
        <v>342</v>
      </c>
      <c r="L2826" s="2">
        <v>42000</v>
      </c>
      <c r="M2826" s="3">
        <v>2</v>
      </c>
      <c r="N2826" s="2">
        <v>84000</v>
      </c>
      <c r="O2826" s="2">
        <v>8400</v>
      </c>
      <c r="P2826" s="2">
        <v>92400</v>
      </c>
      <c r="Q2826" s="2">
        <f>P2826*8.5%</f>
        <v>7854.0000000000009</v>
      </c>
    </row>
    <row r="2827" spans="1:17" hidden="1" x14ac:dyDescent="0.4">
      <c r="A2827" s="4" t="s">
        <v>23</v>
      </c>
      <c r="B2827" s="4" t="s">
        <v>14</v>
      </c>
      <c r="C2827" s="31" t="s">
        <v>435</v>
      </c>
      <c r="D2827" s="4" t="s">
        <v>24</v>
      </c>
      <c r="E2827" s="4" t="s">
        <v>16</v>
      </c>
      <c r="F2827" s="4" t="s">
        <v>17</v>
      </c>
      <c r="G2827" s="4" t="s">
        <v>18</v>
      </c>
      <c r="H2827" s="4" t="s">
        <v>268</v>
      </c>
      <c r="I2827" s="5" t="str">
        <f t="shared" si="44"/>
        <v>2025-10</v>
      </c>
      <c r="J2827" s="4" t="s">
        <v>34</v>
      </c>
      <c r="K2827" s="5" t="s">
        <v>342</v>
      </c>
      <c r="L2827" s="2">
        <v>55500</v>
      </c>
      <c r="M2827" s="3">
        <v>2</v>
      </c>
      <c r="N2827" s="2">
        <v>111000</v>
      </c>
      <c r="O2827" s="2">
        <v>11100</v>
      </c>
      <c r="P2827" s="2">
        <v>122100</v>
      </c>
      <c r="Q2827" s="2">
        <f>P2827*8.5%</f>
        <v>10378.5</v>
      </c>
    </row>
    <row r="2828" spans="1:17" hidden="1" x14ac:dyDescent="0.4">
      <c r="A2828" s="4" t="s">
        <v>84</v>
      </c>
      <c r="B2828" s="4" t="s">
        <v>26</v>
      </c>
      <c r="C2828" s="32" t="s">
        <v>436</v>
      </c>
      <c r="D2828" s="4" t="s">
        <v>85</v>
      </c>
      <c r="E2828" s="4" t="s">
        <v>28</v>
      </c>
      <c r="F2828" s="4" t="s">
        <v>17</v>
      </c>
      <c r="G2828" s="4" t="s">
        <v>18</v>
      </c>
      <c r="H2828" s="4" t="s">
        <v>268</v>
      </c>
      <c r="I2828" s="5" t="str">
        <f t="shared" si="44"/>
        <v>2025-10</v>
      </c>
      <c r="J2828" s="4" t="s">
        <v>34</v>
      </c>
      <c r="K2828" s="5" t="s">
        <v>342</v>
      </c>
      <c r="L2828" s="2">
        <v>5032</v>
      </c>
      <c r="M2828" s="3">
        <v>1</v>
      </c>
      <c r="N2828" s="2">
        <v>5032</v>
      </c>
      <c r="O2828" s="2">
        <v>503</v>
      </c>
      <c r="P2828" s="2">
        <v>5535</v>
      </c>
      <c r="Q2828" s="2">
        <f>P2828*8.5%</f>
        <v>470.47500000000002</v>
      </c>
    </row>
    <row r="2829" spans="1:17" hidden="1" x14ac:dyDescent="0.4">
      <c r="A2829" s="4" t="s">
        <v>73</v>
      </c>
      <c r="B2829" s="4" t="s">
        <v>26</v>
      </c>
      <c r="C2829" s="32" t="s">
        <v>436</v>
      </c>
      <c r="D2829" s="4" t="s">
        <v>57</v>
      </c>
      <c r="E2829" s="4" t="s">
        <v>28</v>
      </c>
      <c r="F2829" s="4" t="s">
        <v>17</v>
      </c>
      <c r="G2829" s="4" t="s">
        <v>18</v>
      </c>
      <c r="H2829" s="4" t="s">
        <v>268</v>
      </c>
      <c r="I2829" s="5" t="str">
        <f t="shared" si="44"/>
        <v>2025-10</v>
      </c>
      <c r="J2829" s="4" t="s">
        <v>34</v>
      </c>
      <c r="K2829" s="5" t="s">
        <v>342</v>
      </c>
      <c r="L2829" s="2">
        <v>7055</v>
      </c>
      <c r="M2829" s="3">
        <v>2</v>
      </c>
      <c r="N2829" s="2">
        <v>14110</v>
      </c>
      <c r="O2829" s="2">
        <v>1411</v>
      </c>
      <c r="P2829" s="2">
        <v>15521</v>
      </c>
      <c r="Q2829" s="2">
        <f>P2829*8.5%</f>
        <v>1319.2850000000001</v>
      </c>
    </row>
    <row r="2830" spans="1:17" hidden="1" x14ac:dyDescent="0.4">
      <c r="A2830" s="4" t="s">
        <v>40</v>
      </c>
      <c r="B2830" s="4" t="s">
        <v>26</v>
      </c>
      <c r="C2830" s="32" t="s">
        <v>436</v>
      </c>
      <c r="D2830" s="4" t="s">
        <v>41</v>
      </c>
      <c r="E2830" s="4" t="s">
        <v>28</v>
      </c>
      <c r="F2830" s="4" t="s">
        <v>17</v>
      </c>
      <c r="G2830" s="4" t="s">
        <v>18</v>
      </c>
      <c r="H2830" s="4" t="s">
        <v>268</v>
      </c>
      <c r="I2830" s="5" t="str">
        <f t="shared" si="44"/>
        <v>2025-10</v>
      </c>
      <c r="J2830" s="4" t="s">
        <v>34</v>
      </c>
      <c r="K2830" s="5" t="s">
        <v>342</v>
      </c>
      <c r="L2830" s="2">
        <v>17936</v>
      </c>
      <c r="M2830" s="3">
        <v>2</v>
      </c>
      <c r="N2830" s="2">
        <v>35872</v>
      </c>
      <c r="O2830" s="2">
        <v>3587</v>
      </c>
      <c r="P2830" s="2">
        <v>39459</v>
      </c>
      <c r="Q2830" s="2">
        <f>P2830*8.5%</f>
        <v>3354.0150000000003</v>
      </c>
    </row>
    <row r="2831" spans="1:17" hidden="1" x14ac:dyDescent="0.4">
      <c r="A2831" s="4" t="s">
        <v>42</v>
      </c>
      <c r="B2831" s="4" t="s">
        <v>14</v>
      </c>
      <c r="C2831" s="30" t="s">
        <v>434</v>
      </c>
      <c r="D2831" s="4" t="s">
        <v>43</v>
      </c>
      <c r="E2831" s="4" t="s">
        <v>44</v>
      </c>
      <c r="F2831" s="4" t="s">
        <v>31</v>
      </c>
      <c r="G2831" s="4" t="s">
        <v>18</v>
      </c>
      <c r="H2831" s="4" t="s">
        <v>268</v>
      </c>
      <c r="I2831" s="5" t="str">
        <f t="shared" si="44"/>
        <v>2025-10</v>
      </c>
      <c r="J2831" s="4" t="s">
        <v>34</v>
      </c>
      <c r="K2831" s="5" t="s">
        <v>342</v>
      </c>
      <c r="L2831" s="2">
        <v>7300</v>
      </c>
      <c r="M2831" s="3">
        <v>41.6</v>
      </c>
      <c r="N2831" s="2">
        <v>303680</v>
      </c>
      <c r="O2831" s="2">
        <v>0</v>
      </c>
      <c r="P2831" s="2">
        <v>303680</v>
      </c>
      <c r="Q2831" s="2">
        <f>P2831*8.5%</f>
        <v>25812.800000000003</v>
      </c>
    </row>
    <row r="2832" spans="1:17" x14ac:dyDescent="0.4">
      <c r="A2832" s="4" t="s">
        <v>58</v>
      </c>
      <c r="B2832" s="4" t="s">
        <v>14</v>
      </c>
      <c r="C2832" s="30" t="s">
        <v>434</v>
      </c>
      <c r="D2832" s="4" t="s">
        <v>36</v>
      </c>
      <c r="E2832" s="4" t="s">
        <v>16</v>
      </c>
      <c r="F2832" s="4" t="s">
        <v>17</v>
      </c>
      <c r="G2832" s="4" t="s">
        <v>18</v>
      </c>
      <c r="H2832" s="4" t="s">
        <v>269</v>
      </c>
      <c r="I2832" s="5" t="str">
        <f t="shared" si="44"/>
        <v>2025-10</v>
      </c>
      <c r="J2832" s="4" t="s">
        <v>20</v>
      </c>
      <c r="K2832" s="5" t="s">
        <v>342</v>
      </c>
      <c r="L2832" s="2">
        <v>120880</v>
      </c>
      <c r="M2832" s="3">
        <v>1</v>
      </c>
      <c r="N2832" s="2">
        <v>120880</v>
      </c>
      <c r="O2832" s="2">
        <v>12088</v>
      </c>
      <c r="P2832" s="2">
        <v>132968</v>
      </c>
      <c r="Q2832" s="2">
        <f>P2832*8.5%</f>
        <v>11302.28</v>
      </c>
    </row>
    <row r="2833" spans="1:17" x14ac:dyDescent="0.4">
      <c r="A2833" s="4" t="s">
        <v>13</v>
      </c>
      <c r="B2833" s="4" t="s">
        <v>14</v>
      </c>
      <c r="C2833" s="30" t="s">
        <v>434</v>
      </c>
      <c r="D2833" s="4" t="s">
        <v>15</v>
      </c>
      <c r="E2833" s="4" t="s">
        <v>16</v>
      </c>
      <c r="F2833" s="4" t="s">
        <v>17</v>
      </c>
      <c r="G2833" s="4" t="s">
        <v>18</v>
      </c>
      <c r="H2833" s="4" t="s">
        <v>269</v>
      </c>
      <c r="I2833" s="5" t="str">
        <f t="shared" si="44"/>
        <v>2025-10</v>
      </c>
      <c r="J2833" s="4" t="s">
        <v>20</v>
      </c>
      <c r="K2833" s="5" t="s">
        <v>342</v>
      </c>
      <c r="L2833" s="2">
        <v>42000</v>
      </c>
      <c r="M2833" s="3">
        <v>1</v>
      </c>
      <c r="N2833" s="2">
        <v>42000</v>
      </c>
      <c r="O2833" s="2">
        <v>4200</v>
      </c>
      <c r="P2833" s="2">
        <v>46200</v>
      </c>
      <c r="Q2833" s="2">
        <f>P2833*8.5%</f>
        <v>3927.0000000000005</v>
      </c>
    </row>
    <row r="2834" spans="1:17" x14ac:dyDescent="0.4">
      <c r="A2834" s="4" t="s">
        <v>21</v>
      </c>
      <c r="B2834" s="4" t="s">
        <v>14</v>
      </c>
      <c r="C2834" s="31" t="s">
        <v>435</v>
      </c>
      <c r="D2834" s="4" t="s">
        <v>22</v>
      </c>
      <c r="E2834" s="4" t="s">
        <v>16</v>
      </c>
      <c r="F2834" s="4" t="s">
        <v>17</v>
      </c>
      <c r="G2834" s="4" t="s">
        <v>18</v>
      </c>
      <c r="H2834" s="4" t="s">
        <v>269</v>
      </c>
      <c r="I2834" s="5" t="str">
        <f t="shared" si="44"/>
        <v>2025-10</v>
      </c>
      <c r="J2834" s="4" t="s">
        <v>20</v>
      </c>
      <c r="K2834" s="5" t="s">
        <v>342</v>
      </c>
      <c r="L2834" s="2">
        <v>55500</v>
      </c>
      <c r="M2834" s="3">
        <v>1</v>
      </c>
      <c r="N2834" s="2">
        <v>55500</v>
      </c>
      <c r="O2834" s="2">
        <v>5550</v>
      </c>
      <c r="P2834" s="2">
        <v>61050</v>
      </c>
      <c r="Q2834" s="2">
        <f>P2834*8.5%</f>
        <v>5189.25</v>
      </c>
    </row>
    <row r="2835" spans="1:17" x14ac:dyDescent="0.4">
      <c r="A2835" s="4" t="s">
        <v>23</v>
      </c>
      <c r="B2835" s="4" t="s">
        <v>14</v>
      </c>
      <c r="C2835" s="31" t="s">
        <v>435</v>
      </c>
      <c r="D2835" s="4" t="s">
        <v>24</v>
      </c>
      <c r="E2835" s="4" t="s">
        <v>16</v>
      </c>
      <c r="F2835" s="4" t="s">
        <v>17</v>
      </c>
      <c r="G2835" s="4" t="s">
        <v>18</v>
      </c>
      <c r="H2835" s="4" t="s">
        <v>269</v>
      </c>
      <c r="I2835" s="5" t="str">
        <f t="shared" si="44"/>
        <v>2025-10</v>
      </c>
      <c r="J2835" s="4" t="s">
        <v>20</v>
      </c>
      <c r="K2835" s="5" t="s">
        <v>342</v>
      </c>
      <c r="L2835" s="2">
        <v>55500</v>
      </c>
      <c r="M2835" s="3">
        <v>3</v>
      </c>
      <c r="N2835" s="2">
        <v>166500</v>
      </c>
      <c r="O2835" s="2">
        <v>16650</v>
      </c>
      <c r="P2835" s="2">
        <v>183150</v>
      </c>
      <c r="Q2835" s="2">
        <f>P2835*8.5%</f>
        <v>15567.750000000002</v>
      </c>
    </row>
    <row r="2836" spans="1:17" x14ac:dyDescent="0.4">
      <c r="A2836" s="4" t="s">
        <v>54</v>
      </c>
      <c r="B2836" s="4" t="s">
        <v>26</v>
      </c>
      <c r="C2836" s="32" t="s">
        <v>436</v>
      </c>
      <c r="D2836" s="4" t="s">
        <v>55</v>
      </c>
      <c r="E2836" s="4" t="s">
        <v>28</v>
      </c>
      <c r="F2836" s="4" t="s">
        <v>31</v>
      </c>
      <c r="G2836" s="4" t="s">
        <v>18</v>
      </c>
      <c r="H2836" s="4" t="s">
        <v>269</v>
      </c>
      <c r="I2836" s="5" t="str">
        <f t="shared" si="44"/>
        <v>2025-10</v>
      </c>
      <c r="J2836" s="4" t="s">
        <v>20</v>
      </c>
      <c r="K2836" s="5" t="s">
        <v>342</v>
      </c>
      <c r="L2836" s="2">
        <v>5919</v>
      </c>
      <c r="M2836" s="3">
        <v>1</v>
      </c>
      <c r="N2836" s="2">
        <v>5919</v>
      </c>
      <c r="O2836" s="2">
        <v>0</v>
      </c>
      <c r="P2836" s="2">
        <v>5919</v>
      </c>
      <c r="Q2836" s="2">
        <f>P2836*8.5%</f>
        <v>503.11500000000001</v>
      </c>
    </row>
    <row r="2837" spans="1:17" x14ac:dyDescent="0.4">
      <c r="A2837" s="4" t="s">
        <v>127</v>
      </c>
      <c r="B2837" s="4" t="s">
        <v>26</v>
      </c>
      <c r="C2837" s="32" t="s">
        <v>436</v>
      </c>
      <c r="D2837" s="4" t="s">
        <v>128</v>
      </c>
      <c r="E2837" s="4" t="s">
        <v>28</v>
      </c>
      <c r="F2837" s="4" t="s">
        <v>17</v>
      </c>
      <c r="G2837" s="4" t="s">
        <v>18</v>
      </c>
      <c r="H2837" s="4" t="s">
        <v>269</v>
      </c>
      <c r="I2837" s="5" t="str">
        <f t="shared" si="44"/>
        <v>2025-10</v>
      </c>
      <c r="J2837" s="4" t="s">
        <v>20</v>
      </c>
      <c r="K2837" s="5" t="s">
        <v>342</v>
      </c>
      <c r="L2837" s="2">
        <v>2870</v>
      </c>
      <c r="M2837" s="3">
        <v>2</v>
      </c>
      <c r="N2837" s="2">
        <v>5740</v>
      </c>
      <c r="O2837" s="2">
        <v>574</v>
      </c>
      <c r="P2837" s="2">
        <v>6314</v>
      </c>
      <c r="Q2837" s="2">
        <f>P2837*8.5%</f>
        <v>536.69000000000005</v>
      </c>
    </row>
    <row r="2838" spans="1:17" x14ac:dyDescent="0.4">
      <c r="A2838" s="4" t="s">
        <v>56</v>
      </c>
      <c r="B2838" s="4" t="s">
        <v>26</v>
      </c>
      <c r="C2838" s="32" t="s">
        <v>436</v>
      </c>
      <c r="D2838" s="4" t="s">
        <v>57</v>
      </c>
      <c r="E2838" s="4" t="s">
        <v>44</v>
      </c>
      <c r="F2838" s="4" t="s">
        <v>31</v>
      </c>
      <c r="G2838" s="4" t="s">
        <v>18</v>
      </c>
      <c r="H2838" s="4" t="s">
        <v>269</v>
      </c>
      <c r="I2838" s="5" t="str">
        <f t="shared" si="44"/>
        <v>2025-10</v>
      </c>
      <c r="J2838" s="4" t="s">
        <v>20</v>
      </c>
      <c r="K2838" s="5" t="s">
        <v>342</v>
      </c>
      <c r="L2838" s="2">
        <v>3671</v>
      </c>
      <c r="M2838" s="3">
        <v>15</v>
      </c>
      <c r="N2838" s="2">
        <v>55065</v>
      </c>
      <c r="O2838" s="2">
        <v>0</v>
      </c>
      <c r="P2838" s="2">
        <v>55065</v>
      </c>
      <c r="Q2838" s="2">
        <f>P2838*8.5%</f>
        <v>4680.5250000000005</v>
      </c>
    </row>
    <row r="2839" spans="1:17" hidden="1" x14ac:dyDescent="0.4">
      <c r="A2839" s="4" t="s">
        <v>32</v>
      </c>
      <c r="B2839" s="4" t="s">
        <v>14</v>
      </c>
      <c r="C2839" s="31" t="s">
        <v>435</v>
      </c>
      <c r="D2839" s="4" t="s">
        <v>33</v>
      </c>
      <c r="E2839" s="4" t="s">
        <v>16</v>
      </c>
      <c r="F2839" s="4" t="s">
        <v>17</v>
      </c>
      <c r="G2839" s="4" t="s">
        <v>18</v>
      </c>
      <c r="H2839" s="4" t="s">
        <v>269</v>
      </c>
      <c r="I2839" s="5" t="str">
        <f t="shared" si="44"/>
        <v>2025-10</v>
      </c>
      <c r="J2839" s="4" t="s">
        <v>34</v>
      </c>
      <c r="K2839" s="5" t="s">
        <v>342</v>
      </c>
      <c r="L2839" s="2">
        <v>44000</v>
      </c>
      <c r="M2839" s="3">
        <v>2</v>
      </c>
      <c r="N2839" s="2">
        <v>88000</v>
      </c>
      <c r="O2839" s="2">
        <v>8800</v>
      </c>
      <c r="P2839" s="2">
        <v>96800</v>
      </c>
      <c r="Q2839" s="2">
        <f>P2839*8.5%</f>
        <v>8228</v>
      </c>
    </row>
    <row r="2840" spans="1:17" hidden="1" x14ac:dyDescent="0.4">
      <c r="A2840" s="4" t="s">
        <v>13</v>
      </c>
      <c r="B2840" s="4" t="s">
        <v>14</v>
      </c>
      <c r="C2840" s="30" t="s">
        <v>434</v>
      </c>
      <c r="D2840" s="4" t="s">
        <v>15</v>
      </c>
      <c r="E2840" s="4" t="s">
        <v>16</v>
      </c>
      <c r="F2840" s="4" t="s">
        <v>17</v>
      </c>
      <c r="G2840" s="4" t="s">
        <v>18</v>
      </c>
      <c r="H2840" s="4" t="s">
        <v>269</v>
      </c>
      <c r="I2840" s="5" t="str">
        <f t="shared" si="44"/>
        <v>2025-10</v>
      </c>
      <c r="J2840" s="4" t="s">
        <v>34</v>
      </c>
      <c r="K2840" s="5" t="s">
        <v>342</v>
      </c>
      <c r="L2840" s="2">
        <v>42000</v>
      </c>
      <c r="M2840" s="3">
        <v>3</v>
      </c>
      <c r="N2840" s="2">
        <v>126000</v>
      </c>
      <c r="O2840" s="2">
        <v>12600</v>
      </c>
      <c r="P2840" s="2">
        <v>138600</v>
      </c>
      <c r="Q2840" s="2">
        <f>P2840*8.5%</f>
        <v>11781</v>
      </c>
    </row>
    <row r="2841" spans="1:17" hidden="1" x14ac:dyDescent="0.4">
      <c r="A2841" s="4" t="s">
        <v>21</v>
      </c>
      <c r="B2841" s="4" t="s">
        <v>14</v>
      </c>
      <c r="C2841" s="31" t="s">
        <v>435</v>
      </c>
      <c r="D2841" s="4" t="s">
        <v>22</v>
      </c>
      <c r="E2841" s="4" t="s">
        <v>16</v>
      </c>
      <c r="F2841" s="4" t="s">
        <v>17</v>
      </c>
      <c r="G2841" s="4" t="s">
        <v>18</v>
      </c>
      <c r="H2841" s="4" t="s">
        <v>269</v>
      </c>
      <c r="I2841" s="5" t="str">
        <f t="shared" si="44"/>
        <v>2025-10</v>
      </c>
      <c r="J2841" s="4" t="s">
        <v>34</v>
      </c>
      <c r="K2841" s="5" t="s">
        <v>342</v>
      </c>
      <c r="L2841" s="2">
        <v>55500</v>
      </c>
      <c r="M2841" s="3">
        <v>1</v>
      </c>
      <c r="N2841" s="2">
        <v>55500</v>
      </c>
      <c r="O2841" s="2">
        <v>5550</v>
      </c>
      <c r="P2841" s="2">
        <v>61050</v>
      </c>
      <c r="Q2841" s="2">
        <f>P2841*8.5%</f>
        <v>5189.25</v>
      </c>
    </row>
    <row r="2842" spans="1:17" hidden="1" x14ac:dyDescent="0.4">
      <c r="A2842" s="4" t="s">
        <v>23</v>
      </c>
      <c r="B2842" s="4" t="s">
        <v>14</v>
      </c>
      <c r="C2842" s="31" t="s">
        <v>435</v>
      </c>
      <c r="D2842" s="4" t="s">
        <v>24</v>
      </c>
      <c r="E2842" s="4" t="s">
        <v>16</v>
      </c>
      <c r="F2842" s="4" t="s">
        <v>17</v>
      </c>
      <c r="G2842" s="4" t="s">
        <v>18</v>
      </c>
      <c r="H2842" s="4" t="s">
        <v>269</v>
      </c>
      <c r="I2842" s="5" t="str">
        <f t="shared" si="44"/>
        <v>2025-10</v>
      </c>
      <c r="J2842" s="4" t="s">
        <v>34</v>
      </c>
      <c r="K2842" s="5" t="s">
        <v>342</v>
      </c>
      <c r="L2842" s="2">
        <v>55500</v>
      </c>
      <c r="M2842" s="3">
        <v>2</v>
      </c>
      <c r="N2842" s="2">
        <v>111000</v>
      </c>
      <c r="O2842" s="2">
        <v>11100</v>
      </c>
      <c r="P2842" s="2">
        <v>122100</v>
      </c>
      <c r="Q2842" s="2">
        <f>P2842*8.5%</f>
        <v>10378.5</v>
      </c>
    </row>
    <row r="2843" spans="1:17" hidden="1" x14ac:dyDescent="0.4">
      <c r="A2843" s="4" t="s">
        <v>51</v>
      </c>
      <c r="B2843" s="4" t="s">
        <v>14</v>
      </c>
      <c r="C2843" s="30" t="s">
        <v>434</v>
      </c>
      <c r="D2843" s="4" t="s">
        <v>52</v>
      </c>
      <c r="E2843" s="4" t="s">
        <v>16</v>
      </c>
      <c r="F2843" s="4" t="s">
        <v>17</v>
      </c>
      <c r="G2843" s="4" t="s">
        <v>18</v>
      </c>
      <c r="H2843" s="4" t="s">
        <v>269</v>
      </c>
      <c r="I2843" s="5" t="str">
        <f t="shared" si="44"/>
        <v>2025-10</v>
      </c>
      <c r="J2843" s="4" t="s">
        <v>34</v>
      </c>
      <c r="K2843" s="5" t="s">
        <v>342</v>
      </c>
      <c r="L2843" s="2">
        <v>73000</v>
      </c>
      <c r="M2843" s="3">
        <v>1</v>
      </c>
      <c r="N2843" s="2">
        <v>73000</v>
      </c>
      <c r="O2843" s="2">
        <v>7300</v>
      </c>
      <c r="P2843" s="2">
        <v>80300</v>
      </c>
      <c r="Q2843" s="2">
        <f>P2843*8.5%</f>
        <v>6825.5000000000009</v>
      </c>
    </row>
    <row r="2844" spans="1:17" hidden="1" x14ac:dyDescent="0.4">
      <c r="A2844" s="4" t="s">
        <v>42</v>
      </c>
      <c r="B2844" s="4" t="s">
        <v>14</v>
      </c>
      <c r="C2844" s="30" t="s">
        <v>434</v>
      </c>
      <c r="D2844" s="4" t="s">
        <v>43</v>
      </c>
      <c r="E2844" s="4" t="s">
        <v>44</v>
      </c>
      <c r="F2844" s="4" t="s">
        <v>31</v>
      </c>
      <c r="G2844" s="4" t="s">
        <v>18</v>
      </c>
      <c r="H2844" s="4" t="s">
        <v>269</v>
      </c>
      <c r="I2844" s="5" t="str">
        <f t="shared" si="44"/>
        <v>2025-10</v>
      </c>
      <c r="J2844" s="4" t="s">
        <v>34</v>
      </c>
      <c r="K2844" s="5" t="s">
        <v>342</v>
      </c>
      <c r="L2844" s="2">
        <v>7300</v>
      </c>
      <c r="M2844" s="3">
        <v>42.9</v>
      </c>
      <c r="N2844" s="2">
        <v>313170</v>
      </c>
      <c r="O2844" s="2">
        <v>0</v>
      </c>
      <c r="P2844" s="2">
        <v>313170</v>
      </c>
      <c r="Q2844" s="2">
        <f>P2844*8.5%</f>
        <v>26619.45</v>
      </c>
    </row>
    <row r="2845" spans="1:17" hidden="1" x14ac:dyDescent="0.4">
      <c r="A2845" s="4" t="s">
        <v>32</v>
      </c>
      <c r="B2845" s="4" t="s">
        <v>14</v>
      </c>
      <c r="C2845" s="31" t="s">
        <v>435</v>
      </c>
      <c r="D2845" s="4" t="s">
        <v>33</v>
      </c>
      <c r="E2845" s="4" t="s">
        <v>16</v>
      </c>
      <c r="F2845" s="4" t="s">
        <v>17</v>
      </c>
      <c r="G2845" s="4" t="s">
        <v>18</v>
      </c>
      <c r="H2845" s="4" t="s">
        <v>269</v>
      </c>
      <c r="I2845" s="5" t="str">
        <f t="shared" si="44"/>
        <v>2025-10</v>
      </c>
      <c r="J2845" s="4" t="s">
        <v>59</v>
      </c>
      <c r="K2845" s="5" t="s">
        <v>343</v>
      </c>
      <c r="L2845" s="2">
        <v>44000</v>
      </c>
      <c r="M2845" s="3">
        <v>1</v>
      </c>
      <c r="N2845" s="2">
        <v>44000</v>
      </c>
      <c r="O2845" s="2">
        <v>4400</v>
      </c>
      <c r="P2845" s="2">
        <v>48400</v>
      </c>
      <c r="Q2845" s="2">
        <f>P2845*12%</f>
        <v>5808</v>
      </c>
    </row>
    <row r="2846" spans="1:17" hidden="1" x14ac:dyDescent="0.4">
      <c r="A2846" s="4" t="s">
        <v>13</v>
      </c>
      <c r="B2846" s="4" t="s">
        <v>14</v>
      </c>
      <c r="C2846" s="30" t="s">
        <v>434</v>
      </c>
      <c r="D2846" s="4" t="s">
        <v>15</v>
      </c>
      <c r="E2846" s="4" t="s">
        <v>16</v>
      </c>
      <c r="F2846" s="4" t="s">
        <v>17</v>
      </c>
      <c r="G2846" s="4" t="s">
        <v>18</v>
      </c>
      <c r="H2846" s="4" t="s">
        <v>269</v>
      </c>
      <c r="I2846" s="5" t="str">
        <f t="shared" si="44"/>
        <v>2025-10</v>
      </c>
      <c r="J2846" s="4" t="s">
        <v>59</v>
      </c>
      <c r="K2846" s="5" t="s">
        <v>343</v>
      </c>
      <c r="L2846" s="2">
        <v>42000</v>
      </c>
      <c r="M2846" s="3">
        <v>3</v>
      </c>
      <c r="N2846" s="2">
        <v>126000</v>
      </c>
      <c r="O2846" s="2">
        <v>12600</v>
      </c>
      <c r="P2846" s="2">
        <v>138600</v>
      </c>
      <c r="Q2846" s="2">
        <f>P2846*12%</f>
        <v>16632</v>
      </c>
    </row>
    <row r="2847" spans="1:17" hidden="1" x14ac:dyDescent="0.4">
      <c r="A2847" s="4" t="s">
        <v>23</v>
      </c>
      <c r="B2847" s="4" t="s">
        <v>14</v>
      </c>
      <c r="C2847" s="31" t="s">
        <v>435</v>
      </c>
      <c r="D2847" s="4" t="s">
        <v>24</v>
      </c>
      <c r="E2847" s="4" t="s">
        <v>16</v>
      </c>
      <c r="F2847" s="4" t="s">
        <v>17</v>
      </c>
      <c r="G2847" s="4" t="s">
        <v>18</v>
      </c>
      <c r="H2847" s="4" t="s">
        <v>269</v>
      </c>
      <c r="I2847" s="5" t="str">
        <f t="shared" si="44"/>
        <v>2025-10</v>
      </c>
      <c r="J2847" s="4" t="s">
        <v>59</v>
      </c>
      <c r="K2847" s="5" t="s">
        <v>343</v>
      </c>
      <c r="L2847" s="2">
        <v>55500</v>
      </c>
      <c r="M2847" s="3">
        <v>1</v>
      </c>
      <c r="N2847" s="2">
        <v>55500</v>
      </c>
      <c r="O2847" s="2">
        <v>5550</v>
      </c>
      <c r="P2847" s="2">
        <v>61050</v>
      </c>
      <c r="Q2847" s="2">
        <f>P2847*12%</f>
        <v>7326</v>
      </c>
    </row>
    <row r="2848" spans="1:17" hidden="1" x14ac:dyDescent="0.4">
      <c r="A2848" s="4" t="s">
        <v>112</v>
      </c>
      <c r="B2848" s="4" t="s">
        <v>26</v>
      </c>
      <c r="C2848" s="32" t="s">
        <v>436</v>
      </c>
      <c r="D2848" s="4" t="s">
        <v>113</v>
      </c>
      <c r="E2848" s="4" t="s">
        <v>28</v>
      </c>
      <c r="F2848" s="4" t="s">
        <v>17</v>
      </c>
      <c r="G2848" s="4" t="s">
        <v>18</v>
      </c>
      <c r="H2848" s="4" t="s">
        <v>269</v>
      </c>
      <c r="I2848" s="5" t="str">
        <f t="shared" si="44"/>
        <v>2025-10</v>
      </c>
      <c r="J2848" s="4" t="s">
        <v>59</v>
      </c>
      <c r="K2848" s="5" t="s">
        <v>343</v>
      </c>
      <c r="L2848" s="2">
        <v>375</v>
      </c>
      <c r="M2848" s="3">
        <v>20</v>
      </c>
      <c r="N2848" s="2">
        <v>7500</v>
      </c>
      <c r="O2848" s="2">
        <v>750</v>
      </c>
      <c r="P2848" s="2">
        <v>8250</v>
      </c>
      <c r="Q2848" s="2">
        <f>P2848*12%</f>
        <v>990</v>
      </c>
    </row>
    <row r="2849" spans="1:17" hidden="1" x14ac:dyDescent="0.4">
      <c r="A2849" s="4" t="s">
        <v>39</v>
      </c>
      <c r="B2849" s="4" t="s">
        <v>26</v>
      </c>
      <c r="C2849" s="32" t="s">
        <v>436</v>
      </c>
      <c r="D2849" s="4" t="s">
        <v>27</v>
      </c>
      <c r="E2849" s="4" t="s">
        <v>28</v>
      </c>
      <c r="F2849" s="4" t="s">
        <v>17</v>
      </c>
      <c r="G2849" s="4" t="s">
        <v>18</v>
      </c>
      <c r="H2849" s="4" t="s">
        <v>269</v>
      </c>
      <c r="I2849" s="5" t="str">
        <f t="shared" si="44"/>
        <v>2025-10</v>
      </c>
      <c r="J2849" s="4" t="s">
        <v>59</v>
      </c>
      <c r="K2849" s="5" t="s">
        <v>343</v>
      </c>
      <c r="L2849" s="2">
        <v>4018</v>
      </c>
      <c r="M2849" s="3">
        <v>4</v>
      </c>
      <c r="N2849" s="2">
        <v>16072</v>
      </c>
      <c r="O2849" s="2">
        <v>1607</v>
      </c>
      <c r="P2849" s="2">
        <v>17679</v>
      </c>
      <c r="Q2849" s="2">
        <f>P2849*12%</f>
        <v>2121.48</v>
      </c>
    </row>
    <row r="2850" spans="1:17" hidden="1" x14ac:dyDescent="0.4">
      <c r="A2850" s="4" t="s">
        <v>32</v>
      </c>
      <c r="B2850" s="4" t="s">
        <v>14</v>
      </c>
      <c r="C2850" s="31" t="s">
        <v>435</v>
      </c>
      <c r="D2850" s="4" t="s">
        <v>33</v>
      </c>
      <c r="E2850" s="4" t="s">
        <v>16</v>
      </c>
      <c r="F2850" s="4" t="s">
        <v>17</v>
      </c>
      <c r="G2850" s="4" t="s">
        <v>18</v>
      </c>
      <c r="H2850" s="4" t="s">
        <v>269</v>
      </c>
      <c r="I2850" s="5" t="str">
        <f t="shared" si="44"/>
        <v>2025-10</v>
      </c>
      <c r="J2850" s="4" t="s">
        <v>49</v>
      </c>
      <c r="K2850" s="5" t="s">
        <v>343</v>
      </c>
      <c r="L2850" s="2">
        <v>44000</v>
      </c>
      <c r="M2850" s="3">
        <v>8</v>
      </c>
      <c r="N2850" s="2">
        <v>352000</v>
      </c>
      <c r="O2850" s="2">
        <v>35200</v>
      </c>
      <c r="P2850" s="2">
        <v>387200</v>
      </c>
      <c r="Q2850" s="2">
        <f>P2850*12%</f>
        <v>46464</v>
      </c>
    </row>
    <row r="2851" spans="1:17" hidden="1" x14ac:dyDescent="0.4">
      <c r="A2851" s="4" t="s">
        <v>13</v>
      </c>
      <c r="B2851" s="4" t="s">
        <v>14</v>
      </c>
      <c r="C2851" s="30" t="s">
        <v>434</v>
      </c>
      <c r="D2851" s="4" t="s">
        <v>15</v>
      </c>
      <c r="E2851" s="4" t="s">
        <v>16</v>
      </c>
      <c r="F2851" s="4" t="s">
        <v>17</v>
      </c>
      <c r="G2851" s="4" t="s">
        <v>18</v>
      </c>
      <c r="H2851" s="4" t="s">
        <v>269</v>
      </c>
      <c r="I2851" s="5" t="str">
        <f t="shared" si="44"/>
        <v>2025-10</v>
      </c>
      <c r="J2851" s="4" t="s">
        <v>49</v>
      </c>
      <c r="K2851" s="5" t="s">
        <v>343</v>
      </c>
      <c r="L2851" s="2">
        <v>42000</v>
      </c>
      <c r="M2851" s="3">
        <v>8</v>
      </c>
      <c r="N2851" s="2">
        <v>336000</v>
      </c>
      <c r="O2851" s="2">
        <v>33600</v>
      </c>
      <c r="P2851" s="2">
        <v>369600</v>
      </c>
      <c r="Q2851" s="2">
        <f>P2851*12%</f>
        <v>44352</v>
      </c>
    </row>
    <row r="2852" spans="1:17" hidden="1" x14ac:dyDescent="0.4">
      <c r="A2852" s="4" t="s">
        <v>35</v>
      </c>
      <c r="B2852" s="4" t="s">
        <v>14</v>
      </c>
      <c r="C2852" s="30" t="s">
        <v>434</v>
      </c>
      <c r="D2852" s="4" t="s">
        <v>36</v>
      </c>
      <c r="E2852" s="4" t="s">
        <v>16</v>
      </c>
      <c r="F2852" s="4" t="s">
        <v>17</v>
      </c>
      <c r="G2852" s="4" t="s">
        <v>18</v>
      </c>
      <c r="H2852" s="4" t="s">
        <v>269</v>
      </c>
      <c r="I2852" s="5" t="str">
        <f t="shared" si="44"/>
        <v>2025-10</v>
      </c>
      <c r="J2852" s="4" t="s">
        <v>49</v>
      </c>
      <c r="K2852" s="5" t="s">
        <v>343</v>
      </c>
      <c r="L2852" s="2">
        <v>116220</v>
      </c>
      <c r="M2852" s="3">
        <v>1</v>
      </c>
      <c r="N2852" s="2">
        <v>116220</v>
      </c>
      <c r="O2852" s="2">
        <v>11622</v>
      </c>
      <c r="P2852" s="2">
        <v>127842</v>
      </c>
      <c r="Q2852" s="2">
        <f>P2852*12%</f>
        <v>15341.039999999999</v>
      </c>
    </row>
    <row r="2853" spans="1:17" hidden="1" x14ac:dyDescent="0.4">
      <c r="A2853" s="4" t="s">
        <v>23</v>
      </c>
      <c r="B2853" s="4" t="s">
        <v>14</v>
      </c>
      <c r="C2853" s="31" t="s">
        <v>435</v>
      </c>
      <c r="D2853" s="4" t="s">
        <v>24</v>
      </c>
      <c r="E2853" s="4" t="s">
        <v>16</v>
      </c>
      <c r="F2853" s="4" t="s">
        <v>17</v>
      </c>
      <c r="G2853" s="4" t="s">
        <v>18</v>
      </c>
      <c r="H2853" s="4" t="s">
        <v>269</v>
      </c>
      <c r="I2853" s="5" t="str">
        <f t="shared" si="44"/>
        <v>2025-10</v>
      </c>
      <c r="J2853" s="4" t="s">
        <v>49</v>
      </c>
      <c r="K2853" s="5" t="s">
        <v>343</v>
      </c>
      <c r="L2853" s="2">
        <v>55500</v>
      </c>
      <c r="M2853" s="3">
        <v>2</v>
      </c>
      <c r="N2853" s="2">
        <v>111000</v>
      </c>
      <c r="O2853" s="2">
        <v>11100</v>
      </c>
      <c r="P2853" s="2">
        <v>122100</v>
      </c>
      <c r="Q2853" s="2">
        <f>P2853*12%</f>
        <v>14652</v>
      </c>
    </row>
    <row r="2854" spans="1:17" hidden="1" x14ac:dyDescent="0.4">
      <c r="A2854" s="4" t="s">
        <v>51</v>
      </c>
      <c r="B2854" s="4" t="s">
        <v>14</v>
      </c>
      <c r="C2854" s="30" t="s">
        <v>434</v>
      </c>
      <c r="D2854" s="4" t="s">
        <v>52</v>
      </c>
      <c r="E2854" s="4" t="s">
        <v>16</v>
      </c>
      <c r="F2854" s="4" t="s">
        <v>17</v>
      </c>
      <c r="G2854" s="4" t="s">
        <v>18</v>
      </c>
      <c r="H2854" s="4" t="s">
        <v>269</v>
      </c>
      <c r="I2854" s="5" t="str">
        <f t="shared" si="44"/>
        <v>2025-10</v>
      </c>
      <c r="J2854" s="4" t="s">
        <v>49</v>
      </c>
      <c r="K2854" s="5" t="s">
        <v>343</v>
      </c>
      <c r="L2854" s="2">
        <v>73000</v>
      </c>
      <c r="M2854" s="3">
        <v>1</v>
      </c>
      <c r="N2854" s="2">
        <v>73000</v>
      </c>
      <c r="O2854" s="2">
        <v>7300</v>
      </c>
      <c r="P2854" s="2">
        <v>80300</v>
      </c>
      <c r="Q2854" s="2">
        <f>P2854*12%</f>
        <v>9636</v>
      </c>
    </row>
    <row r="2855" spans="1:17" x14ac:dyDescent="0.4">
      <c r="A2855" s="4" t="s">
        <v>13</v>
      </c>
      <c r="B2855" s="4" t="s">
        <v>14</v>
      </c>
      <c r="C2855" s="30" t="s">
        <v>434</v>
      </c>
      <c r="D2855" s="4" t="s">
        <v>15</v>
      </c>
      <c r="E2855" s="4" t="s">
        <v>16</v>
      </c>
      <c r="F2855" s="4" t="s">
        <v>17</v>
      </c>
      <c r="G2855" s="4" t="s">
        <v>18</v>
      </c>
      <c r="H2855" s="4" t="s">
        <v>270</v>
      </c>
      <c r="I2855" s="5" t="str">
        <f t="shared" si="44"/>
        <v>2025-10</v>
      </c>
      <c r="J2855" s="4" t="s">
        <v>20</v>
      </c>
      <c r="K2855" s="5" t="s">
        <v>342</v>
      </c>
      <c r="L2855" s="2">
        <v>42000</v>
      </c>
      <c r="M2855" s="3">
        <v>1</v>
      </c>
      <c r="N2855" s="2">
        <v>42000</v>
      </c>
      <c r="O2855" s="2">
        <v>4200</v>
      </c>
      <c r="P2855" s="2">
        <v>46200</v>
      </c>
      <c r="Q2855" s="2">
        <f>P2855*8.5%</f>
        <v>3927.0000000000005</v>
      </c>
    </row>
    <row r="2856" spans="1:17" x14ac:dyDescent="0.4">
      <c r="A2856" s="4" t="s">
        <v>21</v>
      </c>
      <c r="B2856" s="4" t="s">
        <v>14</v>
      </c>
      <c r="C2856" s="31" t="s">
        <v>435</v>
      </c>
      <c r="D2856" s="4" t="s">
        <v>22</v>
      </c>
      <c r="E2856" s="4" t="s">
        <v>16</v>
      </c>
      <c r="F2856" s="4" t="s">
        <v>17</v>
      </c>
      <c r="G2856" s="4" t="s">
        <v>18</v>
      </c>
      <c r="H2856" s="4" t="s">
        <v>270</v>
      </c>
      <c r="I2856" s="5" t="str">
        <f t="shared" si="44"/>
        <v>2025-10</v>
      </c>
      <c r="J2856" s="4" t="s">
        <v>20</v>
      </c>
      <c r="K2856" s="5" t="s">
        <v>342</v>
      </c>
      <c r="L2856" s="2">
        <v>55500</v>
      </c>
      <c r="M2856" s="3">
        <v>2</v>
      </c>
      <c r="N2856" s="2">
        <v>111000</v>
      </c>
      <c r="O2856" s="2">
        <v>11100</v>
      </c>
      <c r="P2856" s="2">
        <v>122100</v>
      </c>
      <c r="Q2856" s="2">
        <f>P2856*8.5%</f>
        <v>10378.5</v>
      </c>
    </row>
    <row r="2857" spans="1:17" x14ac:dyDescent="0.4">
      <c r="A2857" s="4" t="s">
        <v>23</v>
      </c>
      <c r="B2857" s="4" t="s">
        <v>14</v>
      </c>
      <c r="C2857" s="31" t="s">
        <v>435</v>
      </c>
      <c r="D2857" s="4" t="s">
        <v>24</v>
      </c>
      <c r="E2857" s="4" t="s">
        <v>16</v>
      </c>
      <c r="F2857" s="4" t="s">
        <v>17</v>
      </c>
      <c r="G2857" s="4" t="s">
        <v>18</v>
      </c>
      <c r="H2857" s="4" t="s">
        <v>270</v>
      </c>
      <c r="I2857" s="5" t="str">
        <f t="shared" si="44"/>
        <v>2025-10</v>
      </c>
      <c r="J2857" s="4" t="s">
        <v>20</v>
      </c>
      <c r="K2857" s="5" t="s">
        <v>342</v>
      </c>
      <c r="L2857" s="2">
        <v>55500</v>
      </c>
      <c r="M2857" s="3">
        <v>2</v>
      </c>
      <c r="N2857" s="2">
        <v>111000</v>
      </c>
      <c r="O2857" s="2">
        <v>11100</v>
      </c>
      <c r="P2857" s="2">
        <v>122100</v>
      </c>
      <c r="Q2857" s="2">
        <f>P2857*8.5%</f>
        <v>10378.5</v>
      </c>
    </row>
    <row r="2858" spans="1:17" x14ac:dyDescent="0.4">
      <c r="A2858" s="4" t="s">
        <v>56</v>
      </c>
      <c r="B2858" s="4" t="s">
        <v>26</v>
      </c>
      <c r="C2858" s="32" t="s">
        <v>436</v>
      </c>
      <c r="D2858" s="4" t="s">
        <v>57</v>
      </c>
      <c r="E2858" s="4" t="s">
        <v>44</v>
      </c>
      <c r="F2858" s="4" t="s">
        <v>31</v>
      </c>
      <c r="G2858" s="4" t="s">
        <v>18</v>
      </c>
      <c r="H2858" s="4" t="s">
        <v>270</v>
      </c>
      <c r="I2858" s="5" t="str">
        <f t="shared" si="44"/>
        <v>2025-10</v>
      </c>
      <c r="J2858" s="4" t="s">
        <v>20</v>
      </c>
      <c r="K2858" s="5" t="s">
        <v>342</v>
      </c>
      <c r="L2858" s="2">
        <v>3671</v>
      </c>
      <c r="M2858" s="3">
        <v>25</v>
      </c>
      <c r="N2858" s="2">
        <v>91775</v>
      </c>
      <c r="O2858" s="2">
        <v>0</v>
      </c>
      <c r="P2858" s="2">
        <v>91775</v>
      </c>
      <c r="Q2858" s="2">
        <f>P2858*8.5%</f>
        <v>7800.8750000000009</v>
      </c>
    </row>
    <row r="2859" spans="1:17" hidden="1" x14ac:dyDescent="0.4">
      <c r="A2859" s="4" t="s">
        <v>32</v>
      </c>
      <c r="B2859" s="4" t="s">
        <v>14</v>
      </c>
      <c r="C2859" s="31" t="s">
        <v>435</v>
      </c>
      <c r="D2859" s="4" t="s">
        <v>33</v>
      </c>
      <c r="E2859" s="4" t="s">
        <v>16</v>
      </c>
      <c r="F2859" s="4" t="s">
        <v>17</v>
      </c>
      <c r="G2859" s="4" t="s">
        <v>18</v>
      </c>
      <c r="H2859" s="4" t="s">
        <v>270</v>
      </c>
      <c r="I2859" s="5" t="str">
        <f t="shared" si="44"/>
        <v>2025-10</v>
      </c>
      <c r="J2859" s="4" t="s">
        <v>118</v>
      </c>
      <c r="K2859" s="5" t="s">
        <v>342</v>
      </c>
      <c r="L2859" s="2">
        <v>44000</v>
      </c>
      <c r="M2859" s="3">
        <v>11</v>
      </c>
      <c r="N2859" s="2">
        <v>484000</v>
      </c>
      <c r="O2859" s="2">
        <v>48400</v>
      </c>
      <c r="P2859" s="2">
        <v>532400</v>
      </c>
      <c r="Q2859" s="2">
        <f>P2859*8.5%</f>
        <v>45254</v>
      </c>
    </row>
    <row r="2860" spans="1:17" hidden="1" x14ac:dyDescent="0.4">
      <c r="A2860" s="4" t="s">
        <v>13</v>
      </c>
      <c r="B2860" s="4" t="s">
        <v>14</v>
      </c>
      <c r="C2860" s="30" t="s">
        <v>434</v>
      </c>
      <c r="D2860" s="4" t="s">
        <v>15</v>
      </c>
      <c r="E2860" s="4" t="s">
        <v>16</v>
      </c>
      <c r="F2860" s="4" t="s">
        <v>17</v>
      </c>
      <c r="G2860" s="4" t="s">
        <v>18</v>
      </c>
      <c r="H2860" s="4" t="s">
        <v>270</v>
      </c>
      <c r="I2860" s="5" t="str">
        <f t="shared" si="44"/>
        <v>2025-10</v>
      </c>
      <c r="J2860" s="4" t="s">
        <v>118</v>
      </c>
      <c r="K2860" s="5" t="s">
        <v>342</v>
      </c>
      <c r="L2860" s="2">
        <v>42000</v>
      </c>
      <c r="M2860" s="3">
        <v>2</v>
      </c>
      <c r="N2860" s="2">
        <v>84000</v>
      </c>
      <c r="O2860" s="2">
        <v>8400</v>
      </c>
      <c r="P2860" s="2">
        <v>92400</v>
      </c>
      <c r="Q2860" s="2">
        <f>P2860*8.5%</f>
        <v>7854.0000000000009</v>
      </c>
    </row>
    <row r="2861" spans="1:17" hidden="1" x14ac:dyDescent="0.4">
      <c r="A2861" s="4" t="s">
        <v>23</v>
      </c>
      <c r="B2861" s="4" t="s">
        <v>14</v>
      </c>
      <c r="C2861" s="31" t="s">
        <v>435</v>
      </c>
      <c r="D2861" s="4" t="s">
        <v>24</v>
      </c>
      <c r="E2861" s="4" t="s">
        <v>16</v>
      </c>
      <c r="F2861" s="4" t="s">
        <v>17</v>
      </c>
      <c r="G2861" s="4" t="s">
        <v>18</v>
      </c>
      <c r="H2861" s="4" t="s">
        <v>270</v>
      </c>
      <c r="I2861" s="5" t="str">
        <f t="shared" si="44"/>
        <v>2025-10</v>
      </c>
      <c r="J2861" s="4" t="s">
        <v>118</v>
      </c>
      <c r="K2861" s="5" t="s">
        <v>342</v>
      </c>
      <c r="L2861" s="2">
        <v>55500</v>
      </c>
      <c r="M2861" s="3">
        <v>1</v>
      </c>
      <c r="N2861" s="2">
        <v>55500</v>
      </c>
      <c r="O2861" s="2">
        <v>5550</v>
      </c>
      <c r="P2861" s="2">
        <v>61050</v>
      </c>
      <c r="Q2861" s="2">
        <f>P2861*8.5%</f>
        <v>5189.25</v>
      </c>
    </row>
    <row r="2862" spans="1:17" hidden="1" x14ac:dyDescent="0.4">
      <c r="A2862" s="4" t="s">
        <v>13</v>
      </c>
      <c r="B2862" s="4" t="s">
        <v>14</v>
      </c>
      <c r="C2862" s="30" t="s">
        <v>434</v>
      </c>
      <c r="D2862" s="4" t="s">
        <v>15</v>
      </c>
      <c r="E2862" s="4" t="s">
        <v>16</v>
      </c>
      <c r="F2862" s="4" t="s">
        <v>17</v>
      </c>
      <c r="G2862" s="4" t="s">
        <v>18</v>
      </c>
      <c r="H2862" s="4" t="s">
        <v>270</v>
      </c>
      <c r="I2862" s="5" t="str">
        <f t="shared" si="44"/>
        <v>2025-10</v>
      </c>
      <c r="J2862" s="4" t="s">
        <v>34</v>
      </c>
      <c r="K2862" s="5" t="s">
        <v>342</v>
      </c>
      <c r="L2862" s="2">
        <v>42000</v>
      </c>
      <c r="M2862" s="3">
        <v>4</v>
      </c>
      <c r="N2862" s="2">
        <v>168000</v>
      </c>
      <c r="O2862" s="2">
        <v>16800</v>
      </c>
      <c r="P2862" s="2">
        <v>184800</v>
      </c>
      <c r="Q2862" s="2">
        <f>P2862*8.5%</f>
        <v>15708.000000000002</v>
      </c>
    </row>
    <row r="2863" spans="1:17" hidden="1" x14ac:dyDescent="0.4">
      <c r="A2863" s="4" t="s">
        <v>21</v>
      </c>
      <c r="B2863" s="4" t="s">
        <v>14</v>
      </c>
      <c r="C2863" s="31" t="s">
        <v>435</v>
      </c>
      <c r="D2863" s="4" t="s">
        <v>22</v>
      </c>
      <c r="E2863" s="4" t="s">
        <v>16</v>
      </c>
      <c r="F2863" s="4" t="s">
        <v>17</v>
      </c>
      <c r="G2863" s="4" t="s">
        <v>18</v>
      </c>
      <c r="H2863" s="4" t="s">
        <v>270</v>
      </c>
      <c r="I2863" s="5" t="str">
        <f t="shared" si="44"/>
        <v>2025-10</v>
      </c>
      <c r="J2863" s="4" t="s">
        <v>34</v>
      </c>
      <c r="K2863" s="5" t="s">
        <v>342</v>
      </c>
      <c r="L2863" s="2">
        <v>55500</v>
      </c>
      <c r="M2863" s="3">
        <v>1</v>
      </c>
      <c r="N2863" s="2">
        <v>55500</v>
      </c>
      <c r="O2863" s="2">
        <v>5550</v>
      </c>
      <c r="P2863" s="2">
        <v>61050</v>
      </c>
      <c r="Q2863" s="2">
        <f>P2863*8.5%</f>
        <v>5189.25</v>
      </c>
    </row>
    <row r="2864" spans="1:17" hidden="1" x14ac:dyDescent="0.4">
      <c r="A2864" s="4" t="s">
        <v>35</v>
      </c>
      <c r="B2864" s="4" t="s">
        <v>14</v>
      </c>
      <c r="C2864" s="30" t="s">
        <v>434</v>
      </c>
      <c r="D2864" s="4" t="s">
        <v>36</v>
      </c>
      <c r="E2864" s="4" t="s">
        <v>16</v>
      </c>
      <c r="F2864" s="4" t="s">
        <v>17</v>
      </c>
      <c r="G2864" s="4" t="s">
        <v>18</v>
      </c>
      <c r="H2864" s="4" t="s">
        <v>270</v>
      </c>
      <c r="I2864" s="5" t="str">
        <f t="shared" si="44"/>
        <v>2025-10</v>
      </c>
      <c r="J2864" s="4" t="s">
        <v>34</v>
      </c>
      <c r="K2864" s="5" t="s">
        <v>342</v>
      </c>
      <c r="L2864" s="2">
        <v>116220</v>
      </c>
      <c r="M2864" s="3">
        <v>1</v>
      </c>
      <c r="N2864" s="2">
        <v>116220</v>
      </c>
      <c r="O2864" s="2">
        <v>11622</v>
      </c>
      <c r="P2864" s="2">
        <v>127842</v>
      </c>
      <c r="Q2864" s="2">
        <f>P2864*8.5%</f>
        <v>10866.570000000002</v>
      </c>
    </row>
    <row r="2865" spans="1:17" hidden="1" x14ac:dyDescent="0.4">
      <c r="A2865" s="4" t="s">
        <v>23</v>
      </c>
      <c r="B2865" s="4" t="s">
        <v>14</v>
      </c>
      <c r="C2865" s="31" t="s">
        <v>435</v>
      </c>
      <c r="D2865" s="4" t="s">
        <v>24</v>
      </c>
      <c r="E2865" s="4" t="s">
        <v>16</v>
      </c>
      <c r="F2865" s="4" t="s">
        <v>17</v>
      </c>
      <c r="G2865" s="4" t="s">
        <v>18</v>
      </c>
      <c r="H2865" s="4" t="s">
        <v>270</v>
      </c>
      <c r="I2865" s="5" t="str">
        <f t="shared" si="44"/>
        <v>2025-10</v>
      </c>
      <c r="J2865" s="4" t="s">
        <v>34</v>
      </c>
      <c r="K2865" s="5" t="s">
        <v>342</v>
      </c>
      <c r="L2865" s="2">
        <v>55500</v>
      </c>
      <c r="M2865" s="3">
        <v>3</v>
      </c>
      <c r="N2865" s="2">
        <v>166500</v>
      </c>
      <c r="O2865" s="2">
        <v>16650</v>
      </c>
      <c r="P2865" s="2">
        <v>183150</v>
      </c>
      <c r="Q2865" s="2">
        <f>P2865*8.5%</f>
        <v>15567.750000000002</v>
      </c>
    </row>
    <row r="2866" spans="1:17" hidden="1" x14ac:dyDescent="0.4">
      <c r="A2866" s="4" t="s">
        <v>51</v>
      </c>
      <c r="B2866" s="4" t="s">
        <v>14</v>
      </c>
      <c r="C2866" s="30" t="s">
        <v>434</v>
      </c>
      <c r="D2866" s="4" t="s">
        <v>52</v>
      </c>
      <c r="E2866" s="4" t="s">
        <v>16</v>
      </c>
      <c r="F2866" s="4" t="s">
        <v>17</v>
      </c>
      <c r="G2866" s="4" t="s">
        <v>18</v>
      </c>
      <c r="H2866" s="4" t="s">
        <v>270</v>
      </c>
      <c r="I2866" s="5" t="str">
        <f t="shared" si="44"/>
        <v>2025-10</v>
      </c>
      <c r="J2866" s="4" t="s">
        <v>34</v>
      </c>
      <c r="K2866" s="5" t="s">
        <v>342</v>
      </c>
      <c r="L2866" s="2">
        <v>73000</v>
      </c>
      <c r="M2866" s="3">
        <v>1</v>
      </c>
      <c r="N2866" s="2">
        <v>73000</v>
      </c>
      <c r="O2866" s="2">
        <v>7300</v>
      </c>
      <c r="P2866" s="2">
        <v>80300</v>
      </c>
      <c r="Q2866" s="2">
        <f>P2866*8.5%</f>
        <v>6825.5000000000009</v>
      </c>
    </row>
    <row r="2867" spans="1:17" hidden="1" x14ac:dyDescent="0.4">
      <c r="A2867" s="4" t="s">
        <v>42</v>
      </c>
      <c r="B2867" s="4" t="s">
        <v>14</v>
      </c>
      <c r="C2867" s="30" t="s">
        <v>434</v>
      </c>
      <c r="D2867" s="4" t="s">
        <v>43</v>
      </c>
      <c r="E2867" s="4" t="s">
        <v>44</v>
      </c>
      <c r="F2867" s="4" t="s">
        <v>31</v>
      </c>
      <c r="G2867" s="4" t="s">
        <v>18</v>
      </c>
      <c r="H2867" s="4" t="s">
        <v>270</v>
      </c>
      <c r="I2867" s="5" t="str">
        <f t="shared" si="44"/>
        <v>2025-10</v>
      </c>
      <c r="J2867" s="4" t="s">
        <v>34</v>
      </c>
      <c r="K2867" s="5" t="s">
        <v>342</v>
      </c>
      <c r="L2867" s="2">
        <v>7300</v>
      </c>
      <c r="M2867" s="3">
        <v>60.2</v>
      </c>
      <c r="N2867" s="2">
        <v>439460</v>
      </c>
      <c r="O2867" s="2">
        <v>0</v>
      </c>
      <c r="P2867" s="2">
        <v>439460</v>
      </c>
      <c r="Q2867" s="2">
        <f>P2867*8.5%</f>
        <v>37354.100000000006</v>
      </c>
    </row>
    <row r="2868" spans="1:17" x14ac:dyDescent="0.4">
      <c r="A2868" s="4" t="s">
        <v>13</v>
      </c>
      <c r="B2868" s="4" t="s">
        <v>14</v>
      </c>
      <c r="C2868" s="30" t="s">
        <v>434</v>
      </c>
      <c r="D2868" s="4" t="s">
        <v>15</v>
      </c>
      <c r="E2868" s="4" t="s">
        <v>16</v>
      </c>
      <c r="F2868" s="4" t="s">
        <v>17</v>
      </c>
      <c r="G2868" s="4" t="s">
        <v>18</v>
      </c>
      <c r="H2868" s="4" t="s">
        <v>271</v>
      </c>
      <c r="I2868" s="5" t="str">
        <f t="shared" si="44"/>
        <v>2025-10</v>
      </c>
      <c r="J2868" s="4" t="s">
        <v>20</v>
      </c>
      <c r="K2868" s="5" t="s">
        <v>342</v>
      </c>
      <c r="L2868" s="2">
        <v>42000</v>
      </c>
      <c r="M2868" s="3">
        <v>1</v>
      </c>
      <c r="N2868" s="2">
        <v>42000</v>
      </c>
      <c r="O2868" s="2">
        <v>4200</v>
      </c>
      <c r="P2868" s="2">
        <v>46200</v>
      </c>
      <c r="Q2868" s="2">
        <f>P2868*8.5%</f>
        <v>3927.0000000000005</v>
      </c>
    </row>
    <row r="2869" spans="1:17" x14ac:dyDescent="0.4">
      <c r="A2869" s="4" t="s">
        <v>21</v>
      </c>
      <c r="B2869" s="4" t="s">
        <v>14</v>
      </c>
      <c r="C2869" s="31" t="s">
        <v>435</v>
      </c>
      <c r="D2869" s="4" t="s">
        <v>22</v>
      </c>
      <c r="E2869" s="4" t="s">
        <v>16</v>
      </c>
      <c r="F2869" s="4" t="s">
        <v>17</v>
      </c>
      <c r="G2869" s="4" t="s">
        <v>18</v>
      </c>
      <c r="H2869" s="4" t="s">
        <v>271</v>
      </c>
      <c r="I2869" s="5" t="str">
        <f t="shared" si="44"/>
        <v>2025-10</v>
      </c>
      <c r="J2869" s="4" t="s">
        <v>20</v>
      </c>
      <c r="K2869" s="5" t="s">
        <v>342</v>
      </c>
      <c r="L2869" s="2">
        <v>55500</v>
      </c>
      <c r="M2869" s="3">
        <v>1</v>
      </c>
      <c r="N2869" s="2">
        <v>55500</v>
      </c>
      <c r="O2869" s="2">
        <v>5550</v>
      </c>
      <c r="P2869" s="2">
        <v>61050</v>
      </c>
      <c r="Q2869" s="2">
        <f>P2869*8.5%</f>
        <v>5189.25</v>
      </c>
    </row>
    <row r="2870" spans="1:17" x14ac:dyDescent="0.4">
      <c r="A2870" s="4" t="s">
        <v>23</v>
      </c>
      <c r="B2870" s="4" t="s">
        <v>14</v>
      </c>
      <c r="C2870" s="31" t="s">
        <v>435</v>
      </c>
      <c r="D2870" s="4" t="s">
        <v>24</v>
      </c>
      <c r="E2870" s="4" t="s">
        <v>16</v>
      </c>
      <c r="F2870" s="4" t="s">
        <v>17</v>
      </c>
      <c r="G2870" s="4" t="s">
        <v>18</v>
      </c>
      <c r="H2870" s="4" t="s">
        <v>271</v>
      </c>
      <c r="I2870" s="5" t="str">
        <f t="shared" si="44"/>
        <v>2025-10</v>
      </c>
      <c r="J2870" s="4" t="s">
        <v>20</v>
      </c>
      <c r="K2870" s="5" t="s">
        <v>342</v>
      </c>
      <c r="L2870" s="2">
        <v>55500</v>
      </c>
      <c r="M2870" s="3">
        <v>3</v>
      </c>
      <c r="N2870" s="2">
        <v>166500</v>
      </c>
      <c r="O2870" s="2">
        <v>16650</v>
      </c>
      <c r="P2870" s="2">
        <v>183150</v>
      </c>
      <c r="Q2870" s="2">
        <f>P2870*8.5%</f>
        <v>15567.750000000002</v>
      </c>
    </row>
    <row r="2871" spans="1:17" x14ac:dyDescent="0.4">
      <c r="A2871" s="4" t="s">
        <v>56</v>
      </c>
      <c r="B2871" s="4" t="s">
        <v>26</v>
      </c>
      <c r="C2871" s="32" t="s">
        <v>436</v>
      </c>
      <c r="D2871" s="4" t="s">
        <v>57</v>
      </c>
      <c r="E2871" s="4" t="s">
        <v>44</v>
      </c>
      <c r="F2871" s="4" t="s">
        <v>31</v>
      </c>
      <c r="G2871" s="4" t="s">
        <v>18</v>
      </c>
      <c r="H2871" s="4" t="s">
        <v>271</v>
      </c>
      <c r="I2871" s="5" t="str">
        <f t="shared" si="44"/>
        <v>2025-10</v>
      </c>
      <c r="J2871" s="4" t="s">
        <v>20</v>
      </c>
      <c r="K2871" s="5" t="s">
        <v>342</v>
      </c>
      <c r="L2871" s="2">
        <v>3671</v>
      </c>
      <c r="M2871" s="3">
        <v>15</v>
      </c>
      <c r="N2871" s="2">
        <v>55065</v>
      </c>
      <c r="O2871" s="2">
        <v>0</v>
      </c>
      <c r="P2871" s="2">
        <v>55065</v>
      </c>
      <c r="Q2871" s="2">
        <f>P2871*8.5%</f>
        <v>4680.5250000000005</v>
      </c>
    </row>
    <row r="2872" spans="1:17" hidden="1" x14ac:dyDescent="0.4">
      <c r="A2872" s="4" t="s">
        <v>32</v>
      </c>
      <c r="B2872" s="4" t="s">
        <v>14</v>
      </c>
      <c r="C2872" s="31" t="s">
        <v>435</v>
      </c>
      <c r="D2872" s="4" t="s">
        <v>33</v>
      </c>
      <c r="E2872" s="4" t="s">
        <v>16</v>
      </c>
      <c r="F2872" s="4" t="s">
        <v>17</v>
      </c>
      <c r="G2872" s="4" t="s">
        <v>18</v>
      </c>
      <c r="H2872" s="4" t="s">
        <v>271</v>
      </c>
      <c r="I2872" s="5" t="str">
        <f t="shared" si="44"/>
        <v>2025-10</v>
      </c>
      <c r="J2872" s="4" t="s">
        <v>118</v>
      </c>
      <c r="K2872" s="5" t="s">
        <v>342</v>
      </c>
      <c r="L2872" s="2">
        <v>44000</v>
      </c>
      <c r="M2872" s="3">
        <v>10</v>
      </c>
      <c r="N2872" s="2">
        <v>440000</v>
      </c>
      <c r="O2872" s="2">
        <v>44000</v>
      </c>
      <c r="P2872" s="2">
        <v>484000</v>
      </c>
      <c r="Q2872" s="2">
        <f>P2872*8.5%</f>
        <v>41140</v>
      </c>
    </row>
    <row r="2873" spans="1:17" hidden="1" x14ac:dyDescent="0.4">
      <c r="A2873" s="4" t="s">
        <v>64</v>
      </c>
      <c r="B2873" s="4" t="s">
        <v>65</v>
      </c>
      <c r="C2873" s="32" t="s">
        <v>436</v>
      </c>
      <c r="D2873" s="4" t="s">
        <v>66</v>
      </c>
      <c r="E2873" s="4" t="s">
        <v>16</v>
      </c>
      <c r="F2873" s="4" t="s">
        <v>17</v>
      </c>
      <c r="G2873" s="4" t="s">
        <v>18</v>
      </c>
      <c r="H2873" s="4" t="s">
        <v>271</v>
      </c>
      <c r="I2873" s="5" t="str">
        <f t="shared" si="44"/>
        <v>2025-10</v>
      </c>
      <c r="J2873" s="4" t="s">
        <v>34</v>
      </c>
      <c r="K2873" s="5" t="s">
        <v>342</v>
      </c>
      <c r="L2873" s="2">
        <v>10283</v>
      </c>
      <c r="M2873" s="3">
        <v>1</v>
      </c>
      <c r="N2873" s="2">
        <v>10283</v>
      </c>
      <c r="O2873" s="2">
        <v>1028</v>
      </c>
      <c r="P2873" s="2">
        <v>11311</v>
      </c>
      <c r="Q2873" s="2">
        <f>P2873*8.5%</f>
        <v>961.43500000000006</v>
      </c>
    </row>
    <row r="2874" spans="1:17" hidden="1" x14ac:dyDescent="0.4">
      <c r="A2874" s="4" t="s">
        <v>32</v>
      </c>
      <c r="B2874" s="4" t="s">
        <v>14</v>
      </c>
      <c r="C2874" s="31" t="s">
        <v>435</v>
      </c>
      <c r="D2874" s="4" t="s">
        <v>33</v>
      </c>
      <c r="E2874" s="4" t="s">
        <v>16</v>
      </c>
      <c r="F2874" s="4" t="s">
        <v>17</v>
      </c>
      <c r="G2874" s="4" t="s">
        <v>18</v>
      </c>
      <c r="H2874" s="4" t="s">
        <v>271</v>
      </c>
      <c r="I2874" s="5" t="str">
        <f t="shared" si="44"/>
        <v>2025-10</v>
      </c>
      <c r="J2874" s="4" t="s">
        <v>34</v>
      </c>
      <c r="K2874" s="5" t="s">
        <v>342</v>
      </c>
      <c r="L2874" s="2">
        <v>44000</v>
      </c>
      <c r="M2874" s="3">
        <v>3</v>
      </c>
      <c r="N2874" s="2">
        <v>132000</v>
      </c>
      <c r="O2874" s="2">
        <v>13200</v>
      </c>
      <c r="P2874" s="2">
        <v>145200</v>
      </c>
      <c r="Q2874" s="2">
        <f>P2874*8.5%</f>
        <v>12342</v>
      </c>
    </row>
    <row r="2875" spans="1:17" hidden="1" x14ac:dyDescent="0.4">
      <c r="A2875" s="4" t="s">
        <v>58</v>
      </c>
      <c r="B2875" s="4" t="s">
        <v>14</v>
      </c>
      <c r="C2875" s="30" t="s">
        <v>434</v>
      </c>
      <c r="D2875" s="4" t="s">
        <v>36</v>
      </c>
      <c r="E2875" s="4" t="s">
        <v>16</v>
      </c>
      <c r="F2875" s="4" t="s">
        <v>17</v>
      </c>
      <c r="G2875" s="4" t="s">
        <v>18</v>
      </c>
      <c r="H2875" s="4" t="s">
        <v>271</v>
      </c>
      <c r="I2875" s="5" t="str">
        <f t="shared" si="44"/>
        <v>2025-10</v>
      </c>
      <c r="J2875" s="4" t="s">
        <v>34</v>
      </c>
      <c r="K2875" s="5" t="s">
        <v>342</v>
      </c>
      <c r="L2875" s="2">
        <v>120880</v>
      </c>
      <c r="M2875" s="3">
        <v>1</v>
      </c>
      <c r="N2875" s="2">
        <v>120880</v>
      </c>
      <c r="O2875" s="2">
        <v>12088</v>
      </c>
      <c r="P2875" s="2">
        <v>132968</v>
      </c>
      <c r="Q2875" s="2">
        <f>P2875*8.5%</f>
        <v>11302.28</v>
      </c>
    </row>
    <row r="2876" spans="1:17" hidden="1" x14ac:dyDescent="0.4">
      <c r="A2876" s="4" t="s">
        <v>13</v>
      </c>
      <c r="B2876" s="4" t="s">
        <v>14</v>
      </c>
      <c r="C2876" s="30" t="s">
        <v>434</v>
      </c>
      <c r="D2876" s="4" t="s">
        <v>15</v>
      </c>
      <c r="E2876" s="4" t="s">
        <v>16</v>
      </c>
      <c r="F2876" s="4" t="s">
        <v>17</v>
      </c>
      <c r="G2876" s="4" t="s">
        <v>18</v>
      </c>
      <c r="H2876" s="4" t="s">
        <v>271</v>
      </c>
      <c r="I2876" s="5" t="str">
        <f t="shared" si="44"/>
        <v>2025-10</v>
      </c>
      <c r="J2876" s="4" t="s">
        <v>34</v>
      </c>
      <c r="K2876" s="5" t="s">
        <v>342</v>
      </c>
      <c r="L2876" s="2">
        <v>42000</v>
      </c>
      <c r="M2876" s="3">
        <v>3</v>
      </c>
      <c r="N2876" s="2">
        <v>126000</v>
      </c>
      <c r="O2876" s="2">
        <v>12600</v>
      </c>
      <c r="P2876" s="2">
        <v>138600</v>
      </c>
      <c r="Q2876" s="2">
        <f>P2876*8.5%</f>
        <v>11781</v>
      </c>
    </row>
    <row r="2877" spans="1:17" hidden="1" x14ac:dyDescent="0.4">
      <c r="A2877" s="4" t="s">
        <v>23</v>
      </c>
      <c r="B2877" s="4" t="s">
        <v>14</v>
      </c>
      <c r="C2877" s="31" t="s">
        <v>435</v>
      </c>
      <c r="D2877" s="4" t="s">
        <v>24</v>
      </c>
      <c r="E2877" s="4" t="s">
        <v>16</v>
      </c>
      <c r="F2877" s="4" t="s">
        <v>17</v>
      </c>
      <c r="G2877" s="4" t="s">
        <v>18</v>
      </c>
      <c r="H2877" s="4" t="s">
        <v>271</v>
      </c>
      <c r="I2877" s="5" t="str">
        <f t="shared" si="44"/>
        <v>2025-10</v>
      </c>
      <c r="J2877" s="4" t="s">
        <v>34</v>
      </c>
      <c r="K2877" s="5" t="s">
        <v>342</v>
      </c>
      <c r="L2877" s="2">
        <v>55500</v>
      </c>
      <c r="M2877" s="3">
        <v>4</v>
      </c>
      <c r="N2877" s="2">
        <v>222000</v>
      </c>
      <c r="O2877" s="2">
        <v>22200</v>
      </c>
      <c r="P2877" s="2">
        <v>244200</v>
      </c>
      <c r="Q2877" s="2">
        <f>P2877*8.5%</f>
        <v>20757</v>
      </c>
    </row>
    <row r="2878" spans="1:17" hidden="1" x14ac:dyDescent="0.4">
      <c r="A2878" s="4" t="s">
        <v>37</v>
      </c>
      <c r="B2878" s="4" t="s">
        <v>26</v>
      </c>
      <c r="C2878" s="32" t="s">
        <v>436</v>
      </c>
      <c r="D2878" s="4" t="s">
        <v>38</v>
      </c>
      <c r="E2878" s="4" t="s">
        <v>28</v>
      </c>
      <c r="F2878" s="4" t="s">
        <v>17</v>
      </c>
      <c r="G2878" s="4" t="s">
        <v>18</v>
      </c>
      <c r="H2878" s="4" t="s">
        <v>271</v>
      </c>
      <c r="I2878" s="5" t="str">
        <f t="shared" si="44"/>
        <v>2025-10</v>
      </c>
      <c r="J2878" s="4" t="s">
        <v>34</v>
      </c>
      <c r="K2878" s="5" t="s">
        <v>342</v>
      </c>
      <c r="L2878" s="2">
        <v>395</v>
      </c>
      <c r="M2878" s="3">
        <v>20</v>
      </c>
      <c r="N2878" s="2">
        <v>7900</v>
      </c>
      <c r="O2878" s="2">
        <v>790</v>
      </c>
      <c r="P2878" s="2">
        <v>8690</v>
      </c>
      <c r="Q2878" s="2">
        <f>P2878*8.5%</f>
        <v>738.65000000000009</v>
      </c>
    </row>
    <row r="2879" spans="1:17" hidden="1" x14ac:dyDescent="0.4">
      <c r="A2879" s="4" t="s">
        <v>42</v>
      </c>
      <c r="B2879" s="4" t="s">
        <v>14</v>
      </c>
      <c r="C2879" s="30" t="s">
        <v>434</v>
      </c>
      <c r="D2879" s="4" t="s">
        <v>43</v>
      </c>
      <c r="E2879" s="4" t="s">
        <v>44</v>
      </c>
      <c r="F2879" s="4" t="s">
        <v>31</v>
      </c>
      <c r="G2879" s="4" t="s">
        <v>18</v>
      </c>
      <c r="H2879" s="4" t="s">
        <v>271</v>
      </c>
      <c r="I2879" s="5" t="str">
        <f t="shared" si="44"/>
        <v>2025-10</v>
      </c>
      <c r="J2879" s="4" t="s">
        <v>34</v>
      </c>
      <c r="K2879" s="5" t="s">
        <v>342</v>
      </c>
      <c r="L2879" s="2">
        <v>7300</v>
      </c>
      <c r="M2879" s="3">
        <v>76.7</v>
      </c>
      <c r="N2879" s="2">
        <v>559910</v>
      </c>
      <c r="O2879" s="2">
        <v>0</v>
      </c>
      <c r="P2879" s="2">
        <v>559910</v>
      </c>
      <c r="Q2879" s="2">
        <f>P2879*8.5%</f>
        <v>47592.350000000006</v>
      </c>
    </row>
    <row r="2880" spans="1:17" hidden="1" x14ac:dyDescent="0.4">
      <c r="A2880" s="4" t="s">
        <v>58</v>
      </c>
      <c r="B2880" s="4" t="s">
        <v>14</v>
      </c>
      <c r="C2880" s="30" t="s">
        <v>434</v>
      </c>
      <c r="D2880" s="4" t="s">
        <v>36</v>
      </c>
      <c r="E2880" s="4" t="s">
        <v>16</v>
      </c>
      <c r="F2880" s="4" t="s">
        <v>17</v>
      </c>
      <c r="G2880" s="4" t="s">
        <v>18</v>
      </c>
      <c r="H2880" s="4" t="s">
        <v>271</v>
      </c>
      <c r="I2880" s="5" t="str">
        <f t="shared" si="44"/>
        <v>2025-10</v>
      </c>
      <c r="J2880" s="4" t="s">
        <v>153</v>
      </c>
      <c r="K2880" s="5" t="s">
        <v>343</v>
      </c>
      <c r="L2880" s="2">
        <v>120880</v>
      </c>
      <c r="M2880" s="3">
        <v>1</v>
      </c>
      <c r="N2880" s="2">
        <v>120880</v>
      </c>
      <c r="O2880" s="2">
        <v>12088</v>
      </c>
      <c r="P2880" s="2">
        <v>132968</v>
      </c>
      <c r="Q2880" s="2">
        <f>P2880*12%</f>
        <v>15956.16</v>
      </c>
    </row>
    <row r="2881" spans="1:17" hidden="1" x14ac:dyDescent="0.4">
      <c r="A2881" s="4" t="s">
        <v>23</v>
      </c>
      <c r="B2881" s="4" t="s">
        <v>14</v>
      </c>
      <c r="C2881" s="31" t="s">
        <v>435</v>
      </c>
      <c r="D2881" s="4" t="s">
        <v>24</v>
      </c>
      <c r="E2881" s="4" t="s">
        <v>16</v>
      </c>
      <c r="F2881" s="4" t="s">
        <v>17</v>
      </c>
      <c r="G2881" s="4" t="s">
        <v>18</v>
      </c>
      <c r="H2881" s="4" t="s">
        <v>271</v>
      </c>
      <c r="I2881" s="5" t="str">
        <f t="shared" si="44"/>
        <v>2025-10</v>
      </c>
      <c r="J2881" s="4" t="s">
        <v>153</v>
      </c>
      <c r="K2881" s="5" t="s">
        <v>343</v>
      </c>
      <c r="L2881" s="2">
        <v>55500</v>
      </c>
      <c r="M2881" s="3">
        <v>2</v>
      </c>
      <c r="N2881" s="2">
        <v>111000</v>
      </c>
      <c r="O2881" s="2">
        <v>11100</v>
      </c>
      <c r="P2881" s="2">
        <v>122100</v>
      </c>
      <c r="Q2881" s="2">
        <f>P2881*12%</f>
        <v>14652</v>
      </c>
    </row>
    <row r="2882" spans="1:17" hidden="1" x14ac:dyDescent="0.4">
      <c r="A2882" s="4" t="s">
        <v>51</v>
      </c>
      <c r="B2882" s="4" t="s">
        <v>14</v>
      </c>
      <c r="C2882" s="30" t="s">
        <v>434</v>
      </c>
      <c r="D2882" s="4" t="s">
        <v>52</v>
      </c>
      <c r="E2882" s="4" t="s">
        <v>16</v>
      </c>
      <c r="F2882" s="4" t="s">
        <v>17</v>
      </c>
      <c r="G2882" s="4" t="s">
        <v>18</v>
      </c>
      <c r="H2882" s="4" t="s">
        <v>271</v>
      </c>
      <c r="I2882" s="5" t="str">
        <f t="shared" ref="I2882:I2945" si="45">TEXT(H2882,"yyyy-mm")</f>
        <v>2025-10</v>
      </c>
      <c r="J2882" s="4" t="s">
        <v>153</v>
      </c>
      <c r="K2882" s="5" t="s">
        <v>343</v>
      </c>
      <c r="L2882" s="2">
        <v>73000</v>
      </c>
      <c r="M2882" s="3">
        <v>1</v>
      </c>
      <c r="N2882" s="2">
        <v>73000</v>
      </c>
      <c r="O2882" s="2">
        <v>7300</v>
      </c>
      <c r="P2882" s="2">
        <v>80300</v>
      </c>
      <c r="Q2882" s="2">
        <f>P2882*12%</f>
        <v>9636</v>
      </c>
    </row>
    <row r="2883" spans="1:17" hidden="1" x14ac:dyDescent="0.4">
      <c r="A2883" s="4" t="s">
        <v>32</v>
      </c>
      <c r="B2883" s="4" t="s">
        <v>14</v>
      </c>
      <c r="C2883" s="31" t="s">
        <v>435</v>
      </c>
      <c r="D2883" s="4" t="s">
        <v>33</v>
      </c>
      <c r="E2883" s="4" t="s">
        <v>16</v>
      </c>
      <c r="F2883" s="4" t="s">
        <v>17</v>
      </c>
      <c r="G2883" s="4" t="s">
        <v>18</v>
      </c>
      <c r="H2883" s="4" t="s">
        <v>271</v>
      </c>
      <c r="I2883" s="5" t="str">
        <f t="shared" si="45"/>
        <v>2025-10</v>
      </c>
      <c r="J2883" s="4" t="s">
        <v>49</v>
      </c>
      <c r="K2883" s="5" t="s">
        <v>343</v>
      </c>
      <c r="L2883" s="2">
        <v>44000</v>
      </c>
      <c r="M2883" s="3">
        <v>2</v>
      </c>
      <c r="N2883" s="2">
        <v>88000</v>
      </c>
      <c r="O2883" s="2">
        <v>8800</v>
      </c>
      <c r="P2883" s="2">
        <v>96800</v>
      </c>
      <c r="Q2883" s="2">
        <f>P2883*12%</f>
        <v>11616</v>
      </c>
    </row>
    <row r="2884" spans="1:17" hidden="1" x14ac:dyDescent="0.4">
      <c r="A2884" s="4" t="s">
        <v>13</v>
      </c>
      <c r="B2884" s="4" t="s">
        <v>14</v>
      </c>
      <c r="C2884" s="30" t="s">
        <v>434</v>
      </c>
      <c r="D2884" s="4" t="s">
        <v>15</v>
      </c>
      <c r="E2884" s="4" t="s">
        <v>16</v>
      </c>
      <c r="F2884" s="4" t="s">
        <v>17</v>
      </c>
      <c r="G2884" s="4" t="s">
        <v>18</v>
      </c>
      <c r="H2884" s="4" t="s">
        <v>271</v>
      </c>
      <c r="I2884" s="5" t="str">
        <f t="shared" si="45"/>
        <v>2025-10</v>
      </c>
      <c r="J2884" s="4" t="s">
        <v>49</v>
      </c>
      <c r="K2884" s="5" t="s">
        <v>343</v>
      </c>
      <c r="L2884" s="2">
        <v>42000</v>
      </c>
      <c r="M2884" s="3">
        <v>2</v>
      </c>
      <c r="N2884" s="2">
        <v>84000</v>
      </c>
      <c r="O2884" s="2">
        <v>8400</v>
      </c>
      <c r="P2884" s="2">
        <v>92400</v>
      </c>
      <c r="Q2884" s="2">
        <f>P2884*12%</f>
        <v>11088</v>
      </c>
    </row>
    <row r="2885" spans="1:17" hidden="1" x14ac:dyDescent="0.4">
      <c r="A2885" s="4" t="s">
        <v>35</v>
      </c>
      <c r="B2885" s="4" t="s">
        <v>14</v>
      </c>
      <c r="C2885" s="30" t="s">
        <v>434</v>
      </c>
      <c r="D2885" s="4" t="s">
        <v>36</v>
      </c>
      <c r="E2885" s="4" t="s">
        <v>16</v>
      </c>
      <c r="F2885" s="4" t="s">
        <v>17</v>
      </c>
      <c r="G2885" s="4" t="s">
        <v>18</v>
      </c>
      <c r="H2885" s="4" t="s">
        <v>271</v>
      </c>
      <c r="I2885" s="5" t="str">
        <f t="shared" si="45"/>
        <v>2025-10</v>
      </c>
      <c r="J2885" s="4" t="s">
        <v>49</v>
      </c>
      <c r="K2885" s="5" t="s">
        <v>343</v>
      </c>
      <c r="L2885" s="2">
        <v>116220</v>
      </c>
      <c r="M2885" s="3">
        <v>1</v>
      </c>
      <c r="N2885" s="2">
        <v>116220</v>
      </c>
      <c r="O2885" s="2">
        <v>11622</v>
      </c>
      <c r="P2885" s="2">
        <v>127842</v>
      </c>
      <c r="Q2885" s="2">
        <f>P2885*12%</f>
        <v>15341.039999999999</v>
      </c>
    </row>
    <row r="2886" spans="1:17" hidden="1" x14ac:dyDescent="0.4">
      <c r="A2886" s="4" t="s">
        <v>23</v>
      </c>
      <c r="B2886" s="4" t="s">
        <v>14</v>
      </c>
      <c r="C2886" s="31" t="s">
        <v>435</v>
      </c>
      <c r="D2886" s="4" t="s">
        <v>24</v>
      </c>
      <c r="E2886" s="4" t="s">
        <v>16</v>
      </c>
      <c r="F2886" s="4" t="s">
        <v>17</v>
      </c>
      <c r="G2886" s="4" t="s">
        <v>18</v>
      </c>
      <c r="H2886" s="4" t="s">
        <v>271</v>
      </c>
      <c r="I2886" s="5" t="str">
        <f t="shared" si="45"/>
        <v>2025-10</v>
      </c>
      <c r="J2886" s="4" t="s">
        <v>49</v>
      </c>
      <c r="K2886" s="5" t="s">
        <v>343</v>
      </c>
      <c r="L2886" s="2">
        <v>55500</v>
      </c>
      <c r="M2886" s="3">
        <v>5</v>
      </c>
      <c r="N2886" s="2">
        <v>277500</v>
      </c>
      <c r="O2886" s="2">
        <v>27750</v>
      </c>
      <c r="P2886" s="2">
        <v>305250</v>
      </c>
      <c r="Q2886" s="2">
        <f>P2886*12%</f>
        <v>36630</v>
      </c>
    </row>
    <row r="2887" spans="1:17" hidden="1" x14ac:dyDescent="0.4">
      <c r="A2887" s="4" t="s">
        <v>32</v>
      </c>
      <c r="B2887" s="4" t="s">
        <v>14</v>
      </c>
      <c r="C2887" s="31" t="s">
        <v>435</v>
      </c>
      <c r="D2887" s="4" t="s">
        <v>33</v>
      </c>
      <c r="E2887" s="4" t="s">
        <v>16</v>
      </c>
      <c r="F2887" s="4" t="s">
        <v>17</v>
      </c>
      <c r="G2887" s="4" t="s">
        <v>18</v>
      </c>
      <c r="H2887" s="4" t="s">
        <v>271</v>
      </c>
      <c r="I2887" s="5" t="str">
        <f t="shared" si="45"/>
        <v>2025-10</v>
      </c>
      <c r="J2887" s="4" t="s">
        <v>50</v>
      </c>
      <c r="K2887" s="5" t="s">
        <v>343</v>
      </c>
      <c r="L2887" s="2">
        <v>44000</v>
      </c>
      <c r="M2887" s="3">
        <v>2</v>
      </c>
      <c r="N2887" s="2">
        <v>88000</v>
      </c>
      <c r="O2887" s="2">
        <v>8800</v>
      </c>
      <c r="P2887" s="2">
        <v>96800</v>
      </c>
      <c r="Q2887" s="2">
        <f>P2887*12%</f>
        <v>11616</v>
      </c>
    </row>
    <row r="2888" spans="1:17" hidden="1" x14ac:dyDescent="0.4">
      <c r="A2888" s="4" t="s">
        <v>13</v>
      </c>
      <c r="B2888" s="4" t="s">
        <v>14</v>
      </c>
      <c r="C2888" s="30" t="s">
        <v>434</v>
      </c>
      <c r="D2888" s="4" t="s">
        <v>15</v>
      </c>
      <c r="E2888" s="4" t="s">
        <v>16</v>
      </c>
      <c r="F2888" s="4" t="s">
        <v>17</v>
      </c>
      <c r="G2888" s="4" t="s">
        <v>18</v>
      </c>
      <c r="H2888" s="4" t="s">
        <v>271</v>
      </c>
      <c r="I2888" s="5" t="str">
        <f t="shared" si="45"/>
        <v>2025-10</v>
      </c>
      <c r="J2888" s="4" t="s">
        <v>50</v>
      </c>
      <c r="K2888" s="5" t="s">
        <v>343</v>
      </c>
      <c r="L2888" s="2">
        <v>42000</v>
      </c>
      <c r="M2888" s="3">
        <v>7</v>
      </c>
      <c r="N2888" s="2">
        <v>294000</v>
      </c>
      <c r="O2888" s="2">
        <v>29400</v>
      </c>
      <c r="P2888" s="2">
        <v>323400</v>
      </c>
      <c r="Q2888" s="2">
        <f>P2888*12%</f>
        <v>38808</v>
      </c>
    </row>
    <row r="2889" spans="1:17" hidden="1" x14ac:dyDescent="0.4">
      <c r="A2889" s="4" t="s">
        <v>23</v>
      </c>
      <c r="B2889" s="4" t="s">
        <v>14</v>
      </c>
      <c r="C2889" s="31" t="s">
        <v>435</v>
      </c>
      <c r="D2889" s="4" t="s">
        <v>24</v>
      </c>
      <c r="E2889" s="4" t="s">
        <v>16</v>
      </c>
      <c r="F2889" s="4" t="s">
        <v>17</v>
      </c>
      <c r="G2889" s="4" t="s">
        <v>18</v>
      </c>
      <c r="H2889" s="4" t="s">
        <v>271</v>
      </c>
      <c r="I2889" s="5" t="str">
        <f t="shared" si="45"/>
        <v>2025-10</v>
      </c>
      <c r="J2889" s="4" t="s">
        <v>50</v>
      </c>
      <c r="K2889" s="5" t="s">
        <v>343</v>
      </c>
      <c r="L2889" s="2">
        <v>55500</v>
      </c>
      <c r="M2889" s="3">
        <v>5</v>
      </c>
      <c r="N2889" s="2">
        <v>277500</v>
      </c>
      <c r="O2889" s="2">
        <v>27750</v>
      </c>
      <c r="P2889" s="2">
        <v>305250</v>
      </c>
      <c r="Q2889" s="2">
        <f>P2889*12%</f>
        <v>36630</v>
      </c>
    </row>
    <row r="2890" spans="1:17" hidden="1" x14ac:dyDescent="0.4">
      <c r="A2890" s="4" t="s">
        <v>51</v>
      </c>
      <c r="B2890" s="4" t="s">
        <v>14</v>
      </c>
      <c r="C2890" s="30" t="s">
        <v>434</v>
      </c>
      <c r="D2890" s="4" t="s">
        <v>52</v>
      </c>
      <c r="E2890" s="4" t="s">
        <v>16</v>
      </c>
      <c r="F2890" s="4" t="s">
        <v>17</v>
      </c>
      <c r="G2890" s="4" t="s">
        <v>18</v>
      </c>
      <c r="H2890" s="4" t="s">
        <v>271</v>
      </c>
      <c r="I2890" s="5" t="str">
        <f t="shared" si="45"/>
        <v>2025-10</v>
      </c>
      <c r="J2890" s="4" t="s">
        <v>50</v>
      </c>
      <c r="K2890" s="5" t="s">
        <v>343</v>
      </c>
      <c r="L2890" s="2">
        <v>73000</v>
      </c>
      <c r="M2890" s="3">
        <v>1</v>
      </c>
      <c r="N2890" s="2">
        <v>73000</v>
      </c>
      <c r="O2890" s="2">
        <v>7300</v>
      </c>
      <c r="P2890" s="2">
        <v>80300</v>
      </c>
      <c r="Q2890" s="2">
        <f>P2890*12%</f>
        <v>9636</v>
      </c>
    </row>
    <row r="2891" spans="1:17" x14ac:dyDescent="0.4">
      <c r="A2891" s="4" t="s">
        <v>21</v>
      </c>
      <c r="B2891" s="4" t="s">
        <v>14</v>
      </c>
      <c r="C2891" s="31" t="s">
        <v>435</v>
      </c>
      <c r="D2891" s="4" t="s">
        <v>22</v>
      </c>
      <c r="E2891" s="4" t="s">
        <v>16</v>
      </c>
      <c r="F2891" s="4" t="s">
        <v>17</v>
      </c>
      <c r="G2891" s="4" t="s">
        <v>18</v>
      </c>
      <c r="H2891" s="4" t="s">
        <v>272</v>
      </c>
      <c r="I2891" s="5" t="str">
        <f t="shared" si="45"/>
        <v>2025-10</v>
      </c>
      <c r="J2891" s="4" t="s">
        <v>20</v>
      </c>
      <c r="K2891" s="5" t="s">
        <v>342</v>
      </c>
      <c r="L2891" s="2">
        <v>55500</v>
      </c>
      <c r="M2891" s="3">
        <v>2</v>
      </c>
      <c r="N2891" s="2">
        <v>111000</v>
      </c>
      <c r="O2891" s="2">
        <v>11100</v>
      </c>
      <c r="P2891" s="2">
        <v>122100</v>
      </c>
      <c r="Q2891" s="2">
        <f>P2891*8.5%</f>
        <v>10378.5</v>
      </c>
    </row>
    <row r="2892" spans="1:17" x14ac:dyDescent="0.4">
      <c r="A2892" s="4" t="s">
        <v>23</v>
      </c>
      <c r="B2892" s="4" t="s">
        <v>14</v>
      </c>
      <c r="C2892" s="31" t="s">
        <v>435</v>
      </c>
      <c r="D2892" s="4" t="s">
        <v>24</v>
      </c>
      <c r="E2892" s="4" t="s">
        <v>16</v>
      </c>
      <c r="F2892" s="4" t="s">
        <v>17</v>
      </c>
      <c r="G2892" s="4" t="s">
        <v>18</v>
      </c>
      <c r="H2892" s="4" t="s">
        <v>272</v>
      </c>
      <c r="I2892" s="5" t="str">
        <f t="shared" si="45"/>
        <v>2025-10</v>
      </c>
      <c r="J2892" s="4" t="s">
        <v>20</v>
      </c>
      <c r="K2892" s="5" t="s">
        <v>342</v>
      </c>
      <c r="L2892" s="2">
        <v>55500</v>
      </c>
      <c r="M2892" s="3">
        <v>3</v>
      </c>
      <c r="N2892" s="2">
        <v>166500</v>
      </c>
      <c r="O2892" s="2">
        <v>16650</v>
      </c>
      <c r="P2892" s="2">
        <v>183150</v>
      </c>
      <c r="Q2892" s="2">
        <f>P2892*8.5%</f>
        <v>15567.750000000002</v>
      </c>
    </row>
    <row r="2893" spans="1:17" x14ac:dyDescent="0.4">
      <c r="A2893" s="4" t="s">
        <v>76</v>
      </c>
      <c r="B2893" s="4" t="s">
        <v>65</v>
      </c>
      <c r="C2893" s="32" t="s">
        <v>436</v>
      </c>
      <c r="D2893" s="4" t="s">
        <v>27</v>
      </c>
      <c r="E2893" s="4" t="s">
        <v>28</v>
      </c>
      <c r="F2893" s="4" t="s">
        <v>17</v>
      </c>
      <c r="G2893" s="4" t="s">
        <v>18</v>
      </c>
      <c r="H2893" s="4" t="s">
        <v>272</v>
      </c>
      <c r="I2893" s="5" t="str">
        <f t="shared" si="45"/>
        <v>2025-10</v>
      </c>
      <c r="J2893" s="4" t="s">
        <v>20</v>
      </c>
      <c r="K2893" s="5" t="s">
        <v>342</v>
      </c>
      <c r="L2893" s="2">
        <v>17338</v>
      </c>
      <c r="M2893" s="3">
        <v>1</v>
      </c>
      <c r="N2893" s="2">
        <v>17338</v>
      </c>
      <c r="O2893" s="2">
        <v>1734</v>
      </c>
      <c r="P2893" s="2">
        <v>19072</v>
      </c>
      <c r="Q2893" s="2">
        <f>P2893*8.5%</f>
        <v>1621.1200000000001</v>
      </c>
    </row>
    <row r="2894" spans="1:17" x14ac:dyDescent="0.4">
      <c r="A2894" s="4" t="s">
        <v>25</v>
      </c>
      <c r="B2894" s="4" t="s">
        <v>26</v>
      </c>
      <c r="C2894" s="32" t="s">
        <v>436</v>
      </c>
      <c r="D2894" s="4" t="s">
        <v>27</v>
      </c>
      <c r="E2894" s="4" t="s">
        <v>28</v>
      </c>
      <c r="F2894" s="4" t="s">
        <v>17</v>
      </c>
      <c r="G2894" s="4" t="s">
        <v>18</v>
      </c>
      <c r="H2894" s="4" t="s">
        <v>272</v>
      </c>
      <c r="I2894" s="5" t="str">
        <f t="shared" si="45"/>
        <v>2025-10</v>
      </c>
      <c r="J2894" s="4" t="s">
        <v>20</v>
      </c>
      <c r="K2894" s="5" t="s">
        <v>342</v>
      </c>
      <c r="L2894" s="2">
        <v>2631</v>
      </c>
      <c r="M2894" s="3">
        <v>1</v>
      </c>
      <c r="N2894" s="2">
        <v>2631</v>
      </c>
      <c r="O2894" s="2">
        <v>263</v>
      </c>
      <c r="P2894" s="2">
        <v>2894</v>
      </c>
      <c r="Q2894" s="2">
        <f>P2894*8.5%</f>
        <v>245.99</v>
      </c>
    </row>
    <row r="2895" spans="1:17" x14ac:dyDescent="0.4">
      <c r="A2895" s="4" t="s">
        <v>29</v>
      </c>
      <c r="B2895" s="4" t="s">
        <v>26</v>
      </c>
      <c r="C2895" s="32" t="s">
        <v>436</v>
      </c>
      <c r="D2895" s="4" t="s">
        <v>30</v>
      </c>
      <c r="E2895" s="4" t="s">
        <v>28</v>
      </c>
      <c r="F2895" s="4" t="s">
        <v>31</v>
      </c>
      <c r="G2895" s="4" t="s">
        <v>18</v>
      </c>
      <c r="H2895" s="4" t="s">
        <v>272</v>
      </c>
      <c r="I2895" s="5" t="str">
        <f t="shared" si="45"/>
        <v>2025-10</v>
      </c>
      <c r="J2895" s="4" t="s">
        <v>20</v>
      </c>
      <c r="K2895" s="5" t="s">
        <v>342</v>
      </c>
      <c r="L2895" s="2">
        <v>3719</v>
      </c>
      <c r="M2895" s="3">
        <v>1</v>
      </c>
      <c r="N2895" s="2">
        <v>3719</v>
      </c>
      <c r="O2895" s="2">
        <v>0</v>
      </c>
      <c r="P2895" s="2">
        <v>3719</v>
      </c>
      <c r="Q2895" s="2">
        <f>P2895*8.5%</f>
        <v>316.11500000000001</v>
      </c>
    </row>
    <row r="2896" spans="1:17" x14ac:dyDescent="0.4">
      <c r="A2896" s="4" t="s">
        <v>56</v>
      </c>
      <c r="B2896" s="4" t="s">
        <v>26</v>
      </c>
      <c r="C2896" s="32" t="s">
        <v>436</v>
      </c>
      <c r="D2896" s="4" t="s">
        <v>57</v>
      </c>
      <c r="E2896" s="4" t="s">
        <v>44</v>
      </c>
      <c r="F2896" s="4" t="s">
        <v>31</v>
      </c>
      <c r="G2896" s="4" t="s">
        <v>18</v>
      </c>
      <c r="H2896" s="4" t="s">
        <v>272</v>
      </c>
      <c r="I2896" s="5" t="str">
        <f t="shared" si="45"/>
        <v>2025-10</v>
      </c>
      <c r="J2896" s="4" t="s">
        <v>20</v>
      </c>
      <c r="K2896" s="5" t="s">
        <v>342</v>
      </c>
      <c r="L2896" s="2">
        <v>3671</v>
      </c>
      <c r="M2896" s="3">
        <v>25</v>
      </c>
      <c r="N2896" s="2">
        <v>91775</v>
      </c>
      <c r="O2896" s="2">
        <v>0</v>
      </c>
      <c r="P2896" s="2">
        <v>91775</v>
      </c>
      <c r="Q2896" s="2">
        <f>P2896*8.5%</f>
        <v>7800.8750000000009</v>
      </c>
    </row>
    <row r="2897" spans="1:17" hidden="1" x14ac:dyDescent="0.4">
      <c r="A2897" s="4" t="s">
        <v>32</v>
      </c>
      <c r="B2897" s="4" t="s">
        <v>14</v>
      </c>
      <c r="C2897" s="31" t="s">
        <v>435</v>
      </c>
      <c r="D2897" s="4" t="s">
        <v>33</v>
      </c>
      <c r="E2897" s="4" t="s">
        <v>16</v>
      </c>
      <c r="F2897" s="4" t="s">
        <v>17</v>
      </c>
      <c r="G2897" s="4" t="s">
        <v>18</v>
      </c>
      <c r="H2897" s="4" t="s">
        <v>272</v>
      </c>
      <c r="I2897" s="5" t="str">
        <f t="shared" si="45"/>
        <v>2025-10</v>
      </c>
      <c r="J2897" s="4" t="s">
        <v>34</v>
      </c>
      <c r="K2897" s="5" t="s">
        <v>342</v>
      </c>
      <c r="L2897" s="2">
        <v>44000</v>
      </c>
      <c r="M2897" s="3">
        <v>2</v>
      </c>
      <c r="N2897" s="2">
        <v>88000</v>
      </c>
      <c r="O2897" s="2">
        <v>8800</v>
      </c>
      <c r="P2897" s="2">
        <v>96800</v>
      </c>
      <c r="Q2897" s="2">
        <f>P2897*8.5%</f>
        <v>8228</v>
      </c>
    </row>
    <row r="2898" spans="1:17" hidden="1" x14ac:dyDescent="0.4">
      <c r="A2898" s="4" t="s">
        <v>13</v>
      </c>
      <c r="B2898" s="4" t="s">
        <v>14</v>
      </c>
      <c r="C2898" s="30" t="s">
        <v>434</v>
      </c>
      <c r="D2898" s="4" t="s">
        <v>15</v>
      </c>
      <c r="E2898" s="4" t="s">
        <v>16</v>
      </c>
      <c r="F2898" s="4" t="s">
        <v>17</v>
      </c>
      <c r="G2898" s="4" t="s">
        <v>18</v>
      </c>
      <c r="H2898" s="4" t="s">
        <v>272</v>
      </c>
      <c r="I2898" s="5" t="str">
        <f t="shared" si="45"/>
        <v>2025-10</v>
      </c>
      <c r="J2898" s="4" t="s">
        <v>34</v>
      </c>
      <c r="K2898" s="5" t="s">
        <v>342</v>
      </c>
      <c r="L2898" s="2">
        <v>42000</v>
      </c>
      <c r="M2898" s="3">
        <v>3</v>
      </c>
      <c r="N2898" s="2">
        <v>126000</v>
      </c>
      <c r="O2898" s="2">
        <v>12600</v>
      </c>
      <c r="P2898" s="2">
        <v>138600</v>
      </c>
      <c r="Q2898" s="2">
        <f>P2898*8.5%</f>
        <v>11781</v>
      </c>
    </row>
    <row r="2899" spans="1:17" hidden="1" x14ac:dyDescent="0.4">
      <c r="A2899" s="4" t="s">
        <v>21</v>
      </c>
      <c r="B2899" s="4" t="s">
        <v>14</v>
      </c>
      <c r="C2899" s="31" t="s">
        <v>435</v>
      </c>
      <c r="D2899" s="4" t="s">
        <v>22</v>
      </c>
      <c r="E2899" s="4" t="s">
        <v>16</v>
      </c>
      <c r="F2899" s="4" t="s">
        <v>17</v>
      </c>
      <c r="G2899" s="4" t="s">
        <v>18</v>
      </c>
      <c r="H2899" s="4" t="s">
        <v>272</v>
      </c>
      <c r="I2899" s="5" t="str">
        <f t="shared" si="45"/>
        <v>2025-10</v>
      </c>
      <c r="J2899" s="4" t="s">
        <v>34</v>
      </c>
      <c r="K2899" s="5" t="s">
        <v>342</v>
      </c>
      <c r="L2899" s="2">
        <v>55500</v>
      </c>
      <c r="M2899" s="3">
        <v>2</v>
      </c>
      <c r="N2899" s="2">
        <v>111000</v>
      </c>
      <c r="O2899" s="2">
        <v>11100</v>
      </c>
      <c r="P2899" s="2">
        <v>122100</v>
      </c>
      <c r="Q2899" s="2">
        <f>P2899*8.5%</f>
        <v>10378.5</v>
      </c>
    </row>
    <row r="2900" spans="1:17" hidden="1" x14ac:dyDescent="0.4">
      <c r="A2900" s="4" t="s">
        <v>23</v>
      </c>
      <c r="B2900" s="4" t="s">
        <v>14</v>
      </c>
      <c r="C2900" s="31" t="s">
        <v>435</v>
      </c>
      <c r="D2900" s="4" t="s">
        <v>24</v>
      </c>
      <c r="E2900" s="4" t="s">
        <v>16</v>
      </c>
      <c r="F2900" s="4" t="s">
        <v>17</v>
      </c>
      <c r="G2900" s="4" t="s">
        <v>18</v>
      </c>
      <c r="H2900" s="4" t="s">
        <v>272</v>
      </c>
      <c r="I2900" s="5" t="str">
        <f t="shared" si="45"/>
        <v>2025-10</v>
      </c>
      <c r="J2900" s="4" t="s">
        <v>34</v>
      </c>
      <c r="K2900" s="5" t="s">
        <v>342</v>
      </c>
      <c r="L2900" s="2">
        <v>55500</v>
      </c>
      <c r="M2900" s="3">
        <v>2</v>
      </c>
      <c r="N2900" s="2">
        <v>111000</v>
      </c>
      <c r="O2900" s="2">
        <v>11100</v>
      </c>
      <c r="P2900" s="2">
        <v>122100</v>
      </c>
      <c r="Q2900" s="2">
        <f>P2900*8.5%</f>
        <v>10378.5</v>
      </c>
    </row>
    <row r="2901" spans="1:17" hidden="1" x14ac:dyDescent="0.4">
      <c r="A2901" s="4" t="s">
        <v>86</v>
      </c>
      <c r="B2901" s="4" t="s">
        <v>26</v>
      </c>
      <c r="C2901" s="32" t="s">
        <v>436</v>
      </c>
      <c r="D2901" s="4" t="s">
        <v>78</v>
      </c>
      <c r="E2901" s="4" t="s">
        <v>28</v>
      </c>
      <c r="F2901" s="4" t="s">
        <v>17</v>
      </c>
      <c r="G2901" s="4" t="s">
        <v>18</v>
      </c>
      <c r="H2901" s="4" t="s">
        <v>272</v>
      </c>
      <c r="I2901" s="5" t="str">
        <f t="shared" si="45"/>
        <v>2025-10</v>
      </c>
      <c r="J2901" s="4" t="s">
        <v>34</v>
      </c>
      <c r="K2901" s="5" t="s">
        <v>342</v>
      </c>
      <c r="L2901" s="2">
        <v>15544</v>
      </c>
      <c r="M2901" s="3">
        <v>1</v>
      </c>
      <c r="N2901" s="2">
        <v>15544</v>
      </c>
      <c r="O2901" s="2">
        <v>1554</v>
      </c>
      <c r="P2901" s="2">
        <v>17098</v>
      </c>
      <c r="Q2901" s="2">
        <f>P2901*8.5%</f>
        <v>1453.3300000000002</v>
      </c>
    </row>
    <row r="2902" spans="1:17" hidden="1" x14ac:dyDescent="0.4">
      <c r="A2902" s="4" t="s">
        <v>40</v>
      </c>
      <c r="B2902" s="4" t="s">
        <v>26</v>
      </c>
      <c r="C2902" s="32" t="s">
        <v>436</v>
      </c>
      <c r="D2902" s="4" t="s">
        <v>41</v>
      </c>
      <c r="E2902" s="4" t="s">
        <v>28</v>
      </c>
      <c r="F2902" s="4" t="s">
        <v>17</v>
      </c>
      <c r="G2902" s="4" t="s">
        <v>18</v>
      </c>
      <c r="H2902" s="4" t="s">
        <v>272</v>
      </c>
      <c r="I2902" s="5" t="str">
        <f t="shared" si="45"/>
        <v>2025-10</v>
      </c>
      <c r="J2902" s="4" t="s">
        <v>34</v>
      </c>
      <c r="K2902" s="5" t="s">
        <v>342</v>
      </c>
      <c r="L2902" s="2">
        <v>17936</v>
      </c>
      <c r="M2902" s="3">
        <v>2</v>
      </c>
      <c r="N2902" s="2">
        <v>35872</v>
      </c>
      <c r="O2902" s="2">
        <v>3587</v>
      </c>
      <c r="P2902" s="2">
        <v>39459</v>
      </c>
      <c r="Q2902" s="2">
        <f>P2902*8.5%</f>
        <v>3354.0150000000003</v>
      </c>
    </row>
    <row r="2903" spans="1:17" hidden="1" x14ac:dyDescent="0.4">
      <c r="A2903" s="4" t="s">
        <v>42</v>
      </c>
      <c r="B2903" s="4" t="s">
        <v>14</v>
      </c>
      <c r="C2903" s="30" t="s">
        <v>434</v>
      </c>
      <c r="D2903" s="4" t="s">
        <v>43</v>
      </c>
      <c r="E2903" s="4" t="s">
        <v>44</v>
      </c>
      <c r="F2903" s="4" t="s">
        <v>31</v>
      </c>
      <c r="G2903" s="4" t="s">
        <v>18</v>
      </c>
      <c r="H2903" s="4" t="s">
        <v>272</v>
      </c>
      <c r="I2903" s="5" t="str">
        <f t="shared" si="45"/>
        <v>2025-10</v>
      </c>
      <c r="J2903" s="4" t="s">
        <v>34</v>
      </c>
      <c r="K2903" s="5" t="s">
        <v>342</v>
      </c>
      <c r="L2903" s="2">
        <v>7300</v>
      </c>
      <c r="M2903" s="3">
        <v>31.5</v>
      </c>
      <c r="N2903" s="2">
        <v>229950</v>
      </c>
      <c r="O2903" s="2">
        <v>0</v>
      </c>
      <c r="P2903" s="2">
        <v>229950</v>
      </c>
      <c r="Q2903" s="2">
        <f>P2903*8.5%</f>
        <v>19545.75</v>
      </c>
    </row>
    <row r="2904" spans="1:17" hidden="1" x14ac:dyDescent="0.4">
      <c r="A2904" s="4" t="s">
        <v>32</v>
      </c>
      <c r="B2904" s="4" t="s">
        <v>14</v>
      </c>
      <c r="C2904" s="31" t="s">
        <v>435</v>
      </c>
      <c r="D2904" s="4" t="s">
        <v>33</v>
      </c>
      <c r="E2904" s="4" t="s">
        <v>16</v>
      </c>
      <c r="F2904" s="4" t="s">
        <v>17</v>
      </c>
      <c r="G2904" s="4" t="s">
        <v>18</v>
      </c>
      <c r="H2904" s="4" t="s">
        <v>272</v>
      </c>
      <c r="I2904" s="5" t="str">
        <f t="shared" si="45"/>
        <v>2025-10</v>
      </c>
      <c r="J2904" s="4" t="s">
        <v>59</v>
      </c>
      <c r="K2904" s="5" t="s">
        <v>343</v>
      </c>
      <c r="L2904" s="2">
        <v>44000</v>
      </c>
      <c r="M2904" s="3">
        <v>2</v>
      </c>
      <c r="N2904" s="2">
        <v>88000</v>
      </c>
      <c r="O2904" s="2">
        <v>8800</v>
      </c>
      <c r="P2904" s="2">
        <v>96800</v>
      </c>
      <c r="Q2904" s="2">
        <f>P2904*12%</f>
        <v>11616</v>
      </c>
    </row>
    <row r="2905" spans="1:17" hidden="1" x14ac:dyDescent="0.4">
      <c r="A2905" s="4" t="s">
        <v>13</v>
      </c>
      <c r="B2905" s="4" t="s">
        <v>14</v>
      </c>
      <c r="C2905" s="30" t="s">
        <v>434</v>
      </c>
      <c r="D2905" s="4" t="s">
        <v>15</v>
      </c>
      <c r="E2905" s="4" t="s">
        <v>16</v>
      </c>
      <c r="F2905" s="4" t="s">
        <v>17</v>
      </c>
      <c r="G2905" s="4" t="s">
        <v>18</v>
      </c>
      <c r="H2905" s="4" t="s">
        <v>272</v>
      </c>
      <c r="I2905" s="5" t="str">
        <f t="shared" si="45"/>
        <v>2025-10</v>
      </c>
      <c r="J2905" s="4" t="s">
        <v>59</v>
      </c>
      <c r="K2905" s="5" t="s">
        <v>343</v>
      </c>
      <c r="L2905" s="2">
        <v>42000</v>
      </c>
      <c r="M2905" s="3">
        <v>2</v>
      </c>
      <c r="N2905" s="2">
        <v>84000</v>
      </c>
      <c r="O2905" s="2">
        <v>8400</v>
      </c>
      <c r="P2905" s="2">
        <v>92400</v>
      </c>
      <c r="Q2905" s="2">
        <f>P2905*12%</f>
        <v>11088</v>
      </c>
    </row>
    <row r="2906" spans="1:17" hidden="1" x14ac:dyDescent="0.4">
      <c r="A2906" s="4" t="s">
        <v>23</v>
      </c>
      <c r="B2906" s="4" t="s">
        <v>14</v>
      </c>
      <c r="C2906" s="31" t="s">
        <v>435</v>
      </c>
      <c r="D2906" s="4" t="s">
        <v>24</v>
      </c>
      <c r="E2906" s="4" t="s">
        <v>16</v>
      </c>
      <c r="F2906" s="4" t="s">
        <v>17</v>
      </c>
      <c r="G2906" s="4" t="s">
        <v>18</v>
      </c>
      <c r="H2906" s="4" t="s">
        <v>272</v>
      </c>
      <c r="I2906" s="5" t="str">
        <f t="shared" si="45"/>
        <v>2025-10</v>
      </c>
      <c r="J2906" s="4" t="s">
        <v>59</v>
      </c>
      <c r="K2906" s="5" t="s">
        <v>343</v>
      </c>
      <c r="L2906" s="2">
        <v>55500</v>
      </c>
      <c r="M2906" s="3">
        <v>1</v>
      </c>
      <c r="N2906" s="2">
        <v>55500</v>
      </c>
      <c r="O2906" s="2">
        <v>5550</v>
      </c>
      <c r="P2906" s="2">
        <v>61050</v>
      </c>
      <c r="Q2906" s="2">
        <f>P2906*12%</f>
        <v>7326</v>
      </c>
    </row>
    <row r="2907" spans="1:17" hidden="1" x14ac:dyDescent="0.4">
      <c r="A2907" s="4" t="s">
        <v>32</v>
      </c>
      <c r="B2907" s="4" t="s">
        <v>14</v>
      </c>
      <c r="C2907" s="31" t="s">
        <v>435</v>
      </c>
      <c r="D2907" s="4" t="s">
        <v>33</v>
      </c>
      <c r="E2907" s="4" t="s">
        <v>16</v>
      </c>
      <c r="F2907" s="4" t="s">
        <v>17</v>
      </c>
      <c r="G2907" s="4" t="s">
        <v>18</v>
      </c>
      <c r="H2907" s="4" t="s">
        <v>272</v>
      </c>
      <c r="I2907" s="5" t="str">
        <f t="shared" si="45"/>
        <v>2025-10</v>
      </c>
      <c r="J2907" s="4" t="s">
        <v>49</v>
      </c>
      <c r="K2907" s="5" t="s">
        <v>343</v>
      </c>
      <c r="L2907" s="2">
        <v>44000</v>
      </c>
      <c r="M2907" s="3">
        <v>7</v>
      </c>
      <c r="N2907" s="2">
        <v>308000</v>
      </c>
      <c r="O2907" s="2">
        <v>30800</v>
      </c>
      <c r="P2907" s="2">
        <v>338800</v>
      </c>
      <c r="Q2907" s="2">
        <f>P2907*12%</f>
        <v>40656</v>
      </c>
    </row>
    <row r="2908" spans="1:17" hidden="1" x14ac:dyDescent="0.4">
      <c r="A2908" s="4" t="s">
        <v>13</v>
      </c>
      <c r="B2908" s="4" t="s">
        <v>14</v>
      </c>
      <c r="C2908" s="30" t="s">
        <v>434</v>
      </c>
      <c r="D2908" s="4" t="s">
        <v>15</v>
      </c>
      <c r="E2908" s="4" t="s">
        <v>16</v>
      </c>
      <c r="F2908" s="4" t="s">
        <v>17</v>
      </c>
      <c r="G2908" s="4" t="s">
        <v>18</v>
      </c>
      <c r="H2908" s="4" t="s">
        <v>272</v>
      </c>
      <c r="I2908" s="5" t="str">
        <f t="shared" si="45"/>
        <v>2025-10</v>
      </c>
      <c r="J2908" s="4" t="s">
        <v>49</v>
      </c>
      <c r="K2908" s="5" t="s">
        <v>343</v>
      </c>
      <c r="L2908" s="2">
        <v>42000</v>
      </c>
      <c r="M2908" s="3">
        <v>2</v>
      </c>
      <c r="N2908" s="2">
        <v>84000</v>
      </c>
      <c r="O2908" s="2">
        <v>8400</v>
      </c>
      <c r="P2908" s="2">
        <v>92400</v>
      </c>
      <c r="Q2908" s="2">
        <f>P2908*12%</f>
        <v>11088</v>
      </c>
    </row>
    <row r="2909" spans="1:17" hidden="1" x14ac:dyDescent="0.4">
      <c r="A2909" s="4" t="s">
        <v>23</v>
      </c>
      <c r="B2909" s="4" t="s">
        <v>14</v>
      </c>
      <c r="C2909" s="31" t="s">
        <v>435</v>
      </c>
      <c r="D2909" s="4" t="s">
        <v>24</v>
      </c>
      <c r="E2909" s="4" t="s">
        <v>16</v>
      </c>
      <c r="F2909" s="4" t="s">
        <v>17</v>
      </c>
      <c r="G2909" s="4" t="s">
        <v>18</v>
      </c>
      <c r="H2909" s="4" t="s">
        <v>272</v>
      </c>
      <c r="I2909" s="5" t="str">
        <f t="shared" si="45"/>
        <v>2025-10</v>
      </c>
      <c r="J2909" s="4" t="s">
        <v>49</v>
      </c>
      <c r="K2909" s="5" t="s">
        <v>343</v>
      </c>
      <c r="L2909" s="2">
        <v>55500</v>
      </c>
      <c r="M2909" s="3">
        <v>2</v>
      </c>
      <c r="N2909" s="2">
        <v>111000</v>
      </c>
      <c r="O2909" s="2">
        <v>11100</v>
      </c>
      <c r="P2909" s="2">
        <v>122100</v>
      </c>
      <c r="Q2909" s="2">
        <f>P2909*12%</f>
        <v>14652</v>
      </c>
    </row>
    <row r="2910" spans="1:17" x14ac:dyDescent="0.4">
      <c r="A2910" s="4" t="s">
        <v>58</v>
      </c>
      <c r="B2910" s="4" t="s">
        <v>14</v>
      </c>
      <c r="C2910" s="30" t="s">
        <v>434</v>
      </c>
      <c r="D2910" s="4" t="s">
        <v>36</v>
      </c>
      <c r="E2910" s="4" t="s">
        <v>16</v>
      </c>
      <c r="F2910" s="4" t="s">
        <v>17</v>
      </c>
      <c r="G2910" s="4" t="s">
        <v>18</v>
      </c>
      <c r="H2910" s="4" t="s">
        <v>273</v>
      </c>
      <c r="I2910" s="5" t="str">
        <f t="shared" si="45"/>
        <v>2025-11</v>
      </c>
      <c r="J2910" s="4" t="s">
        <v>20</v>
      </c>
      <c r="K2910" s="5" t="s">
        <v>342</v>
      </c>
      <c r="L2910" s="2">
        <v>120880</v>
      </c>
      <c r="M2910" s="3">
        <v>1</v>
      </c>
      <c r="N2910" s="2">
        <v>120880</v>
      </c>
      <c r="O2910" s="2">
        <v>12088</v>
      </c>
      <c r="P2910" s="2">
        <v>132968</v>
      </c>
      <c r="Q2910" s="2">
        <f>P2910*8.5%</f>
        <v>11302.28</v>
      </c>
    </row>
    <row r="2911" spans="1:17" x14ac:dyDescent="0.4">
      <c r="A2911" s="4" t="s">
        <v>13</v>
      </c>
      <c r="B2911" s="4" t="s">
        <v>14</v>
      </c>
      <c r="C2911" s="30" t="s">
        <v>434</v>
      </c>
      <c r="D2911" s="4" t="s">
        <v>15</v>
      </c>
      <c r="E2911" s="4" t="s">
        <v>16</v>
      </c>
      <c r="F2911" s="4" t="s">
        <v>17</v>
      </c>
      <c r="G2911" s="4" t="s">
        <v>18</v>
      </c>
      <c r="H2911" s="4" t="s">
        <v>273</v>
      </c>
      <c r="I2911" s="5" t="str">
        <f t="shared" si="45"/>
        <v>2025-11</v>
      </c>
      <c r="J2911" s="4" t="s">
        <v>20</v>
      </c>
      <c r="K2911" s="5" t="s">
        <v>342</v>
      </c>
      <c r="L2911" s="2">
        <v>42000</v>
      </c>
      <c r="M2911" s="3">
        <v>1</v>
      </c>
      <c r="N2911" s="2">
        <v>42000</v>
      </c>
      <c r="O2911" s="2">
        <v>4200</v>
      </c>
      <c r="P2911" s="2">
        <v>46200</v>
      </c>
      <c r="Q2911" s="2">
        <f>P2911*8.5%</f>
        <v>3927.0000000000005</v>
      </c>
    </row>
    <row r="2912" spans="1:17" x14ac:dyDescent="0.4">
      <c r="A2912" s="4" t="s">
        <v>21</v>
      </c>
      <c r="B2912" s="4" t="s">
        <v>14</v>
      </c>
      <c r="C2912" s="31" t="s">
        <v>435</v>
      </c>
      <c r="D2912" s="4" t="s">
        <v>22</v>
      </c>
      <c r="E2912" s="4" t="s">
        <v>16</v>
      </c>
      <c r="F2912" s="4" t="s">
        <v>17</v>
      </c>
      <c r="G2912" s="4" t="s">
        <v>18</v>
      </c>
      <c r="H2912" s="4" t="s">
        <v>273</v>
      </c>
      <c r="I2912" s="5" t="str">
        <f t="shared" si="45"/>
        <v>2025-11</v>
      </c>
      <c r="J2912" s="4" t="s">
        <v>20</v>
      </c>
      <c r="K2912" s="5" t="s">
        <v>342</v>
      </c>
      <c r="L2912" s="2">
        <v>55500</v>
      </c>
      <c r="M2912" s="3">
        <v>2</v>
      </c>
      <c r="N2912" s="2">
        <v>111000</v>
      </c>
      <c r="O2912" s="2">
        <v>11100</v>
      </c>
      <c r="P2912" s="2">
        <v>122100</v>
      </c>
      <c r="Q2912" s="2">
        <f>P2912*8.5%</f>
        <v>10378.5</v>
      </c>
    </row>
    <row r="2913" spans="1:17" x14ac:dyDescent="0.4">
      <c r="A2913" s="4" t="s">
        <v>23</v>
      </c>
      <c r="B2913" s="4" t="s">
        <v>14</v>
      </c>
      <c r="C2913" s="31" t="s">
        <v>435</v>
      </c>
      <c r="D2913" s="4" t="s">
        <v>24</v>
      </c>
      <c r="E2913" s="4" t="s">
        <v>16</v>
      </c>
      <c r="F2913" s="4" t="s">
        <v>17</v>
      </c>
      <c r="G2913" s="4" t="s">
        <v>18</v>
      </c>
      <c r="H2913" s="4" t="s">
        <v>273</v>
      </c>
      <c r="I2913" s="5" t="str">
        <f t="shared" si="45"/>
        <v>2025-11</v>
      </c>
      <c r="J2913" s="4" t="s">
        <v>20</v>
      </c>
      <c r="K2913" s="5" t="s">
        <v>342</v>
      </c>
      <c r="L2913" s="2">
        <v>55500</v>
      </c>
      <c r="M2913" s="3">
        <v>3</v>
      </c>
      <c r="N2913" s="2">
        <v>166500</v>
      </c>
      <c r="O2913" s="2">
        <v>16650</v>
      </c>
      <c r="P2913" s="2">
        <v>183150</v>
      </c>
      <c r="Q2913" s="2">
        <f>P2913*8.5%</f>
        <v>15567.750000000002</v>
      </c>
    </row>
    <row r="2914" spans="1:17" x14ac:dyDescent="0.4">
      <c r="A2914" s="4" t="s">
        <v>54</v>
      </c>
      <c r="B2914" s="4" t="s">
        <v>26</v>
      </c>
      <c r="C2914" s="32" t="s">
        <v>436</v>
      </c>
      <c r="D2914" s="4" t="s">
        <v>55</v>
      </c>
      <c r="E2914" s="4" t="s">
        <v>28</v>
      </c>
      <c r="F2914" s="4" t="s">
        <v>31</v>
      </c>
      <c r="G2914" s="4" t="s">
        <v>18</v>
      </c>
      <c r="H2914" s="4" t="s">
        <v>273</v>
      </c>
      <c r="I2914" s="5" t="str">
        <f t="shared" si="45"/>
        <v>2025-11</v>
      </c>
      <c r="J2914" s="4" t="s">
        <v>20</v>
      </c>
      <c r="K2914" s="5" t="s">
        <v>342</v>
      </c>
      <c r="L2914" s="2">
        <v>5919</v>
      </c>
      <c r="M2914" s="3">
        <v>1</v>
      </c>
      <c r="N2914" s="2">
        <v>5919</v>
      </c>
      <c r="O2914" s="2">
        <v>0</v>
      </c>
      <c r="P2914" s="2">
        <v>5919</v>
      </c>
      <c r="Q2914" s="2">
        <f>P2914*8.5%</f>
        <v>503.11500000000001</v>
      </c>
    </row>
    <row r="2915" spans="1:17" x14ac:dyDescent="0.4">
      <c r="A2915" s="4" t="s">
        <v>56</v>
      </c>
      <c r="B2915" s="4" t="s">
        <v>26</v>
      </c>
      <c r="C2915" s="32" t="s">
        <v>436</v>
      </c>
      <c r="D2915" s="4" t="s">
        <v>57</v>
      </c>
      <c r="E2915" s="4" t="s">
        <v>44</v>
      </c>
      <c r="F2915" s="4" t="s">
        <v>31</v>
      </c>
      <c r="G2915" s="4" t="s">
        <v>18</v>
      </c>
      <c r="H2915" s="4" t="s">
        <v>273</v>
      </c>
      <c r="I2915" s="5" t="str">
        <f t="shared" si="45"/>
        <v>2025-11</v>
      </c>
      <c r="J2915" s="4" t="s">
        <v>20</v>
      </c>
      <c r="K2915" s="5" t="s">
        <v>342</v>
      </c>
      <c r="L2915" s="2">
        <v>2368</v>
      </c>
      <c r="M2915" s="3">
        <v>25</v>
      </c>
      <c r="N2915" s="2">
        <v>59200</v>
      </c>
      <c r="O2915" s="2">
        <v>0</v>
      </c>
      <c r="P2915" s="2">
        <v>59200</v>
      </c>
      <c r="Q2915" s="2">
        <f>P2915*8.5%</f>
        <v>5032</v>
      </c>
    </row>
    <row r="2916" spans="1:17" hidden="1" x14ac:dyDescent="0.4">
      <c r="A2916" s="4" t="s">
        <v>58</v>
      </c>
      <c r="B2916" s="4" t="s">
        <v>14</v>
      </c>
      <c r="C2916" s="30" t="s">
        <v>434</v>
      </c>
      <c r="D2916" s="4" t="s">
        <v>36</v>
      </c>
      <c r="E2916" s="4" t="s">
        <v>16</v>
      </c>
      <c r="F2916" s="4" t="s">
        <v>17</v>
      </c>
      <c r="G2916" s="4" t="s">
        <v>18</v>
      </c>
      <c r="H2916" s="4" t="s">
        <v>273</v>
      </c>
      <c r="I2916" s="5" t="str">
        <f t="shared" si="45"/>
        <v>2025-11</v>
      </c>
      <c r="J2916" s="4" t="s">
        <v>34</v>
      </c>
      <c r="K2916" s="5" t="s">
        <v>342</v>
      </c>
      <c r="L2916" s="2">
        <v>120880</v>
      </c>
      <c r="M2916" s="3">
        <v>1</v>
      </c>
      <c r="N2916" s="2">
        <v>120880</v>
      </c>
      <c r="O2916" s="2">
        <v>12088</v>
      </c>
      <c r="P2916" s="2">
        <v>132968</v>
      </c>
      <c r="Q2916" s="2">
        <f>P2916*8.5%</f>
        <v>11302.28</v>
      </c>
    </row>
    <row r="2917" spans="1:17" hidden="1" x14ac:dyDescent="0.4">
      <c r="A2917" s="4" t="s">
        <v>13</v>
      </c>
      <c r="B2917" s="4" t="s">
        <v>14</v>
      </c>
      <c r="C2917" s="30" t="s">
        <v>434</v>
      </c>
      <c r="D2917" s="4" t="s">
        <v>15</v>
      </c>
      <c r="E2917" s="4" t="s">
        <v>16</v>
      </c>
      <c r="F2917" s="4" t="s">
        <v>17</v>
      </c>
      <c r="G2917" s="4" t="s">
        <v>18</v>
      </c>
      <c r="H2917" s="4" t="s">
        <v>273</v>
      </c>
      <c r="I2917" s="5" t="str">
        <f t="shared" si="45"/>
        <v>2025-11</v>
      </c>
      <c r="J2917" s="4" t="s">
        <v>34</v>
      </c>
      <c r="K2917" s="5" t="s">
        <v>342</v>
      </c>
      <c r="L2917" s="2">
        <v>42000</v>
      </c>
      <c r="M2917" s="3">
        <v>4</v>
      </c>
      <c r="N2917" s="2">
        <v>168000</v>
      </c>
      <c r="O2917" s="2">
        <v>16800</v>
      </c>
      <c r="P2917" s="2">
        <v>184800</v>
      </c>
      <c r="Q2917" s="2">
        <f>P2917*8.5%</f>
        <v>15708.000000000002</v>
      </c>
    </row>
    <row r="2918" spans="1:17" hidden="1" x14ac:dyDescent="0.4">
      <c r="A2918" s="4" t="s">
        <v>23</v>
      </c>
      <c r="B2918" s="4" t="s">
        <v>14</v>
      </c>
      <c r="C2918" s="31" t="s">
        <v>435</v>
      </c>
      <c r="D2918" s="4" t="s">
        <v>24</v>
      </c>
      <c r="E2918" s="4" t="s">
        <v>16</v>
      </c>
      <c r="F2918" s="4" t="s">
        <v>17</v>
      </c>
      <c r="G2918" s="4" t="s">
        <v>18</v>
      </c>
      <c r="H2918" s="4" t="s">
        <v>273</v>
      </c>
      <c r="I2918" s="5" t="str">
        <f t="shared" si="45"/>
        <v>2025-11</v>
      </c>
      <c r="J2918" s="4" t="s">
        <v>34</v>
      </c>
      <c r="K2918" s="5" t="s">
        <v>342</v>
      </c>
      <c r="L2918" s="2">
        <v>55500</v>
      </c>
      <c r="M2918" s="3">
        <v>3</v>
      </c>
      <c r="N2918" s="2">
        <v>166500</v>
      </c>
      <c r="O2918" s="2">
        <v>16650</v>
      </c>
      <c r="P2918" s="2">
        <v>183150</v>
      </c>
      <c r="Q2918" s="2">
        <f>P2918*8.5%</f>
        <v>15567.750000000002</v>
      </c>
    </row>
    <row r="2919" spans="1:17" hidden="1" x14ac:dyDescent="0.4">
      <c r="A2919" s="4" t="s">
        <v>123</v>
      </c>
      <c r="B2919" s="4" t="s">
        <v>26</v>
      </c>
      <c r="C2919" s="32" t="s">
        <v>436</v>
      </c>
      <c r="D2919" s="4" t="s">
        <v>124</v>
      </c>
      <c r="E2919" s="4" t="s">
        <v>28</v>
      </c>
      <c r="F2919" s="4" t="s">
        <v>17</v>
      </c>
      <c r="G2919" s="4" t="s">
        <v>18</v>
      </c>
      <c r="H2919" s="4" t="s">
        <v>273</v>
      </c>
      <c r="I2919" s="5" t="str">
        <f t="shared" si="45"/>
        <v>2025-11</v>
      </c>
      <c r="J2919" s="4" t="s">
        <v>34</v>
      </c>
      <c r="K2919" s="5" t="s">
        <v>342</v>
      </c>
      <c r="L2919" s="2">
        <v>454</v>
      </c>
      <c r="M2919" s="3">
        <v>10</v>
      </c>
      <c r="N2919" s="2">
        <v>4540</v>
      </c>
      <c r="O2919" s="2">
        <v>454</v>
      </c>
      <c r="P2919" s="2">
        <v>4994</v>
      </c>
      <c r="Q2919" s="2">
        <f>P2919*8.5%</f>
        <v>424.49</v>
      </c>
    </row>
    <row r="2920" spans="1:17" hidden="1" x14ac:dyDescent="0.4">
      <c r="A2920" s="4" t="s">
        <v>42</v>
      </c>
      <c r="B2920" s="4" t="s">
        <v>14</v>
      </c>
      <c r="C2920" s="30" t="s">
        <v>434</v>
      </c>
      <c r="D2920" s="4" t="s">
        <v>43</v>
      </c>
      <c r="E2920" s="4" t="s">
        <v>44</v>
      </c>
      <c r="F2920" s="4" t="s">
        <v>31</v>
      </c>
      <c r="G2920" s="4" t="s">
        <v>18</v>
      </c>
      <c r="H2920" s="4" t="s">
        <v>273</v>
      </c>
      <c r="I2920" s="5" t="str">
        <f t="shared" si="45"/>
        <v>2025-11</v>
      </c>
      <c r="J2920" s="4" t="s">
        <v>34</v>
      </c>
      <c r="K2920" s="5" t="s">
        <v>342</v>
      </c>
      <c r="L2920" s="2">
        <v>7300</v>
      </c>
      <c r="M2920" s="3">
        <v>46.4</v>
      </c>
      <c r="N2920" s="2">
        <v>338720</v>
      </c>
      <c r="O2920" s="2">
        <v>0</v>
      </c>
      <c r="P2920" s="2">
        <v>338720</v>
      </c>
      <c r="Q2920" s="2">
        <f>P2920*8.5%</f>
        <v>28791.200000000001</v>
      </c>
    </row>
    <row r="2921" spans="1:17" hidden="1" x14ac:dyDescent="0.4">
      <c r="A2921" s="4" t="s">
        <v>35</v>
      </c>
      <c r="B2921" s="4" t="s">
        <v>14</v>
      </c>
      <c r="C2921" s="30" t="s">
        <v>434</v>
      </c>
      <c r="D2921" s="4" t="s">
        <v>36</v>
      </c>
      <c r="E2921" s="4" t="s">
        <v>16</v>
      </c>
      <c r="F2921" s="4" t="s">
        <v>17</v>
      </c>
      <c r="G2921" s="4" t="s">
        <v>18</v>
      </c>
      <c r="H2921" s="4" t="s">
        <v>273</v>
      </c>
      <c r="I2921" s="5" t="str">
        <f t="shared" si="45"/>
        <v>2025-11</v>
      </c>
      <c r="J2921" s="4" t="s">
        <v>60</v>
      </c>
      <c r="K2921" s="5" t="s">
        <v>343</v>
      </c>
      <c r="L2921" s="2">
        <v>116220</v>
      </c>
      <c r="M2921" s="3">
        <v>3</v>
      </c>
      <c r="N2921" s="2">
        <v>348660</v>
      </c>
      <c r="O2921" s="2">
        <v>34866</v>
      </c>
      <c r="P2921" s="2">
        <v>383526</v>
      </c>
      <c r="Q2921" s="2">
        <f>P2921*12%</f>
        <v>46023.119999999995</v>
      </c>
    </row>
    <row r="2922" spans="1:17" hidden="1" x14ac:dyDescent="0.4">
      <c r="A2922" s="4" t="s">
        <v>23</v>
      </c>
      <c r="B2922" s="4" t="s">
        <v>14</v>
      </c>
      <c r="C2922" s="31" t="s">
        <v>435</v>
      </c>
      <c r="D2922" s="4" t="s">
        <v>24</v>
      </c>
      <c r="E2922" s="4" t="s">
        <v>16</v>
      </c>
      <c r="F2922" s="4" t="s">
        <v>17</v>
      </c>
      <c r="G2922" s="4" t="s">
        <v>18</v>
      </c>
      <c r="H2922" s="4" t="s">
        <v>273</v>
      </c>
      <c r="I2922" s="5" t="str">
        <f t="shared" si="45"/>
        <v>2025-11</v>
      </c>
      <c r="J2922" s="4" t="s">
        <v>60</v>
      </c>
      <c r="K2922" s="5" t="s">
        <v>343</v>
      </c>
      <c r="L2922" s="2">
        <v>55500</v>
      </c>
      <c r="M2922" s="3">
        <v>10</v>
      </c>
      <c r="N2922" s="2">
        <v>555000</v>
      </c>
      <c r="O2922" s="2">
        <v>55500</v>
      </c>
      <c r="P2922" s="2">
        <v>610500</v>
      </c>
      <c r="Q2922" s="2">
        <f>P2922*12%</f>
        <v>73260</v>
      </c>
    </row>
    <row r="2923" spans="1:17" x14ac:dyDescent="0.4">
      <c r="A2923" s="4" t="s">
        <v>13</v>
      </c>
      <c r="B2923" s="4" t="s">
        <v>14</v>
      </c>
      <c r="C2923" s="30" t="s">
        <v>434</v>
      </c>
      <c r="D2923" s="4" t="s">
        <v>15</v>
      </c>
      <c r="E2923" s="4" t="s">
        <v>16</v>
      </c>
      <c r="F2923" s="4" t="s">
        <v>17</v>
      </c>
      <c r="G2923" s="4" t="s">
        <v>18</v>
      </c>
      <c r="H2923" s="4" t="s">
        <v>274</v>
      </c>
      <c r="I2923" s="5" t="str">
        <f t="shared" si="45"/>
        <v>2025-11</v>
      </c>
      <c r="J2923" s="4" t="s">
        <v>20</v>
      </c>
      <c r="K2923" s="5" t="s">
        <v>342</v>
      </c>
      <c r="L2923" s="2">
        <v>42000</v>
      </c>
      <c r="M2923" s="3">
        <v>1</v>
      </c>
      <c r="N2923" s="2">
        <v>42000</v>
      </c>
      <c r="O2923" s="2">
        <v>4200</v>
      </c>
      <c r="P2923" s="2">
        <v>46200</v>
      </c>
      <c r="Q2923" s="2">
        <f>P2923*8.5%</f>
        <v>3927.0000000000005</v>
      </c>
    </row>
    <row r="2924" spans="1:17" x14ac:dyDescent="0.4">
      <c r="A2924" s="4" t="s">
        <v>21</v>
      </c>
      <c r="B2924" s="4" t="s">
        <v>14</v>
      </c>
      <c r="C2924" s="31" t="s">
        <v>435</v>
      </c>
      <c r="D2924" s="4" t="s">
        <v>22</v>
      </c>
      <c r="E2924" s="4" t="s">
        <v>16</v>
      </c>
      <c r="F2924" s="4" t="s">
        <v>17</v>
      </c>
      <c r="G2924" s="4" t="s">
        <v>18</v>
      </c>
      <c r="H2924" s="4" t="s">
        <v>274</v>
      </c>
      <c r="I2924" s="5" t="str">
        <f t="shared" si="45"/>
        <v>2025-11</v>
      </c>
      <c r="J2924" s="4" t="s">
        <v>20</v>
      </c>
      <c r="K2924" s="5" t="s">
        <v>342</v>
      </c>
      <c r="L2924" s="2">
        <v>55500</v>
      </c>
      <c r="M2924" s="3">
        <v>2</v>
      </c>
      <c r="N2924" s="2">
        <v>111000</v>
      </c>
      <c r="O2924" s="2">
        <v>11100</v>
      </c>
      <c r="P2924" s="2">
        <v>122100</v>
      </c>
      <c r="Q2924" s="2">
        <f>P2924*8.5%</f>
        <v>10378.5</v>
      </c>
    </row>
    <row r="2925" spans="1:17" x14ac:dyDescent="0.4">
      <c r="A2925" s="4" t="s">
        <v>23</v>
      </c>
      <c r="B2925" s="4" t="s">
        <v>14</v>
      </c>
      <c r="C2925" s="31" t="s">
        <v>435</v>
      </c>
      <c r="D2925" s="4" t="s">
        <v>24</v>
      </c>
      <c r="E2925" s="4" t="s">
        <v>16</v>
      </c>
      <c r="F2925" s="4" t="s">
        <v>17</v>
      </c>
      <c r="G2925" s="4" t="s">
        <v>18</v>
      </c>
      <c r="H2925" s="4" t="s">
        <v>274</v>
      </c>
      <c r="I2925" s="5" t="str">
        <f t="shared" si="45"/>
        <v>2025-11</v>
      </c>
      <c r="J2925" s="4" t="s">
        <v>20</v>
      </c>
      <c r="K2925" s="5" t="s">
        <v>342</v>
      </c>
      <c r="L2925" s="2">
        <v>55500</v>
      </c>
      <c r="M2925" s="3">
        <v>3</v>
      </c>
      <c r="N2925" s="2">
        <v>166500</v>
      </c>
      <c r="O2925" s="2">
        <v>16650</v>
      </c>
      <c r="P2925" s="2">
        <v>183150</v>
      </c>
      <c r="Q2925" s="2">
        <f>P2925*8.5%</f>
        <v>15567.750000000002</v>
      </c>
    </row>
    <row r="2926" spans="1:17" x14ac:dyDescent="0.4">
      <c r="A2926" s="4" t="s">
        <v>56</v>
      </c>
      <c r="B2926" s="4" t="s">
        <v>26</v>
      </c>
      <c r="C2926" s="32" t="s">
        <v>436</v>
      </c>
      <c r="D2926" s="4" t="s">
        <v>57</v>
      </c>
      <c r="E2926" s="4" t="s">
        <v>44</v>
      </c>
      <c r="F2926" s="4" t="s">
        <v>31</v>
      </c>
      <c r="G2926" s="4" t="s">
        <v>18</v>
      </c>
      <c r="H2926" s="4" t="s">
        <v>274</v>
      </c>
      <c r="I2926" s="5" t="str">
        <f t="shared" si="45"/>
        <v>2025-11</v>
      </c>
      <c r="J2926" s="4" t="s">
        <v>20</v>
      </c>
      <c r="K2926" s="5" t="s">
        <v>342</v>
      </c>
      <c r="L2926" s="2">
        <v>2368</v>
      </c>
      <c r="M2926" s="3">
        <v>8</v>
      </c>
      <c r="N2926" s="2">
        <v>18944</v>
      </c>
      <c r="O2926" s="2">
        <v>0</v>
      </c>
      <c r="P2926" s="2">
        <v>18944</v>
      </c>
      <c r="Q2926" s="2">
        <f>P2926*8.5%</f>
        <v>1610.24</v>
      </c>
    </row>
    <row r="2927" spans="1:17" hidden="1" x14ac:dyDescent="0.4">
      <c r="A2927" s="4" t="s">
        <v>32</v>
      </c>
      <c r="B2927" s="4" t="s">
        <v>14</v>
      </c>
      <c r="C2927" s="31" t="s">
        <v>435</v>
      </c>
      <c r="D2927" s="4" t="s">
        <v>33</v>
      </c>
      <c r="E2927" s="4" t="s">
        <v>16</v>
      </c>
      <c r="F2927" s="4" t="s">
        <v>17</v>
      </c>
      <c r="G2927" s="4" t="s">
        <v>18</v>
      </c>
      <c r="H2927" s="4" t="s">
        <v>274</v>
      </c>
      <c r="I2927" s="5" t="str">
        <f t="shared" si="45"/>
        <v>2025-11</v>
      </c>
      <c r="J2927" s="4" t="s">
        <v>34</v>
      </c>
      <c r="K2927" s="5" t="s">
        <v>342</v>
      </c>
      <c r="L2927" s="2">
        <v>44000</v>
      </c>
      <c r="M2927" s="3">
        <v>3</v>
      </c>
      <c r="N2927" s="2">
        <v>132000</v>
      </c>
      <c r="O2927" s="2">
        <v>13200</v>
      </c>
      <c r="P2927" s="2">
        <v>145200</v>
      </c>
      <c r="Q2927" s="2">
        <f>P2927*8.5%</f>
        <v>12342</v>
      </c>
    </row>
    <row r="2928" spans="1:17" hidden="1" x14ac:dyDescent="0.4">
      <c r="A2928" s="4" t="s">
        <v>13</v>
      </c>
      <c r="B2928" s="4" t="s">
        <v>14</v>
      </c>
      <c r="C2928" s="30" t="s">
        <v>434</v>
      </c>
      <c r="D2928" s="4" t="s">
        <v>15</v>
      </c>
      <c r="E2928" s="4" t="s">
        <v>16</v>
      </c>
      <c r="F2928" s="4" t="s">
        <v>17</v>
      </c>
      <c r="G2928" s="4" t="s">
        <v>18</v>
      </c>
      <c r="H2928" s="4" t="s">
        <v>274</v>
      </c>
      <c r="I2928" s="5" t="str">
        <f t="shared" si="45"/>
        <v>2025-11</v>
      </c>
      <c r="J2928" s="4" t="s">
        <v>34</v>
      </c>
      <c r="K2928" s="5" t="s">
        <v>342</v>
      </c>
      <c r="L2928" s="2">
        <v>42000</v>
      </c>
      <c r="M2928" s="3">
        <v>3</v>
      </c>
      <c r="N2928" s="2">
        <v>126000</v>
      </c>
      <c r="O2928" s="2">
        <v>12600</v>
      </c>
      <c r="P2928" s="2">
        <v>138600</v>
      </c>
      <c r="Q2928" s="2">
        <f>P2928*8.5%</f>
        <v>11781</v>
      </c>
    </row>
    <row r="2929" spans="1:17" hidden="1" x14ac:dyDescent="0.4">
      <c r="A2929" s="4" t="s">
        <v>21</v>
      </c>
      <c r="B2929" s="4" t="s">
        <v>14</v>
      </c>
      <c r="C2929" s="31" t="s">
        <v>435</v>
      </c>
      <c r="D2929" s="4" t="s">
        <v>22</v>
      </c>
      <c r="E2929" s="4" t="s">
        <v>16</v>
      </c>
      <c r="F2929" s="4" t="s">
        <v>17</v>
      </c>
      <c r="G2929" s="4" t="s">
        <v>18</v>
      </c>
      <c r="H2929" s="4" t="s">
        <v>274</v>
      </c>
      <c r="I2929" s="5" t="str">
        <f t="shared" si="45"/>
        <v>2025-11</v>
      </c>
      <c r="J2929" s="4" t="s">
        <v>34</v>
      </c>
      <c r="K2929" s="5" t="s">
        <v>342</v>
      </c>
      <c r="L2929" s="2">
        <v>55500</v>
      </c>
      <c r="M2929" s="3">
        <v>1</v>
      </c>
      <c r="N2929" s="2">
        <v>55500</v>
      </c>
      <c r="O2929" s="2">
        <v>5550</v>
      </c>
      <c r="P2929" s="2">
        <v>61050</v>
      </c>
      <c r="Q2929" s="2">
        <f>P2929*8.5%</f>
        <v>5189.25</v>
      </c>
    </row>
    <row r="2930" spans="1:17" hidden="1" x14ac:dyDescent="0.4">
      <c r="A2930" s="4" t="s">
        <v>35</v>
      </c>
      <c r="B2930" s="4" t="s">
        <v>14</v>
      </c>
      <c r="C2930" s="30" t="s">
        <v>434</v>
      </c>
      <c r="D2930" s="4" t="s">
        <v>36</v>
      </c>
      <c r="E2930" s="4" t="s">
        <v>16</v>
      </c>
      <c r="F2930" s="4" t="s">
        <v>17</v>
      </c>
      <c r="G2930" s="4" t="s">
        <v>18</v>
      </c>
      <c r="H2930" s="4" t="s">
        <v>274</v>
      </c>
      <c r="I2930" s="5" t="str">
        <f t="shared" si="45"/>
        <v>2025-11</v>
      </c>
      <c r="J2930" s="4" t="s">
        <v>34</v>
      </c>
      <c r="K2930" s="5" t="s">
        <v>342</v>
      </c>
      <c r="L2930" s="2">
        <v>116220</v>
      </c>
      <c r="M2930" s="3">
        <v>1</v>
      </c>
      <c r="N2930" s="2">
        <v>116220</v>
      </c>
      <c r="O2930" s="2">
        <v>11622</v>
      </c>
      <c r="P2930" s="2">
        <v>127842</v>
      </c>
      <c r="Q2930" s="2">
        <f>P2930*8.5%</f>
        <v>10866.570000000002</v>
      </c>
    </row>
    <row r="2931" spans="1:17" hidden="1" x14ac:dyDescent="0.4">
      <c r="A2931" s="4" t="s">
        <v>23</v>
      </c>
      <c r="B2931" s="4" t="s">
        <v>14</v>
      </c>
      <c r="C2931" s="31" t="s">
        <v>435</v>
      </c>
      <c r="D2931" s="4" t="s">
        <v>24</v>
      </c>
      <c r="E2931" s="4" t="s">
        <v>16</v>
      </c>
      <c r="F2931" s="4" t="s">
        <v>17</v>
      </c>
      <c r="G2931" s="4" t="s">
        <v>18</v>
      </c>
      <c r="H2931" s="4" t="s">
        <v>274</v>
      </c>
      <c r="I2931" s="5" t="str">
        <f t="shared" si="45"/>
        <v>2025-11</v>
      </c>
      <c r="J2931" s="4" t="s">
        <v>34</v>
      </c>
      <c r="K2931" s="5" t="s">
        <v>342</v>
      </c>
      <c r="L2931" s="2">
        <v>55500</v>
      </c>
      <c r="M2931" s="3">
        <v>3</v>
      </c>
      <c r="N2931" s="2">
        <v>166500</v>
      </c>
      <c r="O2931" s="2">
        <v>16650</v>
      </c>
      <c r="P2931" s="2">
        <v>183150</v>
      </c>
      <c r="Q2931" s="2">
        <f>P2931*8.5%</f>
        <v>15567.750000000002</v>
      </c>
    </row>
    <row r="2932" spans="1:17" hidden="1" x14ac:dyDescent="0.4">
      <c r="A2932" s="4" t="s">
        <v>51</v>
      </c>
      <c r="B2932" s="4" t="s">
        <v>14</v>
      </c>
      <c r="C2932" s="30" t="s">
        <v>434</v>
      </c>
      <c r="D2932" s="4" t="s">
        <v>52</v>
      </c>
      <c r="E2932" s="4" t="s">
        <v>16</v>
      </c>
      <c r="F2932" s="4" t="s">
        <v>17</v>
      </c>
      <c r="G2932" s="4" t="s">
        <v>18</v>
      </c>
      <c r="H2932" s="4" t="s">
        <v>274</v>
      </c>
      <c r="I2932" s="5" t="str">
        <f t="shared" si="45"/>
        <v>2025-11</v>
      </c>
      <c r="J2932" s="4" t="s">
        <v>34</v>
      </c>
      <c r="K2932" s="5" t="s">
        <v>342</v>
      </c>
      <c r="L2932" s="2">
        <v>73000</v>
      </c>
      <c r="M2932" s="3">
        <v>1</v>
      </c>
      <c r="N2932" s="2">
        <v>73000</v>
      </c>
      <c r="O2932" s="2">
        <v>7300</v>
      </c>
      <c r="P2932" s="2">
        <v>80300</v>
      </c>
      <c r="Q2932" s="2">
        <f>P2932*8.5%</f>
        <v>6825.5000000000009</v>
      </c>
    </row>
    <row r="2933" spans="1:17" hidden="1" x14ac:dyDescent="0.4">
      <c r="A2933" s="4" t="s">
        <v>212</v>
      </c>
      <c r="B2933" s="4" t="s">
        <v>26</v>
      </c>
      <c r="C2933" s="32" t="s">
        <v>436</v>
      </c>
      <c r="D2933" s="4" t="s">
        <v>108</v>
      </c>
      <c r="E2933" s="4" t="s">
        <v>28</v>
      </c>
      <c r="F2933" s="4" t="s">
        <v>31</v>
      </c>
      <c r="G2933" s="4" t="s">
        <v>18</v>
      </c>
      <c r="H2933" s="4" t="s">
        <v>274</v>
      </c>
      <c r="I2933" s="5" t="str">
        <f t="shared" si="45"/>
        <v>2025-11</v>
      </c>
      <c r="J2933" s="4" t="s">
        <v>34</v>
      </c>
      <c r="K2933" s="5" t="s">
        <v>342</v>
      </c>
      <c r="L2933" s="2">
        <v>18115</v>
      </c>
      <c r="M2933" s="3">
        <v>1</v>
      </c>
      <c r="N2933" s="2">
        <v>18115</v>
      </c>
      <c r="O2933" s="2">
        <v>0</v>
      </c>
      <c r="P2933" s="2">
        <v>18115</v>
      </c>
      <c r="Q2933" s="2">
        <f>P2933*8.5%</f>
        <v>1539.7750000000001</v>
      </c>
    </row>
    <row r="2934" spans="1:17" hidden="1" x14ac:dyDescent="0.4">
      <c r="A2934" s="4" t="s">
        <v>42</v>
      </c>
      <c r="B2934" s="4" t="s">
        <v>14</v>
      </c>
      <c r="C2934" s="30" t="s">
        <v>434</v>
      </c>
      <c r="D2934" s="4" t="s">
        <v>43</v>
      </c>
      <c r="E2934" s="4" t="s">
        <v>44</v>
      </c>
      <c r="F2934" s="4" t="s">
        <v>31</v>
      </c>
      <c r="G2934" s="4" t="s">
        <v>18</v>
      </c>
      <c r="H2934" s="4" t="s">
        <v>274</v>
      </c>
      <c r="I2934" s="5" t="str">
        <f t="shared" si="45"/>
        <v>2025-11</v>
      </c>
      <c r="J2934" s="4" t="s">
        <v>34</v>
      </c>
      <c r="K2934" s="5" t="s">
        <v>342</v>
      </c>
      <c r="L2934" s="2">
        <v>7300</v>
      </c>
      <c r="M2934" s="3">
        <v>61.3</v>
      </c>
      <c r="N2934" s="2">
        <v>447490</v>
      </c>
      <c r="O2934" s="2">
        <v>0</v>
      </c>
      <c r="P2934" s="2">
        <v>447490</v>
      </c>
      <c r="Q2934" s="2">
        <f>P2934*8.5%</f>
        <v>38036.65</v>
      </c>
    </row>
    <row r="2935" spans="1:17" x14ac:dyDescent="0.4">
      <c r="A2935" s="4" t="s">
        <v>13</v>
      </c>
      <c r="B2935" s="4" t="s">
        <v>14</v>
      </c>
      <c r="C2935" s="30" t="s">
        <v>434</v>
      </c>
      <c r="D2935" s="4" t="s">
        <v>15</v>
      </c>
      <c r="E2935" s="4" t="s">
        <v>16</v>
      </c>
      <c r="F2935" s="4" t="s">
        <v>17</v>
      </c>
      <c r="G2935" s="4" t="s">
        <v>18</v>
      </c>
      <c r="H2935" s="4" t="s">
        <v>275</v>
      </c>
      <c r="I2935" s="5" t="str">
        <f t="shared" si="45"/>
        <v>2025-11</v>
      </c>
      <c r="J2935" s="4" t="s">
        <v>20</v>
      </c>
      <c r="K2935" s="5" t="s">
        <v>342</v>
      </c>
      <c r="L2935" s="2">
        <v>42000</v>
      </c>
      <c r="M2935" s="3">
        <v>1</v>
      </c>
      <c r="N2935" s="2">
        <v>42000</v>
      </c>
      <c r="O2935" s="2">
        <v>4200</v>
      </c>
      <c r="P2935" s="2">
        <v>46200</v>
      </c>
      <c r="Q2935" s="2">
        <f>P2935*8.5%</f>
        <v>3927.0000000000005</v>
      </c>
    </row>
    <row r="2936" spans="1:17" x14ac:dyDescent="0.4">
      <c r="A2936" s="4" t="s">
        <v>21</v>
      </c>
      <c r="B2936" s="4" t="s">
        <v>14</v>
      </c>
      <c r="C2936" s="31" t="s">
        <v>435</v>
      </c>
      <c r="D2936" s="4" t="s">
        <v>22</v>
      </c>
      <c r="E2936" s="4" t="s">
        <v>16</v>
      </c>
      <c r="F2936" s="4" t="s">
        <v>17</v>
      </c>
      <c r="G2936" s="4" t="s">
        <v>18</v>
      </c>
      <c r="H2936" s="4" t="s">
        <v>275</v>
      </c>
      <c r="I2936" s="5" t="str">
        <f t="shared" si="45"/>
        <v>2025-11</v>
      </c>
      <c r="J2936" s="4" t="s">
        <v>20</v>
      </c>
      <c r="K2936" s="5" t="s">
        <v>342</v>
      </c>
      <c r="L2936" s="2">
        <v>55500</v>
      </c>
      <c r="M2936" s="3">
        <v>2</v>
      </c>
      <c r="N2936" s="2">
        <v>111000</v>
      </c>
      <c r="O2936" s="2">
        <v>11100</v>
      </c>
      <c r="P2936" s="2">
        <v>122100</v>
      </c>
      <c r="Q2936" s="2">
        <f>P2936*8.5%</f>
        <v>10378.5</v>
      </c>
    </row>
    <row r="2937" spans="1:17" x14ac:dyDescent="0.4">
      <c r="A2937" s="4" t="s">
        <v>23</v>
      </c>
      <c r="B2937" s="4" t="s">
        <v>14</v>
      </c>
      <c r="C2937" s="31" t="s">
        <v>435</v>
      </c>
      <c r="D2937" s="4" t="s">
        <v>24</v>
      </c>
      <c r="E2937" s="4" t="s">
        <v>16</v>
      </c>
      <c r="F2937" s="4" t="s">
        <v>17</v>
      </c>
      <c r="G2937" s="4" t="s">
        <v>18</v>
      </c>
      <c r="H2937" s="4" t="s">
        <v>275</v>
      </c>
      <c r="I2937" s="5" t="str">
        <f t="shared" si="45"/>
        <v>2025-11</v>
      </c>
      <c r="J2937" s="4" t="s">
        <v>20</v>
      </c>
      <c r="K2937" s="5" t="s">
        <v>342</v>
      </c>
      <c r="L2937" s="2">
        <v>55500</v>
      </c>
      <c r="M2937" s="3">
        <v>2</v>
      </c>
      <c r="N2937" s="2">
        <v>111000</v>
      </c>
      <c r="O2937" s="2">
        <v>11100</v>
      </c>
      <c r="P2937" s="2">
        <v>122100</v>
      </c>
      <c r="Q2937" s="2">
        <f>P2937*8.5%</f>
        <v>10378.5</v>
      </c>
    </row>
    <row r="2938" spans="1:17" x14ac:dyDescent="0.4">
      <c r="A2938" s="4" t="s">
        <v>56</v>
      </c>
      <c r="B2938" s="4" t="s">
        <v>26</v>
      </c>
      <c r="C2938" s="32" t="s">
        <v>436</v>
      </c>
      <c r="D2938" s="4" t="s">
        <v>57</v>
      </c>
      <c r="E2938" s="4" t="s">
        <v>44</v>
      </c>
      <c r="F2938" s="4" t="s">
        <v>31</v>
      </c>
      <c r="G2938" s="4" t="s">
        <v>18</v>
      </c>
      <c r="H2938" s="4" t="s">
        <v>275</v>
      </c>
      <c r="I2938" s="5" t="str">
        <f t="shared" si="45"/>
        <v>2025-11</v>
      </c>
      <c r="J2938" s="4" t="s">
        <v>20</v>
      </c>
      <c r="K2938" s="5" t="s">
        <v>342</v>
      </c>
      <c r="L2938" s="2">
        <v>2368</v>
      </c>
      <c r="M2938" s="3">
        <v>25</v>
      </c>
      <c r="N2938" s="2">
        <v>59200</v>
      </c>
      <c r="O2938" s="2">
        <v>0</v>
      </c>
      <c r="P2938" s="2">
        <v>59200</v>
      </c>
      <c r="Q2938" s="2">
        <f>P2938*8.5%</f>
        <v>5032</v>
      </c>
    </row>
    <row r="2939" spans="1:17" hidden="1" x14ac:dyDescent="0.4">
      <c r="A2939" s="4" t="s">
        <v>32</v>
      </c>
      <c r="B2939" s="4" t="s">
        <v>14</v>
      </c>
      <c r="C2939" s="31" t="s">
        <v>435</v>
      </c>
      <c r="D2939" s="4" t="s">
        <v>33</v>
      </c>
      <c r="E2939" s="4" t="s">
        <v>16</v>
      </c>
      <c r="F2939" s="4" t="s">
        <v>17</v>
      </c>
      <c r="G2939" s="4" t="s">
        <v>18</v>
      </c>
      <c r="H2939" s="4" t="s">
        <v>275</v>
      </c>
      <c r="I2939" s="5" t="str">
        <f t="shared" si="45"/>
        <v>2025-11</v>
      </c>
      <c r="J2939" s="4" t="s">
        <v>34</v>
      </c>
      <c r="K2939" s="5" t="s">
        <v>342</v>
      </c>
      <c r="L2939" s="2">
        <v>44000</v>
      </c>
      <c r="M2939" s="3">
        <v>2</v>
      </c>
      <c r="N2939" s="2">
        <v>88000</v>
      </c>
      <c r="O2939" s="2">
        <v>8800</v>
      </c>
      <c r="P2939" s="2">
        <v>96800</v>
      </c>
      <c r="Q2939" s="2">
        <f>P2939*8.5%</f>
        <v>8228</v>
      </c>
    </row>
    <row r="2940" spans="1:17" hidden="1" x14ac:dyDescent="0.4">
      <c r="A2940" s="4" t="s">
        <v>58</v>
      </c>
      <c r="B2940" s="4" t="s">
        <v>14</v>
      </c>
      <c r="C2940" s="30" t="s">
        <v>434</v>
      </c>
      <c r="D2940" s="4" t="s">
        <v>36</v>
      </c>
      <c r="E2940" s="4" t="s">
        <v>16</v>
      </c>
      <c r="F2940" s="4" t="s">
        <v>17</v>
      </c>
      <c r="G2940" s="4" t="s">
        <v>18</v>
      </c>
      <c r="H2940" s="4" t="s">
        <v>275</v>
      </c>
      <c r="I2940" s="5" t="str">
        <f t="shared" si="45"/>
        <v>2025-11</v>
      </c>
      <c r="J2940" s="4" t="s">
        <v>34</v>
      </c>
      <c r="K2940" s="5" t="s">
        <v>342</v>
      </c>
      <c r="L2940" s="2">
        <v>120880</v>
      </c>
      <c r="M2940" s="3">
        <v>1</v>
      </c>
      <c r="N2940" s="2">
        <v>120880</v>
      </c>
      <c r="O2940" s="2">
        <v>12088</v>
      </c>
      <c r="P2940" s="2">
        <v>132968</v>
      </c>
      <c r="Q2940" s="2">
        <f>P2940*8.5%</f>
        <v>11302.28</v>
      </c>
    </row>
    <row r="2941" spans="1:17" hidden="1" x14ac:dyDescent="0.4">
      <c r="A2941" s="4" t="s">
        <v>13</v>
      </c>
      <c r="B2941" s="4" t="s">
        <v>14</v>
      </c>
      <c r="C2941" s="30" t="s">
        <v>434</v>
      </c>
      <c r="D2941" s="4" t="s">
        <v>15</v>
      </c>
      <c r="E2941" s="4" t="s">
        <v>16</v>
      </c>
      <c r="F2941" s="4" t="s">
        <v>17</v>
      </c>
      <c r="G2941" s="4" t="s">
        <v>18</v>
      </c>
      <c r="H2941" s="4" t="s">
        <v>275</v>
      </c>
      <c r="I2941" s="5" t="str">
        <f t="shared" si="45"/>
        <v>2025-11</v>
      </c>
      <c r="J2941" s="4" t="s">
        <v>34</v>
      </c>
      <c r="K2941" s="5" t="s">
        <v>342</v>
      </c>
      <c r="L2941" s="2">
        <v>42000</v>
      </c>
      <c r="M2941" s="3">
        <v>3</v>
      </c>
      <c r="N2941" s="2">
        <v>126000</v>
      </c>
      <c r="O2941" s="2">
        <v>12600</v>
      </c>
      <c r="P2941" s="2">
        <v>138600</v>
      </c>
      <c r="Q2941" s="2">
        <f>P2941*8.5%</f>
        <v>11781</v>
      </c>
    </row>
    <row r="2942" spans="1:17" hidden="1" x14ac:dyDescent="0.4">
      <c r="A2942" s="4" t="s">
        <v>21</v>
      </c>
      <c r="B2942" s="4" t="s">
        <v>14</v>
      </c>
      <c r="C2942" s="31" t="s">
        <v>435</v>
      </c>
      <c r="D2942" s="4" t="s">
        <v>22</v>
      </c>
      <c r="E2942" s="4" t="s">
        <v>16</v>
      </c>
      <c r="F2942" s="4" t="s">
        <v>17</v>
      </c>
      <c r="G2942" s="4" t="s">
        <v>18</v>
      </c>
      <c r="H2942" s="4" t="s">
        <v>275</v>
      </c>
      <c r="I2942" s="5" t="str">
        <f t="shared" si="45"/>
        <v>2025-11</v>
      </c>
      <c r="J2942" s="4" t="s">
        <v>34</v>
      </c>
      <c r="K2942" s="5" t="s">
        <v>342</v>
      </c>
      <c r="L2942" s="2">
        <v>55500</v>
      </c>
      <c r="M2942" s="3">
        <v>1</v>
      </c>
      <c r="N2942" s="2">
        <v>55500</v>
      </c>
      <c r="O2942" s="2">
        <v>5550</v>
      </c>
      <c r="P2942" s="2">
        <v>61050</v>
      </c>
      <c r="Q2942" s="2">
        <f>P2942*8.5%</f>
        <v>5189.25</v>
      </c>
    </row>
    <row r="2943" spans="1:17" hidden="1" x14ac:dyDescent="0.4">
      <c r="A2943" s="4" t="s">
        <v>23</v>
      </c>
      <c r="B2943" s="4" t="s">
        <v>14</v>
      </c>
      <c r="C2943" s="31" t="s">
        <v>435</v>
      </c>
      <c r="D2943" s="4" t="s">
        <v>24</v>
      </c>
      <c r="E2943" s="4" t="s">
        <v>16</v>
      </c>
      <c r="F2943" s="4" t="s">
        <v>17</v>
      </c>
      <c r="G2943" s="4" t="s">
        <v>18</v>
      </c>
      <c r="H2943" s="4" t="s">
        <v>275</v>
      </c>
      <c r="I2943" s="5" t="str">
        <f t="shared" si="45"/>
        <v>2025-11</v>
      </c>
      <c r="J2943" s="4" t="s">
        <v>34</v>
      </c>
      <c r="K2943" s="5" t="s">
        <v>342</v>
      </c>
      <c r="L2943" s="2">
        <v>55500</v>
      </c>
      <c r="M2943" s="3">
        <v>4</v>
      </c>
      <c r="N2943" s="2">
        <v>222000</v>
      </c>
      <c r="O2943" s="2">
        <v>22200</v>
      </c>
      <c r="P2943" s="2">
        <v>244200</v>
      </c>
      <c r="Q2943" s="2">
        <f>P2943*8.5%</f>
        <v>20757</v>
      </c>
    </row>
    <row r="2944" spans="1:17" hidden="1" x14ac:dyDescent="0.4">
      <c r="A2944" s="4" t="s">
        <v>84</v>
      </c>
      <c r="B2944" s="4" t="s">
        <v>26</v>
      </c>
      <c r="C2944" s="32" t="s">
        <v>436</v>
      </c>
      <c r="D2944" s="4" t="s">
        <v>85</v>
      </c>
      <c r="E2944" s="4" t="s">
        <v>28</v>
      </c>
      <c r="F2944" s="4" t="s">
        <v>17</v>
      </c>
      <c r="G2944" s="4" t="s">
        <v>18</v>
      </c>
      <c r="H2944" s="4" t="s">
        <v>275</v>
      </c>
      <c r="I2944" s="5" t="str">
        <f t="shared" si="45"/>
        <v>2025-11</v>
      </c>
      <c r="J2944" s="4" t="s">
        <v>34</v>
      </c>
      <c r="K2944" s="5" t="s">
        <v>342</v>
      </c>
      <c r="L2944" s="2">
        <v>5032</v>
      </c>
      <c r="M2944" s="3">
        <v>1</v>
      </c>
      <c r="N2944" s="2">
        <v>5032</v>
      </c>
      <c r="O2944" s="2">
        <v>503</v>
      </c>
      <c r="P2944" s="2">
        <v>5535</v>
      </c>
      <c r="Q2944" s="2">
        <f>P2944*8.5%</f>
        <v>470.47500000000002</v>
      </c>
    </row>
    <row r="2945" spans="1:17" hidden="1" x14ac:dyDescent="0.4">
      <c r="A2945" s="4" t="s">
        <v>67</v>
      </c>
      <c r="B2945" s="4" t="s">
        <v>26</v>
      </c>
      <c r="C2945" s="32" t="s">
        <v>436</v>
      </c>
      <c r="D2945" s="4" t="s">
        <v>63</v>
      </c>
      <c r="E2945" s="4" t="s">
        <v>28</v>
      </c>
      <c r="F2945" s="4" t="s">
        <v>17</v>
      </c>
      <c r="G2945" s="4" t="s">
        <v>18</v>
      </c>
      <c r="H2945" s="4" t="s">
        <v>275</v>
      </c>
      <c r="I2945" s="5" t="str">
        <f t="shared" si="45"/>
        <v>2025-11</v>
      </c>
      <c r="J2945" s="4" t="s">
        <v>34</v>
      </c>
      <c r="K2945" s="5" t="s">
        <v>342</v>
      </c>
      <c r="L2945" s="2">
        <v>7558</v>
      </c>
      <c r="M2945" s="3">
        <v>1</v>
      </c>
      <c r="N2945" s="2">
        <v>7558</v>
      </c>
      <c r="O2945" s="2">
        <v>756</v>
      </c>
      <c r="P2945" s="2">
        <v>8314</v>
      </c>
      <c r="Q2945" s="2">
        <f>P2945*8.5%</f>
        <v>706.69</v>
      </c>
    </row>
    <row r="2946" spans="1:17" hidden="1" x14ac:dyDescent="0.4">
      <c r="A2946" s="4" t="s">
        <v>73</v>
      </c>
      <c r="B2946" s="4" t="s">
        <v>26</v>
      </c>
      <c r="C2946" s="32" t="s">
        <v>436</v>
      </c>
      <c r="D2946" s="4" t="s">
        <v>57</v>
      </c>
      <c r="E2946" s="4" t="s">
        <v>28</v>
      </c>
      <c r="F2946" s="4" t="s">
        <v>17</v>
      </c>
      <c r="G2946" s="4" t="s">
        <v>18</v>
      </c>
      <c r="H2946" s="4" t="s">
        <v>275</v>
      </c>
      <c r="I2946" s="5" t="str">
        <f t="shared" ref="I2946:I3009" si="46">TEXT(H2946,"yyyy-mm")</f>
        <v>2025-11</v>
      </c>
      <c r="J2946" s="4" t="s">
        <v>34</v>
      </c>
      <c r="K2946" s="5" t="s">
        <v>342</v>
      </c>
      <c r="L2946" s="2">
        <v>7055</v>
      </c>
      <c r="M2946" s="3">
        <v>2</v>
      </c>
      <c r="N2946" s="2">
        <v>14110</v>
      </c>
      <c r="O2946" s="2">
        <v>1411</v>
      </c>
      <c r="P2946" s="2">
        <v>15521</v>
      </c>
      <c r="Q2946" s="2">
        <f>P2946*8.5%</f>
        <v>1319.2850000000001</v>
      </c>
    </row>
    <row r="2947" spans="1:17" hidden="1" x14ac:dyDescent="0.4">
      <c r="A2947" s="4" t="s">
        <v>42</v>
      </c>
      <c r="B2947" s="4" t="s">
        <v>14</v>
      </c>
      <c r="C2947" s="30" t="s">
        <v>434</v>
      </c>
      <c r="D2947" s="4" t="s">
        <v>43</v>
      </c>
      <c r="E2947" s="4" t="s">
        <v>44</v>
      </c>
      <c r="F2947" s="4" t="s">
        <v>31</v>
      </c>
      <c r="G2947" s="4" t="s">
        <v>18</v>
      </c>
      <c r="H2947" s="4" t="s">
        <v>275</v>
      </c>
      <c r="I2947" s="5" t="str">
        <f t="shared" si="46"/>
        <v>2025-11</v>
      </c>
      <c r="J2947" s="4" t="s">
        <v>34</v>
      </c>
      <c r="K2947" s="5" t="s">
        <v>342</v>
      </c>
      <c r="L2947" s="2">
        <v>7300</v>
      </c>
      <c r="M2947" s="3">
        <v>30.8</v>
      </c>
      <c r="N2947" s="2">
        <v>224840</v>
      </c>
      <c r="O2947" s="2">
        <v>0</v>
      </c>
      <c r="P2947" s="2">
        <v>224840</v>
      </c>
      <c r="Q2947" s="2">
        <f>P2947*8.5%</f>
        <v>19111.400000000001</v>
      </c>
    </row>
    <row r="2948" spans="1:17" hidden="1" x14ac:dyDescent="0.4">
      <c r="A2948" s="4" t="s">
        <v>202</v>
      </c>
      <c r="B2948" s="4" t="s">
        <v>26</v>
      </c>
      <c r="C2948" s="32" t="s">
        <v>436</v>
      </c>
      <c r="D2948" s="4" t="s">
        <v>203</v>
      </c>
      <c r="E2948" s="4" t="s">
        <v>47</v>
      </c>
      <c r="F2948" s="4" t="s">
        <v>17</v>
      </c>
      <c r="G2948" s="4" t="s">
        <v>18</v>
      </c>
      <c r="H2948" s="4" t="s">
        <v>275</v>
      </c>
      <c r="I2948" s="5" t="str">
        <f t="shared" si="46"/>
        <v>2025-11</v>
      </c>
      <c r="J2948" s="4" t="s">
        <v>34</v>
      </c>
      <c r="K2948" s="5" t="s">
        <v>342</v>
      </c>
      <c r="L2948" s="2">
        <v>13153</v>
      </c>
      <c r="M2948" s="3">
        <v>2</v>
      </c>
      <c r="N2948" s="2">
        <v>26306</v>
      </c>
      <c r="O2948" s="2">
        <v>2631</v>
      </c>
      <c r="P2948" s="2">
        <v>28937</v>
      </c>
      <c r="Q2948" s="2">
        <f>P2948*8.5%</f>
        <v>2459.645</v>
      </c>
    </row>
    <row r="2949" spans="1:17" hidden="1" x14ac:dyDescent="0.4">
      <c r="A2949" s="4" t="s">
        <v>32</v>
      </c>
      <c r="B2949" s="4" t="s">
        <v>14</v>
      </c>
      <c r="C2949" s="31" t="s">
        <v>435</v>
      </c>
      <c r="D2949" s="4" t="s">
        <v>33</v>
      </c>
      <c r="E2949" s="4" t="s">
        <v>16</v>
      </c>
      <c r="F2949" s="4" t="s">
        <v>17</v>
      </c>
      <c r="G2949" s="4" t="s">
        <v>18</v>
      </c>
      <c r="H2949" s="4" t="s">
        <v>275</v>
      </c>
      <c r="I2949" s="5" t="str">
        <f t="shared" si="46"/>
        <v>2025-11</v>
      </c>
      <c r="J2949" s="4" t="s">
        <v>49</v>
      </c>
      <c r="K2949" s="5" t="s">
        <v>343</v>
      </c>
      <c r="L2949" s="2">
        <v>44000</v>
      </c>
      <c r="M2949" s="3">
        <v>6</v>
      </c>
      <c r="N2949" s="2">
        <v>264000</v>
      </c>
      <c r="O2949" s="2">
        <v>26400</v>
      </c>
      <c r="P2949" s="2">
        <v>290400</v>
      </c>
      <c r="Q2949" s="2">
        <f>P2949*12%</f>
        <v>34848</v>
      </c>
    </row>
    <row r="2950" spans="1:17" hidden="1" x14ac:dyDescent="0.4">
      <c r="A2950" s="4" t="s">
        <v>13</v>
      </c>
      <c r="B2950" s="4" t="s">
        <v>14</v>
      </c>
      <c r="C2950" s="30" t="s">
        <v>434</v>
      </c>
      <c r="D2950" s="4" t="s">
        <v>15</v>
      </c>
      <c r="E2950" s="4" t="s">
        <v>16</v>
      </c>
      <c r="F2950" s="4" t="s">
        <v>17</v>
      </c>
      <c r="G2950" s="4" t="s">
        <v>18</v>
      </c>
      <c r="H2950" s="4" t="s">
        <v>275</v>
      </c>
      <c r="I2950" s="5" t="str">
        <f t="shared" si="46"/>
        <v>2025-11</v>
      </c>
      <c r="J2950" s="4" t="s">
        <v>49</v>
      </c>
      <c r="K2950" s="5" t="s">
        <v>343</v>
      </c>
      <c r="L2950" s="2">
        <v>42000</v>
      </c>
      <c r="M2950" s="3">
        <v>10</v>
      </c>
      <c r="N2950" s="2">
        <v>420000</v>
      </c>
      <c r="O2950" s="2">
        <v>42000</v>
      </c>
      <c r="P2950" s="2">
        <v>462000</v>
      </c>
      <c r="Q2950" s="2">
        <f>P2950*12%</f>
        <v>55440</v>
      </c>
    </row>
    <row r="2951" spans="1:17" hidden="1" x14ac:dyDescent="0.4">
      <c r="A2951" s="4" t="s">
        <v>35</v>
      </c>
      <c r="B2951" s="4" t="s">
        <v>14</v>
      </c>
      <c r="C2951" s="30" t="s">
        <v>434</v>
      </c>
      <c r="D2951" s="4" t="s">
        <v>36</v>
      </c>
      <c r="E2951" s="4" t="s">
        <v>16</v>
      </c>
      <c r="F2951" s="4" t="s">
        <v>17</v>
      </c>
      <c r="G2951" s="4" t="s">
        <v>18</v>
      </c>
      <c r="H2951" s="4" t="s">
        <v>275</v>
      </c>
      <c r="I2951" s="5" t="str">
        <f t="shared" si="46"/>
        <v>2025-11</v>
      </c>
      <c r="J2951" s="4" t="s">
        <v>49</v>
      </c>
      <c r="K2951" s="5" t="s">
        <v>343</v>
      </c>
      <c r="L2951" s="2">
        <v>116220</v>
      </c>
      <c r="M2951" s="3">
        <v>1</v>
      </c>
      <c r="N2951" s="2">
        <v>116220</v>
      </c>
      <c r="O2951" s="2">
        <v>11622</v>
      </c>
      <c r="P2951" s="2">
        <v>127842</v>
      </c>
      <c r="Q2951" s="2">
        <f>P2951*12%</f>
        <v>15341.039999999999</v>
      </c>
    </row>
    <row r="2952" spans="1:17" hidden="1" x14ac:dyDescent="0.4">
      <c r="A2952" s="4" t="s">
        <v>23</v>
      </c>
      <c r="B2952" s="4" t="s">
        <v>14</v>
      </c>
      <c r="C2952" s="31" t="s">
        <v>435</v>
      </c>
      <c r="D2952" s="4" t="s">
        <v>24</v>
      </c>
      <c r="E2952" s="4" t="s">
        <v>16</v>
      </c>
      <c r="F2952" s="4" t="s">
        <v>17</v>
      </c>
      <c r="G2952" s="4" t="s">
        <v>18</v>
      </c>
      <c r="H2952" s="4" t="s">
        <v>275</v>
      </c>
      <c r="I2952" s="5" t="str">
        <f t="shared" si="46"/>
        <v>2025-11</v>
      </c>
      <c r="J2952" s="4" t="s">
        <v>49</v>
      </c>
      <c r="K2952" s="5" t="s">
        <v>343</v>
      </c>
      <c r="L2952" s="2">
        <v>55500</v>
      </c>
      <c r="M2952" s="3">
        <v>4</v>
      </c>
      <c r="N2952" s="2">
        <v>222000</v>
      </c>
      <c r="O2952" s="2">
        <v>22200</v>
      </c>
      <c r="P2952" s="2">
        <v>244200</v>
      </c>
      <c r="Q2952" s="2">
        <f>P2952*12%</f>
        <v>29304</v>
      </c>
    </row>
    <row r="2953" spans="1:17" hidden="1" x14ac:dyDescent="0.4">
      <c r="A2953" s="4" t="s">
        <v>51</v>
      </c>
      <c r="B2953" s="4" t="s">
        <v>14</v>
      </c>
      <c r="C2953" s="30" t="s">
        <v>434</v>
      </c>
      <c r="D2953" s="4" t="s">
        <v>52</v>
      </c>
      <c r="E2953" s="4" t="s">
        <v>16</v>
      </c>
      <c r="F2953" s="4" t="s">
        <v>17</v>
      </c>
      <c r="G2953" s="4" t="s">
        <v>18</v>
      </c>
      <c r="H2953" s="4" t="s">
        <v>275</v>
      </c>
      <c r="I2953" s="5" t="str">
        <f t="shared" si="46"/>
        <v>2025-11</v>
      </c>
      <c r="J2953" s="4" t="s">
        <v>49</v>
      </c>
      <c r="K2953" s="5" t="s">
        <v>343</v>
      </c>
      <c r="L2953" s="2">
        <v>73000</v>
      </c>
      <c r="M2953" s="3">
        <v>1</v>
      </c>
      <c r="N2953" s="2">
        <v>73000</v>
      </c>
      <c r="O2953" s="2">
        <v>7300</v>
      </c>
      <c r="P2953" s="2">
        <v>80300</v>
      </c>
      <c r="Q2953" s="2">
        <f>P2953*12%</f>
        <v>9636</v>
      </c>
    </row>
    <row r="2954" spans="1:17" x14ac:dyDescent="0.4">
      <c r="A2954" s="4" t="s">
        <v>13</v>
      </c>
      <c r="B2954" s="4" t="s">
        <v>14</v>
      </c>
      <c r="C2954" s="30" t="s">
        <v>434</v>
      </c>
      <c r="D2954" s="4" t="s">
        <v>15</v>
      </c>
      <c r="E2954" s="4" t="s">
        <v>16</v>
      </c>
      <c r="F2954" s="4" t="s">
        <v>17</v>
      </c>
      <c r="G2954" s="4" t="s">
        <v>18</v>
      </c>
      <c r="H2954" s="4" t="s">
        <v>276</v>
      </c>
      <c r="I2954" s="5" t="str">
        <f t="shared" si="46"/>
        <v>2025-11</v>
      </c>
      <c r="J2954" s="4" t="s">
        <v>20</v>
      </c>
      <c r="K2954" s="5" t="s">
        <v>342</v>
      </c>
      <c r="L2954" s="2">
        <v>42000</v>
      </c>
      <c r="M2954" s="3">
        <v>1</v>
      </c>
      <c r="N2954" s="2">
        <v>42000</v>
      </c>
      <c r="O2954" s="2">
        <v>4200</v>
      </c>
      <c r="P2954" s="2">
        <v>46200</v>
      </c>
      <c r="Q2954" s="2">
        <f>P2954*8.5%</f>
        <v>3927.0000000000005</v>
      </c>
    </row>
    <row r="2955" spans="1:17" x14ac:dyDescent="0.4">
      <c r="A2955" s="4" t="s">
        <v>21</v>
      </c>
      <c r="B2955" s="4" t="s">
        <v>14</v>
      </c>
      <c r="C2955" s="31" t="s">
        <v>435</v>
      </c>
      <c r="D2955" s="4" t="s">
        <v>22</v>
      </c>
      <c r="E2955" s="4" t="s">
        <v>16</v>
      </c>
      <c r="F2955" s="4" t="s">
        <v>17</v>
      </c>
      <c r="G2955" s="4" t="s">
        <v>18</v>
      </c>
      <c r="H2955" s="4" t="s">
        <v>276</v>
      </c>
      <c r="I2955" s="5" t="str">
        <f t="shared" si="46"/>
        <v>2025-11</v>
      </c>
      <c r="J2955" s="4" t="s">
        <v>20</v>
      </c>
      <c r="K2955" s="5" t="s">
        <v>342</v>
      </c>
      <c r="L2955" s="2">
        <v>55500</v>
      </c>
      <c r="M2955" s="3">
        <v>2</v>
      </c>
      <c r="N2955" s="2">
        <v>111000</v>
      </c>
      <c r="O2955" s="2">
        <v>11100</v>
      </c>
      <c r="P2955" s="2">
        <v>122100</v>
      </c>
      <c r="Q2955" s="2">
        <f>P2955*8.5%</f>
        <v>10378.5</v>
      </c>
    </row>
    <row r="2956" spans="1:17" x14ac:dyDescent="0.4">
      <c r="A2956" s="4" t="s">
        <v>23</v>
      </c>
      <c r="B2956" s="4" t="s">
        <v>14</v>
      </c>
      <c r="C2956" s="31" t="s">
        <v>435</v>
      </c>
      <c r="D2956" s="4" t="s">
        <v>24</v>
      </c>
      <c r="E2956" s="4" t="s">
        <v>16</v>
      </c>
      <c r="F2956" s="4" t="s">
        <v>17</v>
      </c>
      <c r="G2956" s="4" t="s">
        <v>18</v>
      </c>
      <c r="H2956" s="4" t="s">
        <v>276</v>
      </c>
      <c r="I2956" s="5" t="str">
        <f t="shared" si="46"/>
        <v>2025-11</v>
      </c>
      <c r="J2956" s="4" t="s">
        <v>20</v>
      </c>
      <c r="K2956" s="5" t="s">
        <v>342</v>
      </c>
      <c r="L2956" s="2">
        <v>55500</v>
      </c>
      <c r="M2956" s="3">
        <v>3</v>
      </c>
      <c r="N2956" s="2">
        <v>166500</v>
      </c>
      <c r="O2956" s="2">
        <v>16650</v>
      </c>
      <c r="P2956" s="2">
        <v>183150</v>
      </c>
      <c r="Q2956" s="2">
        <f>P2956*8.5%</f>
        <v>15567.750000000002</v>
      </c>
    </row>
    <row r="2957" spans="1:17" x14ac:dyDescent="0.4">
      <c r="A2957" s="4" t="s">
        <v>56</v>
      </c>
      <c r="B2957" s="4" t="s">
        <v>26</v>
      </c>
      <c r="C2957" s="32" t="s">
        <v>436</v>
      </c>
      <c r="D2957" s="4" t="s">
        <v>57</v>
      </c>
      <c r="E2957" s="4" t="s">
        <v>44</v>
      </c>
      <c r="F2957" s="4" t="s">
        <v>31</v>
      </c>
      <c r="G2957" s="4" t="s">
        <v>18</v>
      </c>
      <c r="H2957" s="4" t="s">
        <v>276</v>
      </c>
      <c r="I2957" s="5" t="str">
        <f t="shared" si="46"/>
        <v>2025-11</v>
      </c>
      <c r="J2957" s="4" t="s">
        <v>20</v>
      </c>
      <c r="K2957" s="5" t="s">
        <v>342</v>
      </c>
      <c r="L2957" s="2">
        <v>2368</v>
      </c>
      <c r="M2957" s="3">
        <v>25</v>
      </c>
      <c r="N2957" s="2">
        <v>59200</v>
      </c>
      <c r="O2957" s="2">
        <v>0</v>
      </c>
      <c r="P2957" s="2">
        <v>59200</v>
      </c>
      <c r="Q2957" s="2">
        <f>P2957*8.5%</f>
        <v>5032</v>
      </c>
    </row>
    <row r="2958" spans="1:17" hidden="1" x14ac:dyDescent="0.4">
      <c r="A2958" s="4" t="s">
        <v>64</v>
      </c>
      <c r="B2958" s="4" t="s">
        <v>65</v>
      </c>
      <c r="C2958" s="32" t="s">
        <v>436</v>
      </c>
      <c r="D2958" s="4" t="s">
        <v>66</v>
      </c>
      <c r="E2958" s="4" t="s">
        <v>16</v>
      </c>
      <c r="F2958" s="4" t="s">
        <v>17</v>
      </c>
      <c r="G2958" s="4" t="s">
        <v>18</v>
      </c>
      <c r="H2958" s="4" t="s">
        <v>276</v>
      </c>
      <c r="I2958" s="5" t="str">
        <f t="shared" si="46"/>
        <v>2025-11</v>
      </c>
      <c r="J2958" s="4" t="s">
        <v>34</v>
      </c>
      <c r="K2958" s="5" t="s">
        <v>342</v>
      </c>
      <c r="L2958" s="2">
        <v>10283</v>
      </c>
      <c r="M2958" s="3">
        <v>1</v>
      </c>
      <c r="N2958" s="2">
        <v>10283</v>
      </c>
      <c r="O2958" s="2">
        <v>1028</v>
      </c>
      <c r="P2958" s="2">
        <v>11311</v>
      </c>
      <c r="Q2958" s="2">
        <f>P2958*8.5%</f>
        <v>961.43500000000006</v>
      </c>
    </row>
    <row r="2959" spans="1:17" hidden="1" x14ac:dyDescent="0.4">
      <c r="A2959" s="4" t="s">
        <v>13</v>
      </c>
      <c r="B2959" s="4" t="s">
        <v>14</v>
      </c>
      <c r="C2959" s="30" t="s">
        <v>434</v>
      </c>
      <c r="D2959" s="4" t="s">
        <v>15</v>
      </c>
      <c r="E2959" s="4" t="s">
        <v>16</v>
      </c>
      <c r="F2959" s="4" t="s">
        <v>17</v>
      </c>
      <c r="G2959" s="4" t="s">
        <v>18</v>
      </c>
      <c r="H2959" s="4" t="s">
        <v>276</v>
      </c>
      <c r="I2959" s="5" t="str">
        <f t="shared" si="46"/>
        <v>2025-11</v>
      </c>
      <c r="J2959" s="4" t="s">
        <v>34</v>
      </c>
      <c r="K2959" s="5" t="s">
        <v>342</v>
      </c>
      <c r="L2959" s="2">
        <v>42000</v>
      </c>
      <c r="M2959" s="3">
        <v>2</v>
      </c>
      <c r="N2959" s="2">
        <v>84000</v>
      </c>
      <c r="O2959" s="2">
        <v>8400</v>
      </c>
      <c r="P2959" s="2">
        <v>92400</v>
      </c>
      <c r="Q2959" s="2">
        <f>P2959*8.5%</f>
        <v>7854.0000000000009</v>
      </c>
    </row>
    <row r="2960" spans="1:17" hidden="1" x14ac:dyDescent="0.4">
      <c r="A2960" s="4" t="s">
        <v>21</v>
      </c>
      <c r="B2960" s="4" t="s">
        <v>14</v>
      </c>
      <c r="C2960" s="31" t="s">
        <v>435</v>
      </c>
      <c r="D2960" s="4" t="s">
        <v>22</v>
      </c>
      <c r="E2960" s="4" t="s">
        <v>16</v>
      </c>
      <c r="F2960" s="4" t="s">
        <v>17</v>
      </c>
      <c r="G2960" s="4" t="s">
        <v>18</v>
      </c>
      <c r="H2960" s="4" t="s">
        <v>276</v>
      </c>
      <c r="I2960" s="5" t="str">
        <f t="shared" si="46"/>
        <v>2025-11</v>
      </c>
      <c r="J2960" s="4" t="s">
        <v>34</v>
      </c>
      <c r="K2960" s="5" t="s">
        <v>342</v>
      </c>
      <c r="L2960" s="2">
        <v>55500</v>
      </c>
      <c r="M2960" s="3">
        <v>1</v>
      </c>
      <c r="N2960" s="2">
        <v>55500</v>
      </c>
      <c r="O2960" s="2">
        <v>5550</v>
      </c>
      <c r="P2960" s="2">
        <v>61050</v>
      </c>
      <c r="Q2960" s="2">
        <f>P2960*8.5%</f>
        <v>5189.25</v>
      </c>
    </row>
    <row r="2961" spans="1:17" hidden="1" x14ac:dyDescent="0.4">
      <c r="A2961" s="4" t="s">
        <v>23</v>
      </c>
      <c r="B2961" s="4" t="s">
        <v>14</v>
      </c>
      <c r="C2961" s="31" t="s">
        <v>435</v>
      </c>
      <c r="D2961" s="4" t="s">
        <v>24</v>
      </c>
      <c r="E2961" s="4" t="s">
        <v>16</v>
      </c>
      <c r="F2961" s="4" t="s">
        <v>17</v>
      </c>
      <c r="G2961" s="4" t="s">
        <v>18</v>
      </c>
      <c r="H2961" s="4" t="s">
        <v>276</v>
      </c>
      <c r="I2961" s="5" t="str">
        <f t="shared" si="46"/>
        <v>2025-11</v>
      </c>
      <c r="J2961" s="4" t="s">
        <v>34</v>
      </c>
      <c r="K2961" s="5" t="s">
        <v>342</v>
      </c>
      <c r="L2961" s="2">
        <v>55500</v>
      </c>
      <c r="M2961" s="3">
        <v>3</v>
      </c>
      <c r="N2961" s="2">
        <v>166500</v>
      </c>
      <c r="O2961" s="2">
        <v>16650</v>
      </c>
      <c r="P2961" s="2">
        <v>183150</v>
      </c>
      <c r="Q2961" s="2">
        <f>P2961*8.5%</f>
        <v>15567.750000000002</v>
      </c>
    </row>
    <row r="2962" spans="1:17" hidden="1" x14ac:dyDescent="0.4">
      <c r="A2962" s="4" t="s">
        <v>51</v>
      </c>
      <c r="B2962" s="4" t="s">
        <v>14</v>
      </c>
      <c r="C2962" s="30" t="s">
        <v>434</v>
      </c>
      <c r="D2962" s="4" t="s">
        <v>52</v>
      </c>
      <c r="E2962" s="4" t="s">
        <v>16</v>
      </c>
      <c r="F2962" s="4" t="s">
        <v>17</v>
      </c>
      <c r="G2962" s="4" t="s">
        <v>18</v>
      </c>
      <c r="H2962" s="4" t="s">
        <v>276</v>
      </c>
      <c r="I2962" s="5" t="str">
        <f t="shared" si="46"/>
        <v>2025-11</v>
      </c>
      <c r="J2962" s="4" t="s">
        <v>34</v>
      </c>
      <c r="K2962" s="5" t="s">
        <v>342</v>
      </c>
      <c r="L2962" s="2">
        <v>73000</v>
      </c>
      <c r="M2962" s="3">
        <v>1</v>
      </c>
      <c r="N2962" s="2">
        <v>73000</v>
      </c>
      <c r="O2962" s="2">
        <v>7300</v>
      </c>
      <c r="P2962" s="2">
        <v>80300</v>
      </c>
      <c r="Q2962" s="2">
        <f>P2962*8.5%</f>
        <v>6825.5000000000009</v>
      </c>
    </row>
    <row r="2963" spans="1:17" hidden="1" x14ac:dyDescent="0.4">
      <c r="A2963" s="4" t="s">
        <v>40</v>
      </c>
      <c r="B2963" s="4" t="s">
        <v>26</v>
      </c>
      <c r="C2963" s="32" t="s">
        <v>436</v>
      </c>
      <c r="D2963" s="4" t="s">
        <v>41</v>
      </c>
      <c r="E2963" s="4" t="s">
        <v>28</v>
      </c>
      <c r="F2963" s="4" t="s">
        <v>17</v>
      </c>
      <c r="G2963" s="4" t="s">
        <v>18</v>
      </c>
      <c r="H2963" s="4" t="s">
        <v>276</v>
      </c>
      <c r="I2963" s="5" t="str">
        <f t="shared" si="46"/>
        <v>2025-11</v>
      </c>
      <c r="J2963" s="4" t="s">
        <v>34</v>
      </c>
      <c r="K2963" s="5" t="s">
        <v>342</v>
      </c>
      <c r="L2963" s="2">
        <v>17936</v>
      </c>
      <c r="M2963" s="3">
        <v>2</v>
      </c>
      <c r="N2963" s="2">
        <v>35872</v>
      </c>
      <c r="O2963" s="2">
        <v>3587</v>
      </c>
      <c r="P2963" s="2">
        <v>39459</v>
      </c>
      <c r="Q2963" s="2">
        <f>P2963*8.5%</f>
        <v>3354.0150000000003</v>
      </c>
    </row>
    <row r="2964" spans="1:17" hidden="1" x14ac:dyDescent="0.4">
      <c r="A2964" s="4" t="s">
        <v>70</v>
      </c>
      <c r="B2964" s="4" t="s">
        <v>26</v>
      </c>
      <c r="C2964" s="32" t="s">
        <v>436</v>
      </c>
      <c r="D2964" s="4" t="s">
        <v>71</v>
      </c>
      <c r="E2964" s="4" t="s">
        <v>28</v>
      </c>
      <c r="F2964" s="4" t="s">
        <v>31</v>
      </c>
      <c r="G2964" s="4" t="s">
        <v>18</v>
      </c>
      <c r="H2964" s="4" t="s">
        <v>276</v>
      </c>
      <c r="I2964" s="5" t="str">
        <f t="shared" si="46"/>
        <v>2025-11</v>
      </c>
      <c r="J2964" s="4" t="s">
        <v>34</v>
      </c>
      <c r="K2964" s="5" t="s">
        <v>342</v>
      </c>
      <c r="L2964" s="2">
        <v>6624</v>
      </c>
      <c r="M2964" s="3">
        <v>2</v>
      </c>
      <c r="N2964" s="2">
        <v>13248</v>
      </c>
      <c r="O2964" s="2">
        <v>0</v>
      </c>
      <c r="P2964" s="2">
        <v>13248</v>
      </c>
      <c r="Q2964" s="2">
        <f>P2964*8.5%</f>
        <v>1126.0800000000002</v>
      </c>
    </row>
    <row r="2965" spans="1:17" hidden="1" x14ac:dyDescent="0.4">
      <c r="A2965" s="4" t="s">
        <v>42</v>
      </c>
      <c r="B2965" s="4" t="s">
        <v>14</v>
      </c>
      <c r="C2965" s="30" t="s">
        <v>434</v>
      </c>
      <c r="D2965" s="4" t="s">
        <v>43</v>
      </c>
      <c r="E2965" s="4" t="s">
        <v>44</v>
      </c>
      <c r="F2965" s="4" t="s">
        <v>31</v>
      </c>
      <c r="G2965" s="4" t="s">
        <v>18</v>
      </c>
      <c r="H2965" s="4" t="s">
        <v>276</v>
      </c>
      <c r="I2965" s="5" t="str">
        <f t="shared" si="46"/>
        <v>2025-11</v>
      </c>
      <c r="J2965" s="4" t="s">
        <v>34</v>
      </c>
      <c r="K2965" s="5" t="s">
        <v>342</v>
      </c>
      <c r="L2965" s="2">
        <v>7300</v>
      </c>
      <c r="M2965" s="3">
        <v>48.9</v>
      </c>
      <c r="N2965" s="2">
        <v>356970</v>
      </c>
      <c r="O2965" s="2">
        <v>0</v>
      </c>
      <c r="P2965" s="2">
        <v>356970</v>
      </c>
      <c r="Q2965" s="2">
        <f>P2965*8.5%</f>
        <v>30342.45</v>
      </c>
    </row>
    <row r="2966" spans="1:17" hidden="1" x14ac:dyDescent="0.4">
      <c r="A2966" s="4" t="s">
        <v>32</v>
      </c>
      <c r="B2966" s="4" t="s">
        <v>14</v>
      </c>
      <c r="C2966" s="31" t="s">
        <v>435</v>
      </c>
      <c r="D2966" s="4" t="s">
        <v>33</v>
      </c>
      <c r="E2966" s="4" t="s">
        <v>16</v>
      </c>
      <c r="F2966" s="4" t="s">
        <v>17</v>
      </c>
      <c r="G2966" s="4" t="s">
        <v>18</v>
      </c>
      <c r="H2966" s="4" t="s">
        <v>276</v>
      </c>
      <c r="I2966" s="5" t="str">
        <f t="shared" si="46"/>
        <v>2025-11</v>
      </c>
      <c r="J2966" s="4" t="s">
        <v>59</v>
      </c>
      <c r="K2966" s="5" t="s">
        <v>343</v>
      </c>
      <c r="L2966" s="2">
        <v>44000</v>
      </c>
      <c r="M2966" s="3">
        <v>2</v>
      </c>
      <c r="N2966" s="2">
        <v>88000</v>
      </c>
      <c r="O2966" s="2">
        <v>8800</v>
      </c>
      <c r="P2966" s="2">
        <v>96800</v>
      </c>
      <c r="Q2966" s="2">
        <f>P2966*12%</f>
        <v>11616</v>
      </c>
    </row>
    <row r="2967" spans="1:17" hidden="1" x14ac:dyDescent="0.4">
      <c r="A2967" s="4" t="s">
        <v>13</v>
      </c>
      <c r="B2967" s="4" t="s">
        <v>14</v>
      </c>
      <c r="C2967" s="30" t="s">
        <v>434</v>
      </c>
      <c r="D2967" s="4" t="s">
        <v>15</v>
      </c>
      <c r="E2967" s="4" t="s">
        <v>16</v>
      </c>
      <c r="F2967" s="4" t="s">
        <v>17</v>
      </c>
      <c r="G2967" s="4" t="s">
        <v>18</v>
      </c>
      <c r="H2967" s="4" t="s">
        <v>276</v>
      </c>
      <c r="I2967" s="5" t="str">
        <f t="shared" si="46"/>
        <v>2025-11</v>
      </c>
      <c r="J2967" s="4" t="s">
        <v>59</v>
      </c>
      <c r="K2967" s="5" t="s">
        <v>343</v>
      </c>
      <c r="L2967" s="2">
        <v>42000</v>
      </c>
      <c r="M2967" s="3">
        <v>4</v>
      </c>
      <c r="N2967" s="2">
        <v>168000</v>
      </c>
      <c r="O2967" s="2">
        <v>16800</v>
      </c>
      <c r="P2967" s="2">
        <v>184800</v>
      </c>
      <c r="Q2967" s="2">
        <f>P2967*12%</f>
        <v>22176</v>
      </c>
    </row>
    <row r="2968" spans="1:17" hidden="1" x14ac:dyDescent="0.4">
      <c r="A2968" s="4" t="s">
        <v>35</v>
      </c>
      <c r="B2968" s="4" t="s">
        <v>14</v>
      </c>
      <c r="C2968" s="30" t="s">
        <v>434</v>
      </c>
      <c r="D2968" s="4" t="s">
        <v>36</v>
      </c>
      <c r="E2968" s="4" t="s">
        <v>16</v>
      </c>
      <c r="F2968" s="4" t="s">
        <v>17</v>
      </c>
      <c r="G2968" s="4" t="s">
        <v>18</v>
      </c>
      <c r="H2968" s="4" t="s">
        <v>276</v>
      </c>
      <c r="I2968" s="5" t="str">
        <f t="shared" si="46"/>
        <v>2025-11</v>
      </c>
      <c r="J2968" s="4" t="s">
        <v>59</v>
      </c>
      <c r="K2968" s="5" t="s">
        <v>343</v>
      </c>
      <c r="L2968" s="2">
        <v>116220</v>
      </c>
      <c r="M2968" s="3">
        <v>1</v>
      </c>
      <c r="N2968" s="2">
        <v>116220</v>
      </c>
      <c r="O2968" s="2">
        <v>11622</v>
      </c>
      <c r="P2968" s="2">
        <v>127842</v>
      </c>
      <c r="Q2968" s="2">
        <f>P2968*12%</f>
        <v>15341.039999999999</v>
      </c>
    </row>
    <row r="2969" spans="1:17" hidden="1" x14ac:dyDescent="0.4">
      <c r="A2969" s="4" t="s">
        <v>23</v>
      </c>
      <c r="B2969" s="4" t="s">
        <v>14</v>
      </c>
      <c r="C2969" s="31" t="s">
        <v>435</v>
      </c>
      <c r="D2969" s="4" t="s">
        <v>24</v>
      </c>
      <c r="E2969" s="4" t="s">
        <v>16</v>
      </c>
      <c r="F2969" s="4" t="s">
        <v>17</v>
      </c>
      <c r="G2969" s="4" t="s">
        <v>18</v>
      </c>
      <c r="H2969" s="4" t="s">
        <v>276</v>
      </c>
      <c r="I2969" s="5" t="str">
        <f t="shared" si="46"/>
        <v>2025-11</v>
      </c>
      <c r="J2969" s="4" t="s">
        <v>59</v>
      </c>
      <c r="K2969" s="5" t="s">
        <v>343</v>
      </c>
      <c r="L2969" s="2">
        <v>55500</v>
      </c>
      <c r="M2969" s="3">
        <v>2</v>
      </c>
      <c r="N2969" s="2">
        <v>111000</v>
      </c>
      <c r="O2969" s="2">
        <v>11100</v>
      </c>
      <c r="P2969" s="2">
        <v>122100</v>
      </c>
      <c r="Q2969" s="2">
        <f>P2969*12%</f>
        <v>14652</v>
      </c>
    </row>
    <row r="2970" spans="1:17" hidden="1" x14ac:dyDescent="0.4">
      <c r="A2970" s="4" t="s">
        <v>51</v>
      </c>
      <c r="B2970" s="4" t="s">
        <v>14</v>
      </c>
      <c r="C2970" s="30" t="s">
        <v>434</v>
      </c>
      <c r="D2970" s="4" t="s">
        <v>52</v>
      </c>
      <c r="E2970" s="4" t="s">
        <v>16</v>
      </c>
      <c r="F2970" s="4" t="s">
        <v>17</v>
      </c>
      <c r="G2970" s="4" t="s">
        <v>18</v>
      </c>
      <c r="H2970" s="4" t="s">
        <v>276</v>
      </c>
      <c r="I2970" s="5" t="str">
        <f t="shared" si="46"/>
        <v>2025-11</v>
      </c>
      <c r="J2970" s="4" t="s">
        <v>59</v>
      </c>
      <c r="K2970" s="5" t="s">
        <v>343</v>
      </c>
      <c r="L2970" s="2">
        <v>73000</v>
      </c>
      <c r="M2970" s="3">
        <v>1</v>
      </c>
      <c r="N2970" s="2">
        <v>73000</v>
      </c>
      <c r="O2970" s="2">
        <v>7300</v>
      </c>
      <c r="P2970" s="2">
        <v>80300</v>
      </c>
      <c r="Q2970" s="2">
        <f>P2970*12%</f>
        <v>9636</v>
      </c>
    </row>
    <row r="2971" spans="1:17" hidden="1" x14ac:dyDescent="0.4">
      <c r="A2971" s="4" t="s">
        <v>215</v>
      </c>
      <c r="B2971" s="4" t="s">
        <v>26</v>
      </c>
      <c r="C2971" s="32" t="s">
        <v>436</v>
      </c>
      <c r="D2971" s="4" t="s">
        <v>216</v>
      </c>
      <c r="E2971" s="4" t="s">
        <v>28</v>
      </c>
      <c r="F2971" s="4" t="s">
        <v>17</v>
      </c>
      <c r="G2971" s="4" t="s">
        <v>18</v>
      </c>
      <c r="H2971" s="4" t="s">
        <v>276</v>
      </c>
      <c r="I2971" s="5" t="str">
        <f t="shared" si="46"/>
        <v>2025-11</v>
      </c>
      <c r="J2971" s="4" t="s">
        <v>59</v>
      </c>
      <c r="K2971" s="5" t="s">
        <v>343</v>
      </c>
      <c r="L2971" s="2">
        <v>4472</v>
      </c>
      <c r="M2971" s="3">
        <v>4</v>
      </c>
      <c r="N2971" s="2">
        <v>17888</v>
      </c>
      <c r="O2971" s="2">
        <v>1789</v>
      </c>
      <c r="P2971" s="2">
        <v>19677</v>
      </c>
      <c r="Q2971" s="2">
        <f>P2971*12%</f>
        <v>2361.2399999999998</v>
      </c>
    </row>
    <row r="2972" spans="1:17" hidden="1" x14ac:dyDescent="0.4">
      <c r="A2972" s="4" t="s">
        <v>32</v>
      </c>
      <c r="B2972" s="4" t="s">
        <v>14</v>
      </c>
      <c r="C2972" s="31" t="s">
        <v>435</v>
      </c>
      <c r="D2972" s="4" t="s">
        <v>33</v>
      </c>
      <c r="E2972" s="4" t="s">
        <v>16</v>
      </c>
      <c r="F2972" s="4" t="s">
        <v>17</v>
      </c>
      <c r="G2972" s="4" t="s">
        <v>18</v>
      </c>
      <c r="H2972" s="4" t="s">
        <v>276</v>
      </c>
      <c r="I2972" s="5" t="str">
        <f t="shared" si="46"/>
        <v>2025-11</v>
      </c>
      <c r="J2972" s="4" t="s">
        <v>50</v>
      </c>
      <c r="K2972" s="5" t="s">
        <v>343</v>
      </c>
      <c r="L2972" s="2">
        <v>44000</v>
      </c>
      <c r="M2972" s="3">
        <v>2</v>
      </c>
      <c r="N2972" s="2">
        <v>88000</v>
      </c>
      <c r="O2972" s="2">
        <v>8800</v>
      </c>
      <c r="P2972" s="2">
        <v>96800</v>
      </c>
      <c r="Q2972" s="2">
        <f>P2972*12%</f>
        <v>11616</v>
      </c>
    </row>
    <row r="2973" spans="1:17" hidden="1" x14ac:dyDescent="0.4">
      <c r="A2973" s="4" t="s">
        <v>13</v>
      </c>
      <c r="B2973" s="4" t="s">
        <v>14</v>
      </c>
      <c r="C2973" s="30" t="s">
        <v>434</v>
      </c>
      <c r="D2973" s="4" t="s">
        <v>15</v>
      </c>
      <c r="E2973" s="4" t="s">
        <v>16</v>
      </c>
      <c r="F2973" s="4" t="s">
        <v>17</v>
      </c>
      <c r="G2973" s="4" t="s">
        <v>18</v>
      </c>
      <c r="H2973" s="4" t="s">
        <v>276</v>
      </c>
      <c r="I2973" s="5" t="str">
        <f t="shared" si="46"/>
        <v>2025-11</v>
      </c>
      <c r="J2973" s="4" t="s">
        <v>50</v>
      </c>
      <c r="K2973" s="5" t="s">
        <v>343</v>
      </c>
      <c r="L2973" s="2">
        <v>42000</v>
      </c>
      <c r="M2973" s="3">
        <v>5</v>
      </c>
      <c r="N2973" s="2">
        <v>210000</v>
      </c>
      <c r="O2973" s="2">
        <v>21000</v>
      </c>
      <c r="P2973" s="2">
        <v>231000</v>
      </c>
      <c r="Q2973" s="2">
        <f>P2973*12%</f>
        <v>27720</v>
      </c>
    </row>
    <row r="2974" spans="1:17" hidden="1" x14ac:dyDescent="0.4">
      <c r="A2974" s="4" t="s">
        <v>23</v>
      </c>
      <c r="B2974" s="4" t="s">
        <v>14</v>
      </c>
      <c r="C2974" s="31" t="s">
        <v>435</v>
      </c>
      <c r="D2974" s="4" t="s">
        <v>24</v>
      </c>
      <c r="E2974" s="4" t="s">
        <v>16</v>
      </c>
      <c r="F2974" s="4" t="s">
        <v>17</v>
      </c>
      <c r="G2974" s="4" t="s">
        <v>18</v>
      </c>
      <c r="H2974" s="4" t="s">
        <v>276</v>
      </c>
      <c r="I2974" s="5" t="str">
        <f t="shared" si="46"/>
        <v>2025-11</v>
      </c>
      <c r="J2974" s="4" t="s">
        <v>50</v>
      </c>
      <c r="K2974" s="5" t="s">
        <v>343</v>
      </c>
      <c r="L2974" s="2">
        <v>55500</v>
      </c>
      <c r="M2974" s="3">
        <v>3</v>
      </c>
      <c r="N2974" s="2">
        <v>166500</v>
      </c>
      <c r="O2974" s="2">
        <v>16650</v>
      </c>
      <c r="P2974" s="2">
        <v>183150</v>
      </c>
      <c r="Q2974" s="2">
        <f>P2974*12%</f>
        <v>21978</v>
      </c>
    </row>
    <row r="2975" spans="1:17" hidden="1" x14ac:dyDescent="0.4">
      <c r="A2975" s="4" t="s">
        <v>51</v>
      </c>
      <c r="B2975" s="4" t="s">
        <v>14</v>
      </c>
      <c r="C2975" s="30" t="s">
        <v>434</v>
      </c>
      <c r="D2975" s="4" t="s">
        <v>52</v>
      </c>
      <c r="E2975" s="4" t="s">
        <v>16</v>
      </c>
      <c r="F2975" s="4" t="s">
        <v>17</v>
      </c>
      <c r="G2975" s="4" t="s">
        <v>18</v>
      </c>
      <c r="H2975" s="4" t="s">
        <v>276</v>
      </c>
      <c r="I2975" s="5" t="str">
        <f t="shared" si="46"/>
        <v>2025-11</v>
      </c>
      <c r="J2975" s="4" t="s">
        <v>50</v>
      </c>
      <c r="K2975" s="5" t="s">
        <v>343</v>
      </c>
      <c r="L2975" s="2">
        <v>73000</v>
      </c>
      <c r="M2975" s="3">
        <v>1</v>
      </c>
      <c r="N2975" s="2">
        <v>73000</v>
      </c>
      <c r="O2975" s="2">
        <v>7300</v>
      </c>
      <c r="P2975" s="2">
        <v>80300</v>
      </c>
      <c r="Q2975" s="2">
        <f>P2975*12%</f>
        <v>9636</v>
      </c>
    </row>
    <row r="2976" spans="1:17" x14ac:dyDescent="0.4">
      <c r="A2976" s="4" t="s">
        <v>58</v>
      </c>
      <c r="B2976" s="4" t="s">
        <v>14</v>
      </c>
      <c r="C2976" s="30" t="s">
        <v>434</v>
      </c>
      <c r="D2976" s="4" t="s">
        <v>36</v>
      </c>
      <c r="E2976" s="4" t="s">
        <v>16</v>
      </c>
      <c r="F2976" s="4" t="s">
        <v>17</v>
      </c>
      <c r="G2976" s="4" t="s">
        <v>18</v>
      </c>
      <c r="H2976" s="4" t="s">
        <v>277</v>
      </c>
      <c r="I2976" s="5" t="str">
        <f t="shared" si="46"/>
        <v>2025-11</v>
      </c>
      <c r="J2976" s="4" t="s">
        <v>20</v>
      </c>
      <c r="K2976" s="5" t="s">
        <v>342</v>
      </c>
      <c r="L2976" s="2">
        <v>120880</v>
      </c>
      <c r="M2976" s="3">
        <v>1</v>
      </c>
      <c r="N2976" s="2">
        <v>120880</v>
      </c>
      <c r="O2976" s="2">
        <v>12088</v>
      </c>
      <c r="P2976" s="2">
        <v>132968</v>
      </c>
      <c r="Q2976" s="2">
        <f>P2976*8.5%</f>
        <v>11302.28</v>
      </c>
    </row>
    <row r="2977" spans="1:17" x14ac:dyDescent="0.4">
      <c r="A2977" s="4" t="s">
        <v>21</v>
      </c>
      <c r="B2977" s="4" t="s">
        <v>14</v>
      </c>
      <c r="C2977" s="31" t="s">
        <v>435</v>
      </c>
      <c r="D2977" s="4" t="s">
        <v>22</v>
      </c>
      <c r="E2977" s="4" t="s">
        <v>16</v>
      </c>
      <c r="F2977" s="4" t="s">
        <v>17</v>
      </c>
      <c r="G2977" s="4" t="s">
        <v>18</v>
      </c>
      <c r="H2977" s="4" t="s">
        <v>277</v>
      </c>
      <c r="I2977" s="5" t="str">
        <f t="shared" si="46"/>
        <v>2025-11</v>
      </c>
      <c r="J2977" s="4" t="s">
        <v>20</v>
      </c>
      <c r="K2977" s="5" t="s">
        <v>342</v>
      </c>
      <c r="L2977" s="2">
        <v>55500</v>
      </c>
      <c r="M2977" s="3">
        <v>1</v>
      </c>
      <c r="N2977" s="2">
        <v>55500</v>
      </c>
      <c r="O2977" s="2">
        <v>5550</v>
      </c>
      <c r="P2977" s="2">
        <v>61050</v>
      </c>
      <c r="Q2977" s="2">
        <f>P2977*8.5%</f>
        <v>5189.25</v>
      </c>
    </row>
    <row r="2978" spans="1:17" x14ac:dyDescent="0.4">
      <c r="A2978" s="4" t="s">
        <v>23</v>
      </c>
      <c r="B2978" s="4" t="s">
        <v>14</v>
      </c>
      <c r="C2978" s="31" t="s">
        <v>435</v>
      </c>
      <c r="D2978" s="4" t="s">
        <v>24</v>
      </c>
      <c r="E2978" s="4" t="s">
        <v>16</v>
      </c>
      <c r="F2978" s="4" t="s">
        <v>17</v>
      </c>
      <c r="G2978" s="4" t="s">
        <v>18</v>
      </c>
      <c r="H2978" s="4" t="s">
        <v>277</v>
      </c>
      <c r="I2978" s="5" t="str">
        <f t="shared" si="46"/>
        <v>2025-11</v>
      </c>
      <c r="J2978" s="4" t="s">
        <v>20</v>
      </c>
      <c r="K2978" s="5" t="s">
        <v>342</v>
      </c>
      <c r="L2978" s="2">
        <v>55500</v>
      </c>
      <c r="M2978" s="3">
        <v>3</v>
      </c>
      <c r="N2978" s="2">
        <v>166500</v>
      </c>
      <c r="O2978" s="2">
        <v>16650</v>
      </c>
      <c r="P2978" s="2">
        <v>183150</v>
      </c>
      <c r="Q2978" s="2">
        <f>P2978*8.5%</f>
        <v>15567.750000000002</v>
      </c>
    </row>
    <row r="2979" spans="1:17" x14ac:dyDescent="0.4">
      <c r="A2979" s="4" t="s">
        <v>51</v>
      </c>
      <c r="B2979" s="4" t="s">
        <v>14</v>
      </c>
      <c r="C2979" s="30" t="s">
        <v>434</v>
      </c>
      <c r="D2979" s="4" t="s">
        <v>52</v>
      </c>
      <c r="E2979" s="4" t="s">
        <v>16</v>
      </c>
      <c r="F2979" s="4" t="s">
        <v>17</v>
      </c>
      <c r="G2979" s="4" t="s">
        <v>18</v>
      </c>
      <c r="H2979" s="4" t="s">
        <v>277</v>
      </c>
      <c r="I2979" s="5" t="str">
        <f t="shared" si="46"/>
        <v>2025-11</v>
      </c>
      <c r="J2979" s="4" t="s">
        <v>20</v>
      </c>
      <c r="K2979" s="5" t="s">
        <v>342</v>
      </c>
      <c r="L2979" s="2">
        <v>73000</v>
      </c>
      <c r="M2979" s="3">
        <v>1</v>
      </c>
      <c r="N2979" s="2">
        <v>73000</v>
      </c>
      <c r="O2979" s="2">
        <v>7300</v>
      </c>
      <c r="P2979" s="2">
        <v>80300</v>
      </c>
      <c r="Q2979" s="2">
        <f>P2979*8.5%</f>
        <v>6825.5000000000009</v>
      </c>
    </row>
    <row r="2980" spans="1:17" x14ac:dyDescent="0.4">
      <c r="A2980" s="4" t="s">
        <v>56</v>
      </c>
      <c r="B2980" s="4" t="s">
        <v>26</v>
      </c>
      <c r="C2980" s="32" t="s">
        <v>436</v>
      </c>
      <c r="D2980" s="4" t="s">
        <v>57</v>
      </c>
      <c r="E2980" s="4" t="s">
        <v>44</v>
      </c>
      <c r="F2980" s="4" t="s">
        <v>31</v>
      </c>
      <c r="G2980" s="4" t="s">
        <v>18</v>
      </c>
      <c r="H2980" s="4" t="s">
        <v>277</v>
      </c>
      <c r="I2980" s="5" t="str">
        <f t="shared" si="46"/>
        <v>2025-11</v>
      </c>
      <c r="J2980" s="4" t="s">
        <v>20</v>
      </c>
      <c r="K2980" s="5" t="s">
        <v>342</v>
      </c>
      <c r="L2980" s="2">
        <v>2368</v>
      </c>
      <c r="M2980" s="3">
        <v>25</v>
      </c>
      <c r="N2980" s="2">
        <v>59200</v>
      </c>
      <c r="O2980" s="2">
        <v>0</v>
      </c>
      <c r="P2980" s="2">
        <v>59200</v>
      </c>
      <c r="Q2980" s="2">
        <f>P2980*8.5%</f>
        <v>5032</v>
      </c>
    </row>
    <row r="2981" spans="1:17" hidden="1" x14ac:dyDescent="0.4">
      <c r="A2981" s="4" t="s">
        <v>82</v>
      </c>
      <c r="B2981" s="4" t="s">
        <v>26</v>
      </c>
      <c r="C2981" s="32" t="s">
        <v>436</v>
      </c>
      <c r="D2981" s="4" t="s">
        <v>81</v>
      </c>
      <c r="E2981" s="4" t="s">
        <v>16</v>
      </c>
      <c r="F2981" s="4" t="s">
        <v>17</v>
      </c>
      <c r="G2981" s="4" t="s">
        <v>18</v>
      </c>
      <c r="H2981" s="4" t="s">
        <v>277</v>
      </c>
      <c r="I2981" s="5" t="str">
        <f t="shared" si="46"/>
        <v>2025-11</v>
      </c>
      <c r="J2981" s="4" t="s">
        <v>34</v>
      </c>
      <c r="K2981" s="5" t="s">
        <v>342</v>
      </c>
      <c r="L2981" s="2">
        <v>20925</v>
      </c>
      <c r="M2981" s="3">
        <v>1</v>
      </c>
      <c r="N2981" s="2">
        <v>20925</v>
      </c>
      <c r="O2981" s="2">
        <v>2093</v>
      </c>
      <c r="P2981" s="2">
        <v>23018</v>
      </c>
      <c r="Q2981" s="2">
        <f>P2981*8.5%</f>
        <v>1956.5300000000002</v>
      </c>
    </row>
    <row r="2982" spans="1:17" hidden="1" x14ac:dyDescent="0.4">
      <c r="A2982" s="4" t="s">
        <v>32</v>
      </c>
      <c r="B2982" s="4" t="s">
        <v>14</v>
      </c>
      <c r="C2982" s="31" t="s">
        <v>435</v>
      </c>
      <c r="D2982" s="4" t="s">
        <v>33</v>
      </c>
      <c r="E2982" s="4" t="s">
        <v>16</v>
      </c>
      <c r="F2982" s="4" t="s">
        <v>17</v>
      </c>
      <c r="G2982" s="4" t="s">
        <v>18</v>
      </c>
      <c r="H2982" s="4" t="s">
        <v>277</v>
      </c>
      <c r="I2982" s="5" t="str">
        <f t="shared" si="46"/>
        <v>2025-11</v>
      </c>
      <c r="J2982" s="4" t="s">
        <v>34</v>
      </c>
      <c r="K2982" s="5" t="s">
        <v>342</v>
      </c>
      <c r="L2982" s="2">
        <v>44000</v>
      </c>
      <c r="M2982" s="3">
        <v>3</v>
      </c>
      <c r="N2982" s="2">
        <v>132000</v>
      </c>
      <c r="O2982" s="2">
        <v>13200</v>
      </c>
      <c r="P2982" s="2">
        <v>145200</v>
      </c>
      <c r="Q2982" s="2">
        <f>P2982*8.5%</f>
        <v>12342</v>
      </c>
    </row>
    <row r="2983" spans="1:17" hidden="1" x14ac:dyDescent="0.4">
      <c r="A2983" s="4" t="s">
        <v>13</v>
      </c>
      <c r="B2983" s="4" t="s">
        <v>14</v>
      </c>
      <c r="C2983" s="30" t="s">
        <v>434</v>
      </c>
      <c r="D2983" s="4" t="s">
        <v>15</v>
      </c>
      <c r="E2983" s="4" t="s">
        <v>16</v>
      </c>
      <c r="F2983" s="4" t="s">
        <v>17</v>
      </c>
      <c r="G2983" s="4" t="s">
        <v>18</v>
      </c>
      <c r="H2983" s="4" t="s">
        <v>277</v>
      </c>
      <c r="I2983" s="5" t="str">
        <f t="shared" si="46"/>
        <v>2025-11</v>
      </c>
      <c r="J2983" s="4" t="s">
        <v>34</v>
      </c>
      <c r="K2983" s="5" t="s">
        <v>342</v>
      </c>
      <c r="L2983" s="2">
        <v>42000</v>
      </c>
      <c r="M2983" s="3">
        <v>4</v>
      </c>
      <c r="N2983" s="2">
        <v>168000</v>
      </c>
      <c r="O2983" s="2">
        <v>16800</v>
      </c>
      <c r="P2983" s="2">
        <v>184800</v>
      </c>
      <c r="Q2983" s="2">
        <f>P2983*8.5%</f>
        <v>15708.000000000002</v>
      </c>
    </row>
    <row r="2984" spans="1:17" hidden="1" x14ac:dyDescent="0.4">
      <c r="A2984" s="4" t="s">
        <v>136</v>
      </c>
      <c r="B2984" s="4" t="s">
        <v>26</v>
      </c>
      <c r="C2984" s="32" t="s">
        <v>436</v>
      </c>
      <c r="D2984" s="4" t="s">
        <v>137</v>
      </c>
      <c r="E2984" s="4" t="s">
        <v>28</v>
      </c>
      <c r="F2984" s="4" t="s">
        <v>17</v>
      </c>
      <c r="G2984" s="4" t="s">
        <v>18</v>
      </c>
      <c r="H2984" s="4" t="s">
        <v>277</v>
      </c>
      <c r="I2984" s="5" t="str">
        <f t="shared" si="46"/>
        <v>2025-11</v>
      </c>
      <c r="J2984" s="4" t="s">
        <v>34</v>
      </c>
      <c r="K2984" s="5" t="s">
        <v>342</v>
      </c>
      <c r="L2984" s="2">
        <v>5548</v>
      </c>
      <c r="M2984" s="3">
        <v>2</v>
      </c>
      <c r="N2984" s="2">
        <v>11096</v>
      </c>
      <c r="O2984" s="2">
        <v>1110</v>
      </c>
      <c r="P2984" s="2">
        <v>12206</v>
      </c>
      <c r="Q2984" s="2">
        <f>P2984*8.5%</f>
        <v>1037.51</v>
      </c>
    </row>
    <row r="2985" spans="1:17" hidden="1" x14ac:dyDescent="0.4">
      <c r="A2985" s="4" t="s">
        <v>42</v>
      </c>
      <c r="B2985" s="4" t="s">
        <v>14</v>
      </c>
      <c r="C2985" s="30" t="s">
        <v>434</v>
      </c>
      <c r="D2985" s="4" t="s">
        <v>43</v>
      </c>
      <c r="E2985" s="4" t="s">
        <v>44</v>
      </c>
      <c r="F2985" s="4" t="s">
        <v>31</v>
      </c>
      <c r="G2985" s="4" t="s">
        <v>18</v>
      </c>
      <c r="H2985" s="4" t="s">
        <v>277</v>
      </c>
      <c r="I2985" s="5" t="str">
        <f t="shared" si="46"/>
        <v>2025-11</v>
      </c>
      <c r="J2985" s="4" t="s">
        <v>34</v>
      </c>
      <c r="K2985" s="5" t="s">
        <v>342</v>
      </c>
      <c r="L2985" s="2">
        <v>7300</v>
      </c>
      <c r="M2985" s="3">
        <v>62.9</v>
      </c>
      <c r="N2985" s="2">
        <v>459170</v>
      </c>
      <c r="O2985" s="2">
        <v>0</v>
      </c>
      <c r="P2985" s="2">
        <v>459170</v>
      </c>
      <c r="Q2985" s="2">
        <f>P2985*8.5%</f>
        <v>39029.450000000004</v>
      </c>
    </row>
    <row r="2986" spans="1:17" x14ac:dyDescent="0.4">
      <c r="A2986" s="4" t="s">
        <v>13</v>
      </c>
      <c r="B2986" s="4" t="s">
        <v>14</v>
      </c>
      <c r="C2986" s="30" t="s">
        <v>434</v>
      </c>
      <c r="D2986" s="4" t="s">
        <v>15</v>
      </c>
      <c r="E2986" s="4" t="s">
        <v>16</v>
      </c>
      <c r="F2986" s="4" t="s">
        <v>17</v>
      </c>
      <c r="G2986" s="4" t="s">
        <v>18</v>
      </c>
      <c r="H2986" s="4" t="s">
        <v>278</v>
      </c>
      <c r="I2986" s="5" t="str">
        <f t="shared" si="46"/>
        <v>2025-11</v>
      </c>
      <c r="J2986" s="4" t="s">
        <v>20</v>
      </c>
      <c r="K2986" s="5" t="s">
        <v>342</v>
      </c>
      <c r="L2986" s="2">
        <v>42000</v>
      </c>
      <c r="M2986" s="3">
        <v>1</v>
      </c>
      <c r="N2986" s="2">
        <v>42000</v>
      </c>
      <c r="O2986" s="2">
        <v>4200</v>
      </c>
      <c r="P2986" s="2">
        <v>46200</v>
      </c>
      <c r="Q2986" s="2">
        <f>P2986*8.5%</f>
        <v>3927.0000000000005</v>
      </c>
    </row>
    <row r="2987" spans="1:17" x14ac:dyDescent="0.4">
      <c r="A2987" s="4" t="s">
        <v>21</v>
      </c>
      <c r="B2987" s="4" t="s">
        <v>14</v>
      </c>
      <c r="C2987" s="31" t="s">
        <v>435</v>
      </c>
      <c r="D2987" s="4" t="s">
        <v>22</v>
      </c>
      <c r="E2987" s="4" t="s">
        <v>16</v>
      </c>
      <c r="F2987" s="4" t="s">
        <v>17</v>
      </c>
      <c r="G2987" s="4" t="s">
        <v>18</v>
      </c>
      <c r="H2987" s="4" t="s">
        <v>278</v>
      </c>
      <c r="I2987" s="5" t="str">
        <f t="shared" si="46"/>
        <v>2025-11</v>
      </c>
      <c r="J2987" s="4" t="s">
        <v>20</v>
      </c>
      <c r="K2987" s="5" t="s">
        <v>342</v>
      </c>
      <c r="L2987" s="2">
        <v>55500</v>
      </c>
      <c r="M2987" s="3">
        <v>2</v>
      </c>
      <c r="N2987" s="2">
        <v>111000</v>
      </c>
      <c r="O2987" s="2">
        <v>11100</v>
      </c>
      <c r="P2987" s="2">
        <v>122100</v>
      </c>
      <c r="Q2987" s="2">
        <f>P2987*8.5%</f>
        <v>10378.5</v>
      </c>
    </row>
    <row r="2988" spans="1:17" x14ac:dyDescent="0.4">
      <c r="A2988" s="4" t="s">
        <v>23</v>
      </c>
      <c r="B2988" s="4" t="s">
        <v>14</v>
      </c>
      <c r="C2988" s="31" t="s">
        <v>435</v>
      </c>
      <c r="D2988" s="4" t="s">
        <v>24</v>
      </c>
      <c r="E2988" s="4" t="s">
        <v>16</v>
      </c>
      <c r="F2988" s="4" t="s">
        <v>17</v>
      </c>
      <c r="G2988" s="4" t="s">
        <v>18</v>
      </c>
      <c r="H2988" s="4" t="s">
        <v>278</v>
      </c>
      <c r="I2988" s="5" t="str">
        <f t="shared" si="46"/>
        <v>2025-11</v>
      </c>
      <c r="J2988" s="4" t="s">
        <v>20</v>
      </c>
      <c r="K2988" s="5" t="s">
        <v>342</v>
      </c>
      <c r="L2988" s="2">
        <v>55500</v>
      </c>
      <c r="M2988" s="3">
        <v>3</v>
      </c>
      <c r="N2988" s="2">
        <v>166500</v>
      </c>
      <c r="O2988" s="2">
        <v>16650</v>
      </c>
      <c r="P2988" s="2">
        <v>183150</v>
      </c>
      <c r="Q2988" s="2">
        <f>P2988*8.5%</f>
        <v>15567.750000000002</v>
      </c>
    </row>
    <row r="2989" spans="1:17" x14ac:dyDescent="0.4">
      <c r="A2989" s="4" t="s">
        <v>54</v>
      </c>
      <c r="B2989" s="4" t="s">
        <v>26</v>
      </c>
      <c r="C2989" s="32" t="s">
        <v>436</v>
      </c>
      <c r="D2989" s="4" t="s">
        <v>55</v>
      </c>
      <c r="E2989" s="4" t="s">
        <v>28</v>
      </c>
      <c r="F2989" s="4" t="s">
        <v>31</v>
      </c>
      <c r="G2989" s="4" t="s">
        <v>18</v>
      </c>
      <c r="H2989" s="4" t="s">
        <v>278</v>
      </c>
      <c r="I2989" s="5" t="str">
        <f t="shared" si="46"/>
        <v>2025-11</v>
      </c>
      <c r="J2989" s="4" t="s">
        <v>20</v>
      </c>
      <c r="K2989" s="5" t="s">
        <v>342</v>
      </c>
      <c r="L2989" s="2">
        <v>5919</v>
      </c>
      <c r="M2989" s="3">
        <v>1</v>
      </c>
      <c r="N2989" s="2">
        <v>5919</v>
      </c>
      <c r="O2989" s="2">
        <v>0</v>
      </c>
      <c r="P2989" s="2">
        <v>5919</v>
      </c>
      <c r="Q2989" s="2">
        <f>P2989*8.5%</f>
        <v>503.11500000000001</v>
      </c>
    </row>
    <row r="2990" spans="1:17" hidden="1" x14ac:dyDescent="0.4">
      <c r="A2990" s="4" t="s">
        <v>32</v>
      </c>
      <c r="B2990" s="4" t="s">
        <v>14</v>
      </c>
      <c r="C2990" s="31" t="s">
        <v>435</v>
      </c>
      <c r="D2990" s="4" t="s">
        <v>33</v>
      </c>
      <c r="E2990" s="4" t="s">
        <v>16</v>
      </c>
      <c r="F2990" s="4" t="s">
        <v>17</v>
      </c>
      <c r="G2990" s="4" t="s">
        <v>18</v>
      </c>
      <c r="H2990" s="4" t="s">
        <v>278</v>
      </c>
      <c r="I2990" s="5" t="str">
        <f t="shared" si="46"/>
        <v>2025-11</v>
      </c>
      <c r="J2990" s="4" t="s">
        <v>34</v>
      </c>
      <c r="K2990" s="5" t="s">
        <v>342</v>
      </c>
      <c r="L2990" s="2">
        <v>44000</v>
      </c>
      <c r="M2990" s="3">
        <v>2</v>
      </c>
      <c r="N2990" s="2">
        <v>88000</v>
      </c>
      <c r="O2990" s="2">
        <v>8800</v>
      </c>
      <c r="P2990" s="2">
        <v>96800</v>
      </c>
      <c r="Q2990" s="2">
        <f>P2990*8.5%</f>
        <v>8228</v>
      </c>
    </row>
    <row r="2991" spans="1:17" hidden="1" x14ac:dyDescent="0.4">
      <c r="A2991" s="4" t="s">
        <v>13</v>
      </c>
      <c r="B2991" s="4" t="s">
        <v>14</v>
      </c>
      <c r="C2991" s="30" t="s">
        <v>434</v>
      </c>
      <c r="D2991" s="4" t="s">
        <v>15</v>
      </c>
      <c r="E2991" s="4" t="s">
        <v>16</v>
      </c>
      <c r="F2991" s="4" t="s">
        <v>17</v>
      </c>
      <c r="G2991" s="4" t="s">
        <v>18</v>
      </c>
      <c r="H2991" s="4" t="s">
        <v>278</v>
      </c>
      <c r="I2991" s="5" t="str">
        <f t="shared" si="46"/>
        <v>2025-11</v>
      </c>
      <c r="J2991" s="4" t="s">
        <v>34</v>
      </c>
      <c r="K2991" s="5" t="s">
        <v>342</v>
      </c>
      <c r="L2991" s="2">
        <v>42000</v>
      </c>
      <c r="M2991" s="3">
        <v>3</v>
      </c>
      <c r="N2991" s="2">
        <v>126000</v>
      </c>
      <c r="O2991" s="2">
        <v>12600</v>
      </c>
      <c r="P2991" s="2">
        <v>138600</v>
      </c>
      <c r="Q2991" s="2">
        <f>P2991*8.5%</f>
        <v>11781</v>
      </c>
    </row>
    <row r="2992" spans="1:17" hidden="1" x14ac:dyDescent="0.4">
      <c r="A2992" s="4" t="s">
        <v>21</v>
      </c>
      <c r="B2992" s="4" t="s">
        <v>14</v>
      </c>
      <c r="C2992" s="31" t="s">
        <v>435</v>
      </c>
      <c r="D2992" s="4" t="s">
        <v>22</v>
      </c>
      <c r="E2992" s="4" t="s">
        <v>16</v>
      </c>
      <c r="F2992" s="4" t="s">
        <v>17</v>
      </c>
      <c r="G2992" s="4" t="s">
        <v>18</v>
      </c>
      <c r="H2992" s="4" t="s">
        <v>278</v>
      </c>
      <c r="I2992" s="5" t="str">
        <f t="shared" si="46"/>
        <v>2025-11</v>
      </c>
      <c r="J2992" s="4" t="s">
        <v>34</v>
      </c>
      <c r="K2992" s="5" t="s">
        <v>342</v>
      </c>
      <c r="L2992" s="2">
        <v>55500</v>
      </c>
      <c r="M2992" s="3">
        <v>1</v>
      </c>
      <c r="N2992" s="2">
        <v>55500</v>
      </c>
      <c r="O2992" s="2">
        <v>5550</v>
      </c>
      <c r="P2992" s="2">
        <v>61050</v>
      </c>
      <c r="Q2992" s="2">
        <f>P2992*8.5%</f>
        <v>5189.25</v>
      </c>
    </row>
    <row r="2993" spans="1:17" hidden="1" x14ac:dyDescent="0.4">
      <c r="A2993" s="4" t="s">
        <v>23</v>
      </c>
      <c r="B2993" s="4" t="s">
        <v>14</v>
      </c>
      <c r="C2993" s="31" t="s">
        <v>435</v>
      </c>
      <c r="D2993" s="4" t="s">
        <v>24</v>
      </c>
      <c r="E2993" s="4" t="s">
        <v>16</v>
      </c>
      <c r="F2993" s="4" t="s">
        <v>17</v>
      </c>
      <c r="G2993" s="4" t="s">
        <v>18</v>
      </c>
      <c r="H2993" s="4" t="s">
        <v>278</v>
      </c>
      <c r="I2993" s="5" t="str">
        <f t="shared" si="46"/>
        <v>2025-11</v>
      </c>
      <c r="J2993" s="4" t="s">
        <v>34</v>
      </c>
      <c r="K2993" s="5" t="s">
        <v>342</v>
      </c>
      <c r="L2993" s="2">
        <v>55500</v>
      </c>
      <c r="M2993" s="3">
        <v>4</v>
      </c>
      <c r="N2993" s="2">
        <v>222000</v>
      </c>
      <c r="O2993" s="2">
        <v>22200</v>
      </c>
      <c r="P2993" s="2">
        <v>244200</v>
      </c>
      <c r="Q2993" s="2">
        <f>P2993*8.5%</f>
        <v>20757</v>
      </c>
    </row>
    <row r="2994" spans="1:17" hidden="1" x14ac:dyDescent="0.4">
      <c r="A2994" s="4" t="s">
        <v>37</v>
      </c>
      <c r="B2994" s="4" t="s">
        <v>26</v>
      </c>
      <c r="C2994" s="32" t="s">
        <v>436</v>
      </c>
      <c r="D2994" s="4" t="s">
        <v>38</v>
      </c>
      <c r="E2994" s="4" t="s">
        <v>28</v>
      </c>
      <c r="F2994" s="4" t="s">
        <v>17</v>
      </c>
      <c r="G2994" s="4" t="s">
        <v>18</v>
      </c>
      <c r="H2994" s="4" t="s">
        <v>278</v>
      </c>
      <c r="I2994" s="5" t="str">
        <f t="shared" si="46"/>
        <v>2025-11</v>
      </c>
      <c r="J2994" s="4" t="s">
        <v>34</v>
      </c>
      <c r="K2994" s="5" t="s">
        <v>342</v>
      </c>
      <c r="L2994" s="2">
        <v>395</v>
      </c>
      <c r="M2994" s="3">
        <v>20</v>
      </c>
      <c r="N2994" s="2">
        <v>7900</v>
      </c>
      <c r="O2994" s="2">
        <v>790</v>
      </c>
      <c r="P2994" s="2">
        <v>8690</v>
      </c>
      <c r="Q2994" s="2">
        <f>P2994*8.5%</f>
        <v>738.65000000000009</v>
      </c>
    </row>
    <row r="2995" spans="1:17" hidden="1" x14ac:dyDescent="0.4">
      <c r="A2995" s="4" t="s">
        <v>176</v>
      </c>
      <c r="B2995" s="4" t="s">
        <v>26</v>
      </c>
      <c r="C2995" s="32" t="s">
        <v>436</v>
      </c>
      <c r="D2995" s="4" t="s">
        <v>177</v>
      </c>
      <c r="E2995" s="4" t="s">
        <v>28</v>
      </c>
      <c r="F2995" s="4" t="s">
        <v>17</v>
      </c>
      <c r="G2995" s="4" t="s">
        <v>18</v>
      </c>
      <c r="H2995" s="4" t="s">
        <v>278</v>
      </c>
      <c r="I2995" s="5" t="str">
        <f t="shared" si="46"/>
        <v>2025-11</v>
      </c>
      <c r="J2995" s="4" t="s">
        <v>34</v>
      </c>
      <c r="K2995" s="5" t="s">
        <v>342</v>
      </c>
      <c r="L2995" s="2">
        <v>658</v>
      </c>
      <c r="M2995" s="3">
        <v>10</v>
      </c>
      <c r="N2995" s="2">
        <v>6580</v>
      </c>
      <c r="O2995" s="2">
        <v>658</v>
      </c>
      <c r="P2995" s="2">
        <v>7238</v>
      </c>
      <c r="Q2995" s="2">
        <f>P2995*8.5%</f>
        <v>615.23</v>
      </c>
    </row>
    <row r="2996" spans="1:17" hidden="1" x14ac:dyDescent="0.4">
      <c r="A2996" s="4" t="s">
        <v>42</v>
      </c>
      <c r="B2996" s="4" t="s">
        <v>14</v>
      </c>
      <c r="C2996" s="30" t="s">
        <v>434</v>
      </c>
      <c r="D2996" s="4" t="s">
        <v>43</v>
      </c>
      <c r="E2996" s="4" t="s">
        <v>44</v>
      </c>
      <c r="F2996" s="4" t="s">
        <v>31</v>
      </c>
      <c r="G2996" s="4" t="s">
        <v>18</v>
      </c>
      <c r="H2996" s="4" t="s">
        <v>278</v>
      </c>
      <c r="I2996" s="5" t="str">
        <f t="shared" si="46"/>
        <v>2025-11</v>
      </c>
      <c r="J2996" s="4" t="s">
        <v>34</v>
      </c>
      <c r="K2996" s="5" t="s">
        <v>342</v>
      </c>
      <c r="L2996" s="2">
        <v>7300</v>
      </c>
      <c r="M2996" s="3">
        <v>30.7</v>
      </c>
      <c r="N2996" s="2">
        <v>224110</v>
      </c>
      <c r="O2996" s="2">
        <v>0</v>
      </c>
      <c r="P2996" s="2">
        <v>224110</v>
      </c>
      <c r="Q2996" s="2">
        <f>P2996*8.5%</f>
        <v>19049.350000000002</v>
      </c>
    </row>
    <row r="2997" spans="1:17" hidden="1" x14ac:dyDescent="0.4">
      <c r="A2997" s="4" t="s">
        <v>32</v>
      </c>
      <c r="B2997" s="4" t="s">
        <v>14</v>
      </c>
      <c r="C2997" s="31" t="s">
        <v>435</v>
      </c>
      <c r="D2997" s="4" t="s">
        <v>33</v>
      </c>
      <c r="E2997" s="4" t="s">
        <v>16</v>
      </c>
      <c r="F2997" s="4" t="s">
        <v>17</v>
      </c>
      <c r="G2997" s="4" t="s">
        <v>18</v>
      </c>
      <c r="H2997" s="4" t="s">
        <v>278</v>
      </c>
      <c r="I2997" s="5" t="str">
        <f t="shared" si="46"/>
        <v>2025-11</v>
      </c>
      <c r="J2997" s="4" t="s">
        <v>49</v>
      </c>
      <c r="K2997" s="5" t="s">
        <v>343</v>
      </c>
      <c r="L2997" s="2">
        <v>44000</v>
      </c>
      <c r="M2997" s="3">
        <v>4</v>
      </c>
      <c r="N2997" s="2">
        <v>176000</v>
      </c>
      <c r="O2997" s="2">
        <v>17600</v>
      </c>
      <c r="P2997" s="2">
        <v>193600</v>
      </c>
      <c r="Q2997" s="2">
        <f>P2997*12%</f>
        <v>23232</v>
      </c>
    </row>
    <row r="2998" spans="1:17" hidden="1" x14ac:dyDescent="0.4">
      <c r="A2998" s="4" t="s">
        <v>13</v>
      </c>
      <c r="B2998" s="4" t="s">
        <v>14</v>
      </c>
      <c r="C2998" s="30" t="s">
        <v>434</v>
      </c>
      <c r="D2998" s="4" t="s">
        <v>15</v>
      </c>
      <c r="E2998" s="4" t="s">
        <v>16</v>
      </c>
      <c r="F2998" s="4" t="s">
        <v>17</v>
      </c>
      <c r="G2998" s="4" t="s">
        <v>18</v>
      </c>
      <c r="H2998" s="4" t="s">
        <v>278</v>
      </c>
      <c r="I2998" s="5" t="str">
        <f t="shared" si="46"/>
        <v>2025-11</v>
      </c>
      <c r="J2998" s="4" t="s">
        <v>49</v>
      </c>
      <c r="K2998" s="5" t="s">
        <v>343</v>
      </c>
      <c r="L2998" s="2">
        <v>42000</v>
      </c>
      <c r="M2998" s="3">
        <v>4</v>
      </c>
      <c r="N2998" s="2">
        <v>168000</v>
      </c>
      <c r="O2998" s="2">
        <v>16800</v>
      </c>
      <c r="P2998" s="2">
        <v>184800</v>
      </c>
      <c r="Q2998" s="2">
        <f>P2998*12%</f>
        <v>22176</v>
      </c>
    </row>
    <row r="2999" spans="1:17" hidden="1" x14ac:dyDescent="0.4">
      <c r="A2999" s="4" t="s">
        <v>35</v>
      </c>
      <c r="B2999" s="4" t="s">
        <v>14</v>
      </c>
      <c r="C2999" s="30" t="s">
        <v>434</v>
      </c>
      <c r="D2999" s="4" t="s">
        <v>36</v>
      </c>
      <c r="E2999" s="4" t="s">
        <v>16</v>
      </c>
      <c r="F2999" s="4" t="s">
        <v>17</v>
      </c>
      <c r="G2999" s="4" t="s">
        <v>18</v>
      </c>
      <c r="H2999" s="4" t="s">
        <v>278</v>
      </c>
      <c r="I2999" s="5" t="str">
        <f t="shared" si="46"/>
        <v>2025-11</v>
      </c>
      <c r="J2999" s="4" t="s">
        <v>49</v>
      </c>
      <c r="K2999" s="5" t="s">
        <v>343</v>
      </c>
      <c r="L2999" s="2">
        <v>116220</v>
      </c>
      <c r="M2999" s="3">
        <v>2</v>
      </c>
      <c r="N2999" s="2">
        <v>232440</v>
      </c>
      <c r="O2999" s="2">
        <v>23244</v>
      </c>
      <c r="P2999" s="2">
        <v>255684</v>
      </c>
      <c r="Q2999" s="2">
        <f>P2999*12%</f>
        <v>30682.079999999998</v>
      </c>
    </row>
    <row r="3000" spans="1:17" hidden="1" x14ac:dyDescent="0.4">
      <c r="A3000" s="4" t="s">
        <v>23</v>
      </c>
      <c r="B3000" s="4" t="s">
        <v>14</v>
      </c>
      <c r="C3000" s="31" t="s">
        <v>435</v>
      </c>
      <c r="D3000" s="4" t="s">
        <v>24</v>
      </c>
      <c r="E3000" s="4" t="s">
        <v>16</v>
      </c>
      <c r="F3000" s="4" t="s">
        <v>17</v>
      </c>
      <c r="G3000" s="4" t="s">
        <v>18</v>
      </c>
      <c r="H3000" s="4" t="s">
        <v>278</v>
      </c>
      <c r="I3000" s="5" t="str">
        <f t="shared" si="46"/>
        <v>2025-11</v>
      </c>
      <c r="J3000" s="4" t="s">
        <v>49</v>
      </c>
      <c r="K3000" s="5" t="s">
        <v>343</v>
      </c>
      <c r="L3000" s="2">
        <v>55500</v>
      </c>
      <c r="M3000" s="3">
        <v>2</v>
      </c>
      <c r="N3000" s="2">
        <v>111000</v>
      </c>
      <c r="O3000" s="2">
        <v>11100</v>
      </c>
      <c r="P3000" s="2">
        <v>122100</v>
      </c>
      <c r="Q3000" s="2">
        <f>P3000*12%</f>
        <v>14652</v>
      </c>
    </row>
    <row r="3001" spans="1:17" x14ac:dyDescent="0.4">
      <c r="A3001" s="4" t="s">
        <v>13</v>
      </c>
      <c r="B3001" s="4" t="s">
        <v>14</v>
      </c>
      <c r="C3001" s="30" t="s">
        <v>434</v>
      </c>
      <c r="D3001" s="4" t="s">
        <v>15</v>
      </c>
      <c r="E3001" s="4" t="s">
        <v>16</v>
      </c>
      <c r="F3001" s="4" t="s">
        <v>17</v>
      </c>
      <c r="G3001" s="4" t="s">
        <v>18</v>
      </c>
      <c r="H3001" s="4" t="s">
        <v>279</v>
      </c>
      <c r="I3001" s="5" t="str">
        <f t="shared" si="46"/>
        <v>2025-11</v>
      </c>
      <c r="J3001" s="4" t="s">
        <v>20</v>
      </c>
      <c r="K3001" s="5" t="s">
        <v>342</v>
      </c>
      <c r="L3001" s="2">
        <v>42000</v>
      </c>
      <c r="M3001" s="3">
        <v>1</v>
      </c>
      <c r="N3001" s="2">
        <v>42000</v>
      </c>
      <c r="O3001" s="2">
        <v>4200</v>
      </c>
      <c r="P3001" s="2">
        <v>46200</v>
      </c>
      <c r="Q3001" s="2">
        <f>P3001*8.5%</f>
        <v>3927.0000000000005</v>
      </c>
    </row>
    <row r="3002" spans="1:17" x14ac:dyDescent="0.4">
      <c r="A3002" s="4" t="s">
        <v>21</v>
      </c>
      <c r="B3002" s="4" t="s">
        <v>14</v>
      </c>
      <c r="C3002" s="31" t="s">
        <v>435</v>
      </c>
      <c r="D3002" s="4" t="s">
        <v>22</v>
      </c>
      <c r="E3002" s="4" t="s">
        <v>16</v>
      </c>
      <c r="F3002" s="4" t="s">
        <v>17</v>
      </c>
      <c r="G3002" s="4" t="s">
        <v>18</v>
      </c>
      <c r="H3002" s="4" t="s">
        <v>279</v>
      </c>
      <c r="I3002" s="5" t="str">
        <f t="shared" si="46"/>
        <v>2025-11</v>
      </c>
      <c r="J3002" s="4" t="s">
        <v>20</v>
      </c>
      <c r="K3002" s="5" t="s">
        <v>342</v>
      </c>
      <c r="L3002" s="2">
        <v>55500</v>
      </c>
      <c r="M3002" s="3">
        <v>2</v>
      </c>
      <c r="N3002" s="2">
        <v>111000</v>
      </c>
      <c r="O3002" s="2">
        <v>11100</v>
      </c>
      <c r="P3002" s="2">
        <v>122100</v>
      </c>
      <c r="Q3002" s="2">
        <f>P3002*8.5%</f>
        <v>10378.5</v>
      </c>
    </row>
    <row r="3003" spans="1:17" x14ac:dyDescent="0.4">
      <c r="A3003" s="4" t="s">
        <v>23</v>
      </c>
      <c r="B3003" s="4" t="s">
        <v>14</v>
      </c>
      <c r="C3003" s="31" t="s">
        <v>435</v>
      </c>
      <c r="D3003" s="4" t="s">
        <v>24</v>
      </c>
      <c r="E3003" s="4" t="s">
        <v>16</v>
      </c>
      <c r="F3003" s="4" t="s">
        <v>17</v>
      </c>
      <c r="G3003" s="4" t="s">
        <v>18</v>
      </c>
      <c r="H3003" s="4" t="s">
        <v>279</v>
      </c>
      <c r="I3003" s="5" t="str">
        <f t="shared" si="46"/>
        <v>2025-11</v>
      </c>
      <c r="J3003" s="4" t="s">
        <v>20</v>
      </c>
      <c r="K3003" s="5" t="s">
        <v>342</v>
      </c>
      <c r="L3003" s="2">
        <v>55500</v>
      </c>
      <c r="M3003" s="3">
        <v>2</v>
      </c>
      <c r="N3003" s="2">
        <v>111000</v>
      </c>
      <c r="O3003" s="2">
        <v>11100</v>
      </c>
      <c r="P3003" s="2">
        <v>122100</v>
      </c>
      <c r="Q3003" s="2">
        <f>P3003*8.5%</f>
        <v>10378.5</v>
      </c>
    </row>
    <row r="3004" spans="1:17" x14ac:dyDescent="0.4">
      <c r="A3004" s="4" t="s">
        <v>56</v>
      </c>
      <c r="B3004" s="4" t="s">
        <v>26</v>
      </c>
      <c r="C3004" s="32" t="s">
        <v>436</v>
      </c>
      <c r="D3004" s="4" t="s">
        <v>57</v>
      </c>
      <c r="E3004" s="4" t="s">
        <v>44</v>
      </c>
      <c r="F3004" s="4" t="s">
        <v>31</v>
      </c>
      <c r="G3004" s="4" t="s">
        <v>18</v>
      </c>
      <c r="H3004" s="4" t="s">
        <v>279</v>
      </c>
      <c r="I3004" s="5" t="str">
        <f t="shared" si="46"/>
        <v>2025-11</v>
      </c>
      <c r="J3004" s="4" t="s">
        <v>20</v>
      </c>
      <c r="K3004" s="5" t="s">
        <v>342</v>
      </c>
      <c r="L3004" s="2">
        <v>2368</v>
      </c>
      <c r="M3004" s="3">
        <v>25</v>
      </c>
      <c r="N3004" s="2">
        <v>59200</v>
      </c>
      <c r="O3004" s="2">
        <v>0</v>
      </c>
      <c r="P3004" s="2">
        <v>59200</v>
      </c>
      <c r="Q3004" s="2">
        <f>P3004*8.5%</f>
        <v>5032</v>
      </c>
    </row>
    <row r="3005" spans="1:17" hidden="1" x14ac:dyDescent="0.4">
      <c r="A3005" s="4" t="s">
        <v>13</v>
      </c>
      <c r="B3005" s="4" t="s">
        <v>14</v>
      </c>
      <c r="C3005" s="30" t="s">
        <v>434</v>
      </c>
      <c r="D3005" s="4" t="s">
        <v>15</v>
      </c>
      <c r="E3005" s="4" t="s">
        <v>16</v>
      </c>
      <c r="F3005" s="4" t="s">
        <v>17</v>
      </c>
      <c r="G3005" s="4" t="s">
        <v>18</v>
      </c>
      <c r="H3005" s="4" t="s">
        <v>279</v>
      </c>
      <c r="I3005" s="5" t="str">
        <f t="shared" si="46"/>
        <v>2025-11</v>
      </c>
      <c r="J3005" s="4" t="s">
        <v>34</v>
      </c>
      <c r="K3005" s="5" t="s">
        <v>342</v>
      </c>
      <c r="L3005" s="2">
        <v>42000</v>
      </c>
      <c r="M3005" s="3">
        <v>4</v>
      </c>
      <c r="N3005" s="2">
        <v>168000</v>
      </c>
      <c r="O3005" s="2">
        <v>16800</v>
      </c>
      <c r="P3005" s="2">
        <v>184800</v>
      </c>
      <c r="Q3005" s="2">
        <f>P3005*8.5%</f>
        <v>15708.000000000002</v>
      </c>
    </row>
    <row r="3006" spans="1:17" hidden="1" x14ac:dyDescent="0.4">
      <c r="A3006" s="4" t="s">
        <v>21</v>
      </c>
      <c r="B3006" s="4" t="s">
        <v>14</v>
      </c>
      <c r="C3006" s="31" t="s">
        <v>435</v>
      </c>
      <c r="D3006" s="4" t="s">
        <v>22</v>
      </c>
      <c r="E3006" s="4" t="s">
        <v>16</v>
      </c>
      <c r="F3006" s="4" t="s">
        <v>17</v>
      </c>
      <c r="G3006" s="4" t="s">
        <v>18</v>
      </c>
      <c r="H3006" s="4" t="s">
        <v>279</v>
      </c>
      <c r="I3006" s="5" t="str">
        <f t="shared" si="46"/>
        <v>2025-11</v>
      </c>
      <c r="J3006" s="4" t="s">
        <v>34</v>
      </c>
      <c r="K3006" s="5" t="s">
        <v>342</v>
      </c>
      <c r="L3006" s="2">
        <v>55500</v>
      </c>
      <c r="M3006" s="3">
        <v>1</v>
      </c>
      <c r="N3006" s="2">
        <v>55500</v>
      </c>
      <c r="O3006" s="2">
        <v>5550</v>
      </c>
      <c r="P3006" s="2">
        <v>61050</v>
      </c>
      <c r="Q3006" s="2">
        <f>P3006*8.5%</f>
        <v>5189.25</v>
      </c>
    </row>
    <row r="3007" spans="1:17" hidden="1" x14ac:dyDescent="0.4">
      <c r="A3007" s="4" t="s">
        <v>35</v>
      </c>
      <c r="B3007" s="4" t="s">
        <v>14</v>
      </c>
      <c r="C3007" s="30" t="s">
        <v>434</v>
      </c>
      <c r="D3007" s="4" t="s">
        <v>36</v>
      </c>
      <c r="E3007" s="4" t="s">
        <v>16</v>
      </c>
      <c r="F3007" s="4" t="s">
        <v>17</v>
      </c>
      <c r="G3007" s="4" t="s">
        <v>18</v>
      </c>
      <c r="H3007" s="4" t="s">
        <v>279</v>
      </c>
      <c r="I3007" s="5" t="str">
        <f t="shared" si="46"/>
        <v>2025-11</v>
      </c>
      <c r="J3007" s="4" t="s">
        <v>34</v>
      </c>
      <c r="K3007" s="5" t="s">
        <v>342</v>
      </c>
      <c r="L3007" s="2">
        <v>116220</v>
      </c>
      <c r="M3007" s="3">
        <v>1</v>
      </c>
      <c r="N3007" s="2">
        <v>116220</v>
      </c>
      <c r="O3007" s="2">
        <v>11622</v>
      </c>
      <c r="P3007" s="2">
        <v>127842</v>
      </c>
      <c r="Q3007" s="2">
        <f>P3007*8.5%</f>
        <v>10866.570000000002</v>
      </c>
    </row>
    <row r="3008" spans="1:17" hidden="1" x14ac:dyDescent="0.4">
      <c r="A3008" s="4" t="s">
        <v>23</v>
      </c>
      <c r="B3008" s="4" t="s">
        <v>14</v>
      </c>
      <c r="C3008" s="31" t="s">
        <v>435</v>
      </c>
      <c r="D3008" s="4" t="s">
        <v>24</v>
      </c>
      <c r="E3008" s="4" t="s">
        <v>16</v>
      </c>
      <c r="F3008" s="4" t="s">
        <v>17</v>
      </c>
      <c r="G3008" s="4" t="s">
        <v>18</v>
      </c>
      <c r="H3008" s="4" t="s">
        <v>279</v>
      </c>
      <c r="I3008" s="5" t="str">
        <f t="shared" si="46"/>
        <v>2025-11</v>
      </c>
      <c r="J3008" s="4" t="s">
        <v>34</v>
      </c>
      <c r="K3008" s="5" t="s">
        <v>342</v>
      </c>
      <c r="L3008" s="2">
        <v>55500</v>
      </c>
      <c r="M3008" s="3">
        <v>3</v>
      </c>
      <c r="N3008" s="2">
        <v>166500</v>
      </c>
      <c r="O3008" s="2">
        <v>16650</v>
      </c>
      <c r="P3008" s="2">
        <v>183150</v>
      </c>
      <c r="Q3008" s="2">
        <f>P3008*8.5%</f>
        <v>15567.750000000002</v>
      </c>
    </row>
    <row r="3009" spans="1:17" hidden="1" x14ac:dyDescent="0.4">
      <c r="A3009" s="4" t="s">
        <v>51</v>
      </c>
      <c r="B3009" s="4" t="s">
        <v>14</v>
      </c>
      <c r="C3009" s="30" t="s">
        <v>434</v>
      </c>
      <c r="D3009" s="4" t="s">
        <v>52</v>
      </c>
      <c r="E3009" s="4" t="s">
        <v>16</v>
      </c>
      <c r="F3009" s="4" t="s">
        <v>17</v>
      </c>
      <c r="G3009" s="4" t="s">
        <v>18</v>
      </c>
      <c r="H3009" s="4" t="s">
        <v>279</v>
      </c>
      <c r="I3009" s="5" t="str">
        <f t="shared" si="46"/>
        <v>2025-11</v>
      </c>
      <c r="J3009" s="4" t="s">
        <v>34</v>
      </c>
      <c r="K3009" s="5" t="s">
        <v>342</v>
      </c>
      <c r="L3009" s="2">
        <v>73000</v>
      </c>
      <c r="M3009" s="3">
        <v>1</v>
      </c>
      <c r="N3009" s="2">
        <v>73000</v>
      </c>
      <c r="O3009" s="2">
        <v>7300</v>
      </c>
      <c r="P3009" s="2">
        <v>80300</v>
      </c>
      <c r="Q3009" s="2">
        <f>P3009*8.5%</f>
        <v>6825.5000000000009</v>
      </c>
    </row>
    <row r="3010" spans="1:17" hidden="1" x14ac:dyDescent="0.4">
      <c r="A3010" s="4" t="s">
        <v>73</v>
      </c>
      <c r="B3010" s="4" t="s">
        <v>26</v>
      </c>
      <c r="C3010" s="32" t="s">
        <v>436</v>
      </c>
      <c r="D3010" s="4" t="s">
        <v>57</v>
      </c>
      <c r="E3010" s="4" t="s">
        <v>28</v>
      </c>
      <c r="F3010" s="4" t="s">
        <v>17</v>
      </c>
      <c r="G3010" s="4" t="s">
        <v>18</v>
      </c>
      <c r="H3010" s="4" t="s">
        <v>279</v>
      </c>
      <c r="I3010" s="5" t="str">
        <f t="shared" ref="I3010:I3073" si="47">TEXT(H3010,"yyyy-mm")</f>
        <v>2025-11</v>
      </c>
      <c r="J3010" s="4" t="s">
        <v>34</v>
      </c>
      <c r="K3010" s="5" t="s">
        <v>342</v>
      </c>
      <c r="L3010" s="2">
        <v>7055</v>
      </c>
      <c r="M3010" s="3">
        <v>2</v>
      </c>
      <c r="N3010" s="2">
        <v>14110</v>
      </c>
      <c r="O3010" s="2">
        <v>1411</v>
      </c>
      <c r="P3010" s="2">
        <v>15521</v>
      </c>
      <c r="Q3010" s="2">
        <f>P3010*8.5%</f>
        <v>1319.2850000000001</v>
      </c>
    </row>
    <row r="3011" spans="1:17" hidden="1" x14ac:dyDescent="0.4">
      <c r="A3011" s="4" t="s">
        <v>42</v>
      </c>
      <c r="B3011" s="4" t="s">
        <v>14</v>
      </c>
      <c r="C3011" s="30" t="s">
        <v>434</v>
      </c>
      <c r="D3011" s="4" t="s">
        <v>43</v>
      </c>
      <c r="E3011" s="4" t="s">
        <v>44</v>
      </c>
      <c r="F3011" s="4" t="s">
        <v>31</v>
      </c>
      <c r="G3011" s="4" t="s">
        <v>18</v>
      </c>
      <c r="H3011" s="4" t="s">
        <v>279</v>
      </c>
      <c r="I3011" s="5" t="str">
        <f t="shared" si="47"/>
        <v>2025-11</v>
      </c>
      <c r="J3011" s="4" t="s">
        <v>34</v>
      </c>
      <c r="K3011" s="5" t="s">
        <v>342</v>
      </c>
      <c r="L3011" s="2">
        <v>7300</v>
      </c>
      <c r="M3011" s="3">
        <v>64.5</v>
      </c>
      <c r="N3011" s="2">
        <v>470850</v>
      </c>
      <c r="O3011" s="2">
        <v>0</v>
      </c>
      <c r="P3011" s="2">
        <v>470850</v>
      </c>
      <c r="Q3011" s="2">
        <f>P3011*8.5%</f>
        <v>40022.25</v>
      </c>
    </row>
    <row r="3012" spans="1:17" hidden="1" x14ac:dyDescent="0.4">
      <c r="A3012" s="4" t="s">
        <v>32</v>
      </c>
      <c r="B3012" s="4" t="s">
        <v>14</v>
      </c>
      <c r="C3012" s="31" t="s">
        <v>435</v>
      </c>
      <c r="D3012" s="4" t="s">
        <v>33</v>
      </c>
      <c r="E3012" s="4" t="s">
        <v>16</v>
      </c>
      <c r="F3012" s="4" t="s">
        <v>17</v>
      </c>
      <c r="G3012" s="4" t="s">
        <v>18</v>
      </c>
      <c r="H3012" s="4" t="s">
        <v>279</v>
      </c>
      <c r="I3012" s="5" t="str">
        <f t="shared" si="47"/>
        <v>2025-11</v>
      </c>
      <c r="J3012" s="4" t="s">
        <v>50</v>
      </c>
      <c r="K3012" s="5" t="s">
        <v>343</v>
      </c>
      <c r="L3012" s="2">
        <v>44000</v>
      </c>
      <c r="M3012" s="3">
        <v>1</v>
      </c>
      <c r="N3012" s="2">
        <v>44000</v>
      </c>
      <c r="O3012" s="2">
        <v>4400</v>
      </c>
      <c r="P3012" s="2">
        <v>48400</v>
      </c>
      <c r="Q3012" s="2">
        <f>P3012*12%</f>
        <v>5808</v>
      </c>
    </row>
    <row r="3013" spans="1:17" hidden="1" x14ac:dyDescent="0.4">
      <c r="A3013" s="4" t="s">
        <v>13</v>
      </c>
      <c r="B3013" s="4" t="s">
        <v>14</v>
      </c>
      <c r="C3013" s="30" t="s">
        <v>434</v>
      </c>
      <c r="D3013" s="4" t="s">
        <v>15</v>
      </c>
      <c r="E3013" s="4" t="s">
        <v>16</v>
      </c>
      <c r="F3013" s="4" t="s">
        <v>17</v>
      </c>
      <c r="G3013" s="4" t="s">
        <v>18</v>
      </c>
      <c r="H3013" s="4" t="s">
        <v>279</v>
      </c>
      <c r="I3013" s="5" t="str">
        <f t="shared" si="47"/>
        <v>2025-11</v>
      </c>
      <c r="J3013" s="4" t="s">
        <v>50</v>
      </c>
      <c r="K3013" s="5" t="s">
        <v>343</v>
      </c>
      <c r="L3013" s="2">
        <v>42000</v>
      </c>
      <c r="M3013" s="3">
        <v>5</v>
      </c>
      <c r="N3013" s="2">
        <v>210000</v>
      </c>
      <c r="O3013" s="2">
        <v>21000</v>
      </c>
      <c r="P3013" s="2">
        <v>231000</v>
      </c>
      <c r="Q3013" s="2">
        <f>P3013*12%</f>
        <v>27720</v>
      </c>
    </row>
    <row r="3014" spans="1:17" hidden="1" x14ac:dyDescent="0.4">
      <c r="A3014" s="4" t="s">
        <v>23</v>
      </c>
      <c r="B3014" s="4" t="s">
        <v>14</v>
      </c>
      <c r="C3014" s="31" t="s">
        <v>435</v>
      </c>
      <c r="D3014" s="4" t="s">
        <v>24</v>
      </c>
      <c r="E3014" s="4" t="s">
        <v>16</v>
      </c>
      <c r="F3014" s="4" t="s">
        <v>17</v>
      </c>
      <c r="G3014" s="4" t="s">
        <v>18</v>
      </c>
      <c r="H3014" s="4" t="s">
        <v>279</v>
      </c>
      <c r="I3014" s="5" t="str">
        <f t="shared" si="47"/>
        <v>2025-11</v>
      </c>
      <c r="J3014" s="4" t="s">
        <v>50</v>
      </c>
      <c r="K3014" s="5" t="s">
        <v>343</v>
      </c>
      <c r="L3014" s="2">
        <v>55500</v>
      </c>
      <c r="M3014" s="3">
        <v>3</v>
      </c>
      <c r="N3014" s="2">
        <v>166500</v>
      </c>
      <c r="O3014" s="2">
        <v>16650</v>
      </c>
      <c r="P3014" s="2">
        <v>183150</v>
      </c>
      <c r="Q3014" s="2">
        <f>P3014*12%</f>
        <v>21978</v>
      </c>
    </row>
    <row r="3015" spans="1:17" hidden="1" x14ac:dyDescent="0.4">
      <c r="A3015" s="4" t="s">
        <v>51</v>
      </c>
      <c r="B3015" s="4" t="s">
        <v>14</v>
      </c>
      <c r="C3015" s="30" t="s">
        <v>434</v>
      </c>
      <c r="D3015" s="4" t="s">
        <v>52</v>
      </c>
      <c r="E3015" s="4" t="s">
        <v>16</v>
      </c>
      <c r="F3015" s="4" t="s">
        <v>17</v>
      </c>
      <c r="G3015" s="4" t="s">
        <v>18</v>
      </c>
      <c r="H3015" s="4" t="s">
        <v>279</v>
      </c>
      <c r="I3015" s="5" t="str">
        <f t="shared" si="47"/>
        <v>2025-11</v>
      </c>
      <c r="J3015" s="4" t="s">
        <v>50</v>
      </c>
      <c r="K3015" s="5" t="s">
        <v>343</v>
      </c>
      <c r="L3015" s="2">
        <v>73000</v>
      </c>
      <c r="M3015" s="3">
        <v>1</v>
      </c>
      <c r="N3015" s="2">
        <v>73000</v>
      </c>
      <c r="O3015" s="2">
        <v>7300</v>
      </c>
      <c r="P3015" s="2">
        <v>80300</v>
      </c>
      <c r="Q3015" s="2">
        <f>P3015*12%</f>
        <v>9636</v>
      </c>
    </row>
    <row r="3016" spans="1:17" hidden="1" x14ac:dyDescent="0.4">
      <c r="A3016" s="4" t="s">
        <v>13</v>
      </c>
      <c r="B3016" s="4" t="s">
        <v>14</v>
      </c>
      <c r="C3016" s="30" t="s">
        <v>434</v>
      </c>
      <c r="D3016" s="4" t="s">
        <v>15</v>
      </c>
      <c r="E3016" s="4" t="s">
        <v>16</v>
      </c>
      <c r="F3016" s="4" t="s">
        <v>17</v>
      </c>
      <c r="G3016" s="4" t="s">
        <v>18</v>
      </c>
      <c r="H3016" s="4" t="s">
        <v>280</v>
      </c>
      <c r="I3016" s="5" t="str">
        <f t="shared" si="47"/>
        <v>2025-11</v>
      </c>
      <c r="J3016" s="4" t="s">
        <v>281</v>
      </c>
      <c r="K3016" s="5" t="s">
        <v>342</v>
      </c>
      <c r="L3016" s="2">
        <v>42000</v>
      </c>
      <c r="M3016" s="3">
        <v>1</v>
      </c>
      <c r="N3016" s="2">
        <v>42000</v>
      </c>
      <c r="O3016" s="2">
        <v>4200</v>
      </c>
      <c r="P3016" s="2">
        <v>46200</v>
      </c>
      <c r="Q3016" s="2">
        <f>P3016*8.5%</f>
        <v>3927.0000000000005</v>
      </c>
    </row>
    <row r="3017" spans="1:17" hidden="1" x14ac:dyDescent="0.4">
      <c r="A3017" s="4" t="s">
        <v>23</v>
      </c>
      <c r="B3017" s="4" t="s">
        <v>14</v>
      </c>
      <c r="C3017" s="31" t="s">
        <v>435</v>
      </c>
      <c r="D3017" s="4" t="s">
        <v>24</v>
      </c>
      <c r="E3017" s="4" t="s">
        <v>16</v>
      </c>
      <c r="F3017" s="4" t="s">
        <v>17</v>
      </c>
      <c r="G3017" s="4" t="s">
        <v>18</v>
      </c>
      <c r="H3017" s="4" t="s">
        <v>280</v>
      </c>
      <c r="I3017" s="5" t="str">
        <f t="shared" si="47"/>
        <v>2025-11</v>
      </c>
      <c r="J3017" s="4" t="s">
        <v>281</v>
      </c>
      <c r="K3017" s="5" t="s">
        <v>342</v>
      </c>
      <c r="L3017" s="2">
        <v>55500</v>
      </c>
      <c r="M3017" s="3">
        <v>2</v>
      </c>
      <c r="N3017" s="2">
        <v>111000</v>
      </c>
      <c r="O3017" s="2">
        <v>11100</v>
      </c>
      <c r="P3017" s="2">
        <v>122100</v>
      </c>
      <c r="Q3017" s="2">
        <f>P3017*8.5%</f>
        <v>10378.5</v>
      </c>
    </row>
    <row r="3018" spans="1:17" x14ac:dyDescent="0.4">
      <c r="A3018" s="4" t="s">
        <v>13</v>
      </c>
      <c r="B3018" s="4" t="s">
        <v>14</v>
      </c>
      <c r="C3018" s="30" t="s">
        <v>434</v>
      </c>
      <c r="D3018" s="4" t="s">
        <v>15</v>
      </c>
      <c r="E3018" s="4" t="s">
        <v>16</v>
      </c>
      <c r="F3018" s="4" t="s">
        <v>17</v>
      </c>
      <c r="G3018" s="4" t="s">
        <v>18</v>
      </c>
      <c r="H3018" s="4" t="s">
        <v>280</v>
      </c>
      <c r="I3018" s="5" t="str">
        <f t="shared" si="47"/>
        <v>2025-11</v>
      </c>
      <c r="J3018" s="4" t="s">
        <v>20</v>
      </c>
      <c r="K3018" s="5" t="s">
        <v>342</v>
      </c>
      <c r="L3018" s="2">
        <v>42000</v>
      </c>
      <c r="M3018" s="3">
        <v>1</v>
      </c>
      <c r="N3018" s="2">
        <v>42000</v>
      </c>
      <c r="O3018" s="2">
        <v>4200</v>
      </c>
      <c r="P3018" s="2">
        <v>46200</v>
      </c>
      <c r="Q3018" s="2">
        <f>P3018*8.5%</f>
        <v>3927.0000000000005</v>
      </c>
    </row>
    <row r="3019" spans="1:17" x14ac:dyDescent="0.4">
      <c r="A3019" s="4" t="s">
        <v>21</v>
      </c>
      <c r="B3019" s="4" t="s">
        <v>14</v>
      </c>
      <c r="C3019" s="31" t="s">
        <v>435</v>
      </c>
      <c r="D3019" s="4" t="s">
        <v>22</v>
      </c>
      <c r="E3019" s="4" t="s">
        <v>16</v>
      </c>
      <c r="F3019" s="4" t="s">
        <v>17</v>
      </c>
      <c r="G3019" s="4" t="s">
        <v>18</v>
      </c>
      <c r="H3019" s="4" t="s">
        <v>280</v>
      </c>
      <c r="I3019" s="5" t="str">
        <f t="shared" si="47"/>
        <v>2025-11</v>
      </c>
      <c r="J3019" s="4" t="s">
        <v>20</v>
      </c>
      <c r="K3019" s="5" t="s">
        <v>342</v>
      </c>
      <c r="L3019" s="2">
        <v>55500</v>
      </c>
      <c r="M3019" s="3">
        <v>2</v>
      </c>
      <c r="N3019" s="2">
        <v>111000</v>
      </c>
      <c r="O3019" s="2">
        <v>11100</v>
      </c>
      <c r="P3019" s="2">
        <v>122100</v>
      </c>
      <c r="Q3019" s="2">
        <f>P3019*8.5%</f>
        <v>10378.5</v>
      </c>
    </row>
    <row r="3020" spans="1:17" x14ac:dyDescent="0.4">
      <c r="A3020" s="4" t="s">
        <v>23</v>
      </c>
      <c r="B3020" s="4" t="s">
        <v>14</v>
      </c>
      <c r="C3020" s="31" t="s">
        <v>435</v>
      </c>
      <c r="D3020" s="4" t="s">
        <v>24</v>
      </c>
      <c r="E3020" s="4" t="s">
        <v>16</v>
      </c>
      <c r="F3020" s="4" t="s">
        <v>17</v>
      </c>
      <c r="G3020" s="4" t="s">
        <v>18</v>
      </c>
      <c r="H3020" s="4" t="s">
        <v>280</v>
      </c>
      <c r="I3020" s="5" t="str">
        <f t="shared" si="47"/>
        <v>2025-11</v>
      </c>
      <c r="J3020" s="4" t="s">
        <v>20</v>
      </c>
      <c r="K3020" s="5" t="s">
        <v>342</v>
      </c>
      <c r="L3020" s="2">
        <v>55500</v>
      </c>
      <c r="M3020" s="3">
        <v>3</v>
      </c>
      <c r="N3020" s="2">
        <v>166500</v>
      </c>
      <c r="O3020" s="2">
        <v>16650</v>
      </c>
      <c r="P3020" s="2">
        <v>183150</v>
      </c>
      <c r="Q3020" s="2">
        <f>P3020*8.5%</f>
        <v>15567.750000000002</v>
      </c>
    </row>
    <row r="3021" spans="1:17" x14ac:dyDescent="0.4">
      <c r="A3021" s="4" t="s">
        <v>76</v>
      </c>
      <c r="B3021" s="4" t="s">
        <v>65</v>
      </c>
      <c r="C3021" s="32" t="s">
        <v>436</v>
      </c>
      <c r="D3021" s="4" t="s">
        <v>27</v>
      </c>
      <c r="E3021" s="4" t="s">
        <v>28</v>
      </c>
      <c r="F3021" s="4" t="s">
        <v>17</v>
      </c>
      <c r="G3021" s="4" t="s">
        <v>18</v>
      </c>
      <c r="H3021" s="4" t="s">
        <v>280</v>
      </c>
      <c r="I3021" s="5" t="str">
        <f t="shared" si="47"/>
        <v>2025-11</v>
      </c>
      <c r="J3021" s="4" t="s">
        <v>20</v>
      </c>
      <c r="K3021" s="5" t="s">
        <v>342</v>
      </c>
      <c r="L3021" s="2">
        <v>17338</v>
      </c>
      <c r="M3021" s="3">
        <v>1</v>
      </c>
      <c r="N3021" s="2">
        <v>17338</v>
      </c>
      <c r="O3021" s="2">
        <v>1734</v>
      </c>
      <c r="P3021" s="2">
        <v>19072</v>
      </c>
      <c r="Q3021" s="2">
        <f>P3021*8.5%</f>
        <v>1621.1200000000001</v>
      </c>
    </row>
    <row r="3022" spans="1:17" x14ac:dyDescent="0.4">
      <c r="A3022" s="4" t="s">
        <v>100</v>
      </c>
      <c r="B3022" s="4" t="s">
        <v>26</v>
      </c>
      <c r="C3022" s="32" t="s">
        <v>436</v>
      </c>
      <c r="D3022" s="4" t="s">
        <v>101</v>
      </c>
      <c r="E3022" s="4" t="s">
        <v>28</v>
      </c>
      <c r="F3022" s="4" t="s">
        <v>17</v>
      </c>
      <c r="G3022" s="4" t="s">
        <v>18</v>
      </c>
      <c r="H3022" s="4" t="s">
        <v>280</v>
      </c>
      <c r="I3022" s="5" t="str">
        <f t="shared" si="47"/>
        <v>2025-11</v>
      </c>
      <c r="J3022" s="4" t="s">
        <v>20</v>
      </c>
      <c r="K3022" s="5" t="s">
        <v>342</v>
      </c>
      <c r="L3022" s="2">
        <v>5620</v>
      </c>
      <c r="M3022" s="3">
        <v>4</v>
      </c>
      <c r="N3022" s="2">
        <v>22480</v>
      </c>
      <c r="O3022" s="2">
        <v>2248</v>
      </c>
      <c r="P3022" s="2">
        <v>24728</v>
      </c>
      <c r="Q3022" s="2">
        <f>P3022*8.5%</f>
        <v>2101.88</v>
      </c>
    </row>
    <row r="3023" spans="1:17" x14ac:dyDescent="0.4">
      <c r="A3023" s="4" t="s">
        <v>29</v>
      </c>
      <c r="B3023" s="4" t="s">
        <v>26</v>
      </c>
      <c r="C3023" s="32" t="s">
        <v>436</v>
      </c>
      <c r="D3023" s="4" t="s">
        <v>30</v>
      </c>
      <c r="E3023" s="4" t="s">
        <v>28</v>
      </c>
      <c r="F3023" s="4" t="s">
        <v>31</v>
      </c>
      <c r="G3023" s="4" t="s">
        <v>18</v>
      </c>
      <c r="H3023" s="4" t="s">
        <v>280</v>
      </c>
      <c r="I3023" s="5" t="str">
        <f t="shared" si="47"/>
        <v>2025-11</v>
      </c>
      <c r="J3023" s="4" t="s">
        <v>20</v>
      </c>
      <c r="K3023" s="5" t="s">
        <v>342</v>
      </c>
      <c r="L3023" s="2">
        <v>3719</v>
      </c>
      <c r="M3023" s="3">
        <v>1</v>
      </c>
      <c r="N3023" s="2">
        <v>3719</v>
      </c>
      <c r="O3023" s="2">
        <v>0</v>
      </c>
      <c r="P3023" s="2">
        <v>3719</v>
      </c>
      <c r="Q3023" s="2">
        <f>P3023*8.5%</f>
        <v>316.11500000000001</v>
      </c>
    </row>
    <row r="3024" spans="1:17" hidden="1" x14ac:dyDescent="0.4">
      <c r="A3024" s="4" t="s">
        <v>64</v>
      </c>
      <c r="B3024" s="4" t="s">
        <v>65</v>
      </c>
      <c r="C3024" s="32" t="s">
        <v>436</v>
      </c>
      <c r="D3024" s="4" t="s">
        <v>66</v>
      </c>
      <c r="E3024" s="4" t="s">
        <v>16</v>
      </c>
      <c r="F3024" s="4" t="s">
        <v>17</v>
      </c>
      <c r="G3024" s="4" t="s">
        <v>18</v>
      </c>
      <c r="H3024" s="4" t="s">
        <v>280</v>
      </c>
      <c r="I3024" s="5" t="str">
        <f t="shared" si="47"/>
        <v>2025-11</v>
      </c>
      <c r="J3024" s="4" t="s">
        <v>34</v>
      </c>
      <c r="K3024" s="5" t="s">
        <v>342</v>
      </c>
      <c r="L3024" s="2">
        <v>10283</v>
      </c>
      <c r="M3024" s="3">
        <v>1</v>
      </c>
      <c r="N3024" s="2">
        <v>10283</v>
      </c>
      <c r="O3024" s="2">
        <v>1028</v>
      </c>
      <c r="P3024" s="2">
        <v>11311</v>
      </c>
      <c r="Q3024" s="2">
        <f>P3024*8.5%</f>
        <v>961.43500000000006</v>
      </c>
    </row>
    <row r="3025" spans="1:17" hidden="1" x14ac:dyDescent="0.4">
      <c r="A3025" s="4" t="s">
        <v>32</v>
      </c>
      <c r="B3025" s="4" t="s">
        <v>14</v>
      </c>
      <c r="C3025" s="31" t="s">
        <v>435</v>
      </c>
      <c r="D3025" s="4" t="s">
        <v>33</v>
      </c>
      <c r="E3025" s="4" t="s">
        <v>16</v>
      </c>
      <c r="F3025" s="4" t="s">
        <v>17</v>
      </c>
      <c r="G3025" s="4" t="s">
        <v>18</v>
      </c>
      <c r="H3025" s="4" t="s">
        <v>280</v>
      </c>
      <c r="I3025" s="5" t="str">
        <f t="shared" si="47"/>
        <v>2025-11</v>
      </c>
      <c r="J3025" s="4" t="s">
        <v>34</v>
      </c>
      <c r="K3025" s="5" t="s">
        <v>342</v>
      </c>
      <c r="L3025" s="2">
        <v>44000</v>
      </c>
      <c r="M3025" s="3">
        <v>3</v>
      </c>
      <c r="N3025" s="2">
        <v>132000</v>
      </c>
      <c r="O3025" s="2">
        <v>13200</v>
      </c>
      <c r="P3025" s="2">
        <v>145200</v>
      </c>
      <c r="Q3025" s="2">
        <f>P3025*8.5%</f>
        <v>12342</v>
      </c>
    </row>
    <row r="3026" spans="1:17" hidden="1" x14ac:dyDescent="0.4">
      <c r="A3026" s="4" t="s">
        <v>13</v>
      </c>
      <c r="B3026" s="4" t="s">
        <v>14</v>
      </c>
      <c r="C3026" s="30" t="s">
        <v>434</v>
      </c>
      <c r="D3026" s="4" t="s">
        <v>15</v>
      </c>
      <c r="E3026" s="4" t="s">
        <v>16</v>
      </c>
      <c r="F3026" s="4" t="s">
        <v>17</v>
      </c>
      <c r="G3026" s="4" t="s">
        <v>18</v>
      </c>
      <c r="H3026" s="4" t="s">
        <v>280</v>
      </c>
      <c r="I3026" s="5" t="str">
        <f t="shared" si="47"/>
        <v>2025-11</v>
      </c>
      <c r="J3026" s="4" t="s">
        <v>34</v>
      </c>
      <c r="K3026" s="5" t="s">
        <v>342</v>
      </c>
      <c r="L3026" s="2">
        <v>42000</v>
      </c>
      <c r="M3026" s="3">
        <v>4</v>
      </c>
      <c r="N3026" s="2">
        <v>168000</v>
      </c>
      <c r="O3026" s="2">
        <v>16800</v>
      </c>
      <c r="P3026" s="2">
        <v>184800</v>
      </c>
      <c r="Q3026" s="2">
        <f>P3026*8.5%</f>
        <v>15708.000000000002</v>
      </c>
    </row>
    <row r="3027" spans="1:17" hidden="1" x14ac:dyDescent="0.4">
      <c r="A3027" s="4" t="s">
        <v>21</v>
      </c>
      <c r="B3027" s="4" t="s">
        <v>14</v>
      </c>
      <c r="C3027" s="31" t="s">
        <v>435</v>
      </c>
      <c r="D3027" s="4" t="s">
        <v>22</v>
      </c>
      <c r="E3027" s="4" t="s">
        <v>16</v>
      </c>
      <c r="F3027" s="4" t="s">
        <v>17</v>
      </c>
      <c r="G3027" s="4" t="s">
        <v>18</v>
      </c>
      <c r="H3027" s="4" t="s">
        <v>280</v>
      </c>
      <c r="I3027" s="5" t="str">
        <f t="shared" si="47"/>
        <v>2025-11</v>
      </c>
      <c r="J3027" s="4" t="s">
        <v>34</v>
      </c>
      <c r="K3027" s="5" t="s">
        <v>342</v>
      </c>
      <c r="L3027" s="2">
        <v>55500</v>
      </c>
      <c r="M3027" s="3">
        <v>1</v>
      </c>
      <c r="N3027" s="2">
        <v>55500</v>
      </c>
      <c r="O3027" s="2">
        <v>5550</v>
      </c>
      <c r="P3027" s="2">
        <v>61050</v>
      </c>
      <c r="Q3027" s="2">
        <f>P3027*8.5%</f>
        <v>5189.25</v>
      </c>
    </row>
    <row r="3028" spans="1:17" hidden="1" x14ac:dyDescent="0.4">
      <c r="A3028" s="4" t="s">
        <v>23</v>
      </c>
      <c r="B3028" s="4" t="s">
        <v>14</v>
      </c>
      <c r="C3028" s="31" t="s">
        <v>435</v>
      </c>
      <c r="D3028" s="4" t="s">
        <v>24</v>
      </c>
      <c r="E3028" s="4" t="s">
        <v>16</v>
      </c>
      <c r="F3028" s="4" t="s">
        <v>17</v>
      </c>
      <c r="G3028" s="4" t="s">
        <v>18</v>
      </c>
      <c r="H3028" s="4" t="s">
        <v>280</v>
      </c>
      <c r="I3028" s="5" t="str">
        <f t="shared" si="47"/>
        <v>2025-11</v>
      </c>
      <c r="J3028" s="4" t="s">
        <v>34</v>
      </c>
      <c r="K3028" s="5" t="s">
        <v>342</v>
      </c>
      <c r="L3028" s="2">
        <v>55500</v>
      </c>
      <c r="M3028" s="3">
        <v>5</v>
      </c>
      <c r="N3028" s="2">
        <v>277500</v>
      </c>
      <c r="O3028" s="2">
        <v>27750</v>
      </c>
      <c r="P3028" s="2">
        <v>305250</v>
      </c>
      <c r="Q3028" s="2">
        <f>P3028*8.5%</f>
        <v>25946.250000000004</v>
      </c>
    </row>
    <row r="3029" spans="1:17" hidden="1" x14ac:dyDescent="0.4">
      <c r="A3029" s="4" t="s">
        <v>40</v>
      </c>
      <c r="B3029" s="4" t="s">
        <v>26</v>
      </c>
      <c r="C3029" s="32" t="s">
        <v>436</v>
      </c>
      <c r="D3029" s="4" t="s">
        <v>41</v>
      </c>
      <c r="E3029" s="4" t="s">
        <v>28</v>
      </c>
      <c r="F3029" s="4" t="s">
        <v>17</v>
      </c>
      <c r="G3029" s="4" t="s">
        <v>18</v>
      </c>
      <c r="H3029" s="4" t="s">
        <v>280</v>
      </c>
      <c r="I3029" s="5" t="str">
        <f t="shared" si="47"/>
        <v>2025-11</v>
      </c>
      <c r="J3029" s="4" t="s">
        <v>34</v>
      </c>
      <c r="K3029" s="5" t="s">
        <v>342</v>
      </c>
      <c r="L3029" s="2">
        <v>17936</v>
      </c>
      <c r="M3029" s="3">
        <v>2</v>
      </c>
      <c r="N3029" s="2">
        <v>35872</v>
      </c>
      <c r="O3029" s="2">
        <v>3587</v>
      </c>
      <c r="P3029" s="2">
        <v>39459</v>
      </c>
      <c r="Q3029" s="2">
        <f>P3029*8.5%</f>
        <v>3354.0150000000003</v>
      </c>
    </row>
    <row r="3030" spans="1:17" hidden="1" x14ac:dyDescent="0.4">
      <c r="A3030" s="4" t="s">
        <v>42</v>
      </c>
      <c r="B3030" s="4" t="s">
        <v>14</v>
      </c>
      <c r="C3030" s="30" t="s">
        <v>434</v>
      </c>
      <c r="D3030" s="4" t="s">
        <v>43</v>
      </c>
      <c r="E3030" s="4" t="s">
        <v>44</v>
      </c>
      <c r="F3030" s="4" t="s">
        <v>31</v>
      </c>
      <c r="G3030" s="4" t="s">
        <v>18</v>
      </c>
      <c r="H3030" s="4" t="s">
        <v>280</v>
      </c>
      <c r="I3030" s="5" t="str">
        <f t="shared" si="47"/>
        <v>2025-11</v>
      </c>
      <c r="J3030" s="4" t="s">
        <v>34</v>
      </c>
      <c r="K3030" s="5" t="s">
        <v>342</v>
      </c>
      <c r="L3030" s="2">
        <v>7300</v>
      </c>
      <c r="M3030" s="3">
        <v>63.1</v>
      </c>
      <c r="N3030" s="2">
        <v>460630</v>
      </c>
      <c r="O3030" s="2">
        <v>0</v>
      </c>
      <c r="P3030" s="2">
        <v>460630</v>
      </c>
      <c r="Q3030" s="2">
        <f>P3030*8.5%</f>
        <v>39153.550000000003</v>
      </c>
    </row>
    <row r="3031" spans="1:17" hidden="1" x14ac:dyDescent="0.4">
      <c r="A3031" s="4" t="s">
        <v>93</v>
      </c>
      <c r="B3031" s="4" t="s">
        <v>26</v>
      </c>
      <c r="C3031" s="32" t="s">
        <v>436</v>
      </c>
      <c r="D3031" s="4" t="s">
        <v>94</v>
      </c>
      <c r="E3031" s="4" t="s">
        <v>47</v>
      </c>
      <c r="F3031" s="4" t="s">
        <v>17</v>
      </c>
      <c r="G3031" s="4" t="s">
        <v>18</v>
      </c>
      <c r="H3031" s="4" t="s">
        <v>280</v>
      </c>
      <c r="I3031" s="5" t="str">
        <f t="shared" si="47"/>
        <v>2025-11</v>
      </c>
      <c r="J3031" s="4" t="s">
        <v>34</v>
      </c>
      <c r="K3031" s="5" t="s">
        <v>342</v>
      </c>
      <c r="L3031" s="2">
        <v>5261</v>
      </c>
      <c r="M3031" s="3">
        <v>3</v>
      </c>
      <c r="N3031" s="2">
        <v>15783</v>
      </c>
      <c r="O3031" s="2">
        <v>1578</v>
      </c>
      <c r="P3031" s="2">
        <v>17361</v>
      </c>
      <c r="Q3031" s="2">
        <f>P3031*8.5%</f>
        <v>1475.6850000000002</v>
      </c>
    </row>
    <row r="3032" spans="1:17" x14ac:dyDescent="0.4">
      <c r="A3032" s="4" t="s">
        <v>13</v>
      </c>
      <c r="B3032" s="4" t="s">
        <v>14</v>
      </c>
      <c r="C3032" s="30" t="s">
        <v>434</v>
      </c>
      <c r="D3032" s="4" t="s">
        <v>15</v>
      </c>
      <c r="E3032" s="4" t="s">
        <v>16</v>
      </c>
      <c r="F3032" s="4" t="s">
        <v>17</v>
      </c>
      <c r="G3032" s="4" t="s">
        <v>18</v>
      </c>
      <c r="H3032" s="4" t="s">
        <v>282</v>
      </c>
      <c r="I3032" s="5" t="str">
        <f t="shared" si="47"/>
        <v>2025-11</v>
      </c>
      <c r="J3032" s="4" t="s">
        <v>20</v>
      </c>
      <c r="K3032" s="5" t="s">
        <v>342</v>
      </c>
      <c r="L3032" s="2">
        <v>42000</v>
      </c>
      <c r="M3032" s="3">
        <v>1</v>
      </c>
      <c r="N3032" s="2">
        <v>42000</v>
      </c>
      <c r="O3032" s="2">
        <v>4200</v>
      </c>
      <c r="P3032" s="2">
        <v>46200</v>
      </c>
      <c r="Q3032" s="2">
        <f>P3032*8.5%</f>
        <v>3927.0000000000005</v>
      </c>
    </row>
    <row r="3033" spans="1:17" x14ac:dyDescent="0.4">
      <c r="A3033" s="4" t="s">
        <v>21</v>
      </c>
      <c r="B3033" s="4" t="s">
        <v>14</v>
      </c>
      <c r="C3033" s="31" t="s">
        <v>435</v>
      </c>
      <c r="D3033" s="4" t="s">
        <v>22</v>
      </c>
      <c r="E3033" s="4" t="s">
        <v>16</v>
      </c>
      <c r="F3033" s="4" t="s">
        <v>17</v>
      </c>
      <c r="G3033" s="4" t="s">
        <v>18</v>
      </c>
      <c r="H3033" s="4" t="s">
        <v>282</v>
      </c>
      <c r="I3033" s="5" t="str">
        <f t="shared" si="47"/>
        <v>2025-11</v>
      </c>
      <c r="J3033" s="4" t="s">
        <v>20</v>
      </c>
      <c r="K3033" s="5" t="s">
        <v>342</v>
      </c>
      <c r="L3033" s="2">
        <v>55500</v>
      </c>
      <c r="M3033" s="3">
        <v>2</v>
      </c>
      <c r="N3033" s="2">
        <v>111000</v>
      </c>
      <c r="O3033" s="2">
        <v>11100</v>
      </c>
      <c r="P3033" s="2">
        <v>122100</v>
      </c>
      <c r="Q3033" s="2">
        <f>P3033*8.5%</f>
        <v>10378.5</v>
      </c>
    </row>
    <row r="3034" spans="1:17" x14ac:dyDescent="0.4">
      <c r="A3034" s="4" t="s">
        <v>23</v>
      </c>
      <c r="B3034" s="4" t="s">
        <v>14</v>
      </c>
      <c r="C3034" s="31" t="s">
        <v>435</v>
      </c>
      <c r="D3034" s="4" t="s">
        <v>24</v>
      </c>
      <c r="E3034" s="4" t="s">
        <v>16</v>
      </c>
      <c r="F3034" s="4" t="s">
        <v>17</v>
      </c>
      <c r="G3034" s="4" t="s">
        <v>18</v>
      </c>
      <c r="H3034" s="4" t="s">
        <v>282</v>
      </c>
      <c r="I3034" s="5" t="str">
        <f t="shared" si="47"/>
        <v>2025-11</v>
      </c>
      <c r="J3034" s="4" t="s">
        <v>20</v>
      </c>
      <c r="K3034" s="5" t="s">
        <v>342</v>
      </c>
      <c r="L3034" s="2">
        <v>55500</v>
      </c>
      <c r="M3034" s="3">
        <v>3</v>
      </c>
      <c r="N3034" s="2">
        <v>166500</v>
      </c>
      <c r="O3034" s="2">
        <v>16650</v>
      </c>
      <c r="P3034" s="2">
        <v>183150</v>
      </c>
      <c r="Q3034" s="2">
        <f>P3034*8.5%</f>
        <v>15567.750000000002</v>
      </c>
    </row>
    <row r="3035" spans="1:17" x14ac:dyDescent="0.4">
      <c r="A3035" s="4" t="s">
        <v>54</v>
      </c>
      <c r="B3035" s="4" t="s">
        <v>26</v>
      </c>
      <c r="C3035" s="32" t="s">
        <v>436</v>
      </c>
      <c r="D3035" s="4" t="s">
        <v>55</v>
      </c>
      <c r="E3035" s="4" t="s">
        <v>28</v>
      </c>
      <c r="F3035" s="4" t="s">
        <v>31</v>
      </c>
      <c r="G3035" s="4" t="s">
        <v>18</v>
      </c>
      <c r="H3035" s="4" t="s">
        <v>282</v>
      </c>
      <c r="I3035" s="5" t="str">
        <f t="shared" si="47"/>
        <v>2025-11</v>
      </c>
      <c r="J3035" s="4" t="s">
        <v>20</v>
      </c>
      <c r="K3035" s="5" t="s">
        <v>342</v>
      </c>
      <c r="L3035" s="2">
        <v>5919</v>
      </c>
      <c r="M3035" s="3">
        <v>1</v>
      </c>
      <c r="N3035" s="2">
        <v>5919</v>
      </c>
      <c r="O3035" s="2">
        <v>0</v>
      </c>
      <c r="P3035" s="2">
        <v>5919</v>
      </c>
      <c r="Q3035" s="2">
        <f>P3035*8.5%</f>
        <v>503.11500000000001</v>
      </c>
    </row>
    <row r="3036" spans="1:17" x14ac:dyDescent="0.4">
      <c r="A3036" s="4" t="s">
        <v>56</v>
      </c>
      <c r="B3036" s="4" t="s">
        <v>26</v>
      </c>
      <c r="C3036" s="32" t="s">
        <v>436</v>
      </c>
      <c r="D3036" s="4" t="s">
        <v>57</v>
      </c>
      <c r="E3036" s="4" t="s">
        <v>44</v>
      </c>
      <c r="F3036" s="4" t="s">
        <v>31</v>
      </c>
      <c r="G3036" s="4" t="s">
        <v>18</v>
      </c>
      <c r="H3036" s="4" t="s">
        <v>282</v>
      </c>
      <c r="I3036" s="5" t="str">
        <f t="shared" si="47"/>
        <v>2025-11</v>
      </c>
      <c r="J3036" s="4" t="s">
        <v>20</v>
      </c>
      <c r="K3036" s="5" t="s">
        <v>342</v>
      </c>
      <c r="L3036" s="2">
        <v>2368</v>
      </c>
      <c r="M3036" s="3">
        <v>25</v>
      </c>
      <c r="N3036" s="2">
        <v>59200</v>
      </c>
      <c r="O3036" s="2">
        <v>0</v>
      </c>
      <c r="P3036" s="2">
        <v>59200</v>
      </c>
      <c r="Q3036" s="2">
        <f>P3036*8.5%</f>
        <v>5032</v>
      </c>
    </row>
    <row r="3037" spans="1:17" hidden="1" x14ac:dyDescent="0.4">
      <c r="A3037" s="4" t="s">
        <v>32</v>
      </c>
      <c r="B3037" s="4" t="s">
        <v>14</v>
      </c>
      <c r="C3037" s="31" t="s">
        <v>435</v>
      </c>
      <c r="D3037" s="4" t="s">
        <v>33</v>
      </c>
      <c r="E3037" s="4" t="s">
        <v>16</v>
      </c>
      <c r="F3037" s="4" t="s">
        <v>17</v>
      </c>
      <c r="G3037" s="4" t="s">
        <v>18</v>
      </c>
      <c r="H3037" s="4" t="s">
        <v>282</v>
      </c>
      <c r="I3037" s="5" t="str">
        <f t="shared" si="47"/>
        <v>2025-11</v>
      </c>
      <c r="J3037" s="4" t="s">
        <v>34</v>
      </c>
      <c r="K3037" s="5" t="s">
        <v>342</v>
      </c>
      <c r="L3037" s="2">
        <v>44000</v>
      </c>
      <c r="M3037" s="3">
        <v>2</v>
      </c>
      <c r="N3037" s="2">
        <v>88000</v>
      </c>
      <c r="O3037" s="2">
        <v>8800</v>
      </c>
      <c r="P3037" s="2">
        <v>96800</v>
      </c>
      <c r="Q3037" s="2">
        <f>P3037*8.5%</f>
        <v>8228</v>
      </c>
    </row>
    <row r="3038" spans="1:17" hidden="1" x14ac:dyDescent="0.4">
      <c r="A3038" s="4" t="s">
        <v>13</v>
      </c>
      <c r="B3038" s="4" t="s">
        <v>14</v>
      </c>
      <c r="C3038" s="30" t="s">
        <v>434</v>
      </c>
      <c r="D3038" s="4" t="s">
        <v>15</v>
      </c>
      <c r="E3038" s="4" t="s">
        <v>16</v>
      </c>
      <c r="F3038" s="4" t="s">
        <v>17</v>
      </c>
      <c r="G3038" s="4" t="s">
        <v>18</v>
      </c>
      <c r="H3038" s="4" t="s">
        <v>282</v>
      </c>
      <c r="I3038" s="5" t="str">
        <f t="shared" si="47"/>
        <v>2025-11</v>
      </c>
      <c r="J3038" s="4" t="s">
        <v>34</v>
      </c>
      <c r="K3038" s="5" t="s">
        <v>342</v>
      </c>
      <c r="L3038" s="2">
        <v>42000</v>
      </c>
      <c r="M3038" s="3">
        <v>3</v>
      </c>
      <c r="N3038" s="2">
        <v>126000</v>
      </c>
      <c r="O3038" s="2">
        <v>12600</v>
      </c>
      <c r="P3038" s="2">
        <v>138600</v>
      </c>
      <c r="Q3038" s="2">
        <f>P3038*8.5%</f>
        <v>11781</v>
      </c>
    </row>
    <row r="3039" spans="1:17" hidden="1" x14ac:dyDescent="0.4">
      <c r="A3039" s="4" t="s">
        <v>21</v>
      </c>
      <c r="B3039" s="4" t="s">
        <v>14</v>
      </c>
      <c r="C3039" s="31" t="s">
        <v>435</v>
      </c>
      <c r="D3039" s="4" t="s">
        <v>22</v>
      </c>
      <c r="E3039" s="4" t="s">
        <v>16</v>
      </c>
      <c r="F3039" s="4" t="s">
        <v>17</v>
      </c>
      <c r="G3039" s="4" t="s">
        <v>18</v>
      </c>
      <c r="H3039" s="4" t="s">
        <v>282</v>
      </c>
      <c r="I3039" s="5" t="str">
        <f t="shared" si="47"/>
        <v>2025-11</v>
      </c>
      <c r="J3039" s="4" t="s">
        <v>34</v>
      </c>
      <c r="K3039" s="5" t="s">
        <v>342</v>
      </c>
      <c r="L3039" s="2">
        <v>55500</v>
      </c>
      <c r="M3039" s="3">
        <v>1</v>
      </c>
      <c r="N3039" s="2">
        <v>55500</v>
      </c>
      <c r="O3039" s="2">
        <v>5550</v>
      </c>
      <c r="P3039" s="2">
        <v>61050</v>
      </c>
      <c r="Q3039" s="2">
        <f>P3039*8.5%</f>
        <v>5189.25</v>
      </c>
    </row>
    <row r="3040" spans="1:17" hidden="1" x14ac:dyDescent="0.4">
      <c r="A3040" s="4" t="s">
        <v>23</v>
      </c>
      <c r="B3040" s="4" t="s">
        <v>14</v>
      </c>
      <c r="C3040" s="31" t="s">
        <v>435</v>
      </c>
      <c r="D3040" s="4" t="s">
        <v>24</v>
      </c>
      <c r="E3040" s="4" t="s">
        <v>16</v>
      </c>
      <c r="F3040" s="4" t="s">
        <v>17</v>
      </c>
      <c r="G3040" s="4" t="s">
        <v>18</v>
      </c>
      <c r="H3040" s="4" t="s">
        <v>282</v>
      </c>
      <c r="I3040" s="5" t="str">
        <f t="shared" si="47"/>
        <v>2025-11</v>
      </c>
      <c r="J3040" s="4" t="s">
        <v>34</v>
      </c>
      <c r="K3040" s="5" t="s">
        <v>342</v>
      </c>
      <c r="L3040" s="2">
        <v>55500</v>
      </c>
      <c r="M3040" s="3">
        <v>4</v>
      </c>
      <c r="N3040" s="2">
        <v>222000</v>
      </c>
      <c r="O3040" s="2">
        <v>22200</v>
      </c>
      <c r="P3040" s="2">
        <v>244200</v>
      </c>
      <c r="Q3040" s="2">
        <f>P3040*8.5%</f>
        <v>20757</v>
      </c>
    </row>
    <row r="3041" spans="1:17" hidden="1" x14ac:dyDescent="0.4">
      <c r="A3041" s="4" t="s">
        <v>84</v>
      </c>
      <c r="B3041" s="4" t="s">
        <v>26</v>
      </c>
      <c r="C3041" s="32" t="s">
        <v>436</v>
      </c>
      <c r="D3041" s="4" t="s">
        <v>85</v>
      </c>
      <c r="E3041" s="4" t="s">
        <v>28</v>
      </c>
      <c r="F3041" s="4" t="s">
        <v>17</v>
      </c>
      <c r="G3041" s="4" t="s">
        <v>18</v>
      </c>
      <c r="H3041" s="4" t="s">
        <v>282</v>
      </c>
      <c r="I3041" s="5" t="str">
        <f t="shared" si="47"/>
        <v>2025-11</v>
      </c>
      <c r="J3041" s="4" t="s">
        <v>34</v>
      </c>
      <c r="K3041" s="5" t="s">
        <v>342</v>
      </c>
      <c r="L3041" s="2">
        <v>5032</v>
      </c>
      <c r="M3041" s="3">
        <v>1</v>
      </c>
      <c r="N3041" s="2">
        <v>5032</v>
      </c>
      <c r="O3041" s="2">
        <v>503</v>
      </c>
      <c r="P3041" s="2">
        <v>5535</v>
      </c>
      <c r="Q3041" s="2">
        <f>P3041*8.5%</f>
        <v>470.47500000000002</v>
      </c>
    </row>
    <row r="3042" spans="1:17" hidden="1" x14ac:dyDescent="0.4">
      <c r="A3042" s="4" t="s">
        <v>283</v>
      </c>
      <c r="B3042" s="4" t="s">
        <v>26</v>
      </c>
      <c r="C3042" s="32" t="s">
        <v>436</v>
      </c>
      <c r="D3042" s="4" t="s">
        <v>284</v>
      </c>
      <c r="E3042" s="4" t="s">
        <v>28</v>
      </c>
      <c r="F3042" s="4" t="s">
        <v>17</v>
      </c>
      <c r="G3042" s="4" t="s">
        <v>18</v>
      </c>
      <c r="H3042" s="4" t="s">
        <v>282</v>
      </c>
      <c r="I3042" s="5" t="str">
        <f t="shared" si="47"/>
        <v>2025-11</v>
      </c>
      <c r="J3042" s="4" t="s">
        <v>34</v>
      </c>
      <c r="K3042" s="5" t="s">
        <v>342</v>
      </c>
      <c r="L3042" s="2">
        <v>34676</v>
      </c>
      <c r="M3042" s="3">
        <v>1</v>
      </c>
      <c r="N3042" s="2">
        <v>34676</v>
      </c>
      <c r="O3042" s="2">
        <v>3468</v>
      </c>
      <c r="P3042" s="2">
        <v>38144</v>
      </c>
      <c r="Q3042" s="2">
        <f>P3042*8.5%</f>
        <v>3242.2400000000002</v>
      </c>
    </row>
    <row r="3043" spans="1:17" hidden="1" x14ac:dyDescent="0.4">
      <c r="A3043" s="4" t="s">
        <v>70</v>
      </c>
      <c r="B3043" s="4" t="s">
        <v>26</v>
      </c>
      <c r="C3043" s="32" t="s">
        <v>436</v>
      </c>
      <c r="D3043" s="4" t="s">
        <v>71</v>
      </c>
      <c r="E3043" s="4" t="s">
        <v>28</v>
      </c>
      <c r="F3043" s="4" t="s">
        <v>31</v>
      </c>
      <c r="G3043" s="4" t="s">
        <v>18</v>
      </c>
      <c r="H3043" s="4" t="s">
        <v>282</v>
      </c>
      <c r="I3043" s="5" t="str">
        <f t="shared" si="47"/>
        <v>2025-11</v>
      </c>
      <c r="J3043" s="4" t="s">
        <v>34</v>
      </c>
      <c r="K3043" s="5" t="s">
        <v>342</v>
      </c>
      <c r="L3043" s="2">
        <v>6624</v>
      </c>
      <c r="M3043" s="3">
        <v>2</v>
      </c>
      <c r="N3043" s="2">
        <v>13248</v>
      </c>
      <c r="O3043" s="2">
        <v>0</v>
      </c>
      <c r="P3043" s="2">
        <v>13248</v>
      </c>
      <c r="Q3043" s="2">
        <f>P3043*8.5%</f>
        <v>1126.0800000000002</v>
      </c>
    </row>
    <row r="3044" spans="1:17" hidden="1" x14ac:dyDescent="0.4">
      <c r="A3044" s="4" t="s">
        <v>42</v>
      </c>
      <c r="B3044" s="4" t="s">
        <v>14</v>
      </c>
      <c r="C3044" s="30" t="s">
        <v>434</v>
      </c>
      <c r="D3044" s="4" t="s">
        <v>43</v>
      </c>
      <c r="E3044" s="4" t="s">
        <v>44</v>
      </c>
      <c r="F3044" s="4" t="s">
        <v>31</v>
      </c>
      <c r="G3044" s="4" t="s">
        <v>18</v>
      </c>
      <c r="H3044" s="4" t="s">
        <v>282</v>
      </c>
      <c r="I3044" s="5" t="str">
        <f t="shared" si="47"/>
        <v>2025-11</v>
      </c>
      <c r="J3044" s="4" t="s">
        <v>34</v>
      </c>
      <c r="K3044" s="5" t="s">
        <v>342</v>
      </c>
      <c r="L3044" s="2">
        <v>7300</v>
      </c>
      <c r="M3044" s="3">
        <v>30.6</v>
      </c>
      <c r="N3044" s="2">
        <v>223380</v>
      </c>
      <c r="O3044" s="2">
        <v>0</v>
      </c>
      <c r="P3044" s="2">
        <v>223380</v>
      </c>
      <c r="Q3044" s="2">
        <f>P3044*8.5%</f>
        <v>18987.300000000003</v>
      </c>
    </row>
    <row r="3045" spans="1:17" hidden="1" x14ac:dyDescent="0.4">
      <c r="A3045" s="4" t="s">
        <v>32</v>
      </c>
      <c r="B3045" s="4" t="s">
        <v>14</v>
      </c>
      <c r="C3045" s="31" t="s">
        <v>435</v>
      </c>
      <c r="D3045" s="4" t="s">
        <v>33</v>
      </c>
      <c r="E3045" s="4" t="s">
        <v>16</v>
      </c>
      <c r="F3045" s="4" t="s">
        <v>17</v>
      </c>
      <c r="G3045" s="4" t="s">
        <v>18</v>
      </c>
      <c r="H3045" s="4" t="s">
        <v>282</v>
      </c>
      <c r="I3045" s="5" t="str">
        <f t="shared" si="47"/>
        <v>2025-11</v>
      </c>
      <c r="J3045" s="4" t="s">
        <v>59</v>
      </c>
      <c r="K3045" s="5" t="s">
        <v>343</v>
      </c>
      <c r="L3045" s="2">
        <v>44000</v>
      </c>
      <c r="M3045" s="3">
        <v>3</v>
      </c>
      <c r="N3045" s="2">
        <v>132000</v>
      </c>
      <c r="O3045" s="2">
        <v>13200</v>
      </c>
      <c r="P3045" s="2">
        <v>145200</v>
      </c>
      <c r="Q3045" s="2">
        <f>P3045*12%</f>
        <v>17424</v>
      </c>
    </row>
    <row r="3046" spans="1:17" hidden="1" x14ac:dyDescent="0.4">
      <c r="A3046" s="4" t="s">
        <v>13</v>
      </c>
      <c r="B3046" s="4" t="s">
        <v>14</v>
      </c>
      <c r="C3046" s="30" t="s">
        <v>434</v>
      </c>
      <c r="D3046" s="4" t="s">
        <v>15</v>
      </c>
      <c r="E3046" s="4" t="s">
        <v>16</v>
      </c>
      <c r="F3046" s="4" t="s">
        <v>17</v>
      </c>
      <c r="G3046" s="4" t="s">
        <v>18</v>
      </c>
      <c r="H3046" s="4" t="s">
        <v>282</v>
      </c>
      <c r="I3046" s="5" t="str">
        <f t="shared" si="47"/>
        <v>2025-11</v>
      </c>
      <c r="J3046" s="4" t="s">
        <v>59</v>
      </c>
      <c r="K3046" s="5" t="s">
        <v>343</v>
      </c>
      <c r="L3046" s="2">
        <v>42000</v>
      </c>
      <c r="M3046" s="3">
        <v>4</v>
      </c>
      <c r="N3046" s="2">
        <v>168000</v>
      </c>
      <c r="O3046" s="2">
        <v>16800</v>
      </c>
      <c r="P3046" s="2">
        <v>184800</v>
      </c>
      <c r="Q3046" s="2">
        <f>P3046*12%</f>
        <v>22176</v>
      </c>
    </row>
    <row r="3047" spans="1:17" hidden="1" x14ac:dyDescent="0.4">
      <c r="A3047" s="4" t="s">
        <v>35</v>
      </c>
      <c r="B3047" s="4" t="s">
        <v>14</v>
      </c>
      <c r="C3047" s="30" t="s">
        <v>434</v>
      </c>
      <c r="D3047" s="4" t="s">
        <v>36</v>
      </c>
      <c r="E3047" s="4" t="s">
        <v>16</v>
      </c>
      <c r="F3047" s="4" t="s">
        <v>17</v>
      </c>
      <c r="G3047" s="4" t="s">
        <v>18</v>
      </c>
      <c r="H3047" s="4" t="s">
        <v>282</v>
      </c>
      <c r="I3047" s="5" t="str">
        <f t="shared" si="47"/>
        <v>2025-11</v>
      </c>
      <c r="J3047" s="4" t="s">
        <v>59</v>
      </c>
      <c r="K3047" s="5" t="s">
        <v>343</v>
      </c>
      <c r="L3047" s="2">
        <v>116220</v>
      </c>
      <c r="M3047" s="3">
        <v>1</v>
      </c>
      <c r="N3047" s="2">
        <v>116220</v>
      </c>
      <c r="O3047" s="2">
        <v>11622</v>
      </c>
      <c r="P3047" s="2">
        <v>127842</v>
      </c>
      <c r="Q3047" s="2">
        <f>P3047*12%</f>
        <v>15341.039999999999</v>
      </c>
    </row>
    <row r="3048" spans="1:17" hidden="1" x14ac:dyDescent="0.4">
      <c r="A3048" s="4" t="s">
        <v>23</v>
      </c>
      <c r="B3048" s="4" t="s">
        <v>14</v>
      </c>
      <c r="C3048" s="31" t="s">
        <v>435</v>
      </c>
      <c r="D3048" s="4" t="s">
        <v>24</v>
      </c>
      <c r="E3048" s="4" t="s">
        <v>16</v>
      </c>
      <c r="F3048" s="4" t="s">
        <v>17</v>
      </c>
      <c r="G3048" s="4" t="s">
        <v>18</v>
      </c>
      <c r="H3048" s="4" t="s">
        <v>282</v>
      </c>
      <c r="I3048" s="5" t="str">
        <f t="shared" si="47"/>
        <v>2025-11</v>
      </c>
      <c r="J3048" s="4" t="s">
        <v>59</v>
      </c>
      <c r="K3048" s="5" t="s">
        <v>343</v>
      </c>
      <c r="L3048" s="2">
        <v>55500</v>
      </c>
      <c r="M3048" s="3">
        <v>2</v>
      </c>
      <c r="N3048" s="2">
        <v>111000</v>
      </c>
      <c r="O3048" s="2">
        <v>11100</v>
      </c>
      <c r="P3048" s="2">
        <v>122100</v>
      </c>
      <c r="Q3048" s="2">
        <f>P3048*12%</f>
        <v>14652</v>
      </c>
    </row>
    <row r="3049" spans="1:17" hidden="1" x14ac:dyDescent="0.4">
      <c r="A3049" s="4" t="s">
        <v>51</v>
      </c>
      <c r="B3049" s="4" t="s">
        <v>14</v>
      </c>
      <c r="C3049" s="30" t="s">
        <v>434</v>
      </c>
      <c r="D3049" s="4" t="s">
        <v>52</v>
      </c>
      <c r="E3049" s="4" t="s">
        <v>16</v>
      </c>
      <c r="F3049" s="4" t="s">
        <v>17</v>
      </c>
      <c r="G3049" s="4" t="s">
        <v>18</v>
      </c>
      <c r="H3049" s="4" t="s">
        <v>282</v>
      </c>
      <c r="I3049" s="5" t="str">
        <f t="shared" si="47"/>
        <v>2025-11</v>
      </c>
      <c r="J3049" s="4" t="s">
        <v>59</v>
      </c>
      <c r="K3049" s="5" t="s">
        <v>343</v>
      </c>
      <c r="L3049" s="2">
        <v>73000</v>
      </c>
      <c r="M3049" s="3">
        <v>1</v>
      </c>
      <c r="N3049" s="2">
        <v>73000</v>
      </c>
      <c r="O3049" s="2">
        <v>7300</v>
      </c>
      <c r="P3049" s="2">
        <v>80300</v>
      </c>
      <c r="Q3049" s="2">
        <f>P3049*12%</f>
        <v>9636</v>
      </c>
    </row>
    <row r="3050" spans="1:17" hidden="1" x14ac:dyDescent="0.4">
      <c r="A3050" s="4" t="s">
        <v>23</v>
      </c>
      <c r="B3050" s="4" t="s">
        <v>14</v>
      </c>
      <c r="C3050" s="31" t="s">
        <v>435</v>
      </c>
      <c r="D3050" s="4" t="s">
        <v>24</v>
      </c>
      <c r="E3050" s="4" t="s">
        <v>16</v>
      </c>
      <c r="F3050" s="4" t="s">
        <v>17</v>
      </c>
      <c r="G3050" s="4" t="s">
        <v>18</v>
      </c>
      <c r="H3050" s="4" t="s">
        <v>282</v>
      </c>
      <c r="I3050" s="5" t="str">
        <f t="shared" si="47"/>
        <v>2025-11</v>
      </c>
      <c r="J3050" s="4" t="s">
        <v>60</v>
      </c>
      <c r="K3050" s="5" t="s">
        <v>343</v>
      </c>
      <c r="L3050" s="2">
        <v>55500</v>
      </c>
      <c r="M3050" s="3">
        <v>9</v>
      </c>
      <c r="N3050" s="2">
        <v>499500</v>
      </c>
      <c r="O3050" s="2">
        <v>49950</v>
      </c>
      <c r="P3050" s="2">
        <v>549450</v>
      </c>
      <c r="Q3050" s="2">
        <f>P3050*12%</f>
        <v>65934</v>
      </c>
    </row>
    <row r="3051" spans="1:17" hidden="1" x14ac:dyDescent="0.4">
      <c r="A3051" s="4" t="s">
        <v>32</v>
      </c>
      <c r="B3051" s="4" t="s">
        <v>14</v>
      </c>
      <c r="C3051" s="31" t="s">
        <v>435</v>
      </c>
      <c r="D3051" s="4" t="s">
        <v>33</v>
      </c>
      <c r="E3051" s="4" t="s">
        <v>16</v>
      </c>
      <c r="F3051" s="4" t="s">
        <v>17</v>
      </c>
      <c r="G3051" s="4" t="s">
        <v>18</v>
      </c>
      <c r="H3051" s="4" t="s">
        <v>282</v>
      </c>
      <c r="I3051" s="5" t="str">
        <f t="shared" si="47"/>
        <v>2025-11</v>
      </c>
      <c r="J3051" s="4" t="s">
        <v>49</v>
      </c>
      <c r="K3051" s="5" t="s">
        <v>343</v>
      </c>
      <c r="L3051" s="2">
        <v>44000</v>
      </c>
      <c r="M3051" s="3">
        <v>6</v>
      </c>
      <c r="N3051" s="2">
        <v>264000</v>
      </c>
      <c r="O3051" s="2">
        <v>26400</v>
      </c>
      <c r="P3051" s="2">
        <v>290400</v>
      </c>
      <c r="Q3051" s="2">
        <f>P3051*12%</f>
        <v>34848</v>
      </c>
    </row>
    <row r="3052" spans="1:17" hidden="1" x14ac:dyDescent="0.4">
      <c r="A3052" s="4" t="s">
        <v>13</v>
      </c>
      <c r="B3052" s="4" t="s">
        <v>14</v>
      </c>
      <c r="C3052" s="30" t="s">
        <v>434</v>
      </c>
      <c r="D3052" s="4" t="s">
        <v>15</v>
      </c>
      <c r="E3052" s="4" t="s">
        <v>16</v>
      </c>
      <c r="F3052" s="4" t="s">
        <v>17</v>
      </c>
      <c r="G3052" s="4" t="s">
        <v>18</v>
      </c>
      <c r="H3052" s="4" t="s">
        <v>282</v>
      </c>
      <c r="I3052" s="5" t="str">
        <f t="shared" si="47"/>
        <v>2025-11</v>
      </c>
      <c r="J3052" s="4" t="s">
        <v>49</v>
      </c>
      <c r="K3052" s="5" t="s">
        <v>343</v>
      </c>
      <c r="L3052" s="2">
        <v>42000</v>
      </c>
      <c r="M3052" s="3">
        <v>6</v>
      </c>
      <c r="N3052" s="2">
        <v>252000</v>
      </c>
      <c r="O3052" s="2">
        <v>25200</v>
      </c>
      <c r="P3052" s="2">
        <v>277200</v>
      </c>
      <c r="Q3052" s="2">
        <f>P3052*12%</f>
        <v>33264</v>
      </c>
    </row>
    <row r="3053" spans="1:17" hidden="1" x14ac:dyDescent="0.4">
      <c r="A3053" s="4" t="s">
        <v>35</v>
      </c>
      <c r="B3053" s="4" t="s">
        <v>14</v>
      </c>
      <c r="C3053" s="30" t="s">
        <v>434</v>
      </c>
      <c r="D3053" s="4" t="s">
        <v>36</v>
      </c>
      <c r="E3053" s="4" t="s">
        <v>16</v>
      </c>
      <c r="F3053" s="4" t="s">
        <v>17</v>
      </c>
      <c r="G3053" s="4" t="s">
        <v>18</v>
      </c>
      <c r="H3053" s="4" t="s">
        <v>282</v>
      </c>
      <c r="I3053" s="5" t="str">
        <f t="shared" si="47"/>
        <v>2025-11</v>
      </c>
      <c r="J3053" s="4" t="s">
        <v>49</v>
      </c>
      <c r="K3053" s="5" t="s">
        <v>343</v>
      </c>
      <c r="L3053" s="2">
        <v>116220</v>
      </c>
      <c r="M3053" s="3">
        <v>1</v>
      </c>
      <c r="N3053" s="2">
        <v>116220</v>
      </c>
      <c r="O3053" s="2">
        <v>11622</v>
      </c>
      <c r="P3053" s="2">
        <v>127842</v>
      </c>
      <c r="Q3053" s="2">
        <f>P3053*12%</f>
        <v>15341.039999999999</v>
      </c>
    </row>
    <row r="3054" spans="1:17" hidden="1" x14ac:dyDescent="0.4">
      <c r="A3054" s="4" t="s">
        <v>23</v>
      </c>
      <c r="B3054" s="4" t="s">
        <v>14</v>
      </c>
      <c r="C3054" s="31" t="s">
        <v>435</v>
      </c>
      <c r="D3054" s="4" t="s">
        <v>24</v>
      </c>
      <c r="E3054" s="4" t="s">
        <v>16</v>
      </c>
      <c r="F3054" s="4" t="s">
        <v>17</v>
      </c>
      <c r="G3054" s="4" t="s">
        <v>18</v>
      </c>
      <c r="H3054" s="4" t="s">
        <v>282</v>
      </c>
      <c r="I3054" s="5" t="str">
        <f t="shared" si="47"/>
        <v>2025-11</v>
      </c>
      <c r="J3054" s="4" t="s">
        <v>49</v>
      </c>
      <c r="K3054" s="5" t="s">
        <v>343</v>
      </c>
      <c r="L3054" s="2">
        <v>55500</v>
      </c>
      <c r="M3054" s="3">
        <v>2</v>
      </c>
      <c r="N3054" s="2">
        <v>111000</v>
      </c>
      <c r="O3054" s="2">
        <v>11100</v>
      </c>
      <c r="P3054" s="2">
        <v>122100</v>
      </c>
      <c r="Q3054" s="2">
        <f>P3054*12%</f>
        <v>14652</v>
      </c>
    </row>
    <row r="3055" spans="1:17" hidden="1" x14ac:dyDescent="0.4">
      <c r="A3055" s="4" t="s">
        <v>51</v>
      </c>
      <c r="B3055" s="4" t="s">
        <v>14</v>
      </c>
      <c r="C3055" s="30" t="s">
        <v>434</v>
      </c>
      <c r="D3055" s="4" t="s">
        <v>52</v>
      </c>
      <c r="E3055" s="4" t="s">
        <v>16</v>
      </c>
      <c r="F3055" s="4" t="s">
        <v>17</v>
      </c>
      <c r="G3055" s="4" t="s">
        <v>18</v>
      </c>
      <c r="H3055" s="4" t="s">
        <v>282</v>
      </c>
      <c r="I3055" s="5" t="str">
        <f t="shared" si="47"/>
        <v>2025-11</v>
      </c>
      <c r="J3055" s="4" t="s">
        <v>49</v>
      </c>
      <c r="K3055" s="5" t="s">
        <v>343</v>
      </c>
      <c r="L3055" s="2">
        <v>73000</v>
      </c>
      <c r="M3055" s="3">
        <v>1</v>
      </c>
      <c r="N3055" s="2">
        <v>73000</v>
      </c>
      <c r="O3055" s="2">
        <v>7300</v>
      </c>
      <c r="P3055" s="2">
        <v>80300</v>
      </c>
      <c r="Q3055" s="2">
        <f>P3055*12%</f>
        <v>9636</v>
      </c>
    </row>
    <row r="3056" spans="1:17" x14ac:dyDescent="0.4">
      <c r="A3056" s="4" t="s">
        <v>23</v>
      </c>
      <c r="B3056" s="4" t="s">
        <v>14</v>
      </c>
      <c r="C3056" s="31" t="s">
        <v>435</v>
      </c>
      <c r="D3056" s="4" t="s">
        <v>24</v>
      </c>
      <c r="E3056" s="4" t="s">
        <v>16</v>
      </c>
      <c r="F3056" s="4" t="s">
        <v>17</v>
      </c>
      <c r="G3056" s="4" t="s">
        <v>18</v>
      </c>
      <c r="H3056" s="4" t="s">
        <v>285</v>
      </c>
      <c r="I3056" s="5" t="str">
        <f t="shared" si="47"/>
        <v>2025-11</v>
      </c>
      <c r="J3056" s="4" t="s">
        <v>20</v>
      </c>
      <c r="K3056" s="5" t="s">
        <v>342</v>
      </c>
      <c r="L3056" s="2">
        <v>55500</v>
      </c>
      <c r="M3056" s="3">
        <v>3</v>
      </c>
      <c r="N3056" s="2">
        <v>166500</v>
      </c>
      <c r="O3056" s="2">
        <v>16650</v>
      </c>
      <c r="P3056" s="2">
        <v>183150</v>
      </c>
      <c r="Q3056" s="2">
        <f>P3056*8.5%</f>
        <v>15567.750000000002</v>
      </c>
    </row>
    <row r="3057" spans="1:17" x14ac:dyDescent="0.4">
      <c r="A3057" s="4" t="s">
        <v>56</v>
      </c>
      <c r="B3057" s="4" t="s">
        <v>26</v>
      </c>
      <c r="C3057" s="32" t="s">
        <v>436</v>
      </c>
      <c r="D3057" s="4" t="s">
        <v>57</v>
      </c>
      <c r="E3057" s="4" t="s">
        <v>44</v>
      </c>
      <c r="F3057" s="4" t="s">
        <v>31</v>
      </c>
      <c r="G3057" s="4" t="s">
        <v>18</v>
      </c>
      <c r="H3057" s="4" t="s">
        <v>285</v>
      </c>
      <c r="I3057" s="5" t="str">
        <f t="shared" si="47"/>
        <v>2025-11</v>
      </c>
      <c r="J3057" s="4" t="s">
        <v>20</v>
      </c>
      <c r="K3057" s="5" t="s">
        <v>342</v>
      </c>
      <c r="L3057" s="2">
        <v>2368</v>
      </c>
      <c r="M3057" s="3">
        <v>20</v>
      </c>
      <c r="N3057" s="2">
        <v>47360</v>
      </c>
      <c r="O3057" s="2">
        <v>0</v>
      </c>
      <c r="P3057" s="2">
        <v>47360</v>
      </c>
      <c r="Q3057" s="2">
        <f>P3057*8.5%</f>
        <v>4025.6000000000004</v>
      </c>
    </row>
    <row r="3058" spans="1:17" hidden="1" x14ac:dyDescent="0.4">
      <c r="A3058" s="4" t="s">
        <v>13</v>
      </c>
      <c r="B3058" s="4" t="s">
        <v>14</v>
      </c>
      <c r="C3058" s="30" t="s">
        <v>434</v>
      </c>
      <c r="D3058" s="4" t="s">
        <v>15</v>
      </c>
      <c r="E3058" s="4" t="s">
        <v>16</v>
      </c>
      <c r="F3058" s="4" t="s">
        <v>17</v>
      </c>
      <c r="G3058" s="4" t="s">
        <v>18</v>
      </c>
      <c r="H3058" s="4" t="s">
        <v>285</v>
      </c>
      <c r="I3058" s="5" t="str">
        <f t="shared" si="47"/>
        <v>2025-11</v>
      </c>
      <c r="J3058" s="4" t="s">
        <v>34</v>
      </c>
      <c r="K3058" s="5" t="s">
        <v>342</v>
      </c>
      <c r="L3058" s="2">
        <v>42000</v>
      </c>
      <c r="M3058" s="3">
        <v>4</v>
      </c>
      <c r="N3058" s="2">
        <v>168000</v>
      </c>
      <c r="O3058" s="2">
        <v>16800</v>
      </c>
      <c r="P3058" s="2">
        <v>184800</v>
      </c>
      <c r="Q3058" s="2">
        <f>P3058*8.5%</f>
        <v>15708.000000000002</v>
      </c>
    </row>
    <row r="3059" spans="1:17" hidden="1" x14ac:dyDescent="0.4">
      <c r="A3059" s="4" t="s">
        <v>21</v>
      </c>
      <c r="B3059" s="4" t="s">
        <v>14</v>
      </c>
      <c r="C3059" s="31" t="s">
        <v>435</v>
      </c>
      <c r="D3059" s="4" t="s">
        <v>22</v>
      </c>
      <c r="E3059" s="4" t="s">
        <v>16</v>
      </c>
      <c r="F3059" s="4" t="s">
        <v>17</v>
      </c>
      <c r="G3059" s="4" t="s">
        <v>18</v>
      </c>
      <c r="H3059" s="4" t="s">
        <v>285</v>
      </c>
      <c r="I3059" s="5" t="str">
        <f t="shared" si="47"/>
        <v>2025-11</v>
      </c>
      <c r="J3059" s="4" t="s">
        <v>34</v>
      </c>
      <c r="K3059" s="5" t="s">
        <v>342</v>
      </c>
      <c r="L3059" s="2">
        <v>55500</v>
      </c>
      <c r="M3059" s="3">
        <v>1</v>
      </c>
      <c r="N3059" s="2">
        <v>55500</v>
      </c>
      <c r="O3059" s="2">
        <v>5550</v>
      </c>
      <c r="P3059" s="2">
        <v>61050</v>
      </c>
      <c r="Q3059" s="2">
        <f>P3059*8.5%</f>
        <v>5189.25</v>
      </c>
    </row>
    <row r="3060" spans="1:17" hidden="1" x14ac:dyDescent="0.4">
      <c r="A3060" s="4" t="s">
        <v>23</v>
      </c>
      <c r="B3060" s="4" t="s">
        <v>14</v>
      </c>
      <c r="C3060" s="31" t="s">
        <v>435</v>
      </c>
      <c r="D3060" s="4" t="s">
        <v>24</v>
      </c>
      <c r="E3060" s="4" t="s">
        <v>16</v>
      </c>
      <c r="F3060" s="4" t="s">
        <v>17</v>
      </c>
      <c r="G3060" s="4" t="s">
        <v>18</v>
      </c>
      <c r="H3060" s="4" t="s">
        <v>285</v>
      </c>
      <c r="I3060" s="5" t="str">
        <f t="shared" si="47"/>
        <v>2025-11</v>
      </c>
      <c r="J3060" s="4" t="s">
        <v>34</v>
      </c>
      <c r="K3060" s="5" t="s">
        <v>342</v>
      </c>
      <c r="L3060" s="2">
        <v>55500</v>
      </c>
      <c r="M3060" s="3">
        <v>3</v>
      </c>
      <c r="N3060" s="2">
        <v>166500</v>
      </c>
      <c r="O3060" s="2">
        <v>16650</v>
      </c>
      <c r="P3060" s="2">
        <v>183150</v>
      </c>
      <c r="Q3060" s="2">
        <f>P3060*8.5%</f>
        <v>15567.750000000002</v>
      </c>
    </row>
    <row r="3061" spans="1:17" hidden="1" x14ac:dyDescent="0.4">
      <c r="A3061" s="4" t="s">
        <v>51</v>
      </c>
      <c r="B3061" s="4" t="s">
        <v>14</v>
      </c>
      <c r="C3061" s="30" t="s">
        <v>434</v>
      </c>
      <c r="D3061" s="4" t="s">
        <v>52</v>
      </c>
      <c r="E3061" s="4" t="s">
        <v>16</v>
      </c>
      <c r="F3061" s="4" t="s">
        <v>17</v>
      </c>
      <c r="G3061" s="4" t="s">
        <v>18</v>
      </c>
      <c r="H3061" s="4" t="s">
        <v>285</v>
      </c>
      <c r="I3061" s="5" t="str">
        <f t="shared" si="47"/>
        <v>2025-11</v>
      </c>
      <c r="J3061" s="4" t="s">
        <v>34</v>
      </c>
      <c r="K3061" s="5" t="s">
        <v>342</v>
      </c>
      <c r="L3061" s="2">
        <v>73000</v>
      </c>
      <c r="M3061" s="3">
        <v>1</v>
      </c>
      <c r="N3061" s="2">
        <v>73000</v>
      </c>
      <c r="O3061" s="2">
        <v>7300</v>
      </c>
      <c r="P3061" s="2">
        <v>80300</v>
      </c>
      <c r="Q3061" s="2">
        <f>P3061*8.5%</f>
        <v>6825.5000000000009</v>
      </c>
    </row>
    <row r="3062" spans="1:17" hidden="1" x14ac:dyDescent="0.4">
      <c r="A3062" s="4" t="s">
        <v>86</v>
      </c>
      <c r="B3062" s="4" t="s">
        <v>26</v>
      </c>
      <c r="C3062" s="32" t="s">
        <v>436</v>
      </c>
      <c r="D3062" s="4" t="s">
        <v>78</v>
      </c>
      <c r="E3062" s="4" t="s">
        <v>28</v>
      </c>
      <c r="F3062" s="4" t="s">
        <v>17</v>
      </c>
      <c r="G3062" s="4" t="s">
        <v>18</v>
      </c>
      <c r="H3062" s="4" t="s">
        <v>285</v>
      </c>
      <c r="I3062" s="5" t="str">
        <f t="shared" si="47"/>
        <v>2025-11</v>
      </c>
      <c r="J3062" s="4" t="s">
        <v>34</v>
      </c>
      <c r="K3062" s="5" t="s">
        <v>342</v>
      </c>
      <c r="L3062" s="2">
        <v>15544</v>
      </c>
      <c r="M3062" s="3">
        <v>1</v>
      </c>
      <c r="N3062" s="2">
        <v>15544</v>
      </c>
      <c r="O3062" s="2">
        <v>1554</v>
      </c>
      <c r="P3062" s="2">
        <v>17098</v>
      </c>
      <c r="Q3062" s="2">
        <f>P3062*8.5%</f>
        <v>1453.3300000000002</v>
      </c>
    </row>
    <row r="3063" spans="1:17" hidden="1" x14ac:dyDescent="0.4">
      <c r="A3063" s="4" t="s">
        <v>42</v>
      </c>
      <c r="B3063" s="4" t="s">
        <v>14</v>
      </c>
      <c r="C3063" s="30" t="s">
        <v>434</v>
      </c>
      <c r="D3063" s="4" t="s">
        <v>43</v>
      </c>
      <c r="E3063" s="4" t="s">
        <v>44</v>
      </c>
      <c r="F3063" s="4" t="s">
        <v>31</v>
      </c>
      <c r="G3063" s="4" t="s">
        <v>18</v>
      </c>
      <c r="H3063" s="4" t="s">
        <v>285</v>
      </c>
      <c r="I3063" s="5" t="str">
        <f t="shared" si="47"/>
        <v>2025-11</v>
      </c>
      <c r="J3063" s="4" t="s">
        <v>34</v>
      </c>
      <c r="K3063" s="5" t="s">
        <v>342</v>
      </c>
      <c r="L3063" s="2">
        <v>7300</v>
      </c>
      <c r="M3063" s="3">
        <v>64.900000000000006</v>
      </c>
      <c r="N3063" s="2">
        <v>473770</v>
      </c>
      <c r="O3063" s="2">
        <v>0</v>
      </c>
      <c r="P3063" s="2">
        <v>473770</v>
      </c>
      <c r="Q3063" s="2">
        <f>P3063*8.5%</f>
        <v>40270.450000000004</v>
      </c>
    </row>
    <row r="3064" spans="1:17" hidden="1" x14ac:dyDescent="0.4">
      <c r="A3064" s="4" t="s">
        <v>32</v>
      </c>
      <c r="B3064" s="4" t="s">
        <v>14</v>
      </c>
      <c r="C3064" s="31" t="s">
        <v>435</v>
      </c>
      <c r="D3064" s="4" t="s">
        <v>33</v>
      </c>
      <c r="E3064" s="4" t="s">
        <v>16</v>
      </c>
      <c r="F3064" s="4" t="s">
        <v>17</v>
      </c>
      <c r="G3064" s="4" t="s">
        <v>18</v>
      </c>
      <c r="H3064" s="4" t="s">
        <v>285</v>
      </c>
      <c r="I3064" s="5" t="str">
        <f t="shared" si="47"/>
        <v>2025-11</v>
      </c>
      <c r="J3064" s="4" t="s">
        <v>50</v>
      </c>
      <c r="K3064" s="5" t="s">
        <v>343</v>
      </c>
      <c r="L3064" s="2">
        <v>44000</v>
      </c>
      <c r="M3064" s="3">
        <v>1</v>
      </c>
      <c r="N3064" s="2">
        <v>44000</v>
      </c>
      <c r="O3064" s="2">
        <v>4400</v>
      </c>
      <c r="P3064" s="2">
        <v>48400</v>
      </c>
      <c r="Q3064" s="2">
        <f>P3064*12%</f>
        <v>5808</v>
      </c>
    </row>
    <row r="3065" spans="1:17" hidden="1" x14ac:dyDescent="0.4">
      <c r="A3065" s="4" t="s">
        <v>13</v>
      </c>
      <c r="B3065" s="4" t="s">
        <v>14</v>
      </c>
      <c r="C3065" s="30" t="s">
        <v>434</v>
      </c>
      <c r="D3065" s="4" t="s">
        <v>15</v>
      </c>
      <c r="E3065" s="4" t="s">
        <v>16</v>
      </c>
      <c r="F3065" s="4" t="s">
        <v>17</v>
      </c>
      <c r="G3065" s="4" t="s">
        <v>18</v>
      </c>
      <c r="H3065" s="4" t="s">
        <v>285</v>
      </c>
      <c r="I3065" s="5" t="str">
        <f t="shared" si="47"/>
        <v>2025-11</v>
      </c>
      <c r="J3065" s="4" t="s">
        <v>50</v>
      </c>
      <c r="K3065" s="5" t="s">
        <v>343</v>
      </c>
      <c r="L3065" s="2">
        <v>42000</v>
      </c>
      <c r="M3065" s="3">
        <v>5</v>
      </c>
      <c r="N3065" s="2">
        <v>210000</v>
      </c>
      <c r="O3065" s="2">
        <v>21000</v>
      </c>
      <c r="P3065" s="2">
        <v>231000</v>
      </c>
      <c r="Q3065" s="2">
        <f>P3065*12%</f>
        <v>27720</v>
      </c>
    </row>
    <row r="3066" spans="1:17" hidden="1" x14ac:dyDescent="0.4">
      <c r="A3066" s="4" t="s">
        <v>23</v>
      </c>
      <c r="B3066" s="4" t="s">
        <v>14</v>
      </c>
      <c r="C3066" s="31" t="s">
        <v>435</v>
      </c>
      <c r="D3066" s="4" t="s">
        <v>24</v>
      </c>
      <c r="E3066" s="4" t="s">
        <v>16</v>
      </c>
      <c r="F3066" s="4" t="s">
        <v>17</v>
      </c>
      <c r="G3066" s="4" t="s">
        <v>18</v>
      </c>
      <c r="H3066" s="4" t="s">
        <v>285</v>
      </c>
      <c r="I3066" s="5" t="str">
        <f t="shared" si="47"/>
        <v>2025-11</v>
      </c>
      <c r="J3066" s="4" t="s">
        <v>50</v>
      </c>
      <c r="K3066" s="5" t="s">
        <v>343</v>
      </c>
      <c r="L3066" s="2">
        <v>55500</v>
      </c>
      <c r="M3066" s="3">
        <v>3</v>
      </c>
      <c r="N3066" s="2">
        <v>166500</v>
      </c>
      <c r="O3066" s="2">
        <v>16650</v>
      </c>
      <c r="P3066" s="2">
        <v>183150</v>
      </c>
      <c r="Q3066" s="2">
        <f>P3066*12%</f>
        <v>21978</v>
      </c>
    </row>
    <row r="3067" spans="1:17" hidden="1" x14ac:dyDescent="0.4">
      <c r="A3067" s="4" t="s">
        <v>51</v>
      </c>
      <c r="B3067" s="4" t="s">
        <v>14</v>
      </c>
      <c r="C3067" s="30" t="s">
        <v>434</v>
      </c>
      <c r="D3067" s="4" t="s">
        <v>52</v>
      </c>
      <c r="E3067" s="4" t="s">
        <v>16</v>
      </c>
      <c r="F3067" s="4" t="s">
        <v>17</v>
      </c>
      <c r="G3067" s="4" t="s">
        <v>18</v>
      </c>
      <c r="H3067" s="4" t="s">
        <v>285</v>
      </c>
      <c r="I3067" s="5" t="str">
        <f t="shared" si="47"/>
        <v>2025-11</v>
      </c>
      <c r="J3067" s="4" t="s">
        <v>50</v>
      </c>
      <c r="K3067" s="5" t="s">
        <v>343</v>
      </c>
      <c r="L3067" s="2">
        <v>73000</v>
      </c>
      <c r="M3067" s="3">
        <v>1</v>
      </c>
      <c r="N3067" s="2">
        <v>73000</v>
      </c>
      <c r="O3067" s="2">
        <v>7300</v>
      </c>
      <c r="P3067" s="2">
        <v>80300</v>
      </c>
      <c r="Q3067" s="2">
        <f>P3067*12%</f>
        <v>9636</v>
      </c>
    </row>
    <row r="3068" spans="1:17" x14ac:dyDescent="0.4">
      <c r="A3068" s="4" t="s">
        <v>13</v>
      </c>
      <c r="B3068" s="4" t="s">
        <v>14</v>
      </c>
      <c r="C3068" s="30" t="s">
        <v>434</v>
      </c>
      <c r="D3068" s="4" t="s">
        <v>15</v>
      </c>
      <c r="E3068" s="4" t="s">
        <v>16</v>
      </c>
      <c r="F3068" s="4" t="s">
        <v>17</v>
      </c>
      <c r="G3068" s="4" t="s">
        <v>18</v>
      </c>
      <c r="H3068" s="4" t="s">
        <v>286</v>
      </c>
      <c r="I3068" s="5" t="str">
        <f t="shared" si="47"/>
        <v>2025-11</v>
      </c>
      <c r="J3068" s="4" t="s">
        <v>20</v>
      </c>
      <c r="K3068" s="5" t="s">
        <v>342</v>
      </c>
      <c r="L3068" s="2">
        <v>42000</v>
      </c>
      <c r="M3068" s="3">
        <v>1</v>
      </c>
      <c r="N3068" s="2">
        <v>42000</v>
      </c>
      <c r="O3068" s="2">
        <v>4200</v>
      </c>
      <c r="P3068" s="2">
        <v>46200</v>
      </c>
      <c r="Q3068" s="2">
        <f>P3068*8.5%</f>
        <v>3927.0000000000005</v>
      </c>
    </row>
    <row r="3069" spans="1:17" x14ac:dyDescent="0.4">
      <c r="A3069" s="4" t="s">
        <v>21</v>
      </c>
      <c r="B3069" s="4" t="s">
        <v>14</v>
      </c>
      <c r="C3069" s="31" t="s">
        <v>435</v>
      </c>
      <c r="D3069" s="4" t="s">
        <v>22</v>
      </c>
      <c r="E3069" s="4" t="s">
        <v>16</v>
      </c>
      <c r="F3069" s="4" t="s">
        <v>17</v>
      </c>
      <c r="G3069" s="4" t="s">
        <v>18</v>
      </c>
      <c r="H3069" s="4" t="s">
        <v>286</v>
      </c>
      <c r="I3069" s="5" t="str">
        <f t="shared" si="47"/>
        <v>2025-11</v>
      </c>
      <c r="J3069" s="4" t="s">
        <v>20</v>
      </c>
      <c r="K3069" s="5" t="s">
        <v>342</v>
      </c>
      <c r="L3069" s="2">
        <v>55500</v>
      </c>
      <c r="M3069" s="3">
        <v>2</v>
      </c>
      <c r="N3069" s="2">
        <v>111000</v>
      </c>
      <c r="O3069" s="2">
        <v>11100</v>
      </c>
      <c r="P3069" s="2">
        <v>122100</v>
      </c>
      <c r="Q3069" s="2">
        <f>P3069*8.5%</f>
        <v>10378.5</v>
      </c>
    </row>
    <row r="3070" spans="1:17" x14ac:dyDescent="0.4">
      <c r="A3070" s="4" t="s">
        <v>23</v>
      </c>
      <c r="B3070" s="4" t="s">
        <v>14</v>
      </c>
      <c r="C3070" s="31" t="s">
        <v>435</v>
      </c>
      <c r="D3070" s="4" t="s">
        <v>24</v>
      </c>
      <c r="E3070" s="4" t="s">
        <v>16</v>
      </c>
      <c r="F3070" s="4" t="s">
        <v>17</v>
      </c>
      <c r="G3070" s="4" t="s">
        <v>18</v>
      </c>
      <c r="H3070" s="4" t="s">
        <v>286</v>
      </c>
      <c r="I3070" s="5" t="str">
        <f t="shared" si="47"/>
        <v>2025-11</v>
      </c>
      <c r="J3070" s="4" t="s">
        <v>20</v>
      </c>
      <c r="K3070" s="5" t="s">
        <v>342</v>
      </c>
      <c r="L3070" s="2">
        <v>55500</v>
      </c>
      <c r="M3070" s="3">
        <v>2</v>
      </c>
      <c r="N3070" s="2">
        <v>111000</v>
      </c>
      <c r="O3070" s="2">
        <v>11100</v>
      </c>
      <c r="P3070" s="2">
        <v>122100</v>
      </c>
      <c r="Q3070" s="2">
        <f>P3070*8.5%</f>
        <v>10378.5</v>
      </c>
    </row>
    <row r="3071" spans="1:17" x14ac:dyDescent="0.4">
      <c r="A3071" s="4" t="s">
        <v>54</v>
      </c>
      <c r="B3071" s="4" t="s">
        <v>26</v>
      </c>
      <c r="C3071" s="32" t="s">
        <v>436</v>
      </c>
      <c r="D3071" s="4" t="s">
        <v>55</v>
      </c>
      <c r="E3071" s="4" t="s">
        <v>28</v>
      </c>
      <c r="F3071" s="4" t="s">
        <v>31</v>
      </c>
      <c r="G3071" s="4" t="s">
        <v>18</v>
      </c>
      <c r="H3071" s="4" t="s">
        <v>286</v>
      </c>
      <c r="I3071" s="5" t="str">
        <f t="shared" si="47"/>
        <v>2025-11</v>
      </c>
      <c r="J3071" s="4" t="s">
        <v>20</v>
      </c>
      <c r="K3071" s="5" t="s">
        <v>342</v>
      </c>
      <c r="L3071" s="2">
        <v>5919</v>
      </c>
      <c r="M3071" s="3">
        <v>1</v>
      </c>
      <c r="N3071" s="2">
        <v>5919</v>
      </c>
      <c r="O3071" s="2">
        <v>0</v>
      </c>
      <c r="P3071" s="2">
        <v>5919</v>
      </c>
      <c r="Q3071" s="2">
        <f>P3071*8.5%</f>
        <v>503.11500000000001</v>
      </c>
    </row>
    <row r="3072" spans="1:17" x14ac:dyDescent="0.4">
      <c r="A3072" s="4" t="s">
        <v>56</v>
      </c>
      <c r="B3072" s="4" t="s">
        <v>26</v>
      </c>
      <c r="C3072" s="32" t="s">
        <v>436</v>
      </c>
      <c r="D3072" s="4" t="s">
        <v>57</v>
      </c>
      <c r="E3072" s="4" t="s">
        <v>44</v>
      </c>
      <c r="F3072" s="4" t="s">
        <v>31</v>
      </c>
      <c r="G3072" s="4" t="s">
        <v>18</v>
      </c>
      <c r="H3072" s="4" t="s">
        <v>286</v>
      </c>
      <c r="I3072" s="5" t="str">
        <f t="shared" si="47"/>
        <v>2025-11</v>
      </c>
      <c r="J3072" s="4" t="s">
        <v>20</v>
      </c>
      <c r="K3072" s="5" t="s">
        <v>342</v>
      </c>
      <c r="L3072" s="2">
        <v>2368</v>
      </c>
      <c r="M3072" s="3">
        <v>25</v>
      </c>
      <c r="N3072" s="2">
        <v>59200</v>
      </c>
      <c r="O3072" s="2">
        <v>0</v>
      </c>
      <c r="P3072" s="2">
        <v>59200</v>
      </c>
      <c r="Q3072" s="2">
        <f>P3072*8.5%</f>
        <v>5032</v>
      </c>
    </row>
    <row r="3073" spans="1:17" hidden="1" x14ac:dyDescent="0.4">
      <c r="A3073" s="4" t="s">
        <v>150</v>
      </c>
      <c r="B3073" s="4" t="s">
        <v>65</v>
      </c>
      <c r="C3073" s="32" t="s">
        <v>436</v>
      </c>
      <c r="D3073" s="4" t="s">
        <v>151</v>
      </c>
      <c r="E3073" s="4" t="s">
        <v>16</v>
      </c>
      <c r="F3073" s="4" t="s">
        <v>17</v>
      </c>
      <c r="G3073" s="4" t="s">
        <v>18</v>
      </c>
      <c r="H3073" s="4" t="s">
        <v>286</v>
      </c>
      <c r="I3073" s="5" t="str">
        <f t="shared" si="47"/>
        <v>2025-11</v>
      </c>
      <c r="J3073" s="4" t="s">
        <v>34</v>
      </c>
      <c r="K3073" s="5" t="s">
        <v>342</v>
      </c>
      <c r="L3073" s="2">
        <v>8370</v>
      </c>
      <c r="M3073" s="3">
        <v>1</v>
      </c>
      <c r="N3073" s="2">
        <v>8370</v>
      </c>
      <c r="O3073" s="2">
        <v>837</v>
      </c>
      <c r="P3073" s="2">
        <v>9207</v>
      </c>
      <c r="Q3073" s="2">
        <f>P3073*8.5%</f>
        <v>782.59500000000003</v>
      </c>
    </row>
    <row r="3074" spans="1:17" hidden="1" x14ac:dyDescent="0.4">
      <c r="A3074" s="4" t="s">
        <v>32</v>
      </c>
      <c r="B3074" s="4" t="s">
        <v>14</v>
      </c>
      <c r="C3074" s="31" t="s">
        <v>435</v>
      </c>
      <c r="D3074" s="4" t="s">
        <v>33</v>
      </c>
      <c r="E3074" s="4" t="s">
        <v>16</v>
      </c>
      <c r="F3074" s="4" t="s">
        <v>17</v>
      </c>
      <c r="G3074" s="4" t="s">
        <v>18</v>
      </c>
      <c r="H3074" s="4" t="s">
        <v>286</v>
      </c>
      <c r="I3074" s="5" t="str">
        <f t="shared" ref="I3074:I3137" si="48">TEXT(H3074,"yyyy-mm")</f>
        <v>2025-11</v>
      </c>
      <c r="J3074" s="4" t="s">
        <v>34</v>
      </c>
      <c r="K3074" s="5" t="s">
        <v>342</v>
      </c>
      <c r="L3074" s="2">
        <v>44000</v>
      </c>
      <c r="M3074" s="3">
        <v>3</v>
      </c>
      <c r="N3074" s="2">
        <v>132000</v>
      </c>
      <c r="O3074" s="2">
        <v>13200</v>
      </c>
      <c r="P3074" s="2">
        <v>145200</v>
      </c>
      <c r="Q3074" s="2">
        <f>P3074*8.5%</f>
        <v>12342</v>
      </c>
    </row>
    <row r="3075" spans="1:17" hidden="1" x14ac:dyDescent="0.4">
      <c r="A3075" s="4" t="s">
        <v>13</v>
      </c>
      <c r="B3075" s="4" t="s">
        <v>14</v>
      </c>
      <c r="C3075" s="30" t="s">
        <v>434</v>
      </c>
      <c r="D3075" s="4" t="s">
        <v>15</v>
      </c>
      <c r="E3075" s="4" t="s">
        <v>16</v>
      </c>
      <c r="F3075" s="4" t="s">
        <v>17</v>
      </c>
      <c r="G3075" s="4" t="s">
        <v>18</v>
      </c>
      <c r="H3075" s="4" t="s">
        <v>286</v>
      </c>
      <c r="I3075" s="5" t="str">
        <f t="shared" si="48"/>
        <v>2025-11</v>
      </c>
      <c r="J3075" s="4" t="s">
        <v>34</v>
      </c>
      <c r="K3075" s="5" t="s">
        <v>342</v>
      </c>
      <c r="L3075" s="2">
        <v>42000</v>
      </c>
      <c r="M3075" s="3">
        <v>4</v>
      </c>
      <c r="N3075" s="2">
        <v>168000</v>
      </c>
      <c r="O3075" s="2">
        <v>16800</v>
      </c>
      <c r="P3075" s="2">
        <v>184800</v>
      </c>
      <c r="Q3075" s="2">
        <f>P3075*8.5%</f>
        <v>15708.000000000002</v>
      </c>
    </row>
    <row r="3076" spans="1:17" hidden="1" x14ac:dyDescent="0.4">
      <c r="A3076" s="4" t="s">
        <v>21</v>
      </c>
      <c r="B3076" s="4" t="s">
        <v>14</v>
      </c>
      <c r="C3076" s="31" t="s">
        <v>435</v>
      </c>
      <c r="D3076" s="4" t="s">
        <v>22</v>
      </c>
      <c r="E3076" s="4" t="s">
        <v>16</v>
      </c>
      <c r="F3076" s="4" t="s">
        <v>17</v>
      </c>
      <c r="G3076" s="4" t="s">
        <v>18</v>
      </c>
      <c r="H3076" s="4" t="s">
        <v>286</v>
      </c>
      <c r="I3076" s="5" t="str">
        <f t="shared" si="48"/>
        <v>2025-11</v>
      </c>
      <c r="J3076" s="4" t="s">
        <v>34</v>
      </c>
      <c r="K3076" s="5" t="s">
        <v>342</v>
      </c>
      <c r="L3076" s="2">
        <v>55500</v>
      </c>
      <c r="M3076" s="3">
        <v>1</v>
      </c>
      <c r="N3076" s="2">
        <v>55500</v>
      </c>
      <c r="O3076" s="2">
        <v>5550</v>
      </c>
      <c r="P3076" s="2">
        <v>61050</v>
      </c>
      <c r="Q3076" s="2">
        <f>P3076*8.5%</f>
        <v>5189.25</v>
      </c>
    </row>
    <row r="3077" spans="1:17" hidden="1" x14ac:dyDescent="0.4">
      <c r="A3077" s="4" t="s">
        <v>23</v>
      </c>
      <c r="B3077" s="4" t="s">
        <v>14</v>
      </c>
      <c r="C3077" s="31" t="s">
        <v>435</v>
      </c>
      <c r="D3077" s="4" t="s">
        <v>24</v>
      </c>
      <c r="E3077" s="4" t="s">
        <v>16</v>
      </c>
      <c r="F3077" s="4" t="s">
        <v>17</v>
      </c>
      <c r="G3077" s="4" t="s">
        <v>18</v>
      </c>
      <c r="H3077" s="4" t="s">
        <v>286</v>
      </c>
      <c r="I3077" s="5" t="str">
        <f t="shared" si="48"/>
        <v>2025-11</v>
      </c>
      <c r="J3077" s="4" t="s">
        <v>34</v>
      </c>
      <c r="K3077" s="5" t="s">
        <v>342</v>
      </c>
      <c r="L3077" s="2">
        <v>55500</v>
      </c>
      <c r="M3077" s="3">
        <v>3</v>
      </c>
      <c r="N3077" s="2">
        <v>166500</v>
      </c>
      <c r="O3077" s="2">
        <v>16650</v>
      </c>
      <c r="P3077" s="2">
        <v>183150</v>
      </c>
      <c r="Q3077" s="2">
        <f>P3077*8.5%</f>
        <v>15567.750000000002</v>
      </c>
    </row>
    <row r="3078" spans="1:17" hidden="1" x14ac:dyDescent="0.4">
      <c r="A3078" s="4" t="s">
        <v>51</v>
      </c>
      <c r="B3078" s="4" t="s">
        <v>14</v>
      </c>
      <c r="C3078" s="30" t="s">
        <v>434</v>
      </c>
      <c r="D3078" s="4" t="s">
        <v>52</v>
      </c>
      <c r="E3078" s="4" t="s">
        <v>16</v>
      </c>
      <c r="F3078" s="4" t="s">
        <v>17</v>
      </c>
      <c r="G3078" s="4" t="s">
        <v>18</v>
      </c>
      <c r="H3078" s="4" t="s">
        <v>286</v>
      </c>
      <c r="I3078" s="5" t="str">
        <f t="shared" si="48"/>
        <v>2025-11</v>
      </c>
      <c r="J3078" s="4" t="s">
        <v>34</v>
      </c>
      <c r="K3078" s="5" t="s">
        <v>342</v>
      </c>
      <c r="L3078" s="2">
        <v>73000</v>
      </c>
      <c r="M3078" s="3">
        <v>1</v>
      </c>
      <c r="N3078" s="2">
        <v>73000</v>
      </c>
      <c r="O3078" s="2">
        <v>7300</v>
      </c>
      <c r="P3078" s="2">
        <v>80300</v>
      </c>
      <c r="Q3078" s="2">
        <f>P3078*8.5%</f>
        <v>6825.5000000000009</v>
      </c>
    </row>
    <row r="3079" spans="1:17" hidden="1" x14ac:dyDescent="0.4">
      <c r="A3079" s="4" t="s">
        <v>73</v>
      </c>
      <c r="B3079" s="4" t="s">
        <v>26</v>
      </c>
      <c r="C3079" s="32" t="s">
        <v>436</v>
      </c>
      <c r="D3079" s="4" t="s">
        <v>57</v>
      </c>
      <c r="E3079" s="4" t="s">
        <v>28</v>
      </c>
      <c r="F3079" s="4" t="s">
        <v>17</v>
      </c>
      <c r="G3079" s="4" t="s">
        <v>18</v>
      </c>
      <c r="H3079" s="4" t="s">
        <v>286</v>
      </c>
      <c r="I3079" s="5" t="str">
        <f t="shared" si="48"/>
        <v>2025-11</v>
      </c>
      <c r="J3079" s="4" t="s">
        <v>34</v>
      </c>
      <c r="K3079" s="5" t="s">
        <v>342</v>
      </c>
      <c r="L3079" s="2">
        <v>7055</v>
      </c>
      <c r="M3079" s="3">
        <v>3</v>
      </c>
      <c r="N3079" s="2">
        <v>21165</v>
      </c>
      <c r="O3079" s="2">
        <v>2117</v>
      </c>
      <c r="P3079" s="2">
        <v>23282</v>
      </c>
      <c r="Q3079" s="2">
        <f>P3079*8.5%</f>
        <v>1978.9700000000003</v>
      </c>
    </row>
    <row r="3080" spans="1:17" hidden="1" x14ac:dyDescent="0.4">
      <c r="A3080" s="4" t="s">
        <v>40</v>
      </c>
      <c r="B3080" s="4" t="s">
        <v>26</v>
      </c>
      <c r="C3080" s="32" t="s">
        <v>436</v>
      </c>
      <c r="D3080" s="4" t="s">
        <v>41</v>
      </c>
      <c r="E3080" s="4" t="s">
        <v>28</v>
      </c>
      <c r="F3080" s="4" t="s">
        <v>17</v>
      </c>
      <c r="G3080" s="4" t="s">
        <v>18</v>
      </c>
      <c r="H3080" s="4" t="s">
        <v>286</v>
      </c>
      <c r="I3080" s="5" t="str">
        <f t="shared" si="48"/>
        <v>2025-11</v>
      </c>
      <c r="J3080" s="4" t="s">
        <v>34</v>
      </c>
      <c r="K3080" s="5" t="s">
        <v>342</v>
      </c>
      <c r="L3080" s="2">
        <v>17936</v>
      </c>
      <c r="M3080" s="3">
        <v>2</v>
      </c>
      <c r="N3080" s="2">
        <v>35872</v>
      </c>
      <c r="O3080" s="2">
        <v>3587</v>
      </c>
      <c r="P3080" s="2">
        <v>39459</v>
      </c>
      <c r="Q3080" s="2">
        <f>P3080*8.5%</f>
        <v>3354.0150000000003</v>
      </c>
    </row>
    <row r="3081" spans="1:17" hidden="1" x14ac:dyDescent="0.4">
      <c r="A3081" s="4" t="s">
        <v>42</v>
      </c>
      <c r="B3081" s="4" t="s">
        <v>14</v>
      </c>
      <c r="C3081" s="30" t="s">
        <v>434</v>
      </c>
      <c r="D3081" s="4" t="s">
        <v>43</v>
      </c>
      <c r="E3081" s="4" t="s">
        <v>44</v>
      </c>
      <c r="F3081" s="4" t="s">
        <v>31</v>
      </c>
      <c r="G3081" s="4" t="s">
        <v>18</v>
      </c>
      <c r="H3081" s="4" t="s">
        <v>286</v>
      </c>
      <c r="I3081" s="5" t="str">
        <f t="shared" si="48"/>
        <v>2025-11</v>
      </c>
      <c r="J3081" s="4" t="s">
        <v>34</v>
      </c>
      <c r="K3081" s="5" t="s">
        <v>342</v>
      </c>
      <c r="L3081" s="2">
        <v>7300</v>
      </c>
      <c r="M3081" s="3">
        <v>62</v>
      </c>
      <c r="N3081" s="2">
        <v>452600</v>
      </c>
      <c r="O3081" s="2">
        <v>0</v>
      </c>
      <c r="P3081" s="2">
        <v>452600</v>
      </c>
      <c r="Q3081" s="2">
        <f>P3081*8.5%</f>
        <v>38471</v>
      </c>
    </row>
    <row r="3082" spans="1:17" x14ac:dyDescent="0.4">
      <c r="A3082" s="4" t="s">
        <v>58</v>
      </c>
      <c r="B3082" s="4" t="s">
        <v>14</v>
      </c>
      <c r="C3082" s="30" t="s">
        <v>434</v>
      </c>
      <c r="D3082" s="4" t="s">
        <v>36</v>
      </c>
      <c r="E3082" s="4" t="s">
        <v>16</v>
      </c>
      <c r="F3082" s="4" t="s">
        <v>17</v>
      </c>
      <c r="G3082" s="4" t="s">
        <v>18</v>
      </c>
      <c r="H3082" s="4" t="s">
        <v>287</v>
      </c>
      <c r="I3082" s="5" t="str">
        <f t="shared" si="48"/>
        <v>2025-11</v>
      </c>
      <c r="J3082" s="4" t="s">
        <v>20</v>
      </c>
      <c r="K3082" s="5" t="s">
        <v>342</v>
      </c>
      <c r="L3082" s="2">
        <v>120880</v>
      </c>
      <c r="M3082" s="3">
        <v>1</v>
      </c>
      <c r="N3082" s="2">
        <v>120880</v>
      </c>
      <c r="O3082" s="2">
        <v>12088</v>
      </c>
      <c r="P3082" s="2">
        <v>132968</v>
      </c>
      <c r="Q3082" s="2">
        <f>P3082*8.5%</f>
        <v>11302.28</v>
      </c>
    </row>
    <row r="3083" spans="1:17" x14ac:dyDescent="0.4">
      <c r="A3083" s="4" t="s">
        <v>13</v>
      </c>
      <c r="B3083" s="4" t="s">
        <v>14</v>
      </c>
      <c r="C3083" s="30" t="s">
        <v>434</v>
      </c>
      <c r="D3083" s="4" t="s">
        <v>15</v>
      </c>
      <c r="E3083" s="4" t="s">
        <v>16</v>
      </c>
      <c r="F3083" s="4" t="s">
        <v>17</v>
      </c>
      <c r="G3083" s="4" t="s">
        <v>18</v>
      </c>
      <c r="H3083" s="4" t="s">
        <v>287</v>
      </c>
      <c r="I3083" s="5" t="str">
        <f t="shared" si="48"/>
        <v>2025-11</v>
      </c>
      <c r="J3083" s="4" t="s">
        <v>20</v>
      </c>
      <c r="K3083" s="5" t="s">
        <v>342</v>
      </c>
      <c r="L3083" s="2">
        <v>42000</v>
      </c>
      <c r="M3083" s="3">
        <v>1</v>
      </c>
      <c r="N3083" s="2">
        <v>42000</v>
      </c>
      <c r="O3083" s="2">
        <v>4200</v>
      </c>
      <c r="P3083" s="2">
        <v>46200</v>
      </c>
      <c r="Q3083" s="2">
        <f>P3083*8.5%</f>
        <v>3927.0000000000005</v>
      </c>
    </row>
    <row r="3084" spans="1:17" x14ac:dyDescent="0.4">
      <c r="A3084" s="4" t="s">
        <v>21</v>
      </c>
      <c r="B3084" s="4" t="s">
        <v>14</v>
      </c>
      <c r="C3084" s="31" t="s">
        <v>435</v>
      </c>
      <c r="D3084" s="4" t="s">
        <v>22</v>
      </c>
      <c r="E3084" s="4" t="s">
        <v>16</v>
      </c>
      <c r="F3084" s="4" t="s">
        <v>17</v>
      </c>
      <c r="G3084" s="4" t="s">
        <v>18</v>
      </c>
      <c r="H3084" s="4" t="s">
        <v>287</v>
      </c>
      <c r="I3084" s="5" t="str">
        <f t="shared" si="48"/>
        <v>2025-11</v>
      </c>
      <c r="J3084" s="4" t="s">
        <v>20</v>
      </c>
      <c r="K3084" s="5" t="s">
        <v>342</v>
      </c>
      <c r="L3084" s="2">
        <v>55500</v>
      </c>
      <c r="M3084" s="3">
        <v>2</v>
      </c>
      <c r="N3084" s="2">
        <v>111000</v>
      </c>
      <c r="O3084" s="2">
        <v>11100</v>
      </c>
      <c r="P3084" s="2">
        <v>122100</v>
      </c>
      <c r="Q3084" s="2">
        <f>P3084*8.5%</f>
        <v>10378.5</v>
      </c>
    </row>
    <row r="3085" spans="1:17" x14ac:dyDescent="0.4">
      <c r="A3085" s="4" t="s">
        <v>23</v>
      </c>
      <c r="B3085" s="4" t="s">
        <v>14</v>
      </c>
      <c r="C3085" s="31" t="s">
        <v>435</v>
      </c>
      <c r="D3085" s="4" t="s">
        <v>24</v>
      </c>
      <c r="E3085" s="4" t="s">
        <v>16</v>
      </c>
      <c r="F3085" s="4" t="s">
        <v>17</v>
      </c>
      <c r="G3085" s="4" t="s">
        <v>18</v>
      </c>
      <c r="H3085" s="4" t="s">
        <v>287</v>
      </c>
      <c r="I3085" s="5" t="str">
        <f t="shared" si="48"/>
        <v>2025-11</v>
      </c>
      <c r="J3085" s="4" t="s">
        <v>20</v>
      </c>
      <c r="K3085" s="5" t="s">
        <v>342</v>
      </c>
      <c r="L3085" s="2">
        <v>55500</v>
      </c>
      <c r="M3085" s="3">
        <v>3</v>
      </c>
      <c r="N3085" s="2">
        <v>166500</v>
      </c>
      <c r="O3085" s="2">
        <v>16650</v>
      </c>
      <c r="P3085" s="2">
        <v>183150</v>
      </c>
      <c r="Q3085" s="2">
        <f>P3085*8.5%</f>
        <v>15567.750000000002</v>
      </c>
    </row>
    <row r="3086" spans="1:17" hidden="1" x14ac:dyDescent="0.4">
      <c r="A3086" s="4" t="s">
        <v>64</v>
      </c>
      <c r="B3086" s="4" t="s">
        <v>65</v>
      </c>
      <c r="C3086" s="32" t="s">
        <v>436</v>
      </c>
      <c r="D3086" s="4" t="s">
        <v>66</v>
      </c>
      <c r="E3086" s="4" t="s">
        <v>16</v>
      </c>
      <c r="F3086" s="4" t="s">
        <v>17</v>
      </c>
      <c r="G3086" s="4" t="s">
        <v>18</v>
      </c>
      <c r="H3086" s="4" t="s">
        <v>287</v>
      </c>
      <c r="I3086" s="5" t="str">
        <f t="shared" si="48"/>
        <v>2025-11</v>
      </c>
      <c r="J3086" s="4" t="s">
        <v>34</v>
      </c>
      <c r="K3086" s="5" t="s">
        <v>342</v>
      </c>
      <c r="L3086" s="2">
        <v>10283</v>
      </c>
      <c r="M3086" s="3">
        <v>1</v>
      </c>
      <c r="N3086" s="2">
        <v>10283</v>
      </c>
      <c r="O3086" s="2">
        <v>1028</v>
      </c>
      <c r="P3086" s="2">
        <v>11311</v>
      </c>
      <c r="Q3086" s="2">
        <f>P3086*8.5%</f>
        <v>961.43500000000006</v>
      </c>
    </row>
    <row r="3087" spans="1:17" hidden="1" x14ac:dyDescent="0.4">
      <c r="A3087" s="4" t="s">
        <v>32</v>
      </c>
      <c r="B3087" s="4" t="s">
        <v>14</v>
      </c>
      <c r="C3087" s="31" t="s">
        <v>435</v>
      </c>
      <c r="D3087" s="4" t="s">
        <v>33</v>
      </c>
      <c r="E3087" s="4" t="s">
        <v>16</v>
      </c>
      <c r="F3087" s="4" t="s">
        <v>17</v>
      </c>
      <c r="G3087" s="4" t="s">
        <v>18</v>
      </c>
      <c r="H3087" s="4" t="s">
        <v>287</v>
      </c>
      <c r="I3087" s="5" t="str">
        <f t="shared" si="48"/>
        <v>2025-11</v>
      </c>
      <c r="J3087" s="4" t="s">
        <v>34</v>
      </c>
      <c r="K3087" s="5" t="s">
        <v>342</v>
      </c>
      <c r="L3087" s="2">
        <v>44000</v>
      </c>
      <c r="M3087" s="3">
        <v>2</v>
      </c>
      <c r="N3087" s="2">
        <v>88000</v>
      </c>
      <c r="O3087" s="2">
        <v>8800</v>
      </c>
      <c r="P3087" s="2">
        <v>96800</v>
      </c>
      <c r="Q3087" s="2">
        <f>P3087*8.5%</f>
        <v>8228</v>
      </c>
    </row>
    <row r="3088" spans="1:17" hidden="1" x14ac:dyDescent="0.4">
      <c r="A3088" s="4" t="s">
        <v>13</v>
      </c>
      <c r="B3088" s="4" t="s">
        <v>14</v>
      </c>
      <c r="C3088" s="30" t="s">
        <v>434</v>
      </c>
      <c r="D3088" s="4" t="s">
        <v>15</v>
      </c>
      <c r="E3088" s="4" t="s">
        <v>16</v>
      </c>
      <c r="F3088" s="4" t="s">
        <v>17</v>
      </c>
      <c r="G3088" s="4" t="s">
        <v>18</v>
      </c>
      <c r="H3088" s="4" t="s">
        <v>287</v>
      </c>
      <c r="I3088" s="5" t="str">
        <f t="shared" si="48"/>
        <v>2025-11</v>
      </c>
      <c r="J3088" s="4" t="s">
        <v>34</v>
      </c>
      <c r="K3088" s="5" t="s">
        <v>342</v>
      </c>
      <c r="L3088" s="2">
        <v>42000</v>
      </c>
      <c r="M3088" s="3">
        <v>3</v>
      </c>
      <c r="N3088" s="2">
        <v>126000</v>
      </c>
      <c r="O3088" s="2">
        <v>12600</v>
      </c>
      <c r="P3088" s="2">
        <v>138600</v>
      </c>
      <c r="Q3088" s="2">
        <f>P3088*8.5%</f>
        <v>11781</v>
      </c>
    </row>
    <row r="3089" spans="1:17" hidden="1" x14ac:dyDescent="0.4">
      <c r="A3089" s="4" t="s">
        <v>21</v>
      </c>
      <c r="B3089" s="4" t="s">
        <v>14</v>
      </c>
      <c r="C3089" s="31" t="s">
        <v>435</v>
      </c>
      <c r="D3089" s="4" t="s">
        <v>22</v>
      </c>
      <c r="E3089" s="4" t="s">
        <v>16</v>
      </c>
      <c r="F3089" s="4" t="s">
        <v>17</v>
      </c>
      <c r="G3089" s="4" t="s">
        <v>18</v>
      </c>
      <c r="H3089" s="4" t="s">
        <v>287</v>
      </c>
      <c r="I3089" s="5" t="str">
        <f t="shared" si="48"/>
        <v>2025-11</v>
      </c>
      <c r="J3089" s="4" t="s">
        <v>34</v>
      </c>
      <c r="K3089" s="5" t="s">
        <v>342</v>
      </c>
      <c r="L3089" s="2">
        <v>55500</v>
      </c>
      <c r="M3089" s="3">
        <v>2</v>
      </c>
      <c r="N3089" s="2">
        <v>111000</v>
      </c>
      <c r="O3089" s="2">
        <v>11100</v>
      </c>
      <c r="P3089" s="2">
        <v>122100</v>
      </c>
      <c r="Q3089" s="2">
        <f>P3089*8.5%</f>
        <v>10378.5</v>
      </c>
    </row>
    <row r="3090" spans="1:17" hidden="1" x14ac:dyDescent="0.4">
      <c r="A3090" s="4" t="s">
        <v>23</v>
      </c>
      <c r="B3090" s="4" t="s">
        <v>14</v>
      </c>
      <c r="C3090" s="31" t="s">
        <v>435</v>
      </c>
      <c r="D3090" s="4" t="s">
        <v>24</v>
      </c>
      <c r="E3090" s="4" t="s">
        <v>16</v>
      </c>
      <c r="F3090" s="4" t="s">
        <v>17</v>
      </c>
      <c r="G3090" s="4" t="s">
        <v>18</v>
      </c>
      <c r="H3090" s="4" t="s">
        <v>287</v>
      </c>
      <c r="I3090" s="5" t="str">
        <f t="shared" si="48"/>
        <v>2025-11</v>
      </c>
      <c r="J3090" s="4" t="s">
        <v>34</v>
      </c>
      <c r="K3090" s="5" t="s">
        <v>342</v>
      </c>
      <c r="L3090" s="2">
        <v>55500</v>
      </c>
      <c r="M3090" s="3">
        <v>4</v>
      </c>
      <c r="N3090" s="2">
        <v>222000</v>
      </c>
      <c r="O3090" s="2">
        <v>22200</v>
      </c>
      <c r="P3090" s="2">
        <v>244200</v>
      </c>
      <c r="Q3090" s="2">
        <f>P3090*8.5%</f>
        <v>20757</v>
      </c>
    </row>
    <row r="3091" spans="1:17" hidden="1" x14ac:dyDescent="0.4">
      <c r="A3091" s="4" t="s">
        <v>67</v>
      </c>
      <c r="B3091" s="4" t="s">
        <v>26</v>
      </c>
      <c r="C3091" s="32" t="s">
        <v>436</v>
      </c>
      <c r="D3091" s="4" t="s">
        <v>63</v>
      </c>
      <c r="E3091" s="4" t="s">
        <v>28</v>
      </c>
      <c r="F3091" s="4" t="s">
        <v>17</v>
      </c>
      <c r="G3091" s="4" t="s">
        <v>18</v>
      </c>
      <c r="H3091" s="4" t="s">
        <v>287</v>
      </c>
      <c r="I3091" s="5" t="str">
        <f t="shared" si="48"/>
        <v>2025-11</v>
      </c>
      <c r="J3091" s="4" t="s">
        <v>34</v>
      </c>
      <c r="K3091" s="5" t="s">
        <v>342</v>
      </c>
      <c r="L3091" s="2">
        <v>7174</v>
      </c>
      <c r="M3091" s="3">
        <v>1</v>
      </c>
      <c r="N3091" s="2">
        <v>7174</v>
      </c>
      <c r="O3091" s="2">
        <v>717</v>
      </c>
      <c r="P3091" s="2">
        <v>7891</v>
      </c>
      <c r="Q3091" s="2">
        <f>P3091*8.5%</f>
        <v>670.73500000000001</v>
      </c>
    </row>
    <row r="3092" spans="1:17" hidden="1" x14ac:dyDescent="0.4">
      <c r="A3092" s="4" t="s">
        <v>77</v>
      </c>
      <c r="B3092" s="4" t="s">
        <v>26</v>
      </c>
      <c r="C3092" s="32" t="s">
        <v>436</v>
      </c>
      <c r="D3092" s="4" t="s">
        <v>78</v>
      </c>
      <c r="E3092" s="4" t="s">
        <v>28</v>
      </c>
      <c r="F3092" s="4" t="s">
        <v>17</v>
      </c>
      <c r="G3092" s="4" t="s">
        <v>18</v>
      </c>
      <c r="H3092" s="4" t="s">
        <v>287</v>
      </c>
      <c r="I3092" s="5" t="str">
        <f t="shared" si="48"/>
        <v>2025-11</v>
      </c>
      <c r="J3092" s="4" t="s">
        <v>34</v>
      </c>
      <c r="K3092" s="5" t="s">
        <v>342</v>
      </c>
      <c r="L3092" s="2">
        <v>15544</v>
      </c>
      <c r="M3092" s="3">
        <v>1</v>
      </c>
      <c r="N3092" s="2">
        <v>15544</v>
      </c>
      <c r="O3092" s="2">
        <v>1554</v>
      </c>
      <c r="P3092" s="2">
        <v>17098</v>
      </c>
      <c r="Q3092" s="2">
        <f>P3092*8.5%</f>
        <v>1453.3300000000002</v>
      </c>
    </row>
    <row r="3093" spans="1:17" hidden="1" x14ac:dyDescent="0.4">
      <c r="A3093" s="4" t="s">
        <v>42</v>
      </c>
      <c r="B3093" s="4" t="s">
        <v>14</v>
      </c>
      <c r="C3093" s="30" t="s">
        <v>434</v>
      </c>
      <c r="D3093" s="4" t="s">
        <v>43</v>
      </c>
      <c r="E3093" s="4" t="s">
        <v>44</v>
      </c>
      <c r="F3093" s="4" t="s">
        <v>31</v>
      </c>
      <c r="G3093" s="4" t="s">
        <v>18</v>
      </c>
      <c r="H3093" s="4" t="s">
        <v>287</v>
      </c>
      <c r="I3093" s="5" t="str">
        <f t="shared" si="48"/>
        <v>2025-11</v>
      </c>
      <c r="J3093" s="4" t="s">
        <v>34</v>
      </c>
      <c r="K3093" s="5" t="s">
        <v>342</v>
      </c>
      <c r="L3093" s="2">
        <v>7300</v>
      </c>
      <c r="M3093" s="3">
        <v>31.4</v>
      </c>
      <c r="N3093" s="2">
        <v>229220</v>
      </c>
      <c r="O3093" s="2">
        <v>0</v>
      </c>
      <c r="P3093" s="2">
        <v>229220</v>
      </c>
      <c r="Q3093" s="2">
        <f>P3093*8.5%</f>
        <v>19483.7</v>
      </c>
    </row>
    <row r="3094" spans="1:17" hidden="1" x14ac:dyDescent="0.4">
      <c r="A3094" s="4" t="s">
        <v>32</v>
      </c>
      <c r="B3094" s="4" t="s">
        <v>14</v>
      </c>
      <c r="C3094" s="31" t="s">
        <v>435</v>
      </c>
      <c r="D3094" s="4" t="s">
        <v>33</v>
      </c>
      <c r="E3094" s="4" t="s">
        <v>16</v>
      </c>
      <c r="F3094" s="4" t="s">
        <v>17</v>
      </c>
      <c r="G3094" s="4" t="s">
        <v>18</v>
      </c>
      <c r="H3094" s="4" t="s">
        <v>287</v>
      </c>
      <c r="I3094" s="5" t="str">
        <f t="shared" si="48"/>
        <v>2025-11</v>
      </c>
      <c r="J3094" s="4" t="s">
        <v>59</v>
      </c>
      <c r="K3094" s="5" t="s">
        <v>343</v>
      </c>
      <c r="L3094" s="2">
        <v>44000</v>
      </c>
      <c r="M3094" s="3">
        <v>2</v>
      </c>
      <c r="N3094" s="2">
        <v>88000</v>
      </c>
      <c r="O3094" s="2">
        <v>8800</v>
      </c>
      <c r="P3094" s="2">
        <v>96800</v>
      </c>
      <c r="Q3094" s="2">
        <f>P3094*12%</f>
        <v>11616</v>
      </c>
    </row>
    <row r="3095" spans="1:17" hidden="1" x14ac:dyDescent="0.4">
      <c r="A3095" s="4" t="s">
        <v>13</v>
      </c>
      <c r="B3095" s="4" t="s">
        <v>14</v>
      </c>
      <c r="C3095" s="30" t="s">
        <v>434</v>
      </c>
      <c r="D3095" s="4" t="s">
        <v>15</v>
      </c>
      <c r="E3095" s="4" t="s">
        <v>16</v>
      </c>
      <c r="F3095" s="4" t="s">
        <v>17</v>
      </c>
      <c r="G3095" s="4" t="s">
        <v>18</v>
      </c>
      <c r="H3095" s="4" t="s">
        <v>287</v>
      </c>
      <c r="I3095" s="5" t="str">
        <f t="shared" si="48"/>
        <v>2025-11</v>
      </c>
      <c r="J3095" s="4" t="s">
        <v>59</v>
      </c>
      <c r="K3095" s="5" t="s">
        <v>343</v>
      </c>
      <c r="L3095" s="2">
        <v>42000</v>
      </c>
      <c r="M3095" s="3">
        <v>4</v>
      </c>
      <c r="N3095" s="2">
        <v>168000</v>
      </c>
      <c r="O3095" s="2">
        <v>16800</v>
      </c>
      <c r="P3095" s="2">
        <v>184800</v>
      </c>
      <c r="Q3095" s="2">
        <f>P3095*12%</f>
        <v>22176</v>
      </c>
    </row>
    <row r="3096" spans="1:17" hidden="1" x14ac:dyDescent="0.4">
      <c r="A3096" s="4" t="s">
        <v>23</v>
      </c>
      <c r="B3096" s="4" t="s">
        <v>14</v>
      </c>
      <c r="C3096" s="31" t="s">
        <v>435</v>
      </c>
      <c r="D3096" s="4" t="s">
        <v>24</v>
      </c>
      <c r="E3096" s="4" t="s">
        <v>16</v>
      </c>
      <c r="F3096" s="4" t="s">
        <v>17</v>
      </c>
      <c r="G3096" s="4" t="s">
        <v>18</v>
      </c>
      <c r="H3096" s="4" t="s">
        <v>287</v>
      </c>
      <c r="I3096" s="5" t="str">
        <f t="shared" si="48"/>
        <v>2025-11</v>
      </c>
      <c r="J3096" s="4" t="s">
        <v>59</v>
      </c>
      <c r="K3096" s="5" t="s">
        <v>343</v>
      </c>
      <c r="L3096" s="2">
        <v>55500</v>
      </c>
      <c r="M3096" s="3">
        <v>2</v>
      </c>
      <c r="N3096" s="2">
        <v>111000</v>
      </c>
      <c r="O3096" s="2">
        <v>11100</v>
      </c>
      <c r="P3096" s="2">
        <v>122100</v>
      </c>
      <c r="Q3096" s="2">
        <f>P3096*12%</f>
        <v>14652</v>
      </c>
    </row>
    <row r="3097" spans="1:17" hidden="1" x14ac:dyDescent="0.4">
      <c r="A3097" s="4" t="s">
        <v>51</v>
      </c>
      <c r="B3097" s="4" t="s">
        <v>14</v>
      </c>
      <c r="C3097" s="30" t="s">
        <v>434</v>
      </c>
      <c r="D3097" s="4" t="s">
        <v>52</v>
      </c>
      <c r="E3097" s="4" t="s">
        <v>16</v>
      </c>
      <c r="F3097" s="4" t="s">
        <v>17</v>
      </c>
      <c r="G3097" s="4" t="s">
        <v>18</v>
      </c>
      <c r="H3097" s="4" t="s">
        <v>287</v>
      </c>
      <c r="I3097" s="5" t="str">
        <f t="shared" si="48"/>
        <v>2025-11</v>
      </c>
      <c r="J3097" s="4" t="s">
        <v>59</v>
      </c>
      <c r="K3097" s="5" t="s">
        <v>343</v>
      </c>
      <c r="L3097" s="2">
        <v>73000</v>
      </c>
      <c r="M3097" s="3">
        <v>1</v>
      </c>
      <c r="N3097" s="2">
        <v>73000</v>
      </c>
      <c r="O3097" s="2">
        <v>7300</v>
      </c>
      <c r="P3097" s="2">
        <v>80300</v>
      </c>
      <c r="Q3097" s="2">
        <f>P3097*12%</f>
        <v>9636</v>
      </c>
    </row>
    <row r="3098" spans="1:17" hidden="1" x14ac:dyDescent="0.4">
      <c r="A3098" s="4" t="s">
        <v>100</v>
      </c>
      <c r="B3098" s="4" t="s">
        <v>26</v>
      </c>
      <c r="C3098" s="32" t="s">
        <v>436</v>
      </c>
      <c r="D3098" s="4" t="s">
        <v>101</v>
      </c>
      <c r="E3098" s="4" t="s">
        <v>28</v>
      </c>
      <c r="F3098" s="4" t="s">
        <v>17</v>
      </c>
      <c r="G3098" s="4" t="s">
        <v>18</v>
      </c>
      <c r="H3098" s="4" t="s">
        <v>287</v>
      </c>
      <c r="I3098" s="5" t="str">
        <f t="shared" si="48"/>
        <v>2025-11</v>
      </c>
      <c r="J3098" s="4" t="s">
        <v>59</v>
      </c>
      <c r="K3098" s="5" t="s">
        <v>343</v>
      </c>
      <c r="L3098" s="2">
        <v>5620</v>
      </c>
      <c r="M3098" s="3">
        <v>4</v>
      </c>
      <c r="N3098" s="2">
        <v>22480</v>
      </c>
      <c r="O3098" s="2">
        <v>2248</v>
      </c>
      <c r="P3098" s="2">
        <v>24728</v>
      </c>
      <c r="Q3098" s="2">
        <f>P3098*12%</f>
        <v>2967.3599999999997</v>
      </c>
    </row>
    <row r="3099" spans="1:17" hidden="1" x14ac:dyDescent="0.4">
      <c r="A3099" s="4" t="s">
        <v>32</v>
      </c>
      <c r="B3099" s="4" t="s">
        <v>14</v>
      </c>
      <c r="C3099" s="31" t="s">
        <v>435</v>
      </c>
      <c r="D3099" s="4" t="s">
        <v>33</v>
      </c>
      <c r="E3099" s="4" t="s">
        <v>16</v>
      </c>
      <c r="F3099" s="4" t="s">
        <v>17</v>
      </c>
      <c r="G3099" s="4" t="s">
        <v>18</v>
      </c>
      <c r="H3099" s="4" t="s">
        <v>287</v>
      </c>
      <c r="I3099" s="5" t="str">
        <f t="shared" si="48"/>
        <v>2025-11</v>
      </c>
      <c r="J3099" s="4" t="s">
        <v>49</v>
      </c>
      <c r="K3099" s="5" t="s">
        <v>343</v>
      </c>
      <c r="L3099" s="2">
        <v>44000</v>
      </c>
      <c r="M3099" s="3">
        <v>5</v>
      </c>
      <c r="N3099" s="2">
        <v>220000</v>
      </c>
      <c r="O3099" s="2">
        <v>22000</v>
      </c>
      <c r="P3099" s="2">
        <v>242000</v>
      </c>
      <c r="Q3099" s="2">
        <f>P3099*12%</f>
        <v>29040</v>
      </c>
    </row>
    <row r="3100" spans="1:17" hidden="1" x14ac:dyDescent="0.4">
      <c r="A3100" s="4" t="s">
        <v>13</v>
      </c>
      <c r="B3100" s="4" t="s">
        <v>14</v>
      </c>
      <c r="C3100" s="30" t="s">
        <v>434</v>
      </c>
      <c r="D3100" s="4" t="s">
        <v>15</v>
      </c>
      <c r="E3100" s="4" t="s">
        <v>16</v>
      </c>
      <c r="F3100" s="4" t="s">
        <v>17</v>
      </c>
      <c r="G3100" s="4" t="s">
        <v>18</v>
      </c>
      <c r="H3100" s="4" t="s">
        <v>287</v>
      </c>
      <c r="I3100" s="5" t="str">
        <f t="shared" si="48"/>
        <v>2025-11</v>
      </c>
      <c r="J3100" s="4" t="s">
        <v>49</v>
      </c>
      <c r="K3100" s="5" t="s">
        <v>343</v>
      </c>
      <c r="L3100" s="2">
        <v>42000</v>
      </c>
      <c r="M3100" s="3">
        <v>5</v>
      </c>
      <c r="N3100" s="2">
        <v>210000</v>
      </c>
      <c r="O3100" s="2">
        <v>21000</v>
      </c>
      <c r="P3100" s="2">
        <v>231000</v>
      </c>
      <c r="Q3100" s="2">
        <f>P3100*12%</f>
        <v>27720</v>
      </c>
    </row>
    <row r="3101" spans="1:17" hidden="1" x14ac:dyDescent="0.4">
      <c r="A3101" s="4" t="s">
        <v>23</v>
      </c>
      <c r="B3101" s="4" t="s">
        <v>14</v>
      </c>
      <c r="C3101" s="31" t="s">
        <v>435</v>
      </c>
      <c r="D3101" s="4" t="s">
        <v>24</v>
      </c>
      <c r="E3101" s="4" t="s">
        <v>16</v>
      </c>
      <c r="F3101" s="4" t="s">
        <v>17</v>
      </c>
      <c r="G3101" s="4" t="s">
        <v>18</v>
      </c>
      <c r="H3101" s="4" t="s">
        <v>287</v>
      </c>
      <c r="I3101" s="5" t="str">
        <f t="shared" si="48"/>
        <v>2025-11</v>
      </c>
      <c r="J3101" s="4" t="s">
        <v>49</v>
      </c>
      <c r="K3101" s="5" t="s">
        <v>343</v>
      </c>
      <c r="L3101" s="2">
        <v>55500</v>
      </c>
      <c r="M3101" s="3">
        <v>4</v>
      </c>
      <c r="N3101" s="2">
        <v>222000</v>
      </c>
      <c r="O3101" s="2">
        <v>22200</v>
      </c>
      <c r="P3101" s="2">
        <v>244200</v>
      </c>
      <c r="Q3101" s="2">
        <f>P3101*12%</f>
        <v>29304</v>
      </c>
    </row>
    <row r="3102" spans="1:17" x14ac:dyDescent="0.4">
      <c r="A3102" s="4" t="s">
        <v>13</v>
      </c>
      <c r="B3102" s="4" t="s">
        <v>14</v>
      </c>
      <c r="C3102" s="30" t="s">
        <v>434</v>
      </c>
      <c r="D3102" s="4" t="s">
        <v>15</v>
      </c>
      <c r="E3102" s="4" t="s">
        <v>16</v>
      </c>
      <c r="F3102" s="4" t="s">
        <v>17</v>
      </c>
      <c r="G3102" s="4" t="s">
        <v>18</v>
      </c>
      <c r="H3102" s="4" t="s">
        <v>288</v>
      </c>
      <c r="I3102" s="5" t="str">
        <f t="shared" si="48"/>
        <v>2025-12</v>
      </c>
      <c r="J3102" s="4" t="s">
        <v>20</v>
      </c>
      <c r="K3102" s="5" t="s">
        <v>342</v>
      </c>
      <c r="L3102" s="2">
        <v>42000</v>
      </c>
      <c r="M3102" s="3">
        <v>1</v>
      </c>
      <c r="N3102" s="2">
        <v>42000</v>
      </c>
      <c r="O3102" s="2">
        <v>4200</v>
      </c>
      <c r="P3102" s="2">
        <v>46200</v>
      </c>
      <c r="Q3102" s="2">
        <f>P3102*8.5%</f>
        <v>3927.0000000000005</v>
      </c>
    </row>
    <row r="3103" spans="1:17" x14ac:dyDescent="0.4">
      <c r="A3103" s="4" t="s">
        <v>21</v>
      </c>
      <c r="B3103" s="4" t="s">
        <v>14</v>
      </c>
      <c r="C3103" s="31" t="s">
        <v>435</v>
      </c>
      <c r="D3103" s="4" t="s">
        <v>22</v>
      </c>
      <c r="E3103" s="4" t="s">
        <v>16</v>
      </c>
      <c r="F3103" s="4" t="s">
        <v>17</v>
      </c>
      <c r="G3103" s="4" t="s">
        <v>18</v>
      </c>
      <c r="H3103" s="4" t="s">
        <v>288</v>
      </c>
      <c r="I3103" s="5" t="str">
        <f t="shared" si="48"/>
        <v>2025-12</v>
      </c>
      <c r="J3103" s="4" t="s">
        <v>20</v>
      </c>
      <c r="K3103" s="5" t="s">
        <v>342</v>
      </c>
      <c r="L3103" s="2">
        <v>55500</v>
      </c>
      <c r="M3103" s="3">
        <v>1</v>
      </c>
      <c r="N3103" s="2">
        <v>55500</v>
      </c>
      <c r="O3103" s="2">
        <v>5550</v>
      </c>
      <c r="P3103" s="2">
        <v>61050</v>
      </c>
      <c r="Q3103" s="2">
        <f>P3103*8.5%</f>
        <v>5189.25</v>
      </c>
    </row>
    <row r="3104" spans="1:17" x14ac:dyDescent="0.4">
      <c r="A3104" s="4" t="s">
        <v>23</v>
      </c>
      <c r="B3104" s="4" t="s">
        <v>14</v>
      </c>
      <c r="C3104" s="31" t="s">
        <v>435</v>
      </c>
      <c r="D3104" s="4" t="s">
        <v>24</v>
      </c>
      <c r="E3104" s="4" t="s">
        <v>16</v>
      </c>
      <c r="F3104" s="4" t="s">
        <v>17</v>
      </c>
      <c r="G3104" s="4" t="s">
        <v>18</v>
      </c>
      <c r="H3104" s="4" t="s">
        <v>288</v>
      </c>
      <c r="I3104" s="5" t="str">
        <f t="shared" si="48"/>
        <v>2025-12</v>
      </c>
      <c r="J3104" s="4" t="s">
        <v>20</v>
      </c>
      <c r="K3104" s="5" t="s">
        <v>342</v>
      </c>
      <c r="L3104" s="2">
        <v>55500</v>
      </c>
      <c r="M3104" s="3">
        <v>3</v>
      </c>
      <c r="N3104" s="2">
        <v>166500</v>
      </c>
      <c r="O3104" s="2">
        <v>16650</v>
      </c>
      <c r="P3104" s="2">
        <v>183150</v>
      </c>
      <c r="Q3104" s="2">
        <f>P3104*8.5%</f>
        <v>15567.750000000002</v>
      </c>
    </row>
    <row r="3105" spans="1:17" x14ac:dyDescent="0.4">
      <c r="A3105" s="4" t="s">
        <v>56</v>
      </c>
      <c r="B3105" s="4" t="s">
        <v>26</v>
      </c>
      <c r="C3105" s="32" t="s">
        <v>436</v>
      </c>
      <c r="D3105" s="4" t="s">
        <v>57</v>
      </c>
      <c r="E3105" s="4" t="s">
        <v>44</v>
      </c>
      <c r="F3105" s="4" t="s">
        <v>31</v>
      </c>
      <c r="G3105" s="4" t="s">
        <v>18</v>
      </c>
      <c r="H3105" s="4" t="s">
        <v>288</v>
      </c>
      <c r="I3105" s="5" t="str">
        <f t="shared" si="48"/>
        <v>2025-12</v>
      </c>
      <c r="J3105" s="4" t="s">
        <v>20</v>
      </c>
      <c r="K3105" s="5" t="s">
        <v>342</v>
      </c>
      <c r="L3105" s="2">
        <v>2368</v>
      </c>
      <c r="M3105" s="3">
        <v>20</v>
      </c>
      <c r="N3105" s="2">
        <v>47360</v>
      </c>
      <c r="O3105" s="2">
        <v>0</v>
      </c>
      <c r="P3105" s="2">
        <v>47360</v>
      </c>
      <c r="Q3105" s="2">
        <f>P3105*8.5%</f>
        <v>4025.6000000000004</v>
      </c>
    </row>
    <row r="3106" spans="1:17" hidden="1" x14ac:dyDescent="0.4">
      <c r="A3106" s="4" t="s">
        <v>13</v>
      </c>
      <c r="B3106" s="4" t="s">
        <v>14</v>
      </c>
      <c r="C3106" s="30" t="s">
        <v>434</v>
      </c>
      <c r="D3106" s="4" t="s">
        <v>15</v>
      </c>
      <c r="E3106" s="4" t="s">
        <v>16</v>
      </c>
      <c r="F3106" s="4" t="s">
        <v>17</v>
      </c>
      <c r="G3106" s="4" t="s">
        <v>18</v>
      </c>
      <c r="H3106" s="4" t="s">
        <v>288</v>
      </c>
      <c r="I3106" s="5" t="str">
        <f t="shared" si="48"/>
        <v>2025-12</v>
      </c>
      <c r="J3106" s="4" t="s">
        <v>34</v>
      </c>
      <c r="K3106" s="5" t="s">
        <v>342</v>
      </c>
      <c r="L3106" s="2">
        <v>42000</v>
      </c>
      <c r="M3106" s="3">
        <v>3</v>
      </c>
      <c r="N3106" s="2">
        <v>126000</v>
      </c>
      <c r="O3106" s="2">
        <v>12600</v>
      </c>
      <c r="P3106" s="2">
        <v>138600</v>
      </c>
      <c r="Q3106" s="2">
        <f>P3106*8.5%</f>
        <v>11781</v>
      </c>
    </row>
    <row r="3107" spans="1:17" hidden="1" x14ac:dyDescent="0.4">
      <c r="A3107" s="4" t="s">
        <v>21</v>
      </c>
      <c r="B3107" s="4" t="s">
        <v>14</v>
      </c>
      <c r="C3107" s="31" t="s">
        <v>435</v>
      </c>
      <c r="D3107" s="4" t="s">
        <v>22</v>
      </c>
      <c r="E3107" s="4" t="s">
        <v>16</v>
      </c>
      <c r="F3107" s="4" t="s">
        <v>17</v>
      </c>
      <c r="G3107" s="4" t="s">
        <v>18</v>
      </c>
      <c r="H3107" s="4" t="s">
        <v>288</v>
      </c>
      <c r="I3107" s="5" t="str">
        <f t="shared" si="48"/>
        <v>2025-12</v>
      </c>
      <c r="J3107" s="4" t="s">
        <v>34</v>
      </c>
      <c r="K3107" s="5" t="s">
        <v>342</v>
      </c>
      <c r="L3107" s="2">
        <v>55500</v>
      </c>
      <c r="M3107" s="3">
        <v>1</v>
      </c>
      <c r="N3107" s="2">
        <v>55500</v>
      </c>
      <c r="O3107" s="2">
        <v>5550</v>
      </c>
      <c r="P3107" s="2">
        <v>61050</v>
      </c>
      <c r="Q3107" s="2">
        <f>P3107*8.5%</f>
        <v>5189.25</v>
      </c>
    </row>
    <row r="3108" spans="1:17" hidden="1" x14ac:dyDescent="0.4">
      <c r="A3108" s="4" t="s">
        <v>23</v>
      </c>
      <c r="B3108" s="4" t="s">
        <v>14</v>
      </c>
      <c r="C3108" s="31" t="s">
        <v>435</v>
      </c>
      <c r="D3108" s="4" t="s">
        <v>24</v>
      </c>
      <c r="E3108" s="4" t="s">
        <v>16</v>
      </c>
      <c r="F3108" s="4" t="s">
        <v>17</v>
      </c>
      <c r="G3108" s="4" t="s">
        <v>18</v>
      </c>
      <c r="H3108" s="4" t="s">
        <v>288</v>
      </c>
      <c r="I3108" s="5" t="str">
        <f t="shared" si="48"/>
        <v>2025-12</v>
      </c>
      <c r="J3108" s="4" t="s">
        <v>34</v>
      </c>
      <c r="K3108" s="5" t="s">
        <v>342</v>
      </c>
      <c r="L3108" s="2">
        <v>55500</v>
      </c>
      <c r="M3108" s="3">
        <v>2</v>
      </c>
      <c r="N3108" s="2">
        <v>111000</v>
      </c>
      <c r="O3108" s="2">
        <v>11100</v>
      </c>
      <c r="P3108" s="2">
        <v>122100</v>
      </c>
      <c r="Q3108" s="2">
        <f>P3108*8.5%</f>
        <v>10378.5</v>
      </c>
    </row>
    <row r="3109" spans="1:17" hidden="1" x14ac:dyDescent="0.4">
      <c r="A3109" s="4" t="s">
        <v>42</v>
      </c>
      <c r="B3109" s="4" t="s">
        <v>14</v>
      </c>
      <c r="C3109" s="30" t="s">
        <v>434</v>
      </c>
      <c r="D3109" s="4" t="s">
        <v>43</v>
      </c>
      <c r="E3109" s="4" t="s">
        <v>44</v>
      </c>
      <c r="F3109" s="4" t="s">
        <v>31</v>
      </c>
      <c r="G3109" s="4" t="s">
        <v>18</v>
      </c>
      <c r="H3109" s="4" t="s">
        <v>288</v>
      </c>
      <c r="I3109" s="5" t="str">
        <f t="shared" si="48"/>
        <v>2025-12</v>
      </c>
      <c r="J3109" s="4" t="s">
        <v>34</v>
      </c>
      <c r="K3109" s="5" t="s">
        <v>342</v>
      </c>
      <c r="L3109" s="2">
        <v>7300</v>
      </c>
      <c r="M3109" s="3">
        <v>78.099999999999994</v>
      </c>
      <c r="N3109" s="2">
        <v>570130</v>
      </c>
      <c r="O3109" s="2">
        <v>0</v>
      </c>
      <c r="P3109" s="2">
        <v>570130</v>
      </c>
      <c r="Q3109" s="2">
        <f>P3109*8.5%</f>
        <v>48461.05</v>
      </c>
    </row>
    <row r="3110" spans="1:17" hidden="1" x14ac:dyDescent="0.4">
      <c r="A3110" s="4" t="s">
        <v>32</v>
      </c>
      <c r="B3110" s="4" t="s">
        <v>14</v>
      </c>
      <c r="C3110" s="31" t="s">
        <v>435</v>
      </c>
      <c r="D3110" s="4" t="s">
        <v>33</v>
      </c>
      <c r="E3110" s="4" t="s">
        <v>16</v>
      </c>
      <c r="F3110" s="4" t="s">
        <v>17</v>
      </c>
      <c r="G3110" s="4" t="s">
        <v>18</v>
      </c>
      <c r="H3110" s="4" t="s">
        <v>288</v>
      </c>
      <c r="I3110" s="5" t="str">
        <f t="shared" si="48"/>
        <v>2025-12</v>
      </c>
      <c r="J3110" s="4" t="s">
        <v>50</v>
      </c>
      <c r="K3110" s="5" t="s">
        <v>343</v>
      </c>
      <c r="L3110" s="2">
        <v>44000</v>
      </c>
      <c r="M3110" s="3">
        <v>1</v>
      </c>
      <c r="N3110" s="2">
        <v>44000</v>
      </c>
      <c r="O3110" s="2">
        <v>4400</v>
      </c>
      <c r="P3110" s="2">
        <v>48400</v>
      </c>
      <c r="Q3110" s="2">
        <f>P3110*12%</f>
        <v>5808</v>
      </c>
    </row>
    <row r="3111" spans="1:17" hidden="1" x14ac:dyDescent="0.4">
      <c r="A3111" s="4" t="s">
        <v>13</v>
      </c>
      <c r="B3111" s="4" t="s">
        <v>14</v>
      </c>
      <c r="C3111" s="30" t="s">
        <v>434</v>
      </c>
      <c r="D3111" s="4" t="s">
        <v>15</v>
      </c>
      <c r="E3111" s="4" t="s">
        <v>16</v>
      </c>
      <c r="F3111" s="4" t="s">
        <v>17</v>
      </c>
      <c r="G3111" s="4" t="s">
        <v>18</v>
      </c>
      <c r="H3111" s="4" t="s">
        <v>288</v>
      </c>
      <c r="I3111" s="5" t="str">
        <f t="shared" si="48"/>
        <v>2025-12</v>
      </c>
      <c r="J3111" s="4" t="s">
        <v>50</v>
      </c>
      <c r="K3111" s="5" t="s">
        <v>343</v>
      </c>
      <c r="L3111" s="2">
        <v>42000</v>
      </c>
      <c r="M3111" s="3">
        <v>5</v>
      </c>
      <c r="N3111" s="2">
        <v>210000</v>
      </c>
      <c r="O3111" s="2">
        <v>21000</v>
      </c>
      <c r="P3111" s="2">
        <v>231000</v>
      </c>
      <c r="Q3111" s="2">
        <f>P3111*12%</f>
        <v>27720</v>
      </c>
    </row>
    <row r="3112" spans="1:17" hidden="1" x14ac:dyDescent="0.4">
      <c r="A3112" s="4" t="s">
        <v>23</v>
      </c>
      <c r="B3112" s="4" t="s">
        <v>14</v>
      </c>
      <c r="C3112" s="31" t="s">
        <v>435</v>
      </c>
      <c r="D3112" s="4" t="s">
        <v>24</v>
      </c>
      <c r="E3112" s="4" t="s">
        <v>16</v>
      </c>
      <c r="F3112" s="4" t="s">
        <v>17</v>
      </c>
      <c r="G3112" s="4" t="s">
        <v>18</v>
      </c>
      <c r="H3112" s="4" t="s">
        <v>288</v>
      </c>
      <c r="I3112" s="5" t="str">
        <f t="shared" si="48"/>
        <v>2025-12</v>
      </c>
      <c r="J3112" s="4" t="s">
        <v>50</v>
      </c>
      <c r="K3112" s="5" t="s">
        <v>343</v>
      </c>
      <c r="L3112" s="2">
        <v>55500</v>
      </c>
      <c r="M3112" s="3">
        <v>3</v>
      </c>
      <c r="N3112" s="2">
        <v>166500</v>
      </c>
      <c r="O3112" s="2">
        <v>16650</v>
      </c>
      <c r="P3112" s="2">
        <v>183150</v>
      </c>
      <c r="Q3112" s="2">
        <f>P3112*12%</f>
        <v>21978</v>
      </c>
    </row>
    <row r="3113" spans="1:17" hidden="1" x14ac:dyDescent="0.4">
      <c r="A3113" s="4" t="s">
        <v>51</v>
      </c>
      <c r="B3113" s="4" t="s">
        <v>14</v>
      </c>
      <c r="C3113" s="30" t="s">
        <v>434</v>
      </c>
      <c r="D3113" s="4" t="s">
        <v>52</v>
      </c>
      <c r="E3113" s="4" t="s">
        <v>16</v>
      </c>
      <c r="F3113" s="4" t="s">
        <v>17</v>
      </c>
      <c r="G3113" s="4" t="s">
        <v>18</v>
      </c>
      <c r="H3113" s="4" t="s">
        <v>288</v>
      </c>
      <c r="I3113" s="5" t="str">
        <f t="shared" si="48"/>
        <v>2025-12</v>
      </c>
      <c r="J3113" s="4" t="s">
        <v>50</v>
      </c>
      <c r="K3113" s="5" t="s">
        <v>343</v>
      </c>
      <c r="L3113" s="2">
        <v>73000</v>
      </c>
      <c r="M3113" s="3">
        <v>1</v>
      </c>
      <c r="N3113" s="2">
        <v>73000</v>
      </c>
      <c r="O3113" s="2">
        <v>7300</v>
      </c>
      <c r="P3113" s="2">
        <v>80300</v>
      </c>
      <c r="Q3113" s="2">
        <f>P3113*12%</f>
        <v>9636</v>
      </c>
    </row>
    <row r="3114" spans="1:17" x14ac:dyDescent="0.4">
      <c r="A3114" s="4" t="s">
        <v>21</v>
      </c>
      <c r="B3114" s="4" t="s">
        <v>14</v>
      </c>
      <c r="C3114" s="31" t="s">
        <v>435</v>
      </c>
      <c r="D3114" s="4" t="s">
        <v>22</v>
      </c>
      <c r="E3114" s="4" t="s">
        <v>16</v>
      </c>
      <c r="F3114" s="4" t="s">
        <v>17</v>
      </c>
      <c r="G3114" s="4" t="s">
        <v>18</v>
      </c>
      <c r="H3114" s="4" t="s">
        <v>289</v>
      </c>
      <c r="I3114" s="5" t="str">
        <f t="shared" si="48"/>
        <v>2025-12</v>
      </c>
      <c r="J3114" s="4" t="s">
        <v>20</v>
      </c>
      <c r="K3114" s="5" t="s">
        <v>342</v>
      </c>
      <c r="L3114" s="2">
        <v>55500</v>
      </c>
      <c r="M3114" s="3">
        <v>2</v>
      </c>
      <c r="N3114" s="2">
        <v>111000</v>
      </c>
      <c r="O3114" s="2">
        <v>11100</v>
      </c>
      <c r="P3114" s="2">
        <v>122100</v>
      </c>
      <c r="Q3114" s="2">
        <f>P3114*8.5%</f>
        <v>10378.5</v>
      </c>
    </row>
    <row r="3115" spans="1:17" x14ac:dyDescent="0.4">
      <c r="A3115" s="4" t="s">
        <v>23</v>
      </c>
      <c r="B3115" s="4" t="s">
        <v>14</v>
      </c>
      <c r="C3115" s="31" t="s">
        <v>435</v>
      </c>
      <c r="D3115" s="4" t="s">
        <v>24</v>
      </c>
      <c r="E3115" s="4" t="s">
        <v>16</v>
      </c>
      <c r="F3115" s="4" t="s">
        <v>17</v>
      </c>
      <c r="G3115" s="4" t="s">
        <v>18</v>
      </c>
      <c r="H3115" s="4" t="s">
        <v>289</v>
      </c>
      <c r="I3115" s="5" t="str">
        <f t="shared" si="48"/>
        <v>2025-12</v>
      </c>
      <c r="J3115" s="4" t="s">
        <v>20</v>
      </c>
      <c r="K3115" s="5" t="s">
        <v>342</v>
      </c>
      <c r="L3115" s="2">
        <v>55500</v>
      </c>
      <c r="M3115" s="3">
        <v>2</v>
      </c>
      <c r="N3115" s="2">
        <v>111000</v>
      </c>
      <c r="O3115" s="2">
        <v>11100</v>
      </c>
      <c r="P3115" s="2">
        <v>122100</v>
      </c>
      <c r="Q3115" s="2">
        <f>P3115*8.5%</f>
        <v>10378.5</v>
      </c>
    </row>
    <row r="3116" spans="1:17" x14ac:dyDescent="0.4">
      <c r="A3116" s="4" t="s">
        <v>54</v>
      </c>
      <c r="B3116" s="4" t="s">
        <v>26</v>
      </c>
      <c r="C3116" s="32" t="s">
        <v>436</v>
      </c>
      <c r="D3116" s="4" t="s">
        <v>55</v>
      </c>
      <c r="E3116" s="4" t="s">
        <v>28</v>
      </c>
      <c r="F3116" s="4" t="s">
        <v>31</v>
      </c>
      <c r="G3116" s="4" t="s">
        <v>18</v>
      </c>
      <c r="H3116" s="4" t="s">
        <v>289</v>
      </c>
      <c r="I3116" s="5" t="str">
        <f t="shared" si="48"/>
        <v>2025-12</v>
      </c>
      <c r="J3116" s="4" t="s">
        <v>20</v>
      </c>
      <c r="K3116" s="5" t="s">
        <v>342</v>
      </c>
      <c r="L3116" s="2">
        <v>5919</v>
      </c>
      <c r="M3116" s="3">
        <v>1</v>
      </c>
      <c r="N3116" s="2">
        <v>5919</v>
      </c>
      <c r="O3116" s="2">
        <v>0</v>
      </c>
      <c r="P3116" s="2">
        <v>5919</v>
      </c>
      <c r="Q3116" s="2">
        <f>P3116*8.5%</f>
        <v>503.11500000000001</v>
      </c>
    </row>
    <row r="3117" spans="1:17" x14ac:dyDescent="0.4">
      <c r="A3117" s="4" t="s">
        <v>25</v>
      </c>
      <c r="B3117" s="4" t="s">
        <v>26</v>
      </c>
      <c r="C3117" s="32" t="s">
        <v>436</v>
      </c>
      <c r="D3117" s="4" t="s">
        <v>27</v>
      </c>
      <c r="E3117" s="4" t="s">
        <v>28</v>
      </c>
      <c r="F3117" s="4" t="s">
        <v>17</v>
      </c>
      <c r="G3117" s="4" t="s">
        <v>18</v>
      </c>
      <c r="H3117" s="4" t="s">
        <v>289</v>
      </c>
      <c r="I3117" s="5" t="str">
        <f t="shared" si="48"/>
        <v>2025-12</v>
      </c>
      <c r="J3117" s="4" t="s">
        <v>20</v>
      </c>
      <c r="K3117" s="5" t="s">
        <v>342</v>
      </c>
      <c r="L3117" s="2">
        <v>2631</v>
      </c>
      <c r="M3117" s="3">
        <v>1</v>
      </c>
      <c r="N3117" s="2">
        <v>2631</v>
      </c>
      <c r="O3117" s="2">
        <v>263</v>
      </c>
      <c r="P3117" s="2">
        <v>2894</v>
      </c>
      <c r="Q3117" s="2">
        <f>P3117*8.5%</f>
        <v>245.99</v>
      </c>
    </row>
    <row r="3118" spans="1:17" x14ac:dyDescent="0.4">
      <c r="A3118" s="4" t="s">
        <v>29</v>
      </c>
      <c r="B3118" s="4" t="s">
        <v>26</v>
      </c>
      <c r="C3118" s="32" t="s">
        <v>436</v>
      </c>
      <c r="D3118" s="4" t="s">
        <v>30</v>
      </c>
      <c r="E3118" s="4" t="s">
        <v>28</v>
      </c>
      <c r="F3118" s="4" t="s">
        <v>31</v>
      </c>
      <c r="G3118" s="4" t="s">
        <v>18</v>
      </c>
      <c r="H3118" s="4" t="s">
        <v>289</v>
      </c>
      <c r="I3118" s="5" t="str">
        <f t="shared" si="48"/>
        <v>2025-12</v>
      </c>
      <c r="J3118" s="4" t="s">
        <v>20</v>
      </c>
      <c r="K3118" s="5" t="s">
        <v>342</v>
      </c>
      <c r="L3118" s="2">
        <v>3719</v>
      </c>
      <c r="M3118" s="3">
        <v>1</v>
      </c>
      <c r="N3118" s="2">
        <v>3719</v>
      </c>
      <c r="O3118" s="2">
        <v>0</v>
      </c>
      <c r="P3118" s="2">
        <v>3719</v>
      </c>
      <c r="Q3118" s="2">
        <f>P3118*8.5%</f>
        <v>316.11500000000001</v>
      </c>
    </row>
    <row r="3119" spans="1:17" hidden="1" x14ac:dyDescent="0.4">
      <c r="A3119" s="4" t="s">
        <v>32</v>
      </c>
      <c r="B3119" s="4" t="s">
        <v>14</v>
      </c>
      <c r="C3119" s="31" t="s">
        <v>435</v>
      </c>
      <c r="D3119" s="4" t="s">
        <v>33</v>
      </c>
      <c r="E3119" s="4" t="s">
        <v>16</v>
      </c>
      <c r="F3119" s="4" t="s">
        <v>17</v>
      </c>
      <c r="G3119" s="4" t="s">
        <v>18</v>
      </c>
      <c r="H3119" s="4" t="s">
        <v>289</v>
      </c>
      <c r="I3119" s="5" t="str">
        <f t="shared" si="48"/>
        <v>2025-12</v>
      </c>
      <c r="J3119" s="4" t="s">
        <v>34</v>
      </c>
      <c r="K3119" s="5" t="s">
        <v>342</v>
      </c>
      <c r="L3119" s="2">
        <v>44000</v>
      </c>
      <c r="M3119" s="3">
        <v>3</v>
      </c>
      <c r="N3119" s="2">
        <v>132000</v>
      </c>
      <c r="O3119" s="2">
        <v>13200</v>
      </c>
      <c r="P3119" s="2">
        <v>145200</v>
      </c>
      <c r="Q3119" s="2">
        <f>P3119*8.5%</f>
        <v>12342</v>
      </c>
    </row>
    <row r="3120" spans="1:17" hidden="1" x14ac:dyDescent="0.4">
      <c r="A3120" s="4" t="s">
        <v>13</v>
      </c>
      <c r="B3120" s="4" t="s">
        <v>14</v>
      </c>
      <c r="C3120" s="30" t="s">
        <v>434</v>
      </c>
      <c r="D3120" s="4" t="s">
        <v>15</v>
      </c>
      <c r="E3120" s="4" t="s">
        <v>16</v>
      </c>
      <c r="F3120" s="4" t="s">
        <v>17</v>
      </c>
      <c r="G3120" s="4" t="s">
        <v>18</v>
      </c>
      <c r="H3120" s="4" t="s">
        <v>289</v>
      </c>
      <c r="I3120" s="5" t="str">
        <f t="shared" si="48"/>
        <v>2025-12</v>
      </c>
      <c r="J3120" s="4" t="s">
        <v>34</v>
      </c>
      <c r="K3120" s="5" t="s">
        <v>342</v>
      </c>
      <c r="L3120" s="2">
        <v>42000</v>
      </c>
      <c r="M3120" s="3">
        <v>4</v>
      </c>
      <c r="N3120" s="2">
        <v>168000</v>
      </c>
      <c r="O3120" s="2">
        <v>16800</v>
      </c>
      <c r="P3120" s="2">
        <v>184800</v>
      </c>
      <c r="Q3120" s="2">
        <f>P3120*8.5%</f>
        <v>15708.000000000002</v>
      </c>
    </row>
    <row r="3121" spans="1:17" hidden="1" x14ac:dyDescent="0.4">
      <c r="A3121" s="4" t="s">
        <v>21</v>
      </c>
      <c r="B3121" s="4" t="s">
        <v>14</v>
      </c>
      <c r="C3121" s="31" t="s">
        <v>435</v>
      </c>
      <c r="D3121" s="4" t="s">
        <v>22</v>
      </c>
      <c r="E3121" s="4" t="s">
        <v>16</v>
      </c>
      <c r="F3121" s="4" t="s">
        <v>17</v>
      </c>
      <c r="G3121" s="4" t="s">
        <v>18</v>
      </c>
      <c r="H3121" s="4" t="s">
        <v>289</v>
      </c>
      <c r="I3121" s="5" t="str">
        <f t="shared" si="48"/>
        <v>2025-12</v>
      </c>
      <c r="J3121" s="4" t="s">
        <v>34</v>
      </c>
      <c r="K3121" s="5" t="s">
        <v>342</v>
      </c>
      <c r="L3121" s="2">
        <v>55500</v>
      </c>
      <c r="M3121" s="3">
        <v>1</v>
      </c>
      <c r="N3121" s="2">
        <v>55500</v>
      </c>
      <c r="O3121" s="2">
        <v>5550</v>
      </c>
      <c r="P3121" s="2">
        <v>61050</v>
      </c>
      <c r="Q3121" s="2">
        <f>P3121*8.5%</f>
        <v>5189.25</v>
      </c>
    </row>
    <row r="3122" spans="1:17" hidden="1" x14ac:dyDescent="0.4">
      <c r="A3122" s="4" t="s">
        <v>23</v>
      </c>
      <c r="B3122" s="4" t="s">
        <v>14</v>
      </c>
      <c r="C3122" s="31" t="s">
        <v>435</v>
      </c>
      <c r="D3122" s="4" t="s">
        <v>24</v>
      </c>
      <c r="E3122" s="4" t="s">
        <v>16</v>
      </c>
      <c r="F3122" s="4" t="s">
        <v>17</v>
      </c>
      <c r="G3122" s="4" t="s">
        <v>18</v>
      </c>
      <c r="H3122" s="4" t="s">
        <v>289</v>
      </c>
      <c r="I3122" s="5" t="str">
        <f t="shared" si="48"/>
        <v>2025-12</v>
      </c>
      <c r="J3122" s="4" t="s">
        <v>34</v>
      </c>
      <c r="K3122" s="5" t="s">
        <v>342</v>
      </c>
      <c r="L3122" s="2">
        <v>55500</v>
      </c>
      <c r="M3122" s="3">
        <v>2</v>
      </c>
      <c r="N3122" s="2">
        <v>111000</v>
      </c>
      <c r="O3122" s="2">
        <v>11100</v>
      </c>
      <c r="P3122" s="2">
        <v>122100</v>
      </c>
      <c r="Q3122" s="2">
        <f>P3122*8.5%</f>
        <v>10378.5</v>
      </c>
    </row>
    <row r="3123" spans="1:17" hidden="1" x14ac:dyDescent="0.4">
      <c r="A3123" s="4" t="s">
        <v>51</v>
      </c>
      <c r="B3123" s="4" t="s">
        <v>14</v>
      </c>
      <c r="C3123" s="30" t="s">
        <v>434</v>
      </c>
      <c r="D3123" s="4" t="s">
        <v>52</v>
      </c>
      <c r="E3123" s="4" t="s">
        <v>16</v>
      </c>
      <c r="F3123" s="4" t="s">
        <v>17</v>
      </c>
      <c r="G3123" s="4" t="s">
        <v>18</v>
      </c>
      <c r="H3123" s="4" t="s">
        <v>289</v>
      </c>
      <c r="I3123" s="5" t="str">
        <f t="shared" si="48"/>
        <v>2025-12</v>
      </c>
      <c r="J3123" s="4" t="s">
        <v>34</v>
      </c>
      <c r="K3123" s="5" t="s">
        <v>342</v>
      </c>
      <c r="L3123" s="2">
        <v>73000</v>
      </c>
      <c r="M3123" s="3">
        <v>1</v>
      </c>
      <c r="N3123" s="2">
        <v>73000</v>
      </c>
      <c r="O3123" s="2">
        <v>7300</v>
      </c>
      <c r="P3123" s="2">
        <v>80300</v>
      </c>
      <c r="Q3123" s="2">
        <f>P3123*8.5%</f>
        <v>6825.5000000000009</v>
      </c>
    </row>
    <row r="3124" spans="1:17" hidden="1" x14ac:dyDescent="0.4">
      <c r="A3124" s="4" t="s">
        <v>42</v>
      </c>
      <c r="B3124" s="4" t="s">
        <v>14</v>
      </c>
      <c r="C3124" s="30" t="s">
        <v>434</v>
      </c>
      <c r="D3124" s="4" t="s">
        <v>43</v>
      </c>
      <c r="E3124" s="4" t="s">
        <v>44</v>
      </c>
      <c r="F3124" s="4" t="s">
        <v>31</v>
      </c>
      <c r="G3124" s="4" t="s">
        <v>18</v>
      </c>
      <c r="H3124" s="4" t="s">
        <v>289</v>
      </c>
      <c r="I3124" s="5" t="str">
        <f t="shared" si="48"/>
        <v>2025-12</v>
      </c>
      <c r="J3124" s="4" t="s">
        <v>34</v>
      </c>
      <c r="K3124" s="5" t="s">
        <v>342</v>
      </c>
      <c r="L3124" s="2">
        <v>7300</v>
      </c>
      <c r="M3124" s="3">
        <v>46.8</v>
      </c>
      <c r="N3124" s="2">
        <v>341640</v>
      </c>
      <c r="O3124" s="2">
        <v>0</v>
      </c>
      <c r="P3124" s="2">
        <v>341640</v>
      </c>
      <c r="Q3124" s="2">
        <f>P3124*8.5%</f>
        <v>29039.4</v>
      </c>
    </row>
    <row r="3125" spans="1:17" hidden="1" x14ac:dyDescent="0.4">
      <c r="A3125" s="4" t="s">
        <v>32</v>
      </c>
      <c r="B3125" s="4" t="s">
        <v>14</v>
      </c>
      <c r="C3125" s="31" t="s">
        <v>435</v>
      </c>
      <c r="D3125" s="4" t="s">
        <v>33</v>
      </c>
      <c r="E3125" s="4" t="s">
        <v>16</v>
      </c>
      <c r="F3125" s="4" t="s">
        <v>17</v>
      </c>
      <c r="G3125" s="4" t="s">
        <v>18</v>
      </c>
      <c r="H3125" s="4" t="s">
        <v>289</v>
      </c>
      <c r="I3125" s="5" t="str">
        <f t="shared" si="48"/>
        <v>2025-12</v>
      </c>
      <c r="J3125" s="4" t="s">
        <v>49</v>
      </c>
      <c r="K3125" s="5" t="s">
        <v>343</v>
      </c>
      <c r="L3125" s="2">
        <v>44000</v>
      </c>
      <c r="M3125" s="3">
        <v>4</v>
      </c>
      <c r="N3125" s="2">
        <v>176000</v>
      </c>
      <c r="O3125" s="2">
        <v>17600</v>
      </c>
      <c r="P3125" s="2">
        <v>193600</v>
      </c>
      <c r="Q3125" s="2">
        <f>P3125*12%</f>
        <v>23232</v>
      </c>
    </row>
    <row r="3126" spans="1:17" hidden="1" x14ac:dyDescent="0.4">
      <c r="A3126" s="4" t="s">
        <v>13</v>
      </c>
      <c r="B3126" s="4" t="s">
        <v>14</v>
      </c>
      <c r="C3126" s="30" t="s">
        <v>434</v>
      </c>
      <c r="D3126" s="4" t="s">
        <v>15</v>
      </c>
      <c r="E3126" s="4" t="s">
        <v>16</v>
      </c>
      <c r="F3126" s="4" t="s">
        <v>17</v>
      </c>
      <c r="G3126" s="4" t="s">
        <v>18</v>
      </c>
      <c r="H3126" s="4" t="s">
        <v>289</v>
      </c>
      <c r="I3126" s="5" t="str">
        <f t="shared" si="48"/>
        <v>2025-12</v>
      </c>
      <c r="J3126" s="4" t="s">
        <v>49</v>
      </c>
      <c r="K3126" s="5" t="s">
        <v>343</v>
      </c>
      <c r="L3126" s="2">
        <v>42000</v>
      </c>
      <c r="M3126" s="3">
        <v>4</v>
      </c>
      <c r="N3126" s="2">
        <v>168000</v>
      </c>
      <c r="O3126" s="2">
        <v>16800</v>
      </c>
      <c r="P3126" s="2">
        <v>184800</v>
      </c>
      <c r="Q3126" s="2">
        <f>P3126*12%</f>
        <v>22176</v>
      </c>
    </row>
    <row r="3127" spans="1:17" hidden="1" x14ac:dyDescent="0.4">
      <c r="A3127" s="4" t="s">
        <v>35</v>
      </c>
      <c r="B3127" s="4" t="s">
        <v>14</v>
      </c>
      <c r="C3127" s="30" t="s">
        <v>434</v>
      </c>
      <c r="D3127" s="4" t="s">
        <v>36</v>
      </c>
      <c r="E3127" s="4" t="s">
        <v>16</v>
      </c>
      <c r="F3127" s="4" t="s">
        <v>17</v>
      </c>
      <c r="G3127" s="4" t="s">
        <v>18</v>
      </c>
      <c r="H3127" s="4" t="s">
        <v>289</v>
      </c>
      <c r="I3127" s="5" t="str">
        <f t="shared" si="48"/>
        <v>2025-12</v>
      </c>
      <c r="J3127" s="4" t="s">
        <v>49</v>
      </c>
      <c r="K3127" s="5" t="s">
        <v>343</v>
      </c>
      <c r="L3127" s="2">
        <v>116220</v>
      </c>
      <c r="M3127" s="3">
        <v>1</v>
      </c>
      <c r="N3127" s="2">
        <v>116220</v>
      </c>
      <c r="O3127" s="2">
        <v>11622</v>
      </c>
      <c r="P3127" s="2">
        <v>127842</v>
      </c>
      <c r="Q3127" s="2">
        <f>P3127*12%</f>
        <v>15341.039999999999</v>
      </c>
    </row>
    <row r="3128" spans="1:17" hidden="1" x14ac:dyDescent="0.4">
      <c r="A3128" s="4" t="s">
        <v>23</v>
      </c>
      <c r="B3128" s="4" t="s">
        <v>14</v>
      </c>
      <c r="C3128" s="31" t="s">
        <v>435</v>
      </c>
      <c r="D3128" s="4" t="s">
        <v>24</v>
      </c>
      <c r="E3128" s="4" t="s">
        <v>16</v>
      </c>
      <c r="F3128" s="4" t="s">
        <v>17</v>
      </c>
      <c r="G3128" s="4" t="s">
        <v>18</v>
      </c>
      <c r="H3128" s="4" t="s">
        <v>289</v>
      </c>
      <c r="I3128" s="5" t="str">
        <f t="shared" si="48"/>
        <v>2025-12</v>
      </c>
      <c r="J3128" s="4" t="s">
        <v>49</v>
      </c>
      <c r="K3128" s="5" t="s">
        <v>343</v>
      </c>
      <c r="L3128" s="2">
        <v>55500</v>
      </c>
      <c r="M3128" s="3">
        <v>2</v>
      </c>
      <c r="N3128" s="2">
        <v>111000</v>
      </c>
      <c r="O3128" s="2">
        <v>11100</v>
      </c>
      <c r="P3128" s="2">
        <v>122100</v>
      </c>
      <c r="Q3128" s="2">
        <f>P3128*12%</f>
        <v>14652</v>
      </c>
    </row>
    <row r="3129" spans="1:17" hidden="1" x14ac:dyDescent="0.4">
      <c r="A3129" s="4" t="s">
        <v>51</v>
      </c>
      <c r="B3129" s="4" t="s">
        <v>14</v>
      </c>
      <c r="C3129" s="30" t="s">
        <v>434</v>
      </c>
      <c r="D3129" s="4" t="s">
        <v>52</v>
      </c>
      <c r="E3129" s="4" t="s">
        <v>16</v>
      </c>
      <c r="F3129" s="4" t="s">
        <v>17</v>
      </c>
      <c r="G3129" s="4" t="s">
        <v>18</v>
      </c>
      <c r="H3129" s="4" t="s">
        <v>289</v>
      </c>
      <c r="I3129" s="5" t="str">
        <f t="shared" si="48"/>
        <v>2025-12</v>
      </c>
      <c r="J3129" s="4" t="s">
        <v>49</v>
      </c>
      <c r="K3129" s="5" t="s">
        <v>343</v>
      </c>
      <c r="L3129" s="2">
        <v>73000</v>
      </c>
      <c r="M3129" s="3">
        <v>1</v>
      </c>
      <c r="N3129" s="2">
        <v>73000</v>
      </c>
      <c r="O3129" s="2">
        <v>7300</v>
      </c>
      <c r="P3129" s="2">
        <v>80300</v>
      </c>
      <c r="Q3129" s="2">
        <f>P3129*12%</f>
        <v>9636</v>
      </c>
    </row>
    <row r="3130" spans="1:17" x14ac:dyDescent="0.4">
      <c r="A3130" s="4" t="s">
        <v>13</v>
      </c>
      <c r="B3130" s="4" t="s">
        <v>14</v>
      </c>
      <c r="C3130" s="30" t="s">
        <v>434</v>
      </c>
      <c r="D3130" s="4" t="s">
        <v>15</v>
      </c>
      <c r="E3130" s="4" t="s">
        <v>16</v>
      </c>
      <c r="F3130" s="4" t="s">
        <v>17</v>
      </c>
      <c r="G3130" s="4" t="s">
        <v>18</v>
      </c>
      <c r="H3130" s="4" t="s">
        <v>290</v>
      </c>
      <c r="I3130" s="5" t="str">
        <f t="shared" si="48"/>
        <v>2025-12</v>
      </c>
      <c r="J3130" s="4" t="s">
        <v>20</v>
      </c>
      <c r="K3130" s="5" t="s">
        <v>342</v>
      </c>
      <c r="L3130" s="2">
        <v>42000</v>
      </c>
      <c r="M3130" s="3">
        <v>1</v>
      </c>
      <c r="N3130" s="2">
        <v>42000</v>
      </c>
      <c r="O3130" s="2">
        <v>4200</v>
      </c>
      <c r="P3130" s="2">
        <v>46200</v>
      </c>
      <c r="Q3130" s="2">
        <f>P3130*8.5%</f>
        <v>3927.0000000000005</v>
      </c>
    </row>
    <row r="3131" spans="1:17" x14ac:dyDescent="0.4">
      <c r="A3131" s="4" t="s">
        <v>21</v>
      </c>
      <c r="B3131" s="4" t="s">
        <v>14</v>
      </c>
      <c r="C3131" s="31" t="s">
        <v>435</v>
      </c>
      <c r="D3131" s="4" t="s">
        <v>22</v>
      </c>
      <c r="E3131" s="4" t="s">
        <v>16</v>
      </c>
      <c r="F3131" s="4" t="s">
        <v>17</v>
      </c>
      <c r="G3131" s="4" t="s">
        <v>18</v>
      </c>
      <c r="H3131" s="4" t="s">
        <v>290</v>
      </c>
      <c r="I3131" s="5" t="str">
        <f t="shared" si="48"/>
        <v>2025-12</v>
      </c>
      <c r="J3131" s="4" t="s">
        <v>20</v>
      </c>
      <c r="K3131" s="5" t="s">
        <v>342</v>
      </c>
      <c r="L3131" s="2">
        <v>55500</v>
      </c>
      <c r="M3131" s="3">
        <v>1</v>
      </c>
      <c r="N3131" s="2">
        <v>55500</v>
      </c>
      <c r="O3131" s="2">
        <v>5550</v>
      </c>
      <c r="P3131" s="2">
        <v>61050</v>
      </c>
      <c r="Q3131" s="2">
        <f>P3131*8.5%</f>
        <v>5189.25</v>
      </c>
    </row>
    <row r="3132" spans="1:17" x14ac:dyDescent="0.4">
      <c r="A3132" s="4" t="s">
        <v>23</v>
      </c>
      <c r="B3132" s="4" t="s">
        <v>14</v>
      </c>
      <c r="C3132" s="31" t="s">
        <v>435</v>
      </c>
      <c r="D3132" s="4" t="s">
        <v>24</v>
      </c>
      <c r="E3132" s="4" t="s">
        <v>16</v>
      </c>
      <c r="F3132" s="4" t="s">
        <v>17</v>
      </c>
      <c r="G3132" s="4" t="s">
        <v>18</v>
      </c>
      <c r="H3132" s="4" t="s">
        <v>290</v>
      </c>
      <c r="I3132" s="5" t="str">
        <f t="shared" si="48"/>
        <v>2025-12</v>
      </c>
      <c r="J3132" s="4" t="s">
        <v>20</v>
      </c>
      <c r="K3132" s="5" t="s">
        <v>342</v>
      </c>
      <c r="L3132" s="2">
        <v>55500</v>
      </c>
      <c r="M3132" s="3">
        <v>3</v>
      </c>
      <c r="N3132" s="2">
        <v>166500</v>
      </c>
      <c r="O3132" s="2">
        <v>16650</v>
      </c>
      <c r="P3132" s="2">
        <v>183150</v>
      </c>
      <c r="Q3132" s="2">
        <f>P3132*8.5%</f>
        <v>15567.750000000002</v>
      </c>
    </row>
    <row r="3133" spans="1:17" x14ac:dyDescent="0.4">
      <c r="A3133" s="4" t="s">
        <v>56</v>
      </c>
      <c r="B3133" s="4" t="s">
        <v>26</v>
      </c>
      <c r="C3133" s="32" t="s">
        <v>436</v>
      </c>
      <c r="D3133" s="4" t="s">
        <v>57</v>
      </c>
      <c r="E3133" s="4" t="s">
        <v>44</v>
      </c>
      <c r="F3133" s="4" t="s">
        <v>31</v>
      </c>
      <c r="G3133" s="4" t="s">
        <v>18</v>
      </c>
      <c r="H3133" s="4" t="s">
        <v>290</v>
      </c>
      <c r="I3133" s="5" t="str">
        <f t="shared" si="48"/>
        <v>2025-12</v>
      </c>
      <c r="J3133" s="4" t="s">
        <v>20</v>
      </c>
      <c r="K3133" s="5" t="s">
        <v>342</v>
      </c>
      <c r="L3133" s="2">
        <v>2368</v>
      </c>
      <c r="M3133" s="3">
        <v>20</v>
      </c>
      <c r="N3133" s="2">
        <v>47360</v>
      </c>
      <c r="O3133" s="2">
        <v>0</v>
      </c>
      <c r="P3133" s="2">
        <v>47360</v>
      </c>
      <c r="Q3133" s="2">
        <f>P3133*8.5%</f>
        <v>4025.6000000000004</v>
      </c>
    </row>
    <row r="3134" spans="1:17" hidden="1" x14ac:dyDescent="0.4">
      <c r="A3134" s="4" t="s">
        <v>32</v>
      </c>
      <c r="B3134" s="4" t="s">
        <v>14</v>
      </c>
      <c r="C3134" s="31" t="s">
        <v>435</v>
      </c>
      <c r="D3134" s="4" t="s">
        <v>33</v>
      </c>
      <c r="E3134" s="4" t="s">
        <v>16</v>
      </c>
      <c r="F3134" s="4" t="s">
        <v>17</v>
      </c>
      <c r="G3134" s="4" t="s">
        <v>18</v>
      </c>
      <c r="H3134" s="4" t="s">
        <v>290</v>
      </c>
      <c r="I3134" s="5" t="str">
        <f t="shared" si="48"/>
        <v>2025-12</v>
      </c>
      <c r="J3134" s="4" t="s">
        <v>34</v>
      </c>
      <c r="K3134" s="5" t="s">
        <v>342</v>
      </c>
      <c r="L3134" s="2">
        <v>44000</v>
      </c>
      <c r="M3134" s="3">
        <v>3</v>
      </c>
      <c r="N3134" s="2">
        <v>132000</v>
      </c>
      <c r="O3134" s="2">
        <v>13200</v>
      </c>
      <c r="P3134" s="2">
        <v>145200</v>
      </c>
      <c r="Q3134" s="2">
        <f>P3134*8.5%</f>
        <v>12342</v>
      </c>
    </row>
    <row r="3135" spans="1:17" hidden="1" x14ac:dyDescent="0.4">
      <c r="A3135" s="4" t="s">
        <v>13</v>
      </c>
      <c r="B3135" s="4" t="s">
        <v>14</v>
      </c>
      <c r="C3135" s="30" t="s">
        <v>434</v>
      </c>
      <c r="D3135" s="4" t="s">
        <v>15</v>
      </c>
      <c r="E3135" s="4" t="s">
        <v>16</v>
      </c>
      <c r="F3135" s="4" t="s">
        <v>17</v>
      </c>
      <c r="G3135" s="4" t="s">
        <v>18</v>
      </c>
      <c r="H3135" s="4" t="s">
        <v>290</v>
      </c>
      <c r="I3135" s="5" t="str">
        <f t="shared" si="48"/>
        <v>2025-12</v>
      </c>
      <c r="J3135" s="4" t="s">
        <v>34</v>
      </c>
      <c r="K3135" s="5" t="s">
        <v>342</v>
      </c>
      <c r="L3135" s="2">
        <v>42000</v>
      </c>
      <c r="M3135" s="3">
        <v>3</v>
      </c>
      <c r="N3135" s="2">
        <v>126000</v>
      </c>
      <c r="O3135" s="2">
        <v>12600</v>
      </c>
      <c r="P3135" s="2">
        <v>138600</v>
      </c>
      <c r="Q3135" s="2">
        <f>P3135*8.5%</f>
        <v>11781</v>
      </c>
    </row>
    <row r="3136" spans="1:17" hidden="1" x14ac:dyDescent="0.4">
      <c r="A3136" s="4" t="s">
        <v>21</v>
      </c>
      <c r="B3136" s="4" t="s">
        <v>14</v>
      </c>
      <c r="C3136" s="31" t="s">
        <v>435</v>
      </c>
      <c r="D3136" s="4" t="s">
        <v>22</v>
      </c>
      <c r="E3136" s="4" t="s">
        <v>16</v>
      </c>
      <c r="F3136" s="4" t="s">
        <v>17</v>
      </c>
      <c r="G3136" s="4" t="s">
        <v>18</v>
      </c>
      <c r="H3136" s="4" t="s">
        <v>290</v>
      </c>
      <c r="I3136" s="5" t="str">
        <f t="shared" si="48"/>
        <v>2025-12</v>
      </c>
      <c r="J3136" s="4" t="s">
        <v>34</v>
      </c>
      <c r="K3136" s="5" t="s">
        <v>342</v>
      </c>
      <c r="L3136" s="2">
        <v>55500</v>
      </c>
      <c r="M3136" s="3">
        <v>1</v>
      </c>
      <c r="N3136" s="2">
        <v>55500</v>
      </c>
      <c r="O3136" s="2">
        <v>5550</v>
      </c>
      <c r="P3136" s="2">
        <v>61050</v>
      </c>
      <c r="Q3136" s="2">
        <f>P3136*8.5%</f>
        <v>5189.25</v>
      </c>
    </row>
    <row r="3137" spans="1:17" hidden="1" x14ac:dyDescent="0.4">
      <c r="A3137" s="4" t="s">
        <v>23</v>
      </c>
      <c r="B3137" s="4" t="s">
        <v>14</v>
      </c>
      <c r="C3137" s="31" t="s">
        <v>435</v>
      </c>
      <c r="D3137" s="4" t="s">
        <v>24</v>
      </c>
      <c r="E3137" s="4" t="s">
        <v>16</v>
      </c>
      <c r="F3137" s="4" t="s">
        <v>17</v>
      </c>
      <c r="G3137" s="4" t="s">
        <v>18</v>
      </c>
      <c r="H3137" s="4" t="s">
        <v>290</v>
      </c>
      <c r="I3137" s="5" t="str">
        <f t="shared" si="48"/>
        <v>2025-12</v>
      </c>
      <c r="J3137" s="4" t="s">
        <v>34</v>
      </c>
      <c r="K3137" s="5" t="s">
        <v>342</v>
      </c>
      <c r="L3137" s="2">
        <v>55500</v>
      </c>
      <c r="M3137" s="3">
        <v>4</v>
      </c>
      <c r="N3137" s="2">
        <v>222000</v>
      </c>
      <c r="O3137" s="2">
        <v>22200</v>
      </c>
      <c r="P3137" s="2">
        <v>244200</v>
      </c>
      <c r="Q3137" s="2">
        <f>P3137*8.5%</f>
        <v>20757</v>
      </c>
    </row>
    <row r="3138" spans="1:17" hidden="1" x14ac:dyDescent="0.4">
      <c r="A3138" s="4" t="s">
        <v>84</v>
      </c>
      <c r="B3138" s="4" t="s">
        <v>26</v>
      </c>
      <c r="C3138" s="32" t="s">
        <v>436</v>
      </c>
      <c r="D3138" s="4" t="s">
        <v>85</v>
      </c>
      <c r="E3138" s="4" t="s">
        <v>28</v>
      </c>
      <c r="F3138" s="4" t="s">
        <v>17</v>
      </c>
      <c r="G3138" s="4" t="s">
        <v>18</v>
      </c>
      <c r="H3138" s="4" t="s">
        <v>290</v>
      </c>
      <c r="I3138" s="5" t="str">
        <f t="shared" ref="I3138:I3201" si="49">TEXT(H3138,"yyyy-mm")</f>
        <v>2025-12</v>
      </c>
      <c r="J3138" s="4" t="s">
        <v>34</v>
      </c>
      <c r="K3138" s="5" t="s">
        <v>342</v>
      </c>
      <c r="L3138" s="2">
        <v>5032</v>
      </c>
      <c r="M3138" s="3">
        <v>1</v>
      </c>
      <c r="N3138" s="2">
        <v>5032</v>
      </c>
      <c r="O3138" s="2">
        <v>503</v>
      </c>
      <c r="P3138" s="2">
        <v>5535</v>
      </c>
      <c r="Q3138" s="2">
        <f>P3138*8.5%</f>
        <v>470.47500000000002</v>
      </c>
    </row>
    <row r="3139" spans="1:17" hidden="1" x14ac:dyDescent="0.4">
      <c r="A3139" s="4" t="s">
        <v>107</v>
      </c>
      <c r="B3139" s="4" t="s">
        <v>26</v>
      </c>
      <c r="C3139" s="32" t="s">
        <v>436</v>
      </c>
      <c r="D3139" s="4" t="s">
        <v>108</v>
      </c>
      <c r="E3139" s="4" t="s">
        <v>28</v>
      </c>
      <c r="F3139" s="4" t="s">
        <v>31</v>
      </c>
      <c r="G3139" s="4" t="s">
        <v>18</v>
      </c>
      <c r="H3139" s="4" t="s">
        <v>290</v>
      </c>
      <c r="I3139" s="5" t="str">
        <f t="shared" si="49"/>
        <v>2025-12</v>
      </c>
      <c r="J3139" s="4" t="s">
        <v>34</v>
      </c>
      <c r="K3139" s="5" t="s">
        <v>342</v>
      </c>
      <c r="L3139" s="2">
        <v>34377</v>
      </c>
      <c r="M3139" s="3">
        <v>1</v>
      </c>
      <c r="N3139" s="2">
        <v>34377</v>
      </c>
      <c r="O3139" s="2">
        <v>0</v>
      </c>
      <c r="P3139" s="2">
        <v>34377</v>
      </c>
      <c r="Q3139" s="2">
        <f>P3139*8.5%</f>
        <v>2922.0450000000001</v>
      </c>
    </row>
    <row r="3140" spans="1:17" hidden="1" x14ac:dyDescent="0.4">
      <c r="A3140" s="4" t="s">
        <v>73</v>
      </c>
      <c r="B3140" s="4" t="s">
        <v>26</v>
      </c>
      <c r="C3140" s="32" t="s">
        <v>436</v>
      </c>
      <c r="D3140" s="4" t="s">
        <v>57</v>
      </c>
      <c r="E3140" s="4" t="s">
        <v>28</v>
      </c>
      <c r="F3140" s="4" t="s">
        <v>17</v>
      </c>
      <c r="G3140" s="4" t="s">
        <v>18</v>
      </c>
      <c r="H3140" s="4" t="s">
        <v>290</v>
      </c>
      <c r="I3140" s="5" t="str">
        <f t="shared" si="49"/>
        <v>2025-12</v>
      </c>
      <c r="J3140" s="4" t="s">
        <v>34</v>
      </c>
      <c r="K3140" s="5" t="s">
        <v>342</v>
      </c>
      <c r="L3140" s="2">
        <v>7055</v>
      </c>
      <c r="M3140" s="3">
        <v>2</v>
      </c>
      <c r="N3140" s="2">
        <v>14110</v>
      </c>
      <c r="O3140" s="2">
        <v>1411</v>
      </c>
      <c r="P3140" s="2">
        <v>15521</v>
      </c>
      <c r="Q3140" s="2">
        <f>P3140*8.5%</f>
        <v>1319.2850000000001</v>
      </c>
    </row>
    <row r="3141" spans="1:17" hidden="1" x14ac:dyDescent="0.4">
      <c r="A3141" s="4" t="s">
        <v>123</v>
      </c>
      <c r="B3141" s="4" t="s">
        <v>26</v>
      </c>
      <c r="C3141" s="32" t="s">
        <v>436</v>
      </c>
      <c r="D3141" s="4" t="s">
        <v>124</v>
      </c>
      <c r="E3141" s="4" t="s">
        <v>28</v>
      </c>
      <c r="F3141" s="4" t="s">
        <v>17</v>
      </c>
      <c r="G3141" s="4" t="s">
        <v>18</v>
      </c>
      <c r="H3141" s="4" t="s">
        <v>290</v>
      </c>
      <c r="I3141" s="5" t="str">
        <f t="shared" si="49"/>
        <v>2025-12</v>
      </c>
      <c r="J3141" s="4" t="s">
        <v>34</v>
      </c>
      <c r="K3141" s="5" t="s">
        <v>342</v>
      </c>
      <c r="L3141" s="2">
        <v>454</v>
      </c>
      <c r="M3141" s="3">
        <v>10</v>
      </c>
      <c r="N3141" s="2">
        <v>4540</v>
      </c>
      <c r="O3141" s="2">
        <v>454</v>
      </c>
      <c r="P3141" s="2">
        <v>4994</v>
      </c>
      <c r="Q3141" s="2">
        <f>P3141*8.5%</f>
        <v>424.49</v>
      </c>
    </row>
    <row r="3142" spans="1:17" hidden="1" x14ac:dyDescent="0.4">
      <c r="A3142" s="4" t="s">
        <v>40</v>
      </c>
      <c r="B3142" s="4" t="s">
        <v>26</v>
      </c>
      <c r="C3142" s="32" t="s">
        <v>436</v>
      </c>
      <c r="D3142" s="4" t="s">
        <v>41</v>
      </c>
      <c r="E3142" s="4" t="s">
        <v>28</v>
      </c>
      <c r="F3142" s="4" t="s">
        <v>17</v>
      </c>
      <c r="G3142" s="4" t="s">
        <v>18</v>
      </c>
      <c r="H3142" s="4" t="s">
        <v>290</v>
      </c>
      <c r="I3142" s="5" t="str">
        <f t="shared" si="49"/>
        <v>2025-12</v>
      </c>
      <c r="J3142" s="4" t="s">
        <v>34</v>
      </c>
      <c r="K3142" s="5" t="s">
        <v>342</v>
      </c>
      <c r="L3142" s="2">
        <v>17936</v>
      </c>
      <c r="M3142" s="3">
        <v>2</v>
      </c>
      <c r="N3142" s="2">
        <v>35872</v>
      </c>
      <c r="O3142" s="2">
        <v>3587</v>
      </c>
      <c r="P3142" s="2">
        <v>39459</v>
      </c>
      <c r="Q3142" s="2">
        <f>P3142*8.5%</f>
        <v>3354.0150000000003</v>
      </c>
    </row>
    <row r="3143" spans="1:17" hidden="1" x14ac:dyDescent="0.4">
      <c r="A3143" s="4" t="s">
        <v>42</v>
      </c>
      <c r="B3143" s="4" t="s">
        <v>14</v>
      </c>
      <c r="C3143" s="30" t="s">
        <v>434</v>
      </c>
      <c r="D3143" s="4" t="s">
        <v>43</v>
      </c>
      <c r="E3143" s="4" t="s">
        <v>44</v>
      </c>
      <c r="F3143" s="4" t="s">
        <v>31</v>
      </c>
      <c r="G3143" s="4" t="s">
        <v>18</v>
      </c>
      <c r="H3143" s="4" t="s">
        <v>290</v>
      </c>
      <c r="I3143" s="5" t="str">
        <f t="shared" si="49"/>
        <v>2025-12</v>
      </c>
      <c r="J3143" s="4" t="s">
        <v>34</v>
      </c>
      <c r="K3143" s="5" t="s">
        <v>342</v>
      </c>
      <c r="L3143" s="2">
        <v>7300</v>
      </c>
      <c r="M3143" s="3">
        <v>30.7</v>
      </c>
      <c r="N3143" s="2">
        <v>224110</v>
      </c>
      <c r="O3143" s="2">
        <v>0</v>
      </c>
      <c r="P3143" s="2">
        <v>224110</v>
      </c>
      <c r="Q3143" s="2">
        <f>P3143*8.5%</f>
        <v>19049.350000000002</v>
      </c>
    </row>
    <row r="3144" spans="1:17" hidden="1" x14ac:dyDescent="0.4">
      <c r="A3144" s="4" t="s">
        <v>32</v>
      </c>
      <c r="B3144" s="4" t="s">
        <v>14</v>
      </c>
      <c r="C3144" s="31" t="s">
        <v>435</v>
      </c>
      <c r="D3144" s="4" t="s">
        <v>33</v>
      </c>
      <c r="E3144" s="4" t="s">
        <v>16</v>
      </c>
      <c r="F3144" s="4" t="s">
        <v>17</v>
      </c>
      <c r="G3144" s="4" t="s">
        <v>18</v>
      </c>
      <c r="H3144" s="4" t="s">
        <v>290</v>
      </c>
      <c r="I3144" s="5" t="str">
        <f t="shared" si="49"/>
        <v>2025-12</v>
      </c>
      <c r="J3144" s="4" t="s">
        <v>59</v>
      </c>
      <c r="K3144" s="5" t="s">
        <v>343</v>
      </c>
      <c r="L3144" s="2">
        <v>44000</v>
      </c>
      <c r="M3144" s="3">
        <v>2</v>
      </c>
      <c r="N3144" s="2">
        <v>88000</v>
      </c>
      <c r="O3144" s="2">
        <v>8800</v>
      </c>
      <c r="P3144" s="2">
        <v>96800</v>
      </c>
      <c r="Q3144" s="2">
        <f>P3144*12%</f>
        <v>11616</v>
      </c>
    </row>
    <row r="3145" spans="1:17" hidden="1" x14ac:dyDescent="0.4">
      <c r="A3145" s="4" t="s">
        <v>13</v>
      </c>
      <c r="B3145" s="4" t="s">
        <v>14</v>
      </c>
      <c r="C3145" s="30" t="s">
        <v>434</v>
      </c>
      <c r="D3145" s="4" t="s">
        <v>15</v>
      </c>
      <c r="E3145" s="4" t="s">
        <v>16</v>
      </c>
      <c r="F3145" s="4" t="s">
        <v>17</v>
      </c>
      <c r="G3145" s="4" t="s">
        <v>18</v>
      </c>
      <c r="H3145" s="4" t="s">
        <v>290</v>
      </c>
      <c r="I3145" s="5" t="str">
        <f t="shared" si="49"/>
        <v>2025-12</v>
      </c>
      <c r="J3145" s="4" t="s">
        <v>59</v>
      </c>
      <c r="K3145" s="5" t="s">
        <v>343</v>
      </c>
      <c r="L3145" s="2">
        <v>42000</v>
      </c>
      <c r="M3145" s="3">
        <v>4</v>
      </c>
      <c r="N3145" s="2">
        <v>168000</v>
      </c>
      <c r="O3145" s="2">
        <v>16800</v>
      </c>
      <c r="P3145" s="2">
        <v>184800</v>
      </c>
      <c r="Q3145" s="2">
        <f>P3145*12%</f>
        <v>22176</v>
      </c>
    </row>
    <row r="3146" spans="1:17" hidden="1" x14ac:dyDescent="0.4">
      <c r="A3146" s="4" t="s">
        <v>35</v>
      </c>
      <c r="B3146" s="4" t="s">
        <v>14</v>
      </c>
      <c r="C3146" s="30" t="s">
        <v>434</v>
      </c>
      <c r="D3146" s="4" t="s">
        <v>36</v>
      </c>
      <c r="E3146" s="4" t="s">
        <v>16</v>
      </c>
      <c r="F3146" s="4" t="s">
        <v>17</v>
      </c>
      <c r="G3146" s="4" t="s">
        <v>18</v>
      </c>
      <c r="H3146" s="4" t="s">
        <v>290</v>
      </c>
      <c r="I3146" s="5" t="str">
        <f t="shared" si="49"/>
        <v>2025-12</v>
      </c>
      <c r="J3146" s="4" t="s">
        <v>59</v>
      </c>
      <c r="K3146" s="5" t="s">
        <v>343</v>
      </c>
      <c r="L3146" s="2">
        <v>116220</v>
      </c>
      <c r="M3146" s="3">
        <v>1</v>
      </c>
      <c r="N3146" s="2">
        <v>116220</v>
      </c>
      <c r="O3146" s="2">
        <v>11622</v>
      </c>
      <c r="P3146" s="2">
        <v>127842</v>
      </c>
      <c r="Q3146" s="2">
        <f>P3146*12%</f>
        <v>15341.039999999999</v>
      </c>
    </row>
    <row r="3147" spans="1:17" hidden="1" x14ac:dyDescent="0.4">
      <c r="A3147" s="4" t="s">
        <v>23</v>
      </c>
      <c r="B3147" s="4" t="s">
        <v>14</v>
      </c>
      <c r="C3147" s="31" t="s">
        <v>435</v>
      </c>
      <c r="D3147" s="4" t="s">
        <v>24</v>
      </c>
      <c r="E3147" s="4" t="s">
        <v>16</v>
      </c>
      <c r="F3147" s="4" t="s">
        <v>17</v>
      </c>
      <c r="G3147" s="4" t="s">
        <v>18</v>
      </c>
      <c r="H3147" s="4" t="s">
        <v>290</v>
      </c>
      <c r="I3147" s="5" t="str">
        <f t="shared" si="49"/>
        <v>2025-12</v>
      </c>
      <c r="J3147" s="4" t="s">
        <v>59</v>
      </c>
      <c r="K3147" s="5" t="s">
        <v>343</v>
      </c>
      <c r="L3147" s="2">
        <v>55500</v>
      </c>
      <c r="M3147" s="3">
        <v>1</v>
      </c>
      <c r="N3147" s="2">
        <v>55500</v>
      </c>
      <c r="O3147" s="2">
        <v>5550</v>
      </c>
      <c r="P3147" s="2">
        <v>61050</v>
      </c>
      <c r="Q3147" s="2">
        <f>P3147*12%</f>
        <v>7326</v>
      </c>
    </row>
    <row r="3148" spans="1:17" hidden="1" x14ac:dyDescent="0.4">
      <c r="A3148" s="4" t="s">
        <v>32</v>
      </c>
      <c r="B3148" s="4" t="s">
        <v>14</v>
      </c>
      <c r="C3148" s="31" t="s">
        <v>435</v>
      </c>
      <c r="D3148" s="4" t="s">
        <v>33</v>
      </c>
      <c r="E3148" s="4" t="s">
        <v>16</v>
      </c>
      <c r="F3148" s="4" t="s">
        <v>17</v>
      </c>
      <c r="G3148" s="4" t="s">
        <v>18</v>
      </c>
      <c r="H3148" s="4" t="s">
        <v>290</v>
      </c>
      <c r="I3148" s="5" t="str">
        <f t="shared" si="49"/>
        <v>2025-12</v>
      </c>
      <c r="J3148" s="4" t="s">
        <v>49</v>
      </c>
      <c r="K3148" s="5" t="s">
        <v>343</v>
      </c>
      <c r="L3148" s="2">
        <v>44000</v>
      </c>
      <c r="M3148" s="3">
        <v>4</v>
      </c>
      <c r="N3148" s="2">
        <v>176000</v>
      </c>
      <c r="O3148" s="2">
        <v>17600</v>
      </c>
      <c r="P3148" s="2">
        <v>193600</v>
      </c>
      <c r="Q3148" s="2">
        <f>P3148*12%</f>
        <v>23232</v>
      </c>
    </row>
    <row r="3149" spans="1:17" hidden="1" x14ac:dyDescent="0.4">
      <c r="A3149" s="4" t="s">
        <v>13</v>
      </c>
      <c r="B3149" s="4" t="s">
        <v>14</v>
      </c>
      <c r="C3149" s="30" t="s">
        <v>434</v>
      </c>
      <c r="D3149" s="4" t="s">
        <v>15</v>
      </c>
      <c r="E3149" s="4" t="s">
        <v>16</v>
      </c>
      <c r="F3149" s="4" t="s">
        <v>17</v>
      </c>
      <c r="G3149" s="4" t="s">
        <v>18</v>
      </c>
      <c r="H3149" s="4" t="s">
        <v>290</v>
      </c>
      <c r="I3149" s="5" t="str">
        <f t="shared" si="49"/>
        <v>2025-12</v>
      </c>
      <c r="J3149" s="4" t="s">
        <v>49</v>
      </c>
      <c r="K3149" s="5" t="s">
        <v>343</v>
      </c>
      <c r="L3149" s="2">
        <v>42000</v>
      </c>
      <c r="M3149" s="3">
        <v>5</v>
      </c>
      <c r="N3149" s="2">
        <v>210000</v>
      </c>
      <c r="O3149" s="2">
        <v>21000</v>
      </c>
      <c r="P3149" s="2">
        <v>231000</v>
      </c>
      <c r="Q3149" s="2">
        <f>P3149*12%</f>
        <v>27720</v>
      </c>
    </row>
    <row r="3150" spans="1:17" hidden="1" x14ac:dyDescent="0.4">
      <c r="A3150" s="4" t="s">
        <v>23</v>
      </c>
      <c r="B3150" s="4" t="s">
        <v>14</v>
      </c>
      <c r="C3150" s="31" t="s">
        <v>435</v>
      </c>
      <c r="D3150" s="4" t="s">
        <v>24</v>
      </c>
      <c r="E3150" s="4" t="s">
        <v>16</v>
      </c>
      <c r="F3150" s="4" t="s">
        <v>17</v>
      </c>
      <c r="G3150" s="4" t="s">
        <v>18</v>
      </c>
      <c r="H3150" s="4" t="s">
        <v>290</v>
      </c>
      <c r="I3150" s="5" t="str">
        <f t="shared" si="49"/>
        <v>2025-12</v>
      </c>
      <c r="J3150" s="4" t="s">
        <v>49</v>
      </c>
      <c r="K3150" s="5" t="s">
        <v>343</v>
      </c>
      <c r="L3150" s="2">
        <v>55500</v>
      </c>
      <c r="M3150" s="3">
        <v>3</v>
      </c>
      <c r="N3150" s="2">
        <v>166500</v>
      </c>
      <c r="O3150" s="2">
        <v>16650</v>
      </c>
      <c r="P3150" s="2">
        <v>183150</v>
      </c>
      <c r="Q3150" s="2">
        <f>P3150*12%</f>
        <v>21978</v>
      </c>
    </row>
    <row r="3151" spans="1:17" x14ac:dyDescent="0.4">
      <c r="A3151" s="4" t="s">
        <v>21</v>
      </c>
      <c r="B3151" s="4" t="s">
        <v>14</v>
      </c>
      <c r="C3151" s="31" t="s">
        <v>435</v>
      </c>
      <c r="D3151" s="4" t="s">
        <v>22</v>
      </c>
      <c r="E3151" s="4" t="s">
        <v>16</v>
      </c>
      <c r="F3151" s="4" t="s">
        <v>17</v>
      </c>
      <c r="G3151" s="4" t="s">
        <v>18</v>
      </c>
      <c r="H3151" s="4" t="s">
        <v>291</v>
      </c>
      <c r="I3151" s="5" t="str">
        <f t="shared" si="49"/>
        <v>2025-12</v>
      </c>
      <c r="J3151" s="4" t="s">
        <v>20</v>
      </c>
      <c r="K3151" s="5" t="s">
        <v>342</v>
      </c>
      <c r="L3151" s="2">
        <v>55500</v>
      </c>
      <c r="M3151" s="3">
        <v>1</v>
      </c>
      <c r="N3151" s="2">
        <v>55500</v>
      </c>
      <c r="O3151" s="2">
        <v>5550</v>
      </c>
      <c r="P3151" s="2">
        <v>61050</v>
      </c>
      <c r="Q3151" s="2">
        <f>P3151*8.5%</f>
        <v>5189.25</v>
      </c>
    </row>
    <row r="3152" spans="1:17" x14ac:dyDescent="0.4">
      <c r="A3152" s="4" t="s">
        <v>23</v>
      </c>
      <c r="B3152" s="4" t="s">
        <v>14</v>
      </c>
      <c r="C3152" s="31" t="s">
        <v>435</v>
      </c>
      <c r="D3152" s="4" t="s">
        <v>24</v>
      </c>
      <c r="E3152" s="4" t="s">
        <v>16</v>
      </c>
      <c r="F3152" s="4" t="s">
        <v>17</v>
      </c>
      <c r="G3152" s="4" t="s">
        <v>18</v>
      </c>
      <c r="H3152" s="4" t="s">
        <v>291</v>
      </c>
      <c r="I3152" s="5" t="str">
        <f t="shared" si="49"/>
        <v>2025-12</v>
      </c>
      <c r="J3152" s="4" t="s">
        <v>20</v>
      </c>
      <c r="K3152" s="5" t="s">
        <v>342</v>
      </c>
      <c r="L3152" s="2">
        <v>55500</v>
      </c>
      <c r="M3152" s="3">
        <v>2</v>
      </c>
      <c r="N3152" s="2">
        <v>111000</v>
      </c>
      <c r="O3152" s="2">
        <v>11100</v>
      </c>
      <c r="P3152" s="2">
        <v>122100</v>
      </c>
      <c r="Q3152" s="2">
        <f>P3152*8.5%</f>
        <v>10378.5</v>
      </c>
    </row>
    <row r="3153" spans="1:17" x14ac:dyDescent="0.4">
      <c r="A3153" s="4" t="s">
        <v>56</v>
      </c>
      <c r="B3153" s="4" t="s">
        <v>26</v>
      </c>
      <c r="C3153" s="32" t="s">
        <v>436</v>
      </c>
      <c r="D3153" s="4" t="s">
        <v>57</v>
      </c>
      <c r="E3153" s="4" t="s">
        <v>44</v>
      </c>
      <c r="F3153" s="4" t="s">
        <v>31</v>
      </c>
      <c r="G3153" s="4" t="s">
        <v>18</v>
      </c>
      <c r="H3153" s="4" t="s">
        <v>291</v>
      </c>
      <c r="I3153" s="5" t="str">
        <f t="shared" si="49"/>
        <v>2025-12</v>
      </c>
      <c r="J3153" s="4" t="s">
        <v>20</v>
      </c>
      <c r="K3153" s="5" t="s">
        <v>342</v>
      </c>
      <c r="L3153" s="2">
        <v>2368</v>
      </c>
      <c r="M3153" s="3">
        <v>25</v>
      </c>
      <c r="N3153" s="2">
        <v>59200</v>
      </c>
      <c r="O3153" s="2">
        <v>0</v>
      </c>
      <c r="P3153" s="2">
        <v>59200</v>
      </c>
      <c r="Q3153" s="2">
        <f>P3153*8.5%</f>
        <v>5032</v>
      </c>
    </row>
    <row r="3154" spans="1:17" hidden="1" x14ac:dyDescent="0.4">
      <c r="A3154" s="4" t="s">
        <v>64</v>
      </c>
      <c r="B3154" s="4" t="s">
        <v>65</v>
      </c>
      <c r="C3154" s="32" t="s">
        <v>436</v>
      </c>
      <c r="D3154" s="4" t="s">
        <v>66</v>
      </c>
      <c r="E3154" s="4" t="s">
        <v>16</v>
      </c>
      <c r="F3154" s="4" t="s">
        <v>17</v>
      </c>
      <c r="G3154" s="4" t="s">
        <v>18</v>
      </c>
      <c r="H3154" s="4" t="s">
        <v>291</v>
      </c>
      <c r="I3154" s="5" t="str">
        <f t="shared" si="49"/>
        <v>2025-12</v>
      </c>
      <c r="J3154" s="4" t="s">
        <v>34</v>
      </c>
      <c r="K3154" s="5" t="s">
        <v>342</v>
      </c>
      <c r="L3154" s="2">
        <v>10283</v>
      </c>
      <c r="M3154" s="3">
        <v>1</v>
      </c>
      <c r="N3154" s="2">
        <v>10283</v>
      </c>
      <c r="O3154" s="2">
        <v>1028</v>
      </c>
      <c r="P3154" s="2">
        <v>11311</v>
      </c>
      <c r="Q3154" s="2">
        <f>P3154*8.5%</f>
        <v>961.43500000000006</v>
      </c>
    </row>
    <row r="3155" spans="1:17" hidden="1" x14ac:dyDescent="0.4">
      <c r="A3155" s="4" t="s">
        <v>13</v>
      </c>
      <c r="B3155" s="4" t="s">
        <v>14</v>
      </c>
      <c r="C3155" s="30" t="s">
        <v>434</v>
      </c>
      <c r="D3155" s="4" t="s">
        <v>15</v>
      </c>
      <c r="E3155" s="4" t="s">
        <v>16</v>
      </c>
      <c r="F3155" s="4" t="s">
        <v>17</v>
      </c>
      <c r="G3155" s="4" t="s">
        <v>18</v>
      </c>
      <c r="H3155" s="4" t="s">
        <v>291</v>
      </c>
      <c r="I3155" s="5" t="str">
        <f t="shared" si="49"/>
        <v>2025-12</v>
      </c>
      <c r="J3155" s="4" t="s">
        <v>34</v>
      </c>
      <c r="K3155" s="5" t="s">
        <v>342</v>
      </c>
      <c r="L3155" s="2">
        <v>42000</v>
      </c>
      <c r="M3155" s="3">
        <v>4</v>
      </c>
      <c r="N3155" s="2">
        <v>168000</v>
      </c>
      <c r="O3155" s="2">
        <v>16800</v>
      </c>
      <c r="P3155" s="2">
        <v>184800</v>
      </c>
      <c r="Q3155" s="2">
        <f>P3155*8.5%</f>
        <v>15708.000000000002</v>
      </c>
    </row>
    <row r="3156" spans="1:17" hidden="1" x14ac:dyDescent="0.4">
      <c r="A3156" s="4" t="s">
        <v>23</v>
      </c>
      <c r="B3156" s="4" t="s">
        <v>14</v>
      </c>
      <c r="C3156" s="31" t="s">
        <v>435</v>
      </c>
      <c r="D3156" s="4" t="s">
        <v>24</v>
      </c>
      <c r="E3156" s="4" t="s">
        <v>16</v>
      </c>
      <c r="F3156" s="4" t="s">
        <v>17</v>
      </c>
      <c r="G3156" s="4" t="s">
        <v>18</v>
      </c>
      <c r="H3156" s="4" t="s">
        <v>291</v>
      </c>
      <c r="I3156" s="5" t="str">
        <f t="shared" si="49"/>
        <v>2025-12</v>
      </c>
      <c r="J3156" s="4" t="s">
        <v>34</v>
      </c>
      <c r="K3156" s="5" t="s">
        <v>342</v>
      </c>
      <c r="L3156" s="2">
        <v>55500</v>
      </c>
      <c r="M3156" s="3">
        <v>3</v>
      </c>
      <c r="N3156" s="2">
        <v>166500</v>
      </c>
      <c r="O3156" s="2">
        <v>16650</v>
      </c>
      <c r="P3156" s="2">
        <v>183150</v>
      </c>
      <c r="Q3156" s="2">
        <f>P3156*8.5%</f>
        <v>15567.750000000002</v>
      </c>
    </row>
    <row r="3157" spans="1:17" hidden="1" x14ac:dyDescent="0.4">
      <c r="A3157" s="4" t="s">
        <v>37</v>
      </c>
      <c r="B3157" s="4" t="s">
        <v>26</v>
      </c>
      <c r="C3157" s="32" t="s">
        <v>436</v>
      </c>
      <c r="D3157" s="4" t="s">
        <v>38</v>
      </c>
      <c r="E3157" s="4" t="s">
        <v>28</v>
      </c>
      <c r="F3157" s="4" t="s">
        <v>17</v>
      </c>
      <c r="G3157" s="4" t="s">
        <v>18</v>
      </c>
      <c r="H3157" s="4" t="s">
        <v>291</v>
      </c>
      <c r="I3157" s="5" t="str">
        <f t="shared" si="49"/>
        <v>2025-12</v>
      </c>
      <c r="J3157" s="4" t="s">
        <v>34</v>
      </c>
      <c r="K3157" s="5" t="s">
        <v>342</v>
      </c>
      <c r="L3157" s="2">
        <v>395</v>
      </c>
      <c r="M3157" s="3">
        <v>20</v>
      </c>
      <c r="N3157" s="2">
        <v>7900</v>
      </c>
      <c r="O3157" s="2">
        <v>790</v>
      </c>
      <c r="P3157" s="2">
        <v>8690</v>
      </c>
      <c r="Q3157" s="2">
        <f>P3157*8.5%</f>
        <v>738.65000000000009</v>
      </c>
    </row>
    <row r="3158" spans="1:17" hidden="1" x14ac:dyDescent="0.4">
      <c r="A3158" s="4" t="s">
        <v>42</v>
      </c>
      <c r="B3158" s="4" t="s">
        <v>14</v>
      </c>
      <c r="C3158" s="30" t="s">
        <v>434</v>
      </c>
      <c r="D3158" s="4" t="s">
        <v>43</v>
      </c>
      <c r="E3158" s="4" t="s">
        <v>44</v>
      </c>
      <c r="F3158" s="4" t="s">
        <v>31</v>
      </c>
      <c r="G3158" s="4" t="s">
        <v>18</v>
      </c>
      <c r="H3158" s="4" t="s">
        <v>291</v>
      </c>
      <c r="I3158" s="5" t="str">
        <f t="shared" si="49"/>
        <v>2025-12</v>
      </c>
      <c r="J3158" s="4" t="s">
        <v>34</v>
      </c>
      <c r="K3158" s="5" t="s">
        <v>342</v>
      </c>
      <c r="L3158" s="2">
        <v>7300</v>
      </c>
      <c r="M3158" s="3">
        <v>65</v>
      </c>
      <c r="N3158" s="2">
        <v>474500</v>
      </c>
      <c r="O3158" s="2">
        <v>0</v>
      </c>
      <c r="P3158" s="2">
        <v>474500</v>
      </c>
      <c r="Q3158" s="2">
        <f>P3158*8.5%</f>
        <v>40332.5</v>
      </c>
    </row>
    <row r="3159" spans="1:17" hidden="1" x14ac:dyDescent="0.4">
      <c r="A3159" s="4" t="s">
        <v>32</v>
      </c>
      <c r="B3159" s="4" t="s">
        <v>14</v>
      </c>
      <c r="C3159" s="31" t="s">
        <v>435</v>
      </c>
      <c r="D3159" s="4" t="s">
        <v>33</v>
      </c>
      <c r="E3159" s="4" t="s">
        <v>16</v>
      </c>
      <c r="F3159" s="4" t="s">
        <v>17</v>
      </c>
      <c r="G3159" s="4" t="s">
        <v>18</v>
      </c>
      <c r="H3159" s="4" t="s">
        <v>291</v>
      </c>
      <c r="I3159" s="5" t="str">
        <f t="shared" si="49"/>
        <v>2025-12</v>
      </c>
      <c r="J3159" s="4" t="s">
        <v>50</v>
      </c>
      <c r="K3159" s="5" t="s">
        <v>343</v>
      </c>
      <c r="L3159" s="2">
        <v>44000</v>
      </c>
      <c r="M3159" s="3">
        <v>3</v>
      </c>
      <c r="N3159" s="2">
        <v>132000</v>
      </c>
      <c r="O3159" s="2">
        <v>13200</v>
      </c>
      <c r="P3159" s="2">
        <v>145200</v>
      </c>
      <c r="Q3159" s="2">
        <f>P3159*12%</f>
        <v>17424</v>
      </c>
    </row>
    <row r="3160" spans="1:17" hidden="1" x14ac:dyDescent="0.4">
      <c r="A3160" s="4" t="s">
        <v>13</v>
      </c>
      <c r="B3160" s="4" t="s">
        <v>14</v>
      </c>
      <c r="C3160" s="30" t="s">
        <v>434</v>
      </c>
      <c r="D3160" s="4" t="s">
        <v>15</v>
      </c>
      <c r="E3160" s="4" t="s">
        <v>16</v>
      </c>
      <c r="F3160" s="4" t="s">
        <v>17</v>
      </c>
      <c r="G3160" s="4" t="s">
        <v>18</v>
      </c>
      <c r="H3160" s="4" t="s">
        <v>291</v>
      </c>
      <c r="I3160" s="5" t="str">
        <f t="shared" si="49"/>
        <v>2025-12</v>
      </c>
      <c r="J3160" s="4" t="s">
        <v>50</v>
      </c>
      <c r="K3160" s="5" t="s">
        <v>343</v>
      </c>
      <c r="L3160" s="2">
        <v>42000</v>
      </c>
      <c r="M3160" s="3">
        <v>10</v>
      </c>
      <c r="N3160" s="2">
        <v>420000</v>
      </c>
      <c r="O3160" s="2">
        <v>42000</v>
      </c>
      <c r="P3160" s="2">
        <v>462000</v>
      </c>
      <c r="Q3160" s="2">
        <f>P3160*12%</f>
        <v>55440</v>
      </c>
    </row>
    <row r="3161" spans="1:17" x14ac:dyDescent="0.4">
      <c r="A3161" s="4" t="s">
        <v>13</v>
      </c>
      <c r="B3161" s="4" t="s">
        <v>14</v>
      </c>
      <c r="C3161" s="30" t="s">
        <v>434</v>
      </c>
      <c r="D3161" s="4" t="s">
        <v>15</v>
      </c>
      <c r="E3161" s="4" t="s">
        <v>16</v>
      </c>
      <c r="F3161" s="4" t="s">
        <v>17</v>
      </c>
      <c r="G3161" s="4" t="s">
        <v>18</v>
      </c>
      <c r="H3161" s="4" t="s">
        <v>292</v>
      </c>
      <c r="I3161" s="5" t="str">
        <f t="shared" si="49"/>
        <v>2025-12</v>
      </c>
      <c r="J3161" s="4" t="s">
        <v>20</v>
      </c>
      <c r="K3161" s="5" t="s">
        <v>342</v>
      </c>
      <c r="L3161" s="2">
        <v>42000</v>
      </c>
      <c r="M3161" s="3">
        <v>1</v>
      </c>
      <c r="N3161" s="2">
        <v>42000</v>
      </c>
      <c r="O3161" s="2">
        <v>4200</v>
      </c>
      <c r="P3161" s="2">
        <v>46200</v>
      </c>
      <c r="Q3161" s="2">
        <f>P3161*8.5%</f>
        <v>3927.0000000000005</v>
      </c>
    </row>
    <row r="3162" spans="1:17" x14ac:dyDescent="0.4">
      <c r="A3162" s="4" t="s">
        <v>21</v>
      </c>
      <c r="B3162" s="4" t="s">
        <v>14</v>
      </c>
      <c r="C3162" s="31" t="s">
        <v>435</v>
      </c>
      <c r="D3162" s="4" t="s">
        <v>22</v>
      </c>
      <c r="E3162" s="4" t="s">
        <v>16</v>
      </c>
      <c r="F3162" s="4" t="s">
        <v>17</v>
      </c>
      <c r="G3162" s="4" t="s">
        <v>18</v>
      </c>
      <c r="H3162" s="4" t="s">
        <v>292</v>
      </c>
      <c r="I3162" s="5" t="str">
        <f t="shared" si="49"/>
        <v>2025-12</v>
      </c>
      <c r="J3162" s="4" t="s">
        <v>20</v>
      </c>
      <c r="K3162" s="5" t="s">
        <v>342</v>
      </c>
      <c r="L3162" s="2">
        <v>55500</v>
      </c>
      <c r="M3162" s="3">
        <v>1</v>
      </c>
      <c r="N3162" s="2">
        <v>55500</v>
      </c>
      <c r="O3162" s="2">
        <v>5550</v>
      </c>
      <c r="P3162" s="2">
        <v>61050</v>
      </c>
      <c r="Q3162" s="2">
        <f>P3162*8.5%</f>
        <v>5189.25</v>
      </c>
    </row>
    <row r="3163" spans="1:17" x14ac:dyDescent="0.4">
      <c r="A3163" s="4" t="s">
        <v>23</v>
      </c>
      <c r="B3163" s="4" t="s">
        <v>14</v>
      </c>
      <c r="C3163" s="31" t="s">
        <v>435</v>
      </c>
      <c r="D3163" s="4" t="s">
        <v>24</v>
      </c>
      <c r="E3163" s="4" t="s">
        <v>16</v>
      </c>
      <c r="F3163" s="4" t="s">
        <v>17</v>
      </c>
      <c r="G3163" s="4" t="s">
        <v>18</v>
      </c>
      <c r="H3163" s="4" t="s">
        <v>292</v>
      </c>
      <c r="I3163" s="5" t="str">
        <f t="shared" si="49"/>
        <v>2025-12</v>
      </c>
      <c r="J3163" s="4" t="s">
        <v>20</v>
      </c>
      <c r="K3163" s="5" t="s">
        <v>342</v>
      </c>
      <c r="L3163" s="2">
        <v>55500</v>
      </c>
      <c r="M3163" s="3">
        <v>3</v>
      </c>
      <c r="N3163" s="2">
        <v>166500</v>
      </c>
      <c r="O3163" s="2">
        <v>16650</v>
      </c>
      <c r="P3163" s="2">
        <v>183150</v>
      </c>
      <c r="Q3163" s="2">
        <f>P3163*8.5%</f>
        <v>15567.750000000002</v>
      </c>
    </row>
    <row r="3164" spans="1:17" hidden="1" x14ac:dyDescent="0.4">
      <c r="A3164" s="4" t="s">
        <v>32</v>
      </c>
      <c r="B3164" s="4" t="s">
        <v>14</v>
      </c>
      <c r="C3164" s="31" t="s">
        <v>435</v>
      </c>
      <c r="D3164" s="4" t="s">
        <v>33</v>
      </c>
      <c r="E3164" s="4" t="s">
        <v>16</v>
      </c>
      <c r="F3164" s="4" t="s">
        <v>17</v>
      </c>
      <c r="G3164" s="4" t="s">
        <v>18</v>
      </c>
      <c r="H3164" s="4" t="s">
        <v>292</v>
      </c>
      <c r="I3164" s="5" t="str">
        <f t="shared" si="49"/>
        <v>2025-12</v>
      </c>
      <c r="J3164" s="4" t="s">
        <v>34</v>
      </c>
      <c r="K3164" s="5" t="s">
        <v>342</v>
      </c>
      <c r="L3164" s="2">
        <v>44000</v>
      </c>
      <c r="M3164" s="3">
        <v>2</v>
      </c>
      <c r="N3164" s="2">
        <v>88000</v>
      </c>
      <c r="O3164" s="2">
        <v>8800</v>
      </c>
      <c r="P3164" s="2">
        <v>96800</v>
      </c>
      <c r="Q3164" s="2">
        <f>P3164*8.5%</f>
        <v>8228</v>
      </c>
    </row>
    <row r="3165" spans="1:17" hidden="1" x14ac:dyDescent="0.4">
      <c r="A3165" s="4" t="s">
        <v>13</v>
      </c>
      <c r="B3165" s="4" t="s">
        <v>14</v>
      </c>
      <c r="C3165" s="30" t="s">
        <v>434</v>
      </c>
      <c r="D3165" s="4" t="s">
        <v>15</v>
      </c>
      <c r="E3165" s="4" t="s">
        <v>16</v>
      </c>
      <c r="F3165" s="4" t="s">
        <v>17</v>
      </c>
      <c r="G3165" s="4" t="s">
        <v>18</v>
      </c>
      <c r="H3165" s="4" t="s">
        <v>292</v>
      </c>
      <c r="I3165" s="5" t="str">
        <f t="shared" si="49"/>
        <v>2025-12</v>
      </c>
      <c r="J3165" s="4" t="s">
        <v>34</v>
      </c>
      <c r="K3165" s="5" t="s">
        <v>342</v>
      </c>
      <c r="L3165" s="2">
        <v>42000</v>
      </c>
      <c r="M3165" s="3">
        <v>3</v>
      </c>
      <c r="N3165" s="2">
        <v>126000</v>
      </c>
      <c r="O3165" s="2">
        <v>12600</v>
      </c>
      <c r="P3165" s="2">
        <v>138600</v>
      </c>
      <c r="Q3165" s="2">
        <f>P3165*8.5%</f>
        <v>11781</v>
      </c>
    </row>
    <row r="3166" spans="1:17" hidden="1" x14ac:dyDescent="0.4">
      <c r="A3166" s="4" t="s">
        <v>21</v>
      </c>
      <c r="B3166" s="4" t="s">
        <v>14</v>
      </c>
      <c r="C3166" s="31" t="s">
        <v>435</v>
      </c>
      <c r="D3166" s="4" t="s">
        <v>22</v>
      </c>
      <c r="E3166" s="4" t="s">
        <v>16</v>
      </c>
      <c r="F3166" s="4" t="s">
        <v>17</v>
      </c>
      <c r="G3166" s="4" t="s">
        <v>18</v>
      </c>
      <c r="H3166" s="4" t="s">
        <v>292</v>
      </c>
      <c r="I3166" s="5" t="str">
        <f t="shared" si="49"/>
        <v>2025-12</v>
      </c>
      <c r="J3166" s="4" t="s">
        <v>34</v>
      </c>
      <c r="K3166" s="5" t="s">
        <v>342</v>
      </c>
      <c r="L3166" s="2">
        <v>55500</v>
      </c>
      <c r="M3166" s="3">
        <v>1</v>
      </c>
      <c r="N3166" s="2">
        <v>55500</v>
      </c>
      <c r="O3166" s="2">
        <v>5550</v>
      </c>
      <c r="P3166" s="2">
        <v>61050</v>
      </c>
      <c r="Q3166" s="2">
        <f>P3166*8.5%</f>
        <v>5189.25</v>
      </c>
    </row>
    <row r="3167" spans="1:17" hidden="1" x14ac:dyDescent="0.4">
      <c r="A3167" s="4" t="s">
        <v>35</v>
      </c>
      <c r="B3167" s="4" t="s">
        <v>14</v>
      </c>
      <c r="C3167" s="30" t="s">
        <v>434</v>
      </c>
      <c r="D3167" s="4" t="s">
        <v>36</v>
      </c>
      <c r="E3167" s="4" t="s">
        <v>16</v>
      </c>
      <c r="F3167" s="4" t="s">
        <v>17</v>
      </c>
      <c r="G3167" s="4" t="s">
        <v>18</v>
      </c>
      <c r="H3167" s="4" t="s">
        <v>292</v>
      </c>
      <c r="I3167" s="5" t="str">
        <f t="shared" si="49"/>
        <v>2025-12</v>
      </c>
      <c r="J3167" s="4" t="s">
        <v>34</v>
      </c>
      <c r="K3167" s="5" t="s">
        <v>342</v>
      </c>
      <c r="L3167" s="2">
        <v>116220</v>
      </c>
      <c r="M3167" s="3">
        <v>1</v>
      </c>
      <c r="N3167" s="2">
        <v>116220</v>
      </c>
      <c r="O3167" s="2">
        <v>11622</v>
      </c>
      <c r="P3167" s="2">
        <v>127842</v>
      </c>
      <c r="Q3167" s="2">
        <f>P3167*8.5%</f>
        <v>10866.570000000002</v>
      </c>
    </row>
    <row r="3168" spans="1:17" hidden="1" x14ac:dyDescent="0.4">
      <c r="A3168" s="4" t="s">
        <v>23</v>
      </c>
      <c r="B3168" s="4" t="s">
        <v>14</v>
      </c>
      <c r="C3168" s="31" t="s">
        <v>435</v>
      </c>
      <c r="D3168" s="4" t="s">
        <v>24</v>
      </c>
      <c r="E3168" s="4" t="s">
        <v>16</v>
      </c>
      <c r="F3168" s="4" t="s">
        <v>17</v>
      </c>
      <c r="G3168" s="4" t="s">
        <v>18</v>
      </c>
      <c r="H3168" s="4" t="s">
        <v>292</v>
      </c>
      <c r="I3168" s="5" t="str">
        <f t="shared" si="49"/>
        <v>2025-12</v>
      </c>
      <c r="J3168" s="4" t="s">
        <v>34</v>
      </c>
      <c r="K3168" s="5" t="s">
        <v>342</v>
      </c>
      <c r="L3168" s="2">
        <v>55500</v>
      </c>
      <c r="M3168" s="3">
        <v>4</v>
      </c>
      <c r="N3168" s="2">
        <v>222000</v>
      </c>
      <c r="O3168" s="2">
        <v>22200</v>
      </c>
      <c r="P3168" s="2">
        <v>244200</v>
      </c>
      <c r="Q3168" s="2">
        <f>P3168*8.5%</f>
        <v>20757</v>
      </c>
    </row>
    <row r="3169" spans="1:17" hidden="1" x14ac:dyDescent="0.4">
      <c r="A3169" s="4" t="s">
        <v>51</v>
      </c>
      <c r="B3169" s="4" t="s">
        <v>14</v>
      </c>
      <c r="C3169" s="30" t="s">
        <v>434</v>
      </c>
      <c r="D3169" s="4" t="s">
        <v>52</v>
      </c>
      <c r="E3169" s="4" t="s">
        <v>16</v>
      </c>
      <c r="F3169" s="4" t="s">
        <v>17</v>
      </c>
      <c r="G3169" s="4" t="s">
        <v>18</v>
      </c>
      <c r="H3169" s="4" t="s">
        <v>292</v>
      </c>
      <c r="I3169" s="5" t="str">
        <f t="shared" si="49"/>
        <v>2025-12</v>
      </c>
      <c r="J3169" s="4" t="s">
        <v>34</v>
      </c>
      <c r="K3169" s="5" t="s">
        <v>342</v>
      </c>
      <c r="L3169" s="2">
        <v>73000</v>
      </c>
      <c r="M3169" s="3">
        <v>1</v>
      </c>
      <c r="N3169" s="2">
        <v>73000</v>
      </c>
      <c r="O3169" s="2">
        <v>7300</v>
      </c>
      <c r="P3169" s="2">
        <v>80300</v>
      </c>
      <c r="Q3169" s="2">
        <f>P3169*8.5%</f>
        <v>6825.5000000000009</v>
      </c>
    </row>
    <row r="3170" spans="1:17" hidden="1" x14ac:dyDescent="0.4">
      <c r="A3170" s="4" t="s">
        <v>42</v>
      </c>
      <c r="B3170" s="4" t="s">
        <v>14</v>
      </c>
      <c r="C3170" s="30" t="s">
        <v>434</v>
      </c>
      <c r="D3170" s="4" t="s">
        <v>43</v>
      </c>
      <c r="E3170" s="4" t="s">
        <v>44</v>
      </c>
      <c r="F3170" s="4" t="s">
        <v>31</v>
      </c>
      <c r="G3170" s="4" t="s">
        <v>18</v>
      </c>
      <c r="H3170" s="4" t="s">
        <v>292</v>
      </c>
      <c r="I3170" s="5" t="str">
        <f t="shared" si="49"/>
        <v>2025-12</v>
      </c>
      <c r="J3170" s="4" t="s">
        <v>34</v>
      </c>
      <c r="K3170" s="5" t="s">
        <v>342</v>
      </c>
      <c r="L3170" s="2">
        <v>7300</v>
      </c>
      <c r="M3170" s="3">
        <v>62.4</v>
      </c>
      <c r="N3170" s="2">
        <v>455520</v>
      </c>
      <c r="O3170" s="2">
        <v>0</v>
      </c>
      <c r="P3170" s="2">
        <v>455520</v>
      </c>
      <c r="Q3170" s="2">
        <f>P3170*8.5%</f>
        <v>38719.200000000004</v>
      </c>
    </row>
    <row r="3171" spans="1:17" hidden="1" x14ac:dyDescent="0.4">
      <c r="A3171" s="4" t="s">
        <v>13</v>
      </c>
      <c r="B3171" s="4" t="s">
        <v>14</v>
      </c>
      <c r="C3171" s="30" t="s">
        <v>434</v>
      </c>
      <c r="D3171" s="4" t="s">
        <v>15</v>
      </c>
      <c r="E3171" s="4" t="s">
        <v>16</v>
      </c>
      <c r="F3171" s="4" t="s">
        <v>17</v>
      </c>
      <c r="G3171" s="4" t="s">
        <v>18</v>
      </c>
      <c r="H3171" s="4" t="s">
        <v>293</v>
      </c>
      <c r="I3171" s="5" t="str">
        <f t="shared" si="49"/>
        <v>2025-12</v>
      </c>
      <c r="J3171" s="4" t="s">
        <v>294</v>
      </c>
      <c r="K3171" s="5" t="s">
        <v>342</v>
      </c>
      <c r="L3171" s="2">
        <v>42000</v>
      </c>
      <c r="M3171" s="3">
        <v>1</v>
      </c>
      <c r="N3171" s="2">
        <v>42000</v>
      </c>
      <c r="O3171" s="2">
        <v>4200</v>
      </c>
      <c r="P3171" s="2">
        <v>46200</v>
      </c>
      <c r="Q3171" s="2">
        <f>P3171*8.5%</f>
        <v>3927.0000000000005</v>
      </c>
    </row>
    <row r="3172" spans="1:17" hidden="1" x14ac:dyDescent="0.4">
      <c r="A3172" s="4" t="s">
        <v>23</v>
      </c>
      <c r="B3172" s="4" t="s">
        <v>14</v>
      </c>
      <c r="C3172" s="31" t="s">
        <v>435</v>
      </c>
      <c r="D3172" s="4" t="s">
        <v>24</v>
      </c>
      <c r="E3172" s="4" t="s">
        <v>16</v>
      </c>
      <c r="F3172" s="4" t="s">
        <v>17</v>
      </c>
      <c r="G3172" s="4" t="s">
        <v>18</v>
      </c>
      <c r="H3172" s="4" t="s">
        <v>293</v>
      </c>
      <c r="I3172" s="5" t="str">
        <f t="shared" si="49"/>
        <v>2025-12</v>
      </c>
      <c r="J3172" s="4" t="s">
        <v>294</v>
      </c>
      <c r="K3172" s="5" t="s">
        <v>342</v>
      </c>
      <c r="L3172" s="2">
        <v>55500</v>
      </c>
      <c r="M3172" s="3">
        <v>2</v>
      </c>
      <c r="N3172" s="2">
        <v>111000</v>
      </c>
      <c r="O3172" s="2">
        <v>11100</v>
      </c>
      <c r="P3172" s="2">
        <v>122100</v>
      </c>
      <c r="Q3172" s="2">
        <f>P3172*8.5%</f>
        <v>10378.5</v>
      </c>
    </row>
    <row r="3173" spans="1:17" x14ac:dyDescent="0.4">
      <c r="A3173" s="4" t="s">
        <v>58</v>
      </c>
      <c r="B3173" s="4" t="s">
        <v>14</v>
      </c>
      <c r="C3173" s="30" t="s">
        <v>434</v>
      </c>
      <c r="D3173" s="4" t="s">
        <v>36</v>
      </c>
      <c r="E3173" s="4" t="s">
        <v>16</v>
      </c>
      <c r="F3173" s="4" t="s">
        <v>17</v>
      </c>
      <c r="G3173" s="4" t="s">
        <v>18</v>
      </c>
      <c r="H3173" s="4" t="s">
        <v>293</v>
      </c>
      <c r="I3173" s="5" t="str">
        <f t="shared" si="49"/>
        <v>2025-12</v>
      </c>
      <c r="J3173" s="4" t="s">
        <v>20</v>
      </c>
      <c r="K3173" s="5" t="s">
        <v>342</v>
      </c>
      <c r="L3173" s="2">
        <v>120880</v>
      </c>
      <c r="M3173" s="3">
        <v>1</v>
      </c>
      <c r="N3173" s="2">
        <v>120880</v>
      </c>
      <c r="O3173" s="2">
        <v>12088</v>
      </c>
      <c r="P3173" s="2">
        <v>132968</v>
      </c>
      <c r="Q3173" s="2">
        <f>P3173*8.5%</f>
        <v>11302.28</v>
      </c>
    </row>
    <row r="3174" spans="1:17" x14ac:dyDescent="0.4">
      <c r="A3174" s="4" t="s">
        <v>21</v>
      </c>
      <c r="B3174" s="4" t="s">
        <v>14</v>
      </c>
      <c r="C3174" s="31" t="s">
        <v>435</v>
      </c>
      <c r="D3174" s="4" t="s">
        <v>22</v>
      </c>
      <c r="E3174" s="4" t="s">
        <v>16</v>
      </c>
      <c r="F3174" s="4" t="s">
        <v>17</v>
      </c>
      <c r="G3174" s="4" t="s">
        <v>18</v>
      </c>
      <c r="H3174" s="4" t="s">
        <v>293</v>
      </c>
      <c r="I3174" s="5" t="str">
        <f t="shared" si="49"/>
        <v>2025-12</v>
      </c>
      <c r="J3174" s="4" t="s">
        <v>20</v>
      </c>
      <c r="K3174" s="5" t="s">
        <v>342</v>
      </c>
      <c r="L3174" s="2">
        <v>55500</v>
      </c>
      <c r="M3174" s="3">
        <v>1</v>
      </c>
      <c r="N3174" s="2">
        <v>55500</v>
      </c>
      <c r="O3174" s="2">
        <v>5550</v>
      </c>
      <c r="P3174" s="2">
        <v>61050</v>
      </c>
      <c r="Q3174" s="2">
        <f>P3174*8.5%</f>
        <v>5189.25</v>
      </c>
    </row>
    <row r="3175" spans="1:17" x14ac:dyDescent="0.4">
      <c r="A3175" s="4" t="s">
        <v>23</v>
      </c>
      <c r="B3175" s="4" t="s">
        <v>14</v>
      </c>
      <c r="C3175" s="31" t="s">
        <v>435</v>
      </c>
      <c r="D3175" s="4" t="s">
        <v>24</v>
      </c>
      <c r="E3175" s="4" t="s">
        <v>16</v>
      </c>
      <c r="F3175" s="4" t="s">
        <v>17</v>
      </c>
      <c r="G3175" s="4" t="s">
        <v>18</v>
      </c>
      <c r="H3175" s="4" t="s">
        <v>293</v>
      </c>
      <c r="I3175" s="5" t="str">
        <f t="shared" si="49"/>
        <v>2025-12</v>
      </c>
      <c r="J3175" s="4" t="s">
        <v>20</v>
      </c>
      <c r="K3175" s="5" t="s">
        <v>342</v>
      </c>
      <c r="L3175" s="2">
        <v>55500</v>
      </c>
      <c r="M3175" s="3">
        <v>3</v>
      </c>
      <c r="N3175" s="2">
        <v>166500</v>
      </c>
      <c r="O3175" s="2">
        <v>16650</v>
      </c>
      <c r="P3175" s="2">
        <v>183150</v>
      </c>
      <c r="Q3175" s="2">
        <f>P3175*8.5%</f>
        <v>15567.750000000002</v>
      </c>
    </row>
    <row r="3176" spans="1:17" x14ac:dyDescent="0.4">
      <c r="A3176" s="4" t="s">
        <v>76</v>
      </c>
      <c r="B3176" s="4" t="s">
        <v>65</v>
      </c>
      <c r="C3176" s="32" t="s">
        <v>436</v>
      </c>
      <c r="D3176" s="4" t="s">
        <v>27</v>
      </c>
      <c r="E3176" s="4" t="s">
        <v>28</v>
      </c>
      <c r="F3176" s="4" t="s">
        <v>17</v>
      </c>
      <c r="G3176" s="4" t="s">
        <v>18</v>
      </c>
      <c r="H3176" s="4" t="s">
        <v>293</v>
      </c>
      <c r="I3176" s="5" t="str">
        <f t="shared" si="49"/>
        <v>2025-12</v>
      </c>
      <c r="J3176" s="4" t="s">
        <v>20</v>
      </c>
      <c r="K3176" s="5" t="s">
        <v>342</v>
      </c>
      <c r="L3176" s="2">
        <v>17338</v>
      </c>
      <c r="M3176" s="3">
        <v>1</v>
      </c>
      <c r="N3176" s="2">
        <v>17338</v>
      </c>
      <c r="O3176" s="2">
        <v>1734</v>
      </c>
      <c r="P3176" s="2">
        <v>19072</v>
      </c>
      <c r="Q3176" s="2">
        <f>P3176*8.5%</f>
        <v>1621.1200000000001</v>
      </c>
    </row>
    <row r="3177" spans="1:17" x14ac:dyDescent="0.4">
      <c r="A3177" s="4" t="s">
        <v>54</v>
      </c>
      <c r="B3177" s="4" t="s">
        <v>26</v>
      </c>
      <c r="C3177" s="32" t="s">
        <v>436</v>
      </c>
      <c r="D3177" s="4" t="s">
        <v>55</v>
      </c>
      <c r="E3177" s="4" t="s">
        <v>28</v>
      </c>
      <c r="F3177" s="4" t="s">
        <v>31</v>
      </c>
      <c r="G3177" s="4" t="s">
        <v>18</v>
      </c>
      <c r="H3177" s="4" t="s">
        <v>293</v>
      </c>
      <c r="I3177" s="5" t="str">
        <f t="shared" si="49"/>
        <v>2025-12</v>
      </c>
      <c r="J3177" s="4" t="s">
        <v>20</v>
      </c>
      <c r="K3177" s="5" t="s">
        <v>342</v>
      </c>
      <c r="L3177" s="2">
        <v>5919</v>
      </c>
      <c r="M3177" s="3">
        <v>1</v>
      </c>
      <c r="N3177" s="2">
        <v>5919</v>
      </c>
      <c r="O3177" s="2">
        <v>0</v>
      </c>
      <c r="P3177" s="2">
        <v>5919</v>
      </c>
      <c r="Q3177" s="2">
        <f>P3177*8.5%</f>
        <v>503.11500000000001</v>
      </c>
    </row>
    <row r="3178" spans="1:17" x14ac:dyDescent="0.4">
      <c r="A3178" s="4" t="s">
        <v>56</v>
      </c>
      <c r="B3178" s="4" t="s">
        <v>26</v>
      </c>
      <c r="C3178" s="32" t="s">
        <v>436</v>
      </c>
      <c r="D3178" s="4" t="s">
        <v>57</v>
      </c>
      <c r="E3178" s="4" t="s">
        <v>44</v>
      </c>
      <c r="F3178" s="4" t="s">
        <v>31</v>
      </c>
      <c r="G3178" s="4" t="s">
        <v>18</v>
      </c>
      <c r="H3178" s="4" t="s">
        <v>293</v>
      </c>
      <c r="I3178" s="5" t="str">
        <f t="shared" si="49"/>
        <v>2025-12</v>
      </c>
      <c r="J3178" s="4" t="s">
        <v>20</v>
      </c>
      <c r="K3178" s="5" t="s">
        <v>342</v>
      </c>
      <c r="L3178" s="2">
        <v>2368</v>
      </c>
      <c r="M3178" s="3">
        <v>20</v>
      </c>
      <c r="N3178" s="2">
        <v>47360</v>
      </c>
      <c r="O3178" s="2">
        <v>0</v>
      </c>
      <c r="P3178" s="2">
        <v>47360</v>
      </c>
      <c r="Q3178" s="2">
        <f>P3178*8.5%</f>
        <v>4025.6000000000004</v>
      </c>
    </row>
    <row r="3179" spans="1:17" hidden="1" x14ac:dyDescent="0.4">
      <c r="A3179" s="4" t="s">
        <v>80</v>
      </c>
      <c r="B3179" s="4" t="s">
        <v>26</v>
      </c>
      <c r="C3179" s="32" t="s">
        <v>436</v>
      </c>
      <c r="D3179" s="4" t="s">
        <v>81</v>
      </c>
      <c r="E3179" s="4" t="s">
        <v>16</v>
      </c>
      <c r="F3179" s="4" t="s">
        <v>17</v>
      </c>
      <c r="G3179" s="4" t="s">
        <v>18</v>
      </c>
      <c r="H3179" s="4" t="s">
        <v>293</v>
      </c>
      <c r="I3179" s="5" t="str">
        <f t="shared" si="49"/>
        <v>2025-12</v>
      </c>
      <c r="J3179" s="4" t="s">
        <v>34</v>
      </c>
      <c r="K3179" s="5" t="s">
        <v>342</v>
      </c>
      <c r="L3179" s="2">
        <v>17696</v>
      </c>
      <c r="M3179" s="3">
        <v>1</v>
      </c>
      <c r="N3179" s="2">
        <v>17696</v>
      </c>
      <c r="O3179" s="2">
        <v>1770</v>
      </c>
      <c r="P3179" s="2">
        <v>19466</v>
      </c>
      <c r="Q3179" s="2">
        <f>P3179*8.5%</f>
        <v>1654.6100000000001</v>
      </c>
    </row>
    <row r="3180" spans="1:17" hidden="1" x14ac:dyDescent="0.4">
      <c r="A3180" s="4" t="s">
        <v>82</v>
      </c>
      <c r="B3180" s="4" t="s">
        <v>26</v>
      </c>
      <c r="C3180" s="32" t="s">
        <v>436</v>
      </c>
      <c r="D3180" s="4" t="s">
        <v>81</v>
      </c>
      <c r="E3180" s="4" t="s">
        <v>16</v>
      </c>
      <c r="F3180" s="4" t="s">
        <v>17</v>
      </c>
      <c r="G3180" s="4" t="s">
        <v>18</v>
      </c>
      <c r="H3180" s="4" t="s">
        <v>293</v>
      </c>
      <c r="I3180" s="5" t="str">
        <f t="shared" si="49"/>
        <v>2025-12</v>
      </c>
      <c r="J3180" s="4" t="s">
        <v>34</v>
      </c>
      <c r="K3180" s="5" t="s">
        <v>342</v>
      </c>
      <c r="L3180" s="2">
        <v>20925</v>
      </c>
      <c r="M3180" s="3">
        <v>1</v>
      </c>
      <c r="N3180" s="2">
        <v>20925</v>
      </c>
      <c r="O3180" s="2">
        <v>2093</v>
      </c>
      <c r="P3180" s="2">
        <v>23018</v>
      </c>
      <c r="Q3180" s="2">
        <f>P3180*8.5%</f>
        <v>1956.5300000000002</v>
      </c>
    </row>
    <row r="3181" spans="1:17" hidden="1" x14ac:dyDescent="0.4">
      <c r="A3181" s="4" t="s">
        <v>32</v>
      </c>
      <c r="B3181" s="4" t="s">
        <v>14</v>
      </c>
      <c r="C3181" s="31" t="s">
        <v>435</v>
      </c>
      <c r="D3181" s="4" t="s">
        <v>33</v>
      </c>
      <c r="E3181" s="4" t="s">
        <v>16</v>
      </c>
      <c r="F3181" s="4" t="s">
        <v>17</v>
      </c>
      <c r="G3181" s="4" t="s">
        <v>18</v>
      </c>
      <c r="H3181" s="4" t="s">
        <v>293</v>
      </c>
      <c r="I3181" s="5" t="str">
        <f t="shared" si="49"/>
        <v>2025-12</v>
      </c>
      <c r="J3181" s="4" t="s">
        <v>34</v>
      </c>
      <c r="K3181" s="5" t="s">
        <v>342</v>
      </c>
      <c r="L3181" s="2">
        <v>44000</v>
      </c>
      <c r="M3181" s="3">
        <v>2</v>
      </c>
      <c r="N3181" s="2">
        <v>88000</v>
      </c>
      <c r="O3181" s="2">
        <v>8800</v>
      </c>
      <c r="P3181" s="2">
        <v>96800</v>
      </c>
      <c r="Q3181" s="2">
        <f>P3181*8.5%</f>
        <v>8228</v>
      </c>
    </row>
    <row r="3182" spans="1:17" hidden="1" x14ac:dyDescent="0.4">
      <c r="A3182" s="4" t="s">
        <v>13</v>
      </c>
      <c r="B3182" s="4" t="s">
        <v>14</v>
      </c>
      <c r="C3182" s="30" t="s">
        <v>434</v>
      </c>
      <c r="D3182" s="4" t="s">
        <v>15</v>
      </c>
      <c r="E3182" s="4" t="s">
        <v>16</v>
      </c>
      <c r="F3182" s="4" t="s">
        <v>17</v>
      </c>
      <c r="G3182" s="4" t="s">
        <v>18</v>
      </c>
      <c r="H3182" s="4" t="s">
        <v>293</v>
      </c>
      <c r="I3182" s="5" t="str">
        <f t="shared" si="49"/>
        <v>2025-12</v>
      </c>
      <c r="J3182" s="4" t="s">
        <v>34</v>
      </c>
      <c r="K3182" s="5" t="s">
        <v>342</v>
      </c>
      <c r="L3182" s="2">
        <v>42000</v>
      </c>
      <c r="M3182" s="3">
        <v>3</v>
      </c>
      <c r="N3182" s="2">
        <v>126000</v>
      </c>
      <c r="O3182" s="2">
        <v>12600</v>
      </c>
      <c r="P3182" s="2">
        <v>138600</v>
      </c>
      <c r="Q3182" s="2">
        <f>P3182*8.5%</f>
        <v>11781</v>
      </c>
    </row>
    <row r="3183" spans="1:17" hidden="1" x14ac:dyDescent="0.4">
      <c r="A3183" s="4" t="s">
        <v>21</v>
      </c>
      <c r="B3183" s="4" t="s">
        <v>14</v>
      </c>
      <c r="C3183" s="31" t="s">
        <v>435</v>
      </c>
      <c r="D3183" s="4" t="s">
        <v>22</v>
      </c>
      <c r="E3183" s="4" t="s">
        <v>16</v>
      </c>
      <c r="F3183" s="4" t="s">
        <v>17</v>
      </c>
      <c r="G3183" s="4" t="s">
        <v>18</v>
      </c>
      <c r="H3183" s="4" t="s">
        <v>293</v>
      </c>
      <c r="I3183" s="5" t="str">
        <f t="shared" si="49"/>
        <v>2025-12</v>
      </c>
      <c r="J3183" s="4" t="s">
        <v>34</v>
      </c>
      <c r="K3183" s="5" t="s">
        <v>342</v>
      </c>
      <c r="L3183" s="2">
        <v>55500</v>
      </c>
      <c r="M3183" s="3">
        <v>1</v>
      </c>
      <c r="N3183" s="2">
        <v>55500</v>
      </c>
      <c r="O3183" s="2">
        <v>5550</v>
      </c>
      <c r="P3183" s="2">
        <v>61050</v>
      </c>
      <c r="Q3183" s="2">
        <f>P3183*8.5%</f>
        <v>5189.25</v>
      </c>
    </row>
    <row r="3184" spans="1:17" hidden="1" x14ac:dyDescent="0.4">
      <c r="A3184" s="4" t="s">
        <v>23</v>
      </c>
      <c r="B3184" s="4" t="s">
        <v>14</v>
      </c>
      <c r="C3184" s="31" t="s">
        <v>435</v>
      </c>
      <c r="D3184" s="4" t="s">
        <v>24</v>
      </c>
      <c r="E3184" s="4" t="s">
        <v>16</v>
      </c>
      <c r="F3184" s="4" t="s">
        <v>17</v>
      </c>
      <c r="G3184" s="4" t="s">
        <v>18</v>
      </c>
      <c r="H3184" s="4" t="s">
        <v>293</v>
      </c>
      <c r="I3184" s="5" t="str">
        <f t="shared" si="49"/>
        <v>2025-12</v>
      </c>
      <c r="J3184" s="4" t="s">
        <v>34</v>
      </c>
      <c r="K3184" s="5" t="s">
        <v>342</v>
      </c>
      <c r="L3184" s="2">
        <v>55500</v>
      </c>
      <c r="M3184" s="3">
        <v>4</v>
      </c>
      <c r="N3184" s="2">
        <v>222000</v>
      </c>
      <c r="O3184" s="2">
        <v>22200</v>
      </c>
      <c r="P3184" s="2">
        <v>244200</v>
      </c>
      <c r="Q3184" s="2">
        <f>P3184*8.5%</f>
        <v>20757</v>
      </c>
    </row>
    <row r="3185" spans="1:17" hidden="1" x14ac:dyDescent="0.4">
      <c r="A3185" s="4" t="s">
        <v>51</v>
      </c>
      <c r="B3185" s="4" t="s">
        <v>14</v>
      </c>
      <c r="C3185" s="30" t="s">
        <v>434</v>
      </c>
      <c r="D3185" s="4" t="s">
        <v>52</v>
      </c>
      <c r="E3185" s="4" t="s">
        <v>16</v>
      </c>
      <c r="F3185" s="4" t="s">
        <v>17</v>
      </c>
      <c r="G3185" s="4" t="s">
        <v>18</v>
      </c>
      <c r="H3185" s="4" t="s">
        <v>293</v>
      </c>
      <c r="I3185" s="5" t="str">
        <f t="shared" si="49"/>
        <v>2025-12</v>
      </c>
      <c r="J3185" s="4" t="s">
        <v>34</v>
      </c>
      <c r="K3185" s="5" t="s">
        <v>342</v>
      </c>
      <c r="L3185" s="2">
        <v>73000</v>
      </c>
      <c r="M3185" s="3">
        <v>1</v>
      </c>
      <c r="N3185" s="2">
        <v>73000</v>
      </c>
      <c r="O3185" s="2">
        <v>7300</v>
      </c>
      <c r="P3185" s="2">
        <v>80300</v>
      </c>
      <c r="Q3185" s="2">
        <f>P3185*8.5%</f>
        <v>6825.5000000000009</v>
      </c>
    </row>
    <row r="3186" spans="1:17" hidden="1" x14ac:dyDescent="0.4">
      <c r="A3186" s="4" t="s">
        <v>40</v>
      </c>
      <c r="B3186" s="4" t="s">
        <v>26</v>
      </c>
      <c r="C3186" s="32" t="s">
        <v>436</v>
      </c>
      <c r="D3186" s="4" t="s">
        <v>41</v>
      </c>
      <c r="E3186" s="4" t="s">
        <v>28</v>
      </c>
      <c r="F3186" s="4" t="s">
        <v>17</v>
      </c>
      <c r="G3186" s="4" t="s">
        <v>18</v>
      </c>
      <c r="H3186" s="4" t="s">
        <v>293</v>
      </c>
      <c r="I3186" s="5" t="str">
        <f t="shared" si="49"/>
        <v>2025-12</v>
      </c>
      <c r="J3186" s="4" t="s">
        <v>34</v>
      </c>
      <c r="K3186" s="5" t="s">
        <v>342</v>
      </c>
      <c r="L3186" s="2">
        <v>17936</v>
      </c>
      <c r="M3186" s="3">
        <v>2</v>
      </c>
      <c r="N3186" s="2">
        <v>35872</v>
      </c>
      <c r="O3186" s="2">
        <v>3587</v>
      </c>
      <c r="P3186" s="2">
        <v>39459</v>
      </c>
      <c r="Q3186" s="2">
        <f>P3186*8.5%</f>
        <v>3354.0150000000003</v>
      </c>
    </row>
    <row r="3187" spans="1:17" hidden="1" x14ac:dyDescent="0.4">
      <c r="A3187" s="4" t="s">
        <v>42</v>
      </c>
      <c r="B3187" s="4" t="s">
        <v>14</v>
      </c>
      <c r="C3187" s="30" t="s">
        <v>434</v>
      </c>
      <c r="D3187" s="4" t="s">
        <v>43</v>
      </c>
      <c r="E3187" s="4" t="s">
        <v>44</v>
      </c>
      <c r="F3187" s="4" t="s">
        <v>31</v>
      </c>
      <c r="G3187" s="4" t="s">
        <v>18</v>
      </c>
      <c r="H3187" s="4" t="s">
        <v>293</v>
      </c>
      <c r="I3187" s="5" t="str">
        <f t="shared" si="49"/>
        <v>2025-12</v>
      </c>
      <c r="J3187" s="4" t="s">
        <v>34</v>
      </c>
      <c r="K3187" s="5" t="s">
        <v>342</v>
      </c>
      <c r="L3187" s="2">
        <v>7300</v>
      </c>
      <c r="M3187" s="3">
        <v>14.6</v>
      </c>
      <c r="N3187" s="2">
        <v>106580</v>
      </c>
      <c r="O3187" s="2">
        <v>0</v>
      </c>
      <c r="P3187" s="2">
        <v>106580</v>
      </c>
      <c r="Q3187" s="2">
        <f>P3187*8.5%</f>
        <v>9059.3000000000011</v>
      </c>
    </row>
    <row r="3188" spans="1:17" hidden="1" x14ac:dyDescent="0.4">
      <c r="A3188" s="4" t="s">
        <v>32</v>
      </c>
      <c r="B3188" s="4" t="s">
        <v>14</v>
      </c>
      <c r="C3188" s="31" t="s">
        <v>435</v>
      </c>
      <c r="D3188" s="4" t="s">
        <v>33</v>
      </c>
      <c r="E3188" s="4" t="s">
        <v>16</v>
      </c>
      <c r="F3188" s="4" t="s">
        <v>17</v>
      </c>
      <c r="G3188" s="4" t="s">
        <v>18</v>
      </c>
      <c r="H3188" s="4" t="s">
        <v>293</v>
      </c>
      <c r="I3188" s="5" t="str">
        <f t="shared" si="49"/>
        <v>2025-12</v>
      </c>
      <c r="J3188" s="4" t="s">
        <v>59</v>
      </c>
      <c r="K3188" s="5" t="s">
        <v>343</v>
      </c>
      <c r="L3188" s="2">
        <v>44000</v>
      </c>
      <c r="M3188" s="3">
        <v>1</v>
      </c>
      <c r="N3188" s="2">
        <v>44000</v>
      </c>
      <c r="O3188" s="2">
        <v>4400</v>
      </c>
      <c r="P3188" s="2">
        <v>48400</v>
      </c>
      <c r="Q3188" s="2">
        <f>P3188*12%</f>
        <v>5808</v>
      </c>
    </row>
    <row r="3189" spans="1:17" hidden="1" x14ac:dyDescent="0.4">
      <c r="A3189" s="4" t="s">
        <v>13</v>
      </c>
      <c r="B3189" s="4" t="s">
        <v>14</v>
      </c>
      <c r="C3189" s="30" t="s">
        <v>434</v>
      </c>
      <c r="D3189" s="4" t="s">
        <v>15</v>
      </c>
      <c r="E3189" s="4" t="s">
        <v>16</v>
      </c>
      <c r="F3189" s="4" t="s">
        <v>17</v>
      </c>
      <c r="G3189" s="4" t="s">
        <v>18</v>
      </c>
      <c r="H3189" s="4" t="s">
        <v>293</v>
      </c>
      <c r="I3189" s="5" t="str">
        <f t="shared" si="49"/>
        <v>2025-12</v>
      </c>
      <c r="J3189" s="4" t="s">
        <v>59</v>
      </c>
      <c r="K3189" s="5" t="s">
        <v>343</v>
      </c>
      <c r="L3189" s="2">
        <v>42000</v>
      </c>
      <c r="M3189" s="3">
        <v>2</v>
      </c>
      <c r="N3189" s="2">
        <v>84000</v>
      </c>
      <c r="O3189" s="2">
        <v>8400</v>
      </c>
      <c r="P3189" s="2">
        <v>92400</v>
      </c>
      <c r="Q3189" s="2">
        <f>P3189*12%</f>
        <v>11088</v>
      </c>
    </row>
    <row r="3190" spans="1:17" hidden="1" x14ac:dyDescent="0.4">
      <c r="A3190" s="4" t="s">
        <v>35</v>
      </c>
      <c r="B3190" s="4" t="s">
        <v>14</v>
      </c>
      <c r="C3190" s="30" t="s">
        <v>434</v>
      </c>
      <c r="D3190" s="4" t="s">
        <v>36</v>
      </c>
      <c r="E3190" s="4" t="s">
        <v>16</v>
      </c>
      <c r="F3190" s="4" t="s">
        <v>17</v>
      </c>
      <c r="G3190" s="4" t="s">
        <v>18</v>
      </c>
      <c r="H3190" s="4" t="s">
        <v>293</v>
      </c>
      <c r="I3190" s="5" t="str">
        <f t="shared" si="49"/>
        <v>2025-12</v>
      </c>
      <c r="J3190" s="4" t="s">
        <v>59</v>
      </c>
      <c r="K3190" s="5" t="s">
        <v>343</v>
      </c>
      <c r="L3190" s="2">
        <v>116220</v>
      </c>
      <c r="M3190" s="3">
        <v>1</v>
      </c>
      <c r="N3190" s="2">
        <v>116220</v>
      </c>
      <c r="O3190" s="2">
        <v>11622</v>
      </c>
      <c r="P3190" s="2">
        <v>127842</v>
      </c>
      <c r="Q3190" s="2">
        <f>P3190*12%</f>
        <v>15341.039999999999</v>
      </c>
    </row>
    <row r="3191" spans="1:17" hidden="1" x14ac:dyDescent="0.4">
      <c r="A3191" s="4" t="s">
        <v>23</v>
      </c>
      <c r="B3191" s="4" t="s">
        <v>14</v>
      </c>
      <c r="C3191" s="31" t="s">
        <v>435</v>
      </c>
      <c r="D3191" s="4" t="s">
        <v>24</v>
      </c>
      <c r="E3191" s="4" t="s">
        <v>16</v>
      </c>
      <c r="F3191" s="4" t="s">
        <v>17</v>
      </c>
      <c r="G3191" s="4" t="s">
        <v>18</v>
      </c>
      <c r="H3191" s="4" t="s">
        <v>293</v>
      </c>
      <c r="I3191" s="5" t="str">
        <f t="shared" si="49"/>
        <v>2025-12</v>
      </c>
      <c r="J3191" s="4" t="s">
        <v>59</v>
      </c>
      <c r="K3191" s="5" t="s">
        <v>343</v>
      </c>
      <c r="L3191" s="2">
        <v>55500</v>
      </c>
      <c r="M3191" s="3">
        <v>1</v>
      </c>
      <c r="N3191" s="2">
        <v>55500</v>
      </c>
      <c r="O3191" s="2">
        <v>5550</v>
      </c>
      <c r="P3191" s="2">
        <v>61050</v>
      </c>
      <c r="Q3191" s="2">
        <f>P3191*12%</f>
        <v>7326</v>
      </c>
    </row>
    <row r="3192" spans="1:17" hidden="1" x14ac:dyDescent="0.4">
      <c r="A3192" s="4" t="s">
        <v>100</v>
      </c>
      <c r="B3192" s="4" t="s">
        <v>26</v>
      </c>
      <c r="C3192" s="32" t="s">
        <v>436</v>
      </c>
      <c r="D3192" s="4" t="s">
        <v>101</v>
      </c>
      <c r="E3192" s="4" t="s">
        <v>28</v>
      </c>
      <c r="F3192" s="4" t="s">
        <v>17</v>
      </c>
      <c r="G3192" s="4" t="s">
        <v>18</v>
      </c>
      <c r="H3192" s="4" t="s">
        <v>293</v>
      </c>
      <c r="I3192" s="5" t="str">
        <f t="shared" si="49"/>
        <v>2025-12</v>
      </c>
      <c r="J3192" s="4" t="s">
        <v>59</v>
      </c>
      <c r="K3192" s="5" t="s">
        <v>343</v>
      </c>
      <c r="L3192" s="2">
        <v>5620</v>
      </c>
      <c r="M3192" s="3">
        <v>4</v>
      </c>
      <c r="N3192" s="2">
        <v>22480</v>
      </c>
      <c r="O3192" s="2">
        <v>2248</v>
      </c>
      <c r="P3192" s="2">
        <v>24728</v>
      </c>
      <c r="Q3192" s="2">
        <f>P3192*12%</f>
        <v>2967.3599999999997</v>
      </c>
    </row>
    <row r="3193" spans="1:17" hidden="1" x14ac:dyDescent="0.4">
      <c r="A3193" s="4" t="s">
        <v>39</v>
      </c>
      <c r="B3193" s="4" t="s">
        <v>26</v>
      </c>
      <c r="C3193" s="32" t="s">
        <v>436</v>
      </c>
      <c r="D3193" s="4" t="s">
        <v>27</v>
      </c>
      <c r="E3193" s="4" t="s">
        <v>28</v>
      </c>
      <c r="F3193" s="4" t="s">
        <v>17</v>
      </c>
      <c r="G3193" s="4" t="s">
        <v>18</v>
      </c>
      <c r="H3193" s="4" t="s">
        <v>293</v>
      </c>
      <c r="I3193" s="5" t="str">
        <f t="shared" si="49"/>
        <v>2025-12</v>
      </c>
      <c r="J3193" s="4" t="s">
        <v>59</v>
      </c>
      <c r="K3193" s="5" t="s">
        <v>343</v>
      </c>
      <c r="L3193" s="2">
        <v>4018</v>
      </c>
      <c r="M3193" s="3">
        <v>4</v>
      </c>
      <c r="N3193" s="2">
        <v>16072</v>
      </c>
      <c r="O3193" s="2">
        <v>1607</v>
      </c>
      <c r="P3193" s="2">
        <v>17679</v>
      </c>
      <c r="Q3193" s="2">
        <f>P3193*12%</f>
        <v>2121.48</v>
      </c>
    </row>
    <row r="3194" spans="1:17" hidden="1" x14ac:dyDescent="0.4">
      <c r="A3194" s="4" t="s">
        <v>32</v>
      </c>
      <c r="B3194" s="4" t="s">
        <v>14</v>
      </c>
      <c r="C3194" s="31" t="s">
        <v>435</v>
      </c>
      <c r="D3194" s="4" t="s">
        <v>33</v>
      </c>
      <c r="E3194" s="4" t="s">
        <v>16</v>
      </c>
      <c r="F3194" s="4" t="s">
        <v>17</v>
      </c>
      <c r="G3194" s="4" t="s">
        <v>18</v>
      </c>
      <c r="H3194" s="4" t="s">
        <v>293</v>
      </c>
      <c r="I3194" s="5" t="str">
        <f t="shared" si="49"/>
        <v>2025-12</v>
      </c>
      <c r="J3194" s="4" t="s">
        <v>49</v>
      </c>
      <c r="K3194" s="5" t="s">
        <v>343</v>
      </c>
      <c r="L3194" s="2">
        <v>44000</v>
      </c>
      <c r="M3194" s="3">
        <v>5</v>
      </c>
      <c r="N3194" s="2">
        <v>220000</v>
      </c>
      <c r="O3194" s="2">
        <v>22000</v>
      </c>
      <c r="P3194" s="2">
        <v>242000</v>
      </c>
      <c r="Q3194" s="2">
        <f>P3194*12%</f>
        <v>29040</v>
      </c>
    </row>
    <row r="3195" spans="1:17" hidden="1" x14ac:dyDescent="0.4">
      <c r="A3195" s="4" t="s">
        <v>13</v>
      </c>
      <c r="B3195" s="4" t="s">
        <v>14</v>
      </c>
      <c r="C3195" s="30" t="s">
        <v>434</v>
      </c>
      <c r="D3195" s="4" t="s">
        <v>15</v>
      </c>
      <c r="E3195" s="4" t="s">
        <v>16</v>
      </c>
      <c r="F3195" s="4" t="s">
        <v>17</v>
      </c>
      <c r="G3195" s="4" t="s">
        <v>18</v>
      </c>
      <c r="H3195" s="4" t="s">
        <v>293</v>
      </c>
      <c r="I3195" s="5" t="str">
        <f t="shared" si="49"/>
        <v>2025-12</v>
      </c>
      <c r="J3195" s="4" t="s">
        <v>49</v>
      </c>
      <c r="K3195" s="5" t="s">
        <v>343</v>
      </c>
      <c r="L3195" s="2">
        <v>42000</v>
      </c>
      <c r="M3195" s="3">
        <v>5</v>
      </c>
      <c r="N3195" s="2">
        <v>210000</v>
      </c>
      <c r="O3195" s="2">
        <v>21000</v>
      </c>
      <c r="P3195" s="2">
        <v>231000</v>
      </c>
      <c r="Q3195" s="2">
        <f>P3195*12%</f>
        <v>27720</v>
      </c>
    </row>
    <row r="3196" spans="1:17" hidden="1" x14ac:dyDescent="0.4">
      <c r="A3196" s="4" t="s">
        <v>23</v>
      </c>
      <c r="B3196" s="4" t="s">
        <v>14</v>
      </c>
      <c r="C3196" s="31" t="s">
        <v>435</v>
      </c>
      <c r="D3196" s="4" t="s">
        <v>24</v>
      </c>
      <c r="E3196" s="4" t="s">
        <v>16</v>
      </c>
      <c r="F3196" s="4" t="s">
        <v>17</v>
      </c>
      <c r="G3196" s="4" t="s">
        <v>18</v>
      </c>
      <c r="H3196" s="4" t="s">
        <v>293</v>
      </c>
      <c r="I3196" s="5" t="str">
        <f t="shared" si="49"/>
        <v>2025-12</v>
      </c>
      <c r="J3196" s="4" t="s">
        <v>49</v>
      </c>
      <c r="K3196" s="5" t="s">
        <v>343</v>
      </c>
      <c r="L3196" s="2">
        <v>55500</v>
      </c>
      <c r="M3196" s="3">
        <v>4</v>
      </c>
      <c r="N3196" s="2">
        <v>222000</v>
      </c>
      <c r="O3196" s="2">
        <v>22200</v>
      </c>
      <c r="P3196" s="2">
        <v>244200</v>
      </c>
      <c r="Q3196" s="2">
        <f>P3196*12%</f>
        <v>29304</v>
      </c>
    </row>
    <row r="3197" spans="1:17" x14ac:dyDescent="0.4">
      <c r="A3197" s="4" t="s">
        <v>13</v>
      </c>
      <c r="B3197" s="4" t="s">
        <v>14</v>
      </c>
      <c r="C3197" s="30" t="s">
        <v>434</v>
      </c>
      <c r="D3197" s="4" t="s">
        <v>15</v>
      </c>
      <c r="E3197" s="4" t="s">
        <v>16</v>
      </c>
      <c r="F3197" s="4" t="s">
        <v>17</v>
      </c>
      <c r="G3197" s="4" t="s">
        <v>18</v>
      </c>
      <c r="H3197" s="4" t="s">
        <v>295</v>
      </c>
      <c r="I3197" s="5" t="str">
        <f t="shared" si="49"/>
        <v>2025-12</v>
      </c>
      <c r="J3197" s="4" t="s">
        <v>20</v>
      </c>
      <c r="K3197" s="5" t="s">
        <v>342</v>
      </c>
      <c r="L3197" s="2">
        <v>42000</v>
      </c>
      <c r="M3197" s="3">
        <v>1</v>
      </c>
      <c r="N3197" s="2">
        <v>42000</v>
      </c>
      <c r="O3197" s="2">
        <v>4200</v>
      </c>
      <c r="P3197" s="2">
        <v>46200</v>
      </c>
      <c r="Q3197" s="2">
        <f>P3197*8.5%</f>
        <v>3927.0000000000005</v>
      </c>
    </row>
    <row r="3198" spans="1:17" x14ac:dyDescent="0.4">
      <c r="A3198" s="4" t="s">
        <v>21</v>
      </c>
      <c r="B3198" s="4" t="s">
        <v>14</v>
      </c>
      <c r="C3198" s="31" t="s">
        <v>435</v>
      </c>
      <c r="D3198" s="4" t="s">
        <v>22</v>
      </c>
      <c r="E3198" s="4" t="s">
        <v>16</v>
      </c>
      <c r="F3198" s="4" t="s">
        <v>17</v>
      </c>
      <c r="G3198" s="4" t="s">
        <v>18</v>
      </c>
      <c r="H3198" s="4" t="s">
        <v>295</v>
      </c>
      <c r="I3198" s="5" t="str">
        <f t="shared" si="49"/>
        <v>2025-12</v>
      </c>
      <c r="J3198" s="4" t="s">
        <v>20</v>
      </c>
      <c r="K3198" s="5" t="s">
        <v>342</v>
      </c>
      <c r="L3198" s="2">
        <v>55500</v>
      </c>
      <c r="M3198" s="3">
        <v>2</v>
      </c>
      <c r="N3198" s="2">
        <v>111000</v>
      </c>
      <c r="O3198" s="2">
        <v>11100</v>
      </c>
      <c r="P3198" s="2">
        <v>122100</v>
      </c>
      <c r="Q3198" s="2">
        <f>P3198*8.5%</f>
        <v>10378.5</v>
      </c>
    </row>
    <row r="3199" spans="1:17" x14ac:dyDescent="0.4">
      <c r="A3199" s="4" t="s">
        <v>23</v>
      </c>
      <c r="B3199" s="4" t="s">
        <v>14</v>
      </c>
      <c r="C3199" s="31" t="s">
        <v>435</v>
      </c>
      <c r="D3199" s="4" t="s">
        <v>24</v>
      </c>
      <c r="E3199" s="4" t="s">
        <v>16</v>
      </c>
      <c r="F3199" s="4" t="s">
        <v>17</v>
      </c>
      <c r="G3199" s="4" t="s">
        <v>18</v>
      </c>
      <c r="H3199" s="4" t="s">
        <v>295</v>
      </c>
      <c r="I3199" s="5" t="str">
        <f t="shared" si="49"/>
        <v>2025-12</v>
      </c>
      <c r="J3199" s="4" t="s">
        <v>20</v>
      </c>
      <c r="K3199" s="5" t="s">
        <v>342</v>
      </c>
      <c r="L3199" s="2">
        <v>55500</v>
      </c>
      <c r="M3199" s="3">
        <v>2</v>
      </c>
      <c r="N3199" s="2">
        <v>111000</v>
      </c>
      <c r="O3199" s="2">
        <v>11100</v>
      </c>
      <c r="P3199" s="2">
        <v>122100</v>
      </c>
      <c r="Q3199" s="2">
        <f>P3199*8.5%</f>
        <v>10378.5</v>
      </c>
    </row>
    <row r="3200" spans="1:17" x14ac:dyDescent="0.4">
      <c r="A3200" s="4" t="s">
        <v>51</v>
      </c>
      <c r="B3200" s="4" t="s">
        <v>14</v>
      </c>
      <c r="C3200" s="30" t="s">
        <v>434</v>
      </c>
      <c r="D3200" s="4" t="s">
        <v>52</v>
      </c>
      <c r="E3200" s="4" t="s">
        <v>16</v>
      </c>
      <c r="F3200" s="4" t="s">
        <v>17</v>
      </c>
      <c r="G3200" s="4" t="s">
        <v>18</v>
      </c>
      <c r="H3200" s="4" t="s">
        <v>295</v>
      </c>
      <c r="I3200" s="5" t="str">
        <f t="shared" si="49"/>
        <v>2025-12</v>
      </c>
      <c r="J3200" s="4" t="s">
        <v>20</v>
      </c>
      <c r="K3200" s="5" t="s">
        <v>342</v>
      </c>
      <c r="L3200" s="2">
        <v>73000</v>
      </c>
      <c r="M3200" s="3">
        <v>1</v>
      </c>
      <c r="N3200" s="2">
        <v>73000</v>
      </c>
      <c r="O3200" s="2">
        <v>7300</v>
      </c>
      <c r="P3200" s="2">
        <v>80300</v>
      </c>
      <c r="Q3200" s="2">
        <f>P3200*8.5%</f>
        <v>6825.5000000000009</v>
      </c>
    </row>
    <row r="3201" spans="1:17" x14ac:dyDescent="0.4">
      <c r="A3201" s="4" t="s">
        <v>54</v>
      </c>
      <c r="B3201" s="4" t="s">
        <v>26</v>
      </c>
      <c r="C3201" s="32" t="s">
        <v>436</v>
      </c>
      <c r="D3201" s="4" t="s">
        <v>55</v>
      </c>
      <c r="E3201" s="4" t="s">
        <v>28</v>
      </c>
      <c r="F3201" s="4" t="s">
        <v>31</v>
      </c>
      <c r="G3201" s="4" t="s">
        <v>18</v>
      </c>
      <c r="H3201" s="4" t="s">
        <v>295</v>
      </c>
      <c r="I3201" s="5" t="str">
        <f t="shared" si="49"/>
        <v>2025-12</v>
      </c>
      <c r="J3201" s="4" t="s">
        <v>20</v>
      </c>
      <c r="K3201" s="5" t="s">
        <v>342</v>
      </c>
      <c r="L3201" s="2">
        <v>5919</v>
      </c>
      <c r="M3201" s="3">
        <v>1</v>
      </c>
      <c r="N3201" s="2">
        <v>5919</v>
      </c>
      <c r="O3201" s="2">
        <v>0</v>
      </c>
      <c r="P3201" s="2">
        <v>5919</v>
      </c>
      <c r="Q3201" s="2">
        <f>P3201*8.5%</f>
        <v>503.11500000000001</v>
      </c>
    </row>
    <row r="3202" spans="1:17" x14ac:dyDescent="0.4">
      <c r="A3202" s="4" t="s">
        <v>56</v>
      </c>
      <c r="B3202" s="4" t="s">
        <v>26</v>
      </c>
      <c r="C3202" s="32" t="s">
        <v>436</v>
      </c>
      <c r="D3202" s="4" t="s">
        <v>57</v>
      </c>
      <c r="E3202" s="4" t="s">
        <v>44</v>
      </c>
      <c r="F3202" s="4" t="s">
        <v>31</v>
      </c>
      <c r="G3202" s="4" t="s">
        <v>18</v>
      </c>
      <c r="H3202" s="4" t="s">
        <v>295</v>
      </c>
      <c r="I3202" s="5" t="str">
        <f t="shared" ref="I3202:I3265" si="50">TEXT(H3202,"yyyy-mm")</f>
        <v>2025-12</v>
      </c>
      <c r="J3202" s="4" t="s">
        <v>20</v>
      </c>
      <c r="K3202" s="5" t="s">
        <v>342</v>
      </c>
      <c r="L3202" s="2">
        <v>2368</v>
      </c>
      <c r="M3202" s="3">
        <v>20</v>
      </c>
      <c r="N3202" s="2">
        <v>47360</v>
      </c>
      <c r="O3202" s="2">
        <v>0</v>
      </c>
      <c r="P3202" s="2">
        <v>47360</v>
      </c>
      <c r="Q3202" s="2">
        <f>P3202*8.5%</f>
        <v>4025.6000000000004</v>
      </c>
    </row>
    <row r="3203" spans="1:17" hidden="1" x14ac:dyDescent="0.4">
      <c r="A3203" s="4" t="s">
        <v>13</v>
      </c>
      <c r="B3203" s="4" t="s">
        <v>14</v>
      </c>
      <c r="C3203" s="30" t="s">
        <v>434</v>
      </c>
      <c r="D3203" s="4" t="s">
        <v>15</v>
      </c>
      <c r="E3203" s="4" t="s">
        <v>16</v>
      </c>
      <c r="F3203" s="4" t="s">
        <v>17</v>
      </c>
      <c r="G3203" s="4" t="s">
        <v>18</v>
      </c>
      <c r="H3203" s="4" t="s">
        <v>295</v>
      </c>
      <c r="I3203" s="5" t="str">
        <f t="shared" si="50"/>
        <v>2025-12</v>
      </c>
      <c r="J3203" s="4" t="s">
        <v>34</v>
      </c>
      <c r="K3203" s="5" t="s">
        <v>342</v>
      </c>
      <c r="L3203" s="2">
        <v>42000</v>
      </c>
      <c r="M3203" s="3">
        <v>3</v>
      </c>
      <c r="N3203" s="2">
        <v>126000</v>
      </c>
      <c r="O3203" s="2">
        <v>12600</v>
      </c>
      <c r="P3203" s="2">
        <v>138600</v>
      </c>
      <c r="Q3203" s="2">
        <f>P3203*8.5%</f>
        <v>11781</v>
      </c>
    </row>
    <row r="3204" spans="1:17" hidden="1" x14ac:dyDescent="0.4">
      <c r="A3204" s="4" t="s">
        <v>21</v>
      </c>
      <c r="B3204" s="4" t="s">
        <v>14</v>
      </c>
      <c r="C3204" s="31" t="s">
        <v>435</v>
      </c>
      <c r="D3204" s="4" t="s">
        <v>22</v>
      </c>
      <c r="E3204" s="4" t="s">
        <v>16</v>
      </c>
      <c r="F3204" s="4" t="s">
        <v>17</v>
      </c>
      <c r="G3204" s="4" t="s">
        <v>18</v>
      </c>
      <c r="H3204" s="4" t="s">
        <v>295</v>
      </c>
      <c r="I3204" s="5" t="str">
        <f t="shared" si="50"/>
        <v>2025-12</v>
      </c>
      <c r="J3204" s="4" t="s">
        <v>34</v>
      </c>
      <c r="K3204" s="5" t="s">
        <v>342</v>
      </c>
      <c r="L3204" s="2">
        <v>55500</v>
      </c>
      <c r="M3204" s="3">
        <v>1</v>
      </c>
      <c r="N3204" s="2">
        <v>55500</v>
      </c>
      <c r="O3204" s="2">
        <v>5550</v>
      </c>
      <c r="P3204" s="2">
        <v>61050</v>
      </c>
      <c r="Q3204" s="2">
        <f>P3204*8.5%</f>
        <v>5189.25</v>
      </c>
    </row>
    <row r="3205" spans="1:17" hidden="1" x14ac:dyDescent="0.4">
      <c r="A3205" s="4" t="s">
        <v>23</v>
      </c>
      <c r="B3205" s="4" t="s">
        <v>14</v>
      </c>
      <c r="C3205" s="31" t="s">
        <v>435</v>
      </c>
      <c r="D3205" s="4" t="s">
        <v>24</v>
      </c>
      <c r="E3205" s="4" t="s">
        <v>16</v>
      </c>
      <c r="F3205" s="4" t="s">
        <v>17</v>
      </c>
      <c r="G3205" s="4" t="s">
        <v>18</v>
      </c>
      <c r="H3205" s="4" t="s">
        <v>295</v>
      </c>
      <c r="I3205" s="5" t="str">
        <f t="shared" si="50"/>
        <v>2025-12</v>
      </c>
      <c r="J3205" s="4" t="s">
        <v>34</v>
      </c>
      <c r="K3205" s="5" t="s">
        <v>342</v>
      </c>
      <c r="L3205" s="2">
        <v>55500</v>
      </c>
      <c r="M3205" s="3">
        <v>3</v>
      </c>
      <c r="N3205" s="2">
        <v>166500</v>
      </c>
      <c r="O3205" s="2">
        <v>16650</v>
      </c>
      <c r="P3205" s="2">
        <v>183150</v>
      </c>
      <c r="Q3205" s="2">
        <f>P3205*8.5%</f>
        <v>15567.750000000002</v>
      </c>
    </row>
    <row r="3206" spans="1:17" hidden="1" x14ac:dyDescent="0.4">
      <c r="A3206" s="4" t="s">
        <v>67</v>
      </c>
      <c r="B3206" s="4" t="s">
        <v>26</v>
      </c>
      <c r="C3206" s="32" t="s">
        <v>436</v>
      </c>
      <c r="D3206" s="4" t="s">
        <v>63</v>
      </c>
      <c r="E3206" s="4" t="s">
        <v>28</v>
      </c>
      <c r="F3206" s="4" t="s">
        <v>17</v>
      </c>
      <c r="G3206" s="4" t="s">
        <v>18</v>
      </c>
      <c r="H3206" s="4" t="s">
        <v>295</v>
      </c>
      <c r="I3206" s="5" t="str">
        <f t="shared" si="50"/>
        <v>2025-12</v>
      </c>
      <c r="J3206" s="4" t="s">
        <v>34</v>
      </c>
      <c r="K3206" s="5" t="s">
        <v>342</v>
      </c>
      <c r="L3206" s="2">
        <v>7174</v>
      </c>
      <c r="M3206" s="3">
        <v>1</v>
      </c>
      <c r="N3206" s="2">
        <v>7174</v>
      </c>
      <c r="O3206" s="2">
        <v>717</v>
      </c>
      <c r="P3206" s="2">
        <v>7891</v>
      </c>
      <c r="Q3206" s="2">
        <f>P3206*8.5%</f>
        <v>670.73500000000001</v>
      </c>
    </row>
    <row r="3207" spans="1:17" hidden="1" x14ac:dyDescent="0.4">
      <c r="A3207" s="4" t="s">
        <v>70</v>
      </c>
      <c r="B3207" s="4" t="s">
        <v>26</v>
      </c>
      <c r="C3207" s="32" t="s">
        <v>436</v>
      </c>
      <c r="D3207" s="4" t="s">
        <v>71</v>
      </c>
      <c r="E3207" s="4" t="s">
        <v>28</v>
      </c>
      <c r="F3207" s="4" t="s">
        <v>31</v>
      </c>
      <c r="G3207" s="4" t="s">
        <v>18</v>
      </c>
      <c r="H3207" s="4" t="s">
        <v>295</v>
      </c>
      <c r="I3207" s="5" t="str">
        <f t="shared" si="50"/>
        <v>2025-12</v>
      </c>
      <c r="J3207" s="4" t="s">
        <v>34</v>
      </c>
      <c r="K3207" s="5" t="s">
        <v>342</v>
      </c>
      <c r="L3207" s="2">
        <v>6624</v>
      </c>
      <c r="M3207" s="3">
        <v>3</v>
      </c>
      <c r="N3207" s="2">
        <v>19872</v>
      </c>
      <c r="O3207" s="2">
        <v>0</v>
      </c>
      <c r="P3207" s="2">
        <v>19872</v>
      </c>
      <c r="Q3207" s="2">
        <f>P3207*8.5%</f>
        <v>1689.1200000000001</v>
      </c>
    </row>
    <row r="3208" spans="1:17" hidden="1" x14ac:dyDescent="0.4">
      <c r="A3208" s="4" t="s">
        <v>42</v>
      </c>
      <c r="B3208" s="4" t="s">
        <v>14</v>
      </c>
      <c r="C3208" s="30" t="s">
        <v>434</v>
      </c>
      <c r="D3208" s="4" t="s">
        <v>43</v>
      </c>
      <c r="E3208" s="4" t="s">
        <v>44</v>
      </c>
      <c r="F3208" s="4" t="s">
        <v>31</v>
      </c>
      <c r="G3208" s="4" t="s">
        <v>18</v>
      </c>
      <c r="H3208" s="4" t="s">
        <v>295</v>
      </c>
      <c r="I3208" s="5" t="str">
        <f t="shared" si="50"/>
        <v>2025-12</v>
      </c>
      <c r="J3208" s="4" t="s">
        <v>34</v>
      </c>
      <c r="K3208" s="5" t="s">
        <v>342</v>
      </c>
      <c r="L3208" s="2">
        <v>7300</v>
      </c>
      <c r="M3208" s="3">
        <v>61.1</v>
      </c>
      <c r="N3208" s="2">
        <v>446030</v>
      </c>
      <c r="O3208" s="2">
        <v>0</v>
      </c>
      <c r="P3208" s="2">
        <v>446030</v>
      </c>
      <c r="Q3208" s="2">
        <f>P3208*8.5%</f>
        <v>37912.550000000003</v>
      </c>
    </row>
    <row r="3209" spans="1:17" hidden="1" x14ac:dyDescent="0.4">
      <c r="A3209" s="4" t="s">
        <v>32</v>
      </c>
      <c r="B3209" s="4" t="s">
        <v>14</v>
      </c>
      <c r="C3209" s="31" t="s">
        <v>435</v>
      </c>
      <c r="D3209" s="4" t="s">
        <v>33</v>
      </c>
      <c r="E3209" s="4" t="s">
        <v>16</v>
      </c>
      <c r="F3209" s="4" t="s">
        <v>17</v>
      </c>
      <c r="G3209" s="4" t="s">
        <v>18</v>
      </c>
      <c r="H3209" s="4" t="s">
        <v>295</v>
      </c>
      <c r="I3209" s="5" t="str">
        <f t="shared" si="50"/>
        <v>2025-12</v>
      </c>
      <c r="J3209" s="4" t="s">
        <v>50</v>
      </c>
      <c r="K3209" s="5" t="s">
        <v>343</v>
      </c>
      <c r="L3209" s="2">
        <v>44000</v>
      </c>
      <c r="M3209" s="3">
        <v>6</v>
      </c>
      <c r="N3209" s="2">
        <v>264000</v>
      </c>
      <c r="O3209" s="2">
        <v>26400</v>
      </c>
      <c r="P3209" s="2">
        <v>290400</v>
      </c>
      <c r="Q3209" s="2">
        <f>P3209*12%</f>
        <v>34848</v>
      </c>
    </row>
    <row r="3210" spans="1:17" hidden="1" x14ac:dyDescent="0.4">
      <c r="A3210" s="4" t="s">
        <v>23</v>
      </c>
      <c r="B3210" s="4" t="s">
        <v>14</v>
      </c>
      <c r="C3210" s="31" t="s">
        <v>435</v>
      </c>
      <c r="D3210" s="4" t="s">
        <v>24</v>
      </c>
      <c r="E3210" s="4" t="s">
        <v>16</v>
      </c>
      <c r="F3210" s="4" t="s">
        <v>17</v>
      </c>
      <c r="G3210" s="4" t="s">
        <v>18</v>
      </c>
      <c r="H3210" s="4" t="s">
        <v>295</v>
      </c>
      <c r="I3210" s="5" t="str">
        <f t="shared" si="50"/>
        <v>2025-12</v>
      </c>
      <c r="J3210" s="4" t="s">
        <v>50</v>
      </c>
      <c r="K3210" s="5" t="s">
        <v>343</v>
      </c>
      <c r="L3210" s="2">
        <v>55500</v>
      </c>
      <c r="M3210" s="3">
        <v>3</v>
      </c>
      <c r="N3210" s="2">
        <v>166500</v>
      </c>
      <c r="O3210" s="2">
        <v>16650</v>
      </c>
      <c r="P3210" s="2">
        <v>183150</v>
      </c>
      <c r="Q3210" s="2">
        <f>P3210*12%</f>
        <v>21978</v>
      </c>
    </row>
    <row r="3211" spans="1:17" x14ac:dyDescent="0.4">
      <c r="A3211" s="4" t="s">
        <v>54</v>
      </c>
      <c r="B3211" s="4" t="s">
        <v>26</v>
      </c>
      <c r="C3211" s="32" t="s">
        <v>436</v>
      </c>
      <c r="D3211" s="4" t="s">
        <v>55</v>
      </c>
      <c r="E3211" s="4" t="s">
        <v>28</v>
      </c>
      <c r="F3211" s="4" t="s">
        <v>31</v>
      </c>
      <c r="G3211" s="4" t="s">
        <v>233</v>
      </c>
      <c r="H3211" s="4" t="s">
        <v>296</v>
      </c>
      <c r="I3211" s="5" t="str">
        <f t="shared" si="50"/>
        <v>2025-12</v>
      </c>
      <c r="J3211" s="4" t="s">
        <v>20</v>
      </c>
      <c r="K3211" s="5" t="s">
        <v>342</v>
      </c>
      <c r="L3211" s="2">
        <v>5919</v>
      </c>
      <c r="M3211" s="3">
        <v>-1</v>
      </c>
      <c r="N3211" s="2">
        <v>-5919</v>
      </c>
      <c r="O3211" s="2">
        <v>0</v>
      </c>
      <c r="P3211" s="2">
        <v>-5919</v>
      </c>
      <c r="Q3211" s="2">
        <f>P3211*8.5%</f>
        <v>-503.11500000000001</v>
      </c>
    </row>
    <row r="3212" spans="1:17" x14ac:dyDescent="0.4">
      <c r="A3212" s="4" t="s">
        <v>21</v>
      </c>
      <c r="B3212" s="4" t="s">
        <v>14</v>
      </c>
      <c r="C3212" s="31" t="s">
        <v>435</v>
      </c>
      <c r="D3212" s="4" t="s">
        <v>22</v>
      </c>
      <c r="E3212" s="4" t="s">
        <v>16</v>
      </c>
      <c r="F3212" s="4" t="s">
        <v>17</v>
      </c>
      <c r="G3212" s="4" t="s">
        <v>18</v>
      </c>
      <c r="H3212" s="4" t="s">
        <v>297</v>
      </c>
      <c r="I3212" s="5" t="str">
        <f t="shared" si="50"/>
        <v>2025-12</v>
      </c>
      <c r="J3212" s="4" t="s">
        <v>20</v>
      </c>
      <c r="K3212" s="5" t="s">
        <v>342</v>
      </c>
      <c r="L3212" s="2">
        <v>55500</v>
      </c>
      <c r="M3212" s="3">
        <v>1</v>
      </c>
      <c r="N3212" s="2">
        <v>55500</v>
      </c>
      <c r="O3212" s="2">
        <v>5550</v>
      </c>
      <c r="P3212" s="2">
        <v>61050</v>
      </c>
      <c r="Q3212" s="2">
        <f>P3212*8.5%</f>
        <v>5189.25</v>
      </c>
    </row>
    <row r="3213" spans="1:17" x14ac:dyDescent="0.4">
      <c r="A3213" s="4" t="s">
        <v>23</v>
      </c>
      <c r="B3213" s="4" t="s">
        <v>14</v>
      </c>
      <c r="C3213" s="31" t="s">
        <v>435</v>
      </c>
      <c r="D3213" s="4" t="s">
        <v>24</v>
      </c>
      <c r="E3213" s="4" t="s">
        <v>16</v>
      </c>
      <c r="F3213" s="4" t="s">
        <v>17</v>
      </c>
      <c r="G3213" s="4" t="s">
        <v>18</v>
      </c>
      <c r="H3213" s="4" t="s">
        <v>297</v>
      </c>
      <c r="I3213" s="5" t="str">
        <f t="shared" si="50"/>
        <v>2025-12</v>
      </c>
      <c r="J3213" s="4" t="s">
        <v>20</v>
      </c>
      <c r="K3213" s="5" t="s">
        <v>342</v>
      </c>
      <c r="L3213" s="2">
        <v>55500</v>
      </c>
      <c r="M3213" s="3">
        <v>3</v>
      </c>
      <c r="N3213" s="2">
        <v>166500</v>
      </c>
      <c r="O3213" s="2">
        <v>16650</v>
      </c>
      <c r="P3213" s="2">
        <v>183150</v>
      </c>
      <c r="Q3213" s="2">
        <f>P3213*8.5%</f>
        <v>15567.750000000002</v>
      </c>
    </row>
    <row r="3214" spans="1:17" x14ac:dyDescent="0.4">
      <c r="A3214" s="4" t="s">
        <v>56</v>
      </c>
      <c r="B3214" s="4" t="s">
        <v>26</v>
      </c>
      <c r="C3214" s="32" t="s">
        <v>436</v>
      </c>
      <c r="D3214" s="4" t="s">
        <v>57</v>
      </c>
      <c r="E3214" s="4" t="s">
        <v>44</v>
      </c>
      <c r="F3214" s="4" t="s">
        <v>31</v>
      </c>
      <c r="G3214" s="4" t="s">
        <v>18</v>
      </c>
      <c r="H3214" s="4" t="s">
        <v>297</v>
      </c>
      <c r="I3214" s="5" t="str">
        <f t="shared" si="50"/>
        <v>2025-12</v>
      </c>
      <c r="J3214" s="4" t="s">
        <v>20</v>
      </c>
      <c r="K3214" s="5" t="s">
        <v>342</v>
      </c>
      <c r="L3214" s="2">
        <v>2368</v>
      </c>
      <c r="M3214" s="3">
        <v>20</v>
      </c>
      <c r="N3214" s="2">
        <v>47360</v>
      </c>
      <c r="O3214" s="2">
        <v>0</v>
      </c>
      <c r="P3214" s="2">
        <v>47360</v>
      </c>
      <c r="Q3214" s="2">
        <f>P3214*8.5%</f>
        <v>4025.6000000000004</v>
      </c>
    </row>
    <row r="3215" spans="1:17" hidden="1" x14ac:dyDescent="0.4">
      <c r="A3215" s="4" t="s">
        <v>32</v>
      </c>
      <c r="B3215" s="4" t="s">
        <v>14</v>
      </c>
      <c r="C3215" s="31" t="s">
        <v>435</v>
      </c>
      <c r="D3215" s="4" t="s">
        <v>33</v>
      </c>
      <c r="E3215" s="4" t="s">
        <v>16</v>
      </c>
      <c r="F3215" s="4" t="s">
        <v>17</v>
      </c>
      <c r="G3215" s="4" t="s">
        <v>18</v>
      </c>
      <c r="H3215" s="4" t="s">
        <v>297</v>
      </c>
      <c r="I3215" s="5" t="str">
        <f t="shared" si="50"/>
        <v>2025-12</v>
      </c>
      <c r="J3215" s="4" t="s">
        <v>34</v>
      </c>
      <c r="K3215" s="5" t="s">
        <v>342</v>
      </c>
      <c r="L3215" s="2">
        <v>44000</v>
      </c>
      <c r="M3215" s="3">
        <v>3</v>
      </c>
      <c r="N3215" s="2">
        <v>132000</v>
      </c>
      <c r="O3215" s="2">
        <v>13200</v>
      </c>
      <c r="P3215" s="2">
        <v>145200</v>
      </c>
      <c r="Q3215" s="2">
        <f>P3215*8.5%</f>
        <v>12342</v>
      </c>
    </row>
    <row r="3216" spans="1:17" hidden="1" x14ac:dyDescent="0.4">
      <c r="A3216" s="4" t="s">
        <v>13</v>
      </c>
      <c r="B3216" s="4" t="s">
        <v>14</v>
      </c>
      <c r="C3216" s="30" t="s">
        <v>434</v>
      </c>
      <c r="D3216" s="4" t="s">
        <v>15</v>
      </c>
      <c r="E3216" s="4" t="s">
        <v>16</v>
      </c>
      <c r="F3216" s="4" t="s">
        <v>17</v>
      </c>
      <c r="G3216" s="4" t="s">
        <v>18</v>
      </c>
      <c r="H3216" s="4" t="s">
        <v>297</v>
      </c>
      <c r="I3216" s="5" t="str">
        <f t="shared" si="50"/>
        <v>2025-12</v>
      </c>
      <c r="J3216" s="4" t="s">
        <v>34</v>
      </c>
      <c r="K3216" s="5" t="s">
        <v>342</v>
      </c>
      <c r="L3216" s="2">
        <v>42000</v>
      </c>
      <c r="M3216" s="3">
        <v>4</v>
      </c>
      <c r="N3216" s="2">
        <v>168000</v>
      </c>
      <c r="O3216" s="2">
        <v>16800</v>
      </c>
      <c r="P3216" s="2">
        <v>184800</v>
      </c>
      <c r="Q3216" s="2">
        <f>P3216*8.5%</f>
        <v>15708.000000000002</v>
      </c>
    </row>
    <row r="3217" spans="1:17" hidden="1" x14ac:dyDescent="0.4">
      <c r="A3217" s="4" t="s">
        <v>21</v>
      </c>
      <c r="B3217" s="4" t="s">
        <v>14</v>
      </c>
      <c r="C3217" s="31" t="s">
        <v>435</v>
      </c>
      <c r="D3217" s="4" t="s">
        <v>22</v>
      </c>
      <c r="E3217" s="4" t="s">
        <v>16</v>
      </c>
      <c r="F3217" s="4" t="s">
        <v>17</v>
      </c>
      <c r="G3217" s="4" t="s">
        <v>18</v>
      </c>
      <c r="H3217" s="4" t="s">
        <v>297</v>
      </c>
      <c r="I3217" s="5" t="str">
        <f t="shared" si="50"/>
        <v>2025-12</v>
      </c>
      <c r="J3217" s="4" t="s">
        <v>34</v>
      </c>
      <c r="K3217" s="5" t="s">
        <v>342</v>
      </c>
      <c r="L3217" s="2">
        <v>55500</v>
      </c>
      <c r="M3217" s="3">
        <v>2</v>
      </c>
      <c r="N3217" s="2">
        <v>111000</v>
      </c>
      <c r="O3217" s="2">
        <v>11100</v>
      </c>
      <c r="P3217" s="2">
        <v>122100</v>
      </c>
      <c r="Q3217" s="2">
        <f>P3217*8.5%</f>
        <v>10378.5</v>
      </c>
    </row>
    <row r="3218" spans="1:17" hidden="1" x14ac:dyDescent="0.4">
      <c r="A3218" s="4" t="s">
        <v>23</v>
      </c>
      <c r="B3218" s="4" t="s">
        <v>14</v>
      </c>
      <c r="C3218" s="31" t="s">
        <v>435</v>
      </c>
      <c r="D3218" s="4" t="s">
        <v>24</v>
      </c>
      <c r="E3218" s="4" t="s">
        <v>16</v>
      </c>
      <c r="F3218" s="4" t="s">
        <v>17</v>
      </c>
      <c r="G3218" s="4" t="s">
        <v>18</v>
      </c>
      <c r="H3218" s="4" t="s">
        <v>297</v>
      </c>
      <c r="I3218" s="5" t="str">
        <f t="shared" si="50"/>
        <v>2025-12</v>
      </c>
      <c r="J3218" s="4" t="s">
        <v>34</v>
      </c>
      <c r="K3218" s="5" t="s">
        <v>342</v>
      </c>
      <c r="L3218" s="2">
        <v>55500</v>
      </c>
      <c r="M3218" s="3">
        <v>4</v>
      </c>
      <c r="N3218" s="2">
        <v>222000</v>
      </c>
      <c r="O3218" s="2">
        <v>22200</v>
      </c>
      <c r="P3218" s="2">
        <v>244200</v>
      </c>
      <c r="Q3218" s="2">
        <f>P3218*8.5%</f>
        <v>20757</v>
      </c>
    </row>
    <row r="3219" spans="1:17" hidden="1" x14ac:dyDescent="0.4">
      <c r="A3219" s="4" t="s">
        <v>86</v>
      </c>
      <c r="B3219" s="4" t="s">
        <v>26</v>
      </c>
      <c r="C3219" s="32" t="s">
        <v>436</v>
      </c>
      <c r="D3219" s="4" t="s">
        <v>78</v>
      </c>
      <c r="E3219" s="4" t="s">
        <v>28</v>
      </c>
      <c r="F3219" s="4" t="s">
        <v>17</v>
      </c>
      <c r="G3219" s="4" t="s">
        <v>18</v>
      </c>
      <c r="H3219" s="4" t="s">
        <v>297</v>
      </c>
      <c r="I3219" s="5" t="str">
        <f t="shared" si="50"/>
        <v>2025-12</v>
      </c>
      <c r="J3219" s="4" t="s">
        <v>34</v>
      </c>
      <c r="K3219" s="5" t="s">
        <v>342</v>
      </c>
      <c r="L3219" s="2">
        <v>15544</v>
      </c>
      <c r="M3219" s="3">
        <v>1</v>
      </c>
      <c r="N3219" s="2">
        <v>15544</v>
      </c>
      <c r="O3219" s="2">
        <v>1554</v>
      </c>
      <c r="P3219" s="2">
        <v>17098</v>
      </c>
      <c r="Q3219" s="2">
        <f>P3219*8.5%</f>
        <v>1453.3300000000002</v>
      </c>
    </row>
    <row r="3220" spans="1:17" hidden="1" x14ac:dyDescent="0.4">
      <c r="A3220" s="4" t="s">
        <v>87</v>
      </c>
      <c r="B3220" s="4" t="s">
        <v>26</v>
      </c>
      <c r="C3220" s="32" t="s">
        <v>436</v>
      </c>
      <c r="D3220" s="4" t="s">
        <v>88</v>
      </c>
      <c r="E3220" s="4" t="s">
        <v>28</v>
      </c>
      <c r="F3220" s="4" t="s">
        <v>17</v>
      </c>
      <c r="G3220" s="4" t="s">
        <v>18</v>
      </c>
      <c r="H3220" s="4" t="s">
        <v>297</v>
      </c>
      <c r="I3220" s="5" t="str">
        <f t="shared" si="50"/>
        <v>2025-12</v>
      </c>
      <c r="J3220" s="4" t="s">
        <v>34</v>
      </c>
      <c r="K3220" s="5" t="s">
        <v>342</v>
      </c>
      <c r="L3220" s="2">
        <v>14229</v>
      </c>
      <c r="M3220" s="3">
        <v>1</v>
      </c>
      <c r="N3220" s="2">
        <v>14229</v>
      </c>
      <c r="O3220" s="2">
        <v>1423</v>
      </c>
      <c r="P3220" s="2">
        <v>15652</v>
      </c>
      <c r="Q3220" s="2">
        <f>P3220*8.5%</f>
        <v>1330.42</v>
      </c>
    </row>
    <row r="3221" spans="1:17" hidden="1" x14ac:dyDescent="0.4">
      <c r="A3221" s="4" t="s">
        <v>42</v>
      </c>
      <c r="B3221" s="4" t="s">
        <v>14</v>
      </c>
      <c r="C3221" s="30" t="s">
        <v>434</v>
      </c>
      <c r="D3221" s="4" t="s">
        <v>43</v>
      </c>
      <c r="E3221" s="4" t="s">
        <v>44</v>
      </c>
      <c r="F3221" s="4" t="s">
        <v>31</v>
      </c>
      <c r="G3221" s="4" t="s">
        <v>18</v>
      </c>
      <c r="H3221" s="4" t="s">
        <v>297</v>
      </c>
      <c r="I3221" s="5" t="str">
        <f t="shared" si="50"/>
        <v>2025-12</v>
      </c>
      <c r="J3221" s="4" t="s">
        <v>34</v>
      </c>
      <c r="K3221" s="5" t="s">
        <v>342</v>
      </c>
      <c r="L3221" s="2">
        <v>7300</v>
      </c>
      <c r="M3221" s="3">
        <v>61.7</v>
      </c>
      <c r="N3221" s="2">
        <v>450410</v>
      </c>
      <c r="O3221" s="2">
        <v>0</v>
      </c>
      <c r="P3221" s="2">
        <v>450410</v>
      </c>
      <c r="Q3221" s="2">
        <f>P3221*8.5%</f>
        <v>38284.850000000006</v>
      </c>
    </row>
    <row r="3222" spans="1:17" hidden="1" x14ac:dyDescent="0.4">
      <c r="A3222" s="4" t="s">
        <v>23</v>
      </c>
      <c r="B3222" s="4" t="s">
        <v>14</v>
      </c>
      <c r="C3222" s="31" t="s">
        <v>435</v>
      </c>
      <c r="D3222" s="4" t="s">
        <v>24</v>
      </c>
      <c r="E3222" s="4" t="s">
        <v>16</v>
      </c>
      <c r="F3222" s="4" t="s">
        <v>17</v>
      </c>
      <c r="G3222" s="4" t="s">
        <v>18</v>
      </c>
      <c r="H3222" s="4" t="s">
        <v>297</v>
      </c>
      <c r="I3222" s="5" t="str">
        <f t="shared" si="50"/>
        <v>2025-12</v>
      </c>
      <c r="J3222" s="4" t="s">
        <v>60</v>
      </c>
      <c r="K3222" s="5" t="s">
        <v>343</v>
      </c>
      <c r="L3222" s="2">
        <v>55500</v>
      </c>
      <c r="M3222" s="3">
        <v>8</v>
      </c>
      <c r="N3222" s="2">
        <v>444000</v>
      </c>
      <c r="O3222" s="2">
        <v>44400</v>
      </c>
      <c r="P3222" s="2">
        <v>488400</v>
      </c>
      <c r="Q3222" s="2">
        <f>P3222*12%</f>
        <v>58608</v>
      </c>
    </row>
    <row r="3223" spans="1:17" hidden="1" x14ac:dyDescent="0.4">
      <c r="A3223" s="4" t="s">
        <v>32</v>
      </c>
      <c r="B3223" s="4" t="s">
        <v>14</v>
      </c>
      <c r="C3223" s="31" t="s">
        <v>435</v>
      </c>
      <c r="D3223" s="4" t="s">
        <v>33</v>
      </c>
      <c r="E3223" s="4" t="s">
        <v>16</v>
      </c>
      <c r="F3223" s="4" t="s">
        <v>17</v>
      </c>
      <c r="G3223" s="4" t="s">
        <v>18</v>
      </c>
      <c r="H3223" s="4" t="s">
        <v>297</v>
      </c>
      <c r="I3223" s="5" t="str">
        <f t="shared" si="50"/>
        <v>2025-12</v>
      </c>
      <c r="J3223" s="4" t="s">
        <v>49</v>
      </c>
      <c r="K3223" s="5" t="s">
        <v>343</v>
      </c>
      <c r="L3223" s="2">
        <v>44000</v>
      </c>
      <c r="M3223" s="3">
        <v>8</v>
      </c>
      <c r="N3223" s="2">
        <v>352000</v>
      </c>
      <c r="O3223" s="2">
        <v>35200</v>
      </c>
      <c r="P3223" s="2">
        <v>387200</v>
      </c>
      <c r="Q3223" s="2">
        <f>P3223*12%</f>
        <v>46464</v>
      </c>
    </row>
    <row r="3224" spans="1:17" hidden="1" x14ac:dyDescent="0.4">
      <c r="A3224" s="4" t="s">
        <v>35</v>
      </c>
      <c r="B3224" s="4" t="s">
        <v>14</v>
      </c>
      <c r="C3224" s="30" t="s">
        <v>434</v>
      </c>
      <c r="D3224" s="4" t="s">
        <v>36</v>
      </c>
      <c r="E3224" s="4" t="s">
        <v>16</v>
      </c>
      <c r="F3224" s="4" t="s">
        <v>17</v>
      </c>
      <c r="G3224" s="4" t="s">
        <v>18</v>
      </c>
      <c r="H3224" s="4" t="s">
        <v>297</v>
      </c>
      <c r="I3224" s="5" t="str">
        <f t="shared" si="50"/>
        <v>2025-12</v>
      </c>
      <c r="J3224" s="4" t="s">
        <v>49</v>
      </c>
      <c r="K3224" s="5" t="s">
        <v>343</v>
      </c>
      <c r="L3224" s="2">
        <v>116220</v>
      </c>
      <c r="M3224" s="3">
        <v>1</v>
      </c>
      <c r="N3224" s="2">
        <v>116220</v>
      </c>
      <c r="O3224" s="2">
        <v>11622</v>
      </c>
      <c r="P3224" s="2">
        <v>127842</v>
      </c>
      <c r="Q3224" s="2">
        <f>P3224*12%</f>
        <v>15341.039999999999</v>
      </c>
    </row>
    <row r="3225" spans="1:17" x14ac:dyDescent="0.4">
      <c r="A3225" s="4" t="s">
        <v>13</v>
      </c>
      <c r="B3225" s="4" t="s">
        <v>14</v>
      </c>
      <c r="C3225" s="30" t="s">
        <v>434</v>
      </c>
      <c r="D3225" s="4" t="s">
        <v>15</v>
      </c>
      <c r="E3225" s="4" t="s">
        <v>16</v>
      </c>
      <c r="F3225" s="4" t="s">
        <v>17</v>
      </c>
      <c r="G3225" s="4" t="s">
        <v>18</v>
      </c>
      <c r="H3225" s="4" t="s">
        <v>298</v>
      </c>
      <c r="I3225" s="5" t="str">
        <f t="shared" si="50"/>
        <v>2025-12</v>
      </c>
      <c r="J3225" s="4" t="s">
        <v>20</v>
      </c>
      <c r="K3225" s="5" t="s">
        <v>342</v>
      </c>
      <c r="L3225" s="2">
        <v>42000</v>
      </c>
      <c r="M3225" s="3">
        <v>1</v>
      </c>
      <c r="N3225" s="2">
        <v>42000</v>
      </c>
      <c r="O3225" s="2">
        <v>4200</v>
      </c>
      <c r="P3225" s="2">
        <v>46200</v>
      </c>
      <c r="Q3225" s="2">
        <f>P3225*8.5%</f>
        <v>3927.0000000000005</v>
      </c>
    </row>
    <row r="3226" spans="1:17" x14ac:dyDescent="0.4">
      <c r="A3226" s="4" t="s">
        <v>21</v>
      </c>
      <c r="B3226" s="4" t="s">
        <v>14</v>
      </c>
      <c r="C3226" s="31" t="s">
        <v>435</v>
      </c>
      <c r="D3226" s="4" t="s">
        <v>22</v>
      </c>
      <c r="E3226" s="4" t="s">
        <v>16</v>
      </c>
      <c r="F3226" s="4" t="s">
        <v>17</v>
      </c>
      <c r="G3226" s="4" t="s">
        <v>18</v>
      </c>
      <c r="H3226" s="4" t="s">
        <v>298</v>
      </c>
      <c r="I3226" s="5" t="str">
        <f t="shared" si="50"/>
        <v>2025-12</v>
      </c>
      <c r="J3226" s="4" t="s">
        <v>20</v>
      </c>
      <c r="K3226" s="5" t="s">
        <v>342</v>
      </c>
      <c r="L3226" s="2">
        <v>55500</v>
      </c>
      <c r="M3226" s="3">
        <v>1</v>
      </c>
      <c r="N3226" s="2">
        <v>55500</v>
      </c>
      <c r="O3226" s="2">
        <v>5550</v>
      </c>
      <c r="P3226" s="2">
        <v>61050</v>
      </c>
      <c r="Q3226" s="2">
        <f>P3226*8.5%</f>
        <v>5189.25</v>
      </c>
    </row>
    <row r="3227" spans="1:17" x14ac:dyDescent="0.4">
      <c r="A3227" s="4" t="s">
        <v>23</v>
      </c>
      <c r="B3227" s="4" t="s">
        <v>14</v>
      </c>
      <c r="C3227" s="31" t="s">
        <v>435</v>
      </c>
      <c r="D3227" s="4" t="s">
        <v>24</v>
      </c>
      <c r="E3227" s="4" t="s">
        <v>16</v>
      </c>
      <c r="F3227" s="4" t="s">
        <v>17</v>
      </c>
      <c r="G3227" s="4" t="s">
        <v>18</v>
      </c>
      <c r="H3227" s="4" t="s">
        <v>298</v>
      </c>
      <c r="I3227" s="5" t="str">
        <f t="shared" si="50"/>
        <v>2025-12</v>
      </c>
      <c r="J3227" s="4" t="s">
        <v>20</v>
      </c>
      <c r="K3227" s="5" t="s">
        <v>342</v>
      </c>
      <c r="L3227" s="2">
        <v>55500</v>
      </c>
      <c r="M3227" s="3">
        <v>1</v>
      </c>
      <c r="N3227" s="2">
        <v>55500</v>
      </c>
      <c r="O3227" s="2">
        <v>5550</v>
      </c>
      <c r="P3227" s="2">
        <v>61050</v>
      </c>
      <c r="Q3227" s="2">
        <f>P3227*8.5%</f>
        <v>5189.25</v>
      </c>
    </row>
    <row r="3228" spans="1:17" x14ac:dyDescent="0.4">
      <c r="A3228" s="4" t="s">
        <v>29</v>
      </c>
      <c r="B3228" s="4" t="s">
        <v>26</v>
      </c>
      <c r="C3228" s="32" t="s">
        <v>436</v>
      </c>
      <c r="D3228" s="4" t="s">
        <v>30</v>
      </c>
      <c r="E3228" s="4" t="s">
        <v>28</v>
      </c>
      <c r="F3228" s="4" t="s">
        <v>31</v>
      </c>
      <c r="G3228" s="4" t="s">
        <v>18</v>
      </c>
      <c r="H3228" s="4" t="s">
        <v>298</v>
      </c>
      <c r="I3228" s="5" t="str">
        <f t="shared" si="50"/>
        <v>2025-12</v>
      </c>
      <c r="J3228" s="4" t="s">
        <v>20</v>
      </c>
      <c r="K3228" s="5" t="s">
        <v>342</v>
      </c>
      <c r="L3228" s="2">
        <v>3719</v>
      </c>
      <c r="M3228" s="3">
        <v>1</v>
      </c>
      <c r="N3228" s="2">
        <v>3719</v>
      </c>
      <c r="O3228" s="2">
        <v>0</v>
      </c>
      <c r="P3228" s="2">
        <v>3719</v>
      </c>
      <c r="Q3228" s="2">
        <f>P3228*8.5%</f>
        <v>316.11500000000001</v>
      </c>
    </row>
    <row r="3229" spans="1:17" hidden="1" x14ac:dyDescent="0.4">
      <c r="A3229" s="4" t="s">
        <v>64</v>
      </c>
      <c r="B3229" s="4" t="s">
        <v>65</v>
      </c>
      <c r="C3229" s="32" t="s">
        <v>436</v>
      </c>
      <c r="D3229" s="4" t="s">
        <v>66</v>
      </c>
      <c r="E3229" s="4" t="s">
        <v>16</v>
      </c>
      <c r="F3229" s="4" t="s">
        <v>17</v>
      </c>
      <c r="G3229" s="4" t="s">
        <v>18</v>
      </c>
      <c r="H3229" s="4" t="s">
        <v>298</v>
      </c>
      <c r="I3229" s="5" t="str">
        <f t="shared" si="50"/>
        <v>2025-12</v>
      </c>
      <c r="J3229" s="4" t="s">
        <v>34</v>
      </c>
      <c r="K3229" s="5" t="s">
        <v>342</v>
      </c>
      <c r="L3229" s="2">
        <v>10283</v>
      </c>
      <c r="M3229" s="3">
        <v>1</v>
      </c>
      <c r="N3229" s="2">
        <v>10283</v>
      </c>
      <c r="O3229" s="2">
        <v>1028</v>
      </c>
      <c r="P3229" s="2">
        <v>11311</v>
      </c>
      <c r="Q3229" s="2">
        <f>P3229*8.5%</f>
        <v>961.43500000000006</v>
      </c>
    </row>
    <row r="3230" spans="1:17" hidden="1" x14ac:dyDescent="0.4">
      <c r="A3230" s="4" t="s">
        <v>32</v>
      </c>
      <c r="B3230" s="4" t="s">
        <v>14</v>
      </c>
      <c r="C3230" s="31" t="s">
        <v>435</v>
      </c>
      <c r="D3230" s="4" t="s">
        <v>33</v>
      </c>
      <c r="E3230" s="4" t="s">
        <v>16</v>
      </c>
      <c r="F3230" s="4" t="s">
        <v>17</v>
      </c>
      <c r="G3230" s="4" t="s">
        <v>18</v>
      </c>
      <c r="H3230" s="4" t="s">
        <v>298</v>
      </c>
      <c r="I3230" s="5" t="str">
        <f t="shared" si="50"/>
        <v>2025-12</v>
      </c>
      <c r="J3230" s="4" t="s">
        <v>34</v>
      </c>
      <c r="K3230" s="5" t="s">
        <v>342</v>
      </c>
      <c r="L3230" s="2">
        <v>44000</v>
      </c>
      <c r="M3230" s="3">
        <v>2</v>
      </c>
      <c r="N3230" s="2">
        <v>88000</v>
      </c>
      <c r="O3230" s="2">
        <v>8800</v>
      </c>
      <c r="P3230" s="2">
        <v>96800</v>
      </c>
      <c r="Q3230" s="2">
        <f>P3230*8.5%</f>
        <v>8228</v>
      </c>
    </row>
    <row r="3231" spans="1:17" hidden="1" x14ac:dyDescent="0.4">
      <c r="A3231" s="4" t="s">
        <v>13</v>
      </c>
      <c r="B3231" s="4" t="s">
        <v>14</v>
      </c>
      <c r="C3231" s="30" t="s">
        <v>434</v>
      </c>
      <c r="D3231" s="4" t="s">
        <v>15</v>
      </c>
      <c r="E3231" s="4" t="s">
        <v>16</v>
      </c>
      <c r="F3231" s="4" t="s">
        <v>17</v>
      </c>
      <c r="G3231" s="4" t="s">
        <v>18</v>
      </c>
      <c r="H3231" s="4" t="s">
        <v>298</v>
      </c>
      <c r="I3231" s="5" t="str">
        <f t="shared" si="50"/>
        <v>2025-12</v>
      </c>
      <c r="J3231" s="4" t="s">
        <v>34</v>
      </c>
      <c r="K3231" s="5" t="s">
        <v>342</v>
      </c>
      <c r="L3231" s="2">
        <v>42000</v>
      </c>
      <c r="M3231" s="3">
        <v>3</v>
      </c>
      <c r="N3231" s="2">
        <v>126000</v>
      </c>
      <c r="O3231" s="2">
        <v>12600</v>
      </c>
      <c r="P3231" s="2">
        <v>138600</v>
      </c>
      <c r="Q3231" s="2">
        <f>P3231*8.5%</f>
        <v>11781</v>
      </c>
    </row>
    <row r="3232" spans="1:17" hidden="1" x14ac:dyDescent="0.4">
      <c r="A3232" s="4" t="s">
        <v>21</v>
      </c>
      <c r="B3232" s="4" t="s">
        <v>14</v>
      </c>
      <c r="C3232" s="31" t="s">
        <v>435</v>
      </c>
      <c r="D3232" s="4" t="s">
        <v>22</v>
      </c>
      <c r="E3232" s="4" t="s">
        <v>16</v>
      </c>
      <c r="F3232" s="4" t="s">
        <v>17</v>
      </c>
      <c r="G3232" s="4" t="s">
        <v>18</v>
      </c>
      <c r="H3232" s="4" t="s">
        <v>298</v>
      </c>
      <c r="I3232" s="5" t="str">
        <f t="shared" si="50"/>
        <v>2025-12</v>
      </c>
      <c r="J3232" s="4" t="s">
        <v>34</v>
      </c>
      <c r="K3232" s="5" t="s">
        <v>342</v>
      </c>
      <c r="L3232" s="2">
        <v>55500</v>
      </c>
      <c r="M3232" s="3">
        <v>1</v>
      </c>
      <c r="N3232" s="2">
        <v>55500</v>
      </c>
      <c r="O3232" s="2">
        <v>5550</v>
      </c>
      <c r="P3232" s="2">
        <v>61050</v>
      </c>
      <c r="Q3232" s="2">
        <f>P3232*8.5%</f>
        <v>5189.25</v>
      </c>
    </row>
    <row r="3233" spans="1:17" hidden="1" x14ac:dyDescent="0.4">
      <c r="A3233" s="4" t="s">
        <v>35</v>
      </c>
      <c r="B3233" s="4" t="s">
        <v>14</v>
      </c>
      <c r="C3233" s="30" t="s">
        <v>434</v>
      </c>
      <c r="D3233" s="4" t="s">
        <v>36</v>
      </c>
      <c r="E3233" s="4" t="s">
        <v>16</v>
      </c>
      <c r="F3233" s="4" t="s">
        <v>17</v>
      </c>
      <c r="G3233" s="4" t="s">
        <v>18</v>
      </c>
      <c r="H3233" s="4" t="s">
        <v>298</v>
      </c>
      <c r="I3233" s="5" t="str">
        <f t="shared" si="50"/>
        <v>2025-12</v>
      </c>
      <c r="J3233" s="4" t="s">
        <v>34</v>
      </c>
      <c r="K3233" s="5" t="s">
        <v>342</v>
      </c>
      <c r="L3233" s="2">
        <v>116220</v>
      </c>
      <c r="M3233" s="3">
        <v>1</v>
      </c>
      <c r="N3233" s="2">
        <v>116220</v>
      </c>
      <c r="O3233" s="2">
        <v>11622</v>
      </c>
      <c r="P3233" s="2">
        <v>127842</v>
      </c>
      <c r="Q3233" s="2">
        <f>P3233*8.5%</f>
        <v>10866.570000000002</v>
      </c>
    </row>
    <row r="3234" spans="1:17" hidden="1" x14ac:dyDescent="0.4">
      <c r="A3234" s="4" t="s">
        <v>23</v>
      </c>
      <c r="B3234" s="4" t="s">
        <v>14</v>
      </c>
      <c r="C3234" s="31" t="s">
        <v>435</v>
      </c>
      <c r="D3234" s="4" t="s">
        <v>24</v>
      </c>
      <c r="E3234" s="4" t="s">
        <v>16</v>
      </c>
      <c r="F3234" s="4" t="s">
        <v>17</v>
      </c>
      <c r="G3234" s="4" t="s">
        <v>18</v>
      </c>
      <c r="H3234" s="4" t="s">
        <v>298</v>
      </c>
      <c r="I3234" s="5" t="str">
        <f t="shared" si="50"/>
        <v>2025-12</v>
      </c>
      <c r="J3234" s="4" t="s">
        <v>34</v>
      </c>
      <c r="K3234" s="5" t="s">
        <v>342</v>
      </c>
      <c r="L3234" s="2">
        <v>55500</v>
      </c>
      <c r="M3234" s="3">
        <v>4</v>
      </c>
      <c r="N3234" s="2">
        <v>222000</v>
      </c>
      <c r="O3234" s="2">
        <v>22200</v>
      </c>
      <c r="P3234" s="2">
        <v>244200</v>
      </c>
      <c r="Q3234" s="2">
        <f>P3234*8.5%</f>
        <v>20757</v>
      </c>
    </row>
    <row r="3235" spans="1:17" hidden="1" x14ac:dyDescent="0.4">
      <c r="A3235" s="4" t="s">
        <v>51</v>
      </c>
      <c r="B3235" s="4" t="s">
        <v>14</v>
      </c>
      <c r="C3235" s="30" t="s">
        <v>434</v>
      </c>
      <c r="D3235" s="4" t="s">
        <v>52</v>
      </c>
      <c r="E3235" s="4" t="s">
        <v>16</v>
      </c>
      <c r="F3235" s="4" t="s">
        <v>17</v>
      </c>
      <c r="G3235" s="4" t="s">
        <v>18</v>
      </c>
      <c r="H3235" s="4" t="s">
        <v>298</v>
      </c>
      <c r="I3235" s="5" t="str">
        <f t="shared" si="50"/>
        <v>2025-12</v>
      </c>
      <c r="J3235" s="4" t="s">
        <v>34</v>
      </c>
      <c r="K3235" s="5" t="s">
        <v>342</v>
      </c>
      <c r="L3235" s="2">
        <v>73000</v>
      </c>
      <c r="M3235" s="3">
        <v>1</v>
      </c>
      <c r="N3235" s="2">
        <v>73000</v>
      </c>
      <c r="O3235" s="2">
        <v>7300</v>
      </c>
      <c r="P3235" s="2">
        <v>80300</v>
      </c>
      <c r="Q3235" s="2">
        <f>P3235*8.5%</f>
        <v>6825.5000000000009</v>
      </c>
    </row>
    <row r="3236" spans="1:17" hidden="1" x14ac:dyDescent="0.4">
      <c r="A3236" s="4" t="s">
        <v>73</v>
      </c>
      <c r="B3236" s="4" t="s">
        <v>26</v>
      </c>
      <c r="C3236" s="32" t="s">
        <v>436</v>
      </c>
      <c r="D3236" s="4" t="s">
        <v>57</v>
      </c>
      <c r="E3236" s="4" t="s">
        <v>28</v>
      </c>
      <c r="F3236" s="4" t="s">
        <v>17</v>
      </c>
      <c r="G3236" s="4" t="s">
        <v>18</v>
      </c>
      <c r="H3236" s="4" t="s">
        <v>298</v>
      </c>
      <c r="I3236" s="5" t="str">
        <f t="shared" si="50"/>
        <v>2025-12</v>
      </c>
      <c r="J3236" s="4" t="s">
        <v>34</v>
      </c>
      <c r="K3236" s="5" t="s">
        <v>342</v>
      </c>
      <c r="L3236" s="2">
        <v>7055</v>
      </c>
      <c r="M3236" s="3">
        <v>2</v>
      </c>
      <c r="N3236" s="2">
        <v>14110</v>
      </c>
      <c r="O3236" s="2">
        <v>1411</v>
      </c>
      <c r="P3236" s="2">
        <v>15521</v>
      </c>
      <c r="Q3236" s="2">
        <f>P3236*8.5%</f>
        <v>1319.2850000000001</v>
      </c>
    </row>
    <row r="3237" spans="1:17" hidden="1" x14ac:dyDescent="0.4">
      <c r="A3237" s="4" t="s">
        <v>40</v>
      </c>
      <c r="B3237" s="4" t="s">
        <v>26</v>
      </c>
      <c r="C3237" s="32" t="s">
        <v>436</v>
      </c>
      <c r="D3237" s="4" t="s">
        <v>41</v>
      </c>
      <c r="E3237" s="4" t="s">
        <v>28</v>
      </c>
      <c r="F3237" s="4" t="s">
        <v>17</v>
      </c>
      <c r="G3237" s="4" t="s">
        <v>18</v>
      </c>
      <c r="H3237" s="4" t="s">
        <v>298</v>
      </c>
      <c r="I3237" s="5" t="str">
        <f t="shared" si="50"/>
        <v>2025-12</v>
      </c>
      <c r="J3237" s="4" t="s">
        <v>34</v>
      </c>
      <c r="K3237" s="5" t="s">
        <v>342</v>
      </c>
      <c r="L3237" s="2">
        <v>17936</v>
      </c>
      <c r="M3237" s="3">
        <v>2</v>
      </c>
      <c r="N3237" s="2">
        <v>35872</v>
      </c>
      <c r="O3237" s="2">
        <v>3587</v>
      </c>
      <c r="P3237" s="2">
        <v>39459</v>
      </c>
      <c r="Q3237" s="2">
        <f>P3237*8.5%</f>
        <v>3354.0150000000003</v>
      </c>
    </row>
    <row r="3238" spans="1:17" hidden="1" x14ac:dyDescent="0.4">
      <c r="A3238" s="4" t="s">
        <v>42</v>
      </c>
      <c r="B3238" s="4" t="s">
        <v>14</v>
      </c>
      <c r="C3238" s="30" t="s">
        <v>434</v>
      </c>
      <c r="D3238" s="4" t="s">
        <v>43</v>
      </c>
      <c r="E3238" s="4" t="s">
        <v>44</v>
      </c>
      <c r="F3238" s="4" t="s">
        <v>31</v>
      </c>
      <c r="G3238" s="4" t="s">
        <v>18</v>
      </c>
      <c r="H3238" s="4" t="s">
        <v>298</v>
      </c>
      <c r="I3238" s="5" t="str">
        <f t="shared" si="50"/>
        <v>2025-12</v>
      </c>
      <c r="J3238" s="4" t="s">
        <v>34</v>
      </c>
      <c r="K3238" s="5" t="s">
        <v>342</v>
      </c>
      <c r="L3238" s="2">
        <v>7300</v>
      </c>
      <c r="M3238" s="3">
        <v>31.3</v>
      </c>
      <c r="N3238" s="2">
        <v>228490</v>
      </c>
      <c r="O3238" s="2">
        <v>0</v>
      </c>
      <c r="P3238" s="2">
        <v>228490</v>
      </c>
      <c r="Q3238" s="2">
        <f>P3238*8.5%</f>
        <v>19421.650000000001</v>
      </c>
    </row>
    <row r="3239" spans="1:17" hidden="1" x14ac:dyDescent="0.4">
      <c r="A3239" s="4" t="s">
        <v>202</v>
      </c>
      <c r="B3239" s="4" t="s">
        <v>26</v>
      </c>
      <c r="C3239" s="32" t="s">
        <v>436</v>
      </c>
      <c r="D3239" s="4" t="s">
        <v>203</v>
      </c>
      <c r="E3239" s="4" t="s">
        <v>47</v>
      </c>
      <c r="F3239" s="4" t="s">
        <v>17</v>
      </c>
      <c r="G3239" s="4" t="s">
        <v>18</v>
      </c>
      <c r="H3239" s="4" t="s">
        <v>298</v>
      </c>
      <c r="I3239" s="5" t="str">
        <f t="shared" si="50"/>
        <v>2025-12</v>
      </c>
      <c r="J3239" s="4" t="s">
        <v>34</v>
      </c>
      <c r="K3239" s="5" t="s">
        <v>342</v>
      </c>
      <c r="L3239" s="2">
        <v>13153</v>
      </c>
      <c r="M3239" s="3">
        <v>2</v>
      </c>
      <c r="N3239" s="2">
        <v>26306</v>
      </c>
      <c r="O3239" s="2">
        <v>2631</v>
      </c>
      <c r="P3239" s="2">
        <v>28937</v>
      </c>
      <c r="Q3239" s="2">
        <f>P3239*8.5%</f>
        <v>2459.645</v>
      </c>
    </row>
    <row r="3240" spans="1:17" hidden="1" x14ac:dyDescent="0.4">
      <c r="A3240" s="4" t="s">
        <v>32</v>
      </c>
      <c r="B3240" s="4" t="s">
        <v>14</v>
      </c>
      <c r="C3240" s="31" t="s">
        <v>435</v>
      </c>
      <c r="D3240" s="4" t="s">
        <v>33</v>
      </c>
      <c r="E3240" s="4" t="s">
        <v>16</v>
      </c>
      <c r="F3240" s="4" t="s">
        <v>17</v>
      </c>
      <c r="G3240" s="4" t="s">
        <v>18</v>
      </c>
      <c r="H3240" s="4" t="s">
        <v>298</v>
      </c>
      <c r="I3240" s="5" t="str">
        <f t="shared" si="50"/>
        <v>2025-12</v>
      </c>
      <c r="J3240" s="4" t="s">
        <v>59</v>
      </c>
      <c r="K3240" s="5" t="s">
        <v>343</v>
      </c>
      <c r="L3240" s="2">
        <v>44000</v>
      </c>
      <c r="M3240" s="3">
        <v>3</v>
      </c>
      <c r="N3240" s="2">
        <v>132000</v>
      </c>
      <c r="O3240" s="2">
        <v>13200</v>
      </c>
      <c r="P3240" s="2">
        <v>145200</v>
      </c>
      <c r="Q3240" s="2">
        <f>P3240*12%</f>
        <v>17424</v>
      </c>
    </row>
    <row r="3241" spans="1:17" hidden="1" x14ac:dyDescent="0.4">
      <c r="A3241" s="4" t="s">
        <v>13</v>
      </c>
      <c r="B3241" s="4" t="s">
        <v>14</v>
      </c>
      <c r="C3241" s="30" t="s">
        <v>434</v>
      </c>
      <c r="D3241" s="4" t="s">
        <v>15</v>
      </c>
      <c r="E3241" s="4" t="s">
        <v>16</v>
      </c>
      <c r="F3241" s="4" t="s">
        <v>17</v>
      </c>
      <c r="G3241" s="4" t="s">
        <v>18</v>
      </c>
      <c r="H3241" s="4" t="s">
        <v>298</v>
      </c>
      <c r="I3241" s="5" t="str">
        <f t="shared" si="50"/>
        <v>2025-12</v>
      </c>
      <c r="J3241" s="4" t="s">
        <v>59</v>
      </c>
      <c r="K3241" s="5" t="s">
        <v>343</v>
      </c>
      <c r="L3241" s="2">
        <v>42000</v>
      </c>
      <c r="M3241" s="3">
        <v>4</v>
      </c>
      <c r="N3241" s="2">
        <v>168000</v>
      </c>
      <c r="O3241" s="2">
        <v>16800</v>
      </c>
      <c r="P3241" s="2">
        <v>184800</v>
      </c>
      <c r="Q3241" s="2">
        <f>P3241*12%</f>
        <v>22176</v>
      </c>
    </row>
    <row r="3242" spans="1:17" hidden="1" x14ac:dyDescent="0.4">
      <c r="A3242" s="4" t="s">
        <v>23</v>
      </c>
      <c r="B3242" s="4" t="s">
        <v>14</v>
      </c>
      <c r="C3242" s="31" t="s">
        <v>435</v>
      </c>
      <c r="D3242" s="4" t="s">
        <v>24</v>
      </c>
      <c r="E3242" s="4" t="s">
        <v>16</v>
      </c>
      <c r="F3242" s="4" t="s">
        <v>17</v>
      </c>
      <c r="G3242" s="4" t="s">
        <v>18</v>
      </c>
      <c r="H3242" s="4" t="s">
        <v>298</v>
      </c>
      <c r="I3242" s="5" t="str">
        <f t="shared" si="50"/>
        <v>2025-12</v>
      </c>
      <c r="J3242" s="4" t="s">
        <v>59</v>
      </c>
      <c r="K3242" s="5" t="s">
        <v>343</v>
      </c>
      <c r="L3242" s="2">
        <v>55500</v>
      </c>
      <c r="M3242" s="3">
        <v>3</v>
      </c>
      <c r="N3242" s="2">
        <v>166500</v>
      </c>
      <c r="O3242" s="2">
        <v>16650</v>
      </c>
      <c r="P3242" s="2">
        <v>183150</v>
      </c>
      <c r="Q3242" s="2">
        <f>P3242*12%</f>
        <v>21978</v>
      </c>
    </row>
    <row r="3243" spans="1:17" hidden="1" x14ac:dyDescent="0.4">
      <c r="A3243" s="4" t="s">
        <v>51</v>
      </c>
      <c r="B3243" s="4" t="s">
        <v>14</v>
      </c>
      <c r="C3243" s="30" t="s">
        <v>434</v>
      </c>
      <c r="D3243" s="4" t="s">
        <v>52</v>
      </c>
      <c r="E3243" s="4" t="s">
        <v>16</v>
      </c>
      <c r="F3243" s="4" t="s">
        <v>17</v>
      </c>
      <c r="G3243" s="4" t="s">
        <v>18</v>
      </c>
      <c r="H3243" s="4" t="s">
        <v>298</v>
      </c>
      <c r="I3243" s="5" t="str">
        <f t="shared" si="50"/>
        <v>2025-12</v>
      </c>
      <c r="J3243" s="4" t="s">
        <v>59</v>
      </c>
      <c r="K3243" s="5" t="s">
        <v>343</v>
      </c>
      <c r="L3243" s="2">
        <v>73000</v>
      </c>
      <c r="M3243" s="3">
        <v>1</v>
      </c>
      <c r="N3243" s="2">
        <v>73000</v>
      </c>
      <c r="O3243" s="2">
        <v>7300</v>
      </c>
      <c r="P3243" s="2">
        <v>80300</v>
      </c>
      <c r="Q3243" s="2">
        <f>P3243*12%</f>
        <v>9636</v>
      </c>
    </row>
    <row r="3244" spans="1:17" hidden="1" x14ac:dyDescent="0.4">
      <c r="A3244" s="4" t="s">
        <v>215</v>
      </c>
      <c r="B3244" s="4" t="s">
        <v>26</v>
      </c>
      <c r="C3244" s="32" t="s">
        <v>436</v>
      </c>
      <c r="D3244" s="4" t="s">
        <v>216</v>
      </c>
      <c r="E3244" s="4" t="s">
        <v>28</v>
      </c>
      <c r="F3244" s="4" t="s">
        <v>17</v>
      </c>
      <c r="G3244" s="4" t="s">
        <v>18</v>
      </c>
      <c r="H3244" s="4" t="s">
        <v>298</v>
      </c>
      <c r="I3244" s="5" t="str">
        <f t="shared" si="50"/>
        <v>2025-12</v>
      </c>
      <c r="J3244" s="4" t="s">
        <v>59</v>
      </c>
      <c r="K3244" s="5" t="s">
        <v>343</v>
      </c>
      <c r="L3244" s="2">
        <v>4472</v>
      </c>
      <c r="M3244" s="3">
        <v>4</v>
      </c>
      <c r="N3244" s="2">
        <v>17888</v>
      </c>
      <c r="O3244" s="2">
        <v>1789</v>
      </c>
      <c r="P3244" s="2">
        <v>19677</v>
      </c>
      <c r="Q3244" s="2">
        <f>P3244*12%</f>
        <v>2361.2399999999998</v>
      </c>
    </row>
    <row r="3245" spans="1:17" x14ac:dyDescent="0.4">
      <c r="A3245" s="4" t="s">
        <v>21</v>
      </c>
      <c r="B3245" s="4" t="s">
        <v>14</v>
      </c>
      <c r="C3245" s="31" t="s">
        <v>435</v>
      </c>
      <c r="D3245" s="4" t="s">
        <v>22</v>
      </c>
      <c r="E3245" s="4" t="s">
        <v>16</v>
      </c>
      <c r="F3245" s="4" t="s">
        <v>17</v>
      </c>
      <c r="G3245" s="4" t="s">
        <v>18</v>
      </c>
      <c r="H3245" s="4" t="s">
        <v>299</v>
      </c>
      <c r="I3245" s="5" t="str">
        <f t="shared" si="50"/>
        <v>2025-12</v>
      </c>
      <c r="J3245" s="4" t="s">
        <v>20</v>
      </c>
      <c r="K3245" s="5" t="s">
        <v>342</v>
      </c>
      <c r="L3245" s="2">
        <v>55500</v>
      </c>
      <c r="M3245" s="3">
        <v>2</v>
      </c>
      <c r="N3245" s="2">
        <v>111000</v>
      </c>
      <c r="O3245" s="2">
        <v>11100</v>
      </c>
      <c r="P3245" s="2">
        <v>122100</v>
      </c>
      <c r="Q3245" s="2">
        <f>P3245*8.5%</f>
        <v>10378.5</v>
      </c>
    </row>
    <row r="3246" spans="1:17" x14ac:dyDescent="0.4">
      <c r="A3246" s="4" t="s">
        <v>23</v>
      </c>
      <c r="B3246" s="4" t="s">
        <v>14</v>
      </c>
      <c r="C3246" s="31" t="s">
        <v>435</v>
      </c>
      <c r="D3246" s="4" t="s">
        <v>24</v>
      </c>
      <c r="E3246" s="4" t="s">
        <v>16</v>
      </c>
      <c r="F3246" s="4" t="s">
        <v>17</v>
      </c>
      <c r="G3246" s="4" t="s">
        <v>18</v>
      </c>
      <c r="H3246" s="4" t="s">
        <v>299</v>
      </c>
      <c r="I3246" s="5" t="str">
        <f t="shared" si="50"/>
        <v>2025-12</v>
      </c>
      <c r="J3246" s="4" t="s">
        <v>20</v>
      </c>
      <c r="K3246" s="5" t="s">
        <v>342</v>
      </c>
      <c r="L3246" s="2">
        <v>55500</v>
      </c>
      <c r="M3246" s="3">
        <v>2</v>
      </c>
      <c r="N3246" s="2">
        <v>111000</v>
      </c>
      <c r="O3246" s="2">
        <v>11100</v>
      </c>
      <c r="P3246" s="2">
        <v>122100</v>
      </c>
      <c r="Q3246" s="2">
        <f>P3246*8.5%</f>
        <v>10378.5</v>
      </c>
    </row>
    <row r="3247" spans="1:17" x14ac:dyDescent="0.4">
      <c r="A3247" s="4" t="s">
        <v>54</v>
      </c>
      <c r="B3247" s="4" t="s">
        <v>26</v>
      </c>
      <c r="C3247" s="32" t="s">
        <v>436</v>
      </c>
      <c r="D3247" s="4" t="s">
        <v>55</v>
      </c>
      <c r="E3247" s="4" t="s">
        <v>28</v>
      </c>
      <c r="F3247" s="4" t="s">
        <v>31</v>
      </c>
      <c r="G3247" s="4" t="s">
        <v>18</v>
      </c>
      <c r="H3247" s="4" t="s">
        <v>299</v>
      </c>
      <c r="I3247" s="5" t="str">
        <f t="shared" si="50"/>
        <v>2025-12</v>
      </c>
      <c r="J3247" s="4" t="s">
        <v>20</v>
      </c>
      <c r="K3247" s="5" t="s">
        <v>342</v>
      </c>
      <c r="L3247" s="2">
        <v>5919</v>
      </c>
      <c r="M3247" s="3">
        <v>1</v>
      </c>
      <c r="N3247" s="2">
        <v>5919</v>
      </c>
      <c r="O3247" s="2">
        <v>0</v>
      </c>
      <c r="P3247" s="2">
        <v>5919</v>
      </c>
      <c r="Q3247" s="2">
        <f>P3247*8.5%</f>
        <v>503.11500000000001</v>
      </c>
    </row>
    <row r="3248" spans="1:17" x14ac:dyDescent="0.4">
      <c r="A3248" s="4" t="s">
        <v>56</v>
      </c>
      <c r="B3248" s="4" t="s">
        <v>26</v>
      </c>
      <c r="C3248" s="32" t="s">
        <v>436</v>
      </c>
      <c r="D3248" s="4" t="s">
        <v>57</v>
      </c>
      <c r="E3248" s="4" t="s">
        <v>44</v>
      </c>
      <c r="F3248" s="4" t="s">
        <v>31</v>
      </c>
      <c r="G3248" s="4" t="s">
        <v>18</v>
      </c>
      <c r="H3248" s="4" t="s">
        <v>299</v>
      </c>
      <c r="I3248" s="5" t="str">
        <f t="shared" si="50"/>
        <v>2025-12</v>
      </c>
      <c r="J3248" s="4" t="s">
        <v>20</v>
      </c>
      <c r="K3248" s="5" t="s">
        <v>342</v>
      </c>
      <c r="L3248" s="2">
        <v>2368</v>
      </c>
      <c r="M3248" s="3">
        <v>10</v>
      </c>
      <c r="N3248" s="2">
        <v>23680</v>
      </c>
      <c r="O3248" s="2">
        <v>0</v>
      </c>
      <c r="P3248" s="2">
        <v>23680</v>
      </c>
      <c r="Q3248" s="2">
        <f>P3248*8.5%</f>
        <v>2012.8000000000002</v>
      </c>
    </row>
    <row r="3249" spans="1:17" hidden="1" x14ac:dyDescent="0.4">
      <c r="A3249" s="4" t="s">
        <v>13</v>
      </c>
      <c r="B3249" s="4" t="s">
        <v>14</v>
      </c>
      <c r="C3249" s="30" t="s">
        <v>434</v>
      </c>
      <c r="D3249" s="4" t="s">
        <v>15</v>
      </c>
      <c r="E3249" s="4" t="s">
        <v>16</v>
      </c>
      <c r="F3249" s="4" t="s">
        <v>17</v>
      </c>
      <c r="G3249" s="4" t="s">
        <v>18</v>
      </c>
      <c r="H3249" s="4" t="s">
        <v>299</v>
      </c>
      <c r="I3249" s="5" t="str">
        <f t="shared" si="50"/>
        <v>2025-12</v>
      </c>
      <c r="J3249" s="4" t="s">
        <v>34</v>
      </c>
      <c r="K3249" s="5" t="s">
        <v>342</v>
      </c>
      <c r="L3249" s="2">
        <v>42000</v>
      </c>
      <c r="M3249" s="3">
        <v>3</v>
      </c>
      <c r="N3249" s="2">
        <v>126000</v>
      </c>
      <c r="O3249" s="2">
        <v>12600</v>
      </c>
      <c r="P3249" s="2">
        <v>138600</v>
      </c>
      <c r="Q3249" s="2">
        <f>P3249*8.5%</f>
        <v>11781</v>
      </c>
    </row>
    <row r="3250" spans="1:17" hidden="1" x14ac:dyDescent="0.4">
      <c r="A3250" s="4" t="s">
        <v>23</v>
      </c>
      <c r="B3250" s="4" t="s">
        <v>14</v>
      </c>
      <c r="C3250" s="31" t="s">
        <v>435</v>
      </c>
      <c r="D3250" s="4" t="s">
        <v>24</v>
      </c>
      <c r="E3250" s="4" t="s">
        <v>16</v>
      </c>
      <c r="F3250" s="4" t="s">
        <v>17</v>
      </c>
      <c r="G3250" s="4" t="s">
        <v>18</v>
      </c>
      <c r="H3250" s="4" t="s">
        <v>299</v>
      </c>
      <c r="I3250" s="5" t="str">
        <f t="shared" si="50"/>
        <v>2025-12</v>
      </c>
      <c r="J3250" s="4" t="s">
        <v>34</v>
      </c>
      <c r="K3250" s="5" t="s">
        <v>342</v>
      </c>
      <c r="L3250" s="2">
        <v>55500</v>
      </c>
      <c r="M3250" s="3">
        <v>3</v>
      </c>
      <c r="N3250" s="2">
        <v>166500</v>
      </c>
      <c r="O3250" s="2">
        <v>16650</v>
      </c>
      <c r="P3250" s="2">
        <v>183150</v>
      </c>
      <c r="Q3250" s="2">
        <f>P3250*8.5%</f>
        <v>15567.750000000002</v>
      </c>
    </row>
    <row r="3251" spans="1:17" hidden="1" x14ac:dyDescent="0.4">
      <c r="A3251" s="4" t="s">
        <v>84</v>
      </c>
      <c r="B3251" s="4" t="s">
        <v>26</v>
      </c>
      <c r="C3251" s="32" t="s">
        <v>436</v>
      </c>
      <c r="D3251" s="4" t="s">
        <v>85</v>
      </c>
      <c r="E3251" s="4" t="s">
        <v>28</v>
      </c>
      <c r="F3251" s="4" t="s">
        <v>17</v>
      </c>
      <c r="G3251" s="4" t="s">
        <v>18</v>
      </c>
      <c r="H3251" s="4" t="s">
        <v>299</v>
      </c>
      <c r="I3251" s="5" t="str">
        <f t="shared" si="50"/>
        <v>2025-12</v>
      </c>
      <c r="J3251" s="4" t="s">
        <v>34</v>
      </c>
      <c r="K3251" s="5" t="s">
        <v>342</v>
      </c>
      <c r="L3251" s="2">
        <v>5032</v>
      </c>
      <c r="M3251" s="3">
        <v>1</v>
      </c>
      <c r="N3251" s="2">
        <v>5032</v>
      </c>
      <c r="O3251" s="2">
        <v>503</v>
      </c>
      <c r="P3251" s="2">
        <v>5535</v>
      </c>
      <c r="Q3251" s="2">
        <f>P3251*8.5%</f>
        <v>470.47500000000002</v>
      </c>
    </row>
    <row r="3252" spans="1:17" hidden="1" x14ac:dyDescent="0.4">
      <c r="A3252" s="4" t="s">
        <v>42</v>
      </c>
      <c r="B3252" s="4" t="s">
        <v>14</v>
      </c>
      <c r="C3252" s="30" t="s">
        <v>434</v>
      </c>
      <c r="D3252" s="4" t="s">
        <v>43</v>
      </c>
      <c r="E3252" s="4" t="s">
        <v>44</v>
      </c>
      <c r="F3252" s="4" t="s">
        <v>31</v>
      </c>
      <c r="G3252" s="4" t="s">
        <v>18</v>
      </c>
      <c r="H3252" s="4" t="s">
        <v>299</v>
      </c>
      <c r="I3252" s="5" t="str">
        <f t="shared" si="50"/>
        <v>2025-12</v>
      </c>
      <c r="J3252" s="4" t="s">
        <v>34</v>
      </c>
      <c r="K3252" s="5" t="s">
        <v>342</v>
      </c>
      <c r="L3252" s="2">
        <v>7300</v>
      </c>
      <c r="M3252" s="3">
        <v>64.8</v>
      </c>
      <c r="N3252" s="2">
        <v>473040</v>
      </c>
      <c r="O3252" s="2">
        <v>0</v>
      </c>
      <c r="P3252" s="2">
        <v>473040</v>
      </c>
      <c r="Q3252" s="2">
        <f>P3252*8.5%</f>
        <v>40208.400000000001</v>
      </c>
    </row>
    <row r="3253" spans="1:17" x14ac:dyDescent="0.4">
      <c r="A3253" s="4" t="s">
        <v>21</v>
      </c>
      <c r="B3253" s="4" t="s">
        <v>14</v>
      </c>
      <c r="C3253" s="31" t="s">
        <v>435</v>
      </c>
      <c r="D3253" s="4" t="s">
        <v>22</v>
      </c>
      <c r="E3253" s="4" t="s">
        <v>16</v>
      </c>
      <c r="F3253" s="4" t="s">
        <v>17</v>
      </c>
      <c r="G3253" s="4" t="s">
        <v>18</v>
      </c>
      <c r="H3253" s="4" t="s">
        <v>300</v>
      </c>
      <c r="I3253" s="5" t="str">
        <f t="shared" si="50"/>
        <v>2025-12</v>
      </c>
      <c r="J3253" s="4" t="s">
        <v>20</v>
      </c>
      <c r="K3253" s="5" t="s">
        <v>342</v>
      </c>
      <c r="L3253" s="2">
        <v>55500</v>
      </c>
      <c r="M3253" s="3">
        <v>1</v>
      </c>
      <c r="N3253" s="2">
        <v>55500</v>
      </c>
      <c r="O3253" s="2">
        <v>5550</v>
      </c>
      <c r="P3253" s="2">
        <v>61050</v>
      </c>
      <c r="Q3253" s="2">
        <f>P3253*8.5%</f>
        <v>5189.25</v>
      </c>
    </row>
    <row r="3254" spans="1:17" x14ac:dyDescent="0.4">
      <c r="A3254" s="4" t="s">
        <v>23</v>
      </c>
      <c r="B3254" s="4" t="s">
        <v>14</v>
      </c>
      <c r="C3254" s="31" t="s">
        <v>435</v>
      </c>
      <c r="D3254" s="4" t="s">
        <v>24</v>
      </c>
      <c r="E3254" s="4" t="s">
        <v>16</v>
      </c>
      <c r="F3254" s="4" t="s">
        <v>17</v>
      </c>
      <c r="G3254" s="4" t="s">
        <v>18</v>
      </c>
      <c r="H3254" s="4" t="s">
        <v>300</v>
      </c>
      <c r="I3254" s="5" t="str">
        <f t="shared" si="50"/>
        <v>2025-12</v>
      </c>
      <c r="J3254" s="4" t="s">
        <v>20</v>
      </c>
      <c r="K3254" s="5" t="s">
        <v>342</v>
      </c>
      <c r="L3254" s="2">
        <v>55500</v>
      </c>
      <c r="M3254" s="3">
        <v>3</v>
      </c>
      <c r="N3254" s="2">
        <v>166500</v>
      </c>
      <c r="O3254" s="2">
        <v>16650</v>
      </c>
      <c r="P3254" s="2">
        <v>183150</v>
      </c>
      <c r="Q3254" s="2">
        <f>P3254*8.5%</f>
        <v>15567.750000000002</v>
      </c>
    </row>
    <row r="3255" spans="1:17" hidden="1" x14ac:dyDescent="0.4">
      <c r="A3255" s="4" t="s">
        <v>32</v>
      </c>
      <c r="B3255" s="4" t="s">
        <v>14</v>
      </c>
      <c r="C3255" s="31" t="s">
        <v>435</v>
      </c>
      <c r="D3255" s="4" t="s">
        <v>33</v>
      </c>
      <c r="E3255" s="4" t="s">
        <v>16</v>
      </c>
      <c r="F3255" s="4" t="s">
        <v>17</v>
      </c>
      <c r="G3255" s="4" t="s">
        <v>18</v>
      </c>
      <c r="H3255" s="4" t="s">
        <v>300</v>
      </c>
      <c r="I3255" s="5" t="str">
        <f t="shared" si="50"/>
        <v>2025-12</v>
      </c>
      <c r="J3255" s="4" t="s">
        <v>34</v>
      </c>
      <c r="K3255" s="5" t="s">
        <v>342</v>
      </c>
      <c r="L3255" s="2">
        <v>44000</v>
      </c>
      <c r="M3255" s="3">
        <v>3</v>
      </c>
      <c r="N3255" s="2">
        <v>132000</v>
      </c>
      <c r="O3255" s="2">
        <v>13200</v>
      </c>
      <c r="P3255" s="2">
        <v>145200</v>
      </c>
      <c r="Q3255" s="2">
        <f>P3255*8.5%</f>
        <v>12342</v>
      </c>
    </row>
    <row r="3256" spans="1:17" hidden="1" x14ac:dyDescent="0.4">
      <c r="A3256" s="4" t="s">
        <v>13</v>
      </c>
      <c r="B3256" s="4" t="s">
        <v>14</v>
      </c>
      <c r="C3256" s="30" t="s">
        <v>434</v>
      </c>
      <c r="D3256" s="4" t="s">
        <v>15</v>
      </c>
      <c r="E3256" s="4" t="s">
        <v>16</v>
      </c>
      <c r="F3256" s="4" t="s">
        <v>17</v>
      </c>
      <c r="G3256" s="4" t="s">
        <v>18</v>
      </c>
      <c r="H3256" s="4" t="s">
        <v>300</v>
      </c>
      <c r="I3256" s="5" t="str">
        <f t="shared" si="50"/>
        <v>2025-12</v>
      </c>
      <c r="J3256" s="4" t="s">
        <v>34</v>
      </c>
      <c r="K3256" s="5" t="s">
        <v>342</v>
      </c>
      <c r="L3256" s="2">
        <v>42000</v>
      </c>
      <c r="M3256" s="3">
        <v>2</v>
      </c>
      <c r="N3256" s="2">
        <v>84000</v>
      </c>
      <c r="O3256" s="2">
        <v>8400</v>
      </c>
      <c r="P3256" s="2">
        <v>92400</v>
      </c>
      <c r="Q3256" s="2">
        <f>P3256*8.5%</f>
        <v>7854.0000000000009</v>
      </c>
    </row>
    <row r="3257" spans="1:17" hidden="1" x14ac:dyDescent="0.4">
      <c r="A3257" s="4" t="s">
        <v>21</v>
      </c>
      <c r="B3257" s="4" t="s">
        <v>14</v>
      </c>
      <c r="C3257" s="31" t="s">
        <v>435</v>
      </c>
      <c r="D3257" s="4" t="s">
        <v>22</v>
      </c>
      <c r="E3257" s="4" t="s">
        <v>16</v>
      </c>
      <c r="F3257" s="4" t="s">
        <v>17</v>
      </c>
      <c r="G3257" s="4" t="s">
        <v>18</v>
      </c>
      <c r="H3257" s="4" t="s">
        <v>300</v>
      </c>
      <c r="I3257" s="5" t="str">
        <f t="shared" si="50"/>
        <v>2025-12</v>
      </c>
      <c r="J3257" s="4" t="s">
        <v>34</v>
      </c>
      <c r="K3257" s="5" t="s">
        <v>342</v>
      </c>
      <c r="L3257" s="2">
        <v>55500</v>
      </c>
      <c r="M3257" s="3">
        <v>1</v>
      </c>
      <c r="N3257" s="2">
        <v>55500</v>
      </c>
      <c r="O3257" s="2">
        <v>5550</v>
      </c>
      <c r="P3257" s="2">
        <v>61050</v>
      </c>
      <c r="Q3257" s="2">
        <f>P3257*8.5%</f>
        <v>5189.25</v>
      </c>
    </row>
    <row r="3258" spans="1:17" hidden="1" x14ac:dyDescent="0.4">
      <c r="A3258" s="4" t="s">
        <v>23</v>
      </c>
      <c r="B3258" s="4" t="s">
        <v>14</v>
      </c>
      <c r="C3258" s="31" t="s">
        <v>435</v>
      </c>
      <c r="D3258" s="4" t="s">
        <v>24</v>
      </c>
      <c r="E3258" s="4" t="s">
        <v>16</v>
      </c>
      <c r="F3258" s="4" t="s">
        <v>17</v>
      </c>
      <c r="G3258" s="4" t="s">
        <v>18</v>
      </c>
      <c r="H3258" s="4" t="s">
        <v>300</v>
      </c>
      <c r="I3258" s="5" t="str">
        <f t="shared" si="50"/>
        <v>2025-12</v>
      </c>
      <c r="J3258" s="4" t="s">
        <v>34</v>
      </c>
      <c r="K3258" s="5" t="s">
        <v>342</v>
      </c>
      <c r="L3258" s="2">
        <v>55500</v>
      </c>
      <c r="M3258" s="3">
        <v>2</v>
      </c>
      <c r="N3258" s="2">
        <v>111000</v>
      </c>
      <c r="O3258" s="2">
        <v>11100</v>
      </c>
      <c r="P3258" s="2">
        <v>122100</v>
      </c>
      <c r="Q3258" s="2">
        <f>P3258*8.5%</f>
        <v>10378.5</v>
      </c>
    </row>
    <row r="3259" spans="1:17" hidden="1" x14ac:dyDescent="0.4">
      <c r="A3259" s="4" t="s">
        <v>42</v>
      </c>
      <c r="B3259" s="4" t="s">
        <v>14</v>
      </c>
      <c r="C3259" s="30" t="s">
        <v>434</v>
      </c>
      <c r="D3259" s="4" t="s">
        <v>43</v>
      </c>
      <c r="E3259" s="4" t="s">
        <v>44</v>
      </c>
      <c r="F3259" s="4" t="s">
        <v>31</v>
      </c>
      <c r="G3259" s="4" t="s">
        <v>18</v>
      </c>
      <c r="H3259" s="4" t="s">
        <v>300</v>
      </c>
      <c r="I3259" s="5" t="str">
        <f t="shared" si="50"/>
        <v>2025-12</v>
      </c>
      <c r="J3259" s="4" t="s">
        <v>34</v>
      </c>
      <c r="K3259" s="5" t="s">
        <v>342</v>
      </c>
      <c r="L3259" s="2">
        <v>7300</v>
      </c>
      <c r="M3259" s="3">
        <v>51.4</v>
      </c>
      <c r="N3259" s="2">
        <v>375220</v>
      </c>
      <c r="O3259" s="2">
        <v>0</v>
      </c>
      <c r="P3259" s="2">
        <v>375220</v>
      </c>
      <c r="Q3259" s="2">
        <f>P3259*8.5%</f>
        <v>31893.7</v>
      </c>
    </row>
    <row r="3260" spans="1:17" hidden="1" x14ac:dyDescent="0.4">
      <c r="A3260" s="4" t="s">
        <v>32</v>
      </c>
      <c r="B3260" s="4" t="s">
        <v>14</v>
      </c>
      <c r="C3260" s="31" t="s">
        <v>435</v>
      </c>
      <c r="D3260" s="4" t="s">
        <v>33</v>
      </c>
      <c r="E3260" s="4" t="s">
        <v>16</v>
      </c>
      <c r="F3260" s="4" t="s">
        <v>17</v>
      </c>
      <c r="G3260" s="4" t="s">
        <v>18</v>
      </c>
      <c r="H3260" s="4" t="s">
        <v>300</v>
      </c>
      <c r="I3260" s="5" t="str">
        <f t="shared" si="50"/>
        <v>2025-12</v>
      </c>
      <c r="J3260" s="4" t="s">
        <v>49</v>
      </c>
      <c r="K3260" s="5" t="s">
        <v>343</v>
      </c>
      <c r="L3260" s="2">
        <v>44000</v>
      </c>
      <c r="M3260" s="3">
        <v>6</v>
      </c>
      <c r="N3260" s="2">
        <v>264000</v>
      </c>
      <c r="O3260" s="2">
        <v>26400</v>
      </c>
      <c r="P3260" s="2">
        <v>290400</v>
      </c>
      <c r="Q3260" s="2">
        <f>P3260*12%</f>
        <v>34848</v>
      </c>
    </row>
    <row r="3261" spans="1:17" hidden="1" x14ac:dyDescent="0.4">
      <c r="A3261" s="4" t="s">
        <v>13</v>
      </c>
      <c r="B3261" s="4" t="s">
        <v>14</v>
      </c>
      <c r="C3261" s="30" t="s">
        <v>434</v>
      </c>
      <c r="D3261" s="4" t="s">
        <v>15</v>
      </c>
      <c r="E3261" s="4" t="s">
        <v>16</v>
      </c>
      <c r="F3261" s="4" t="s">
        <v>17</v>
      </c>
      <c r="G3261" s="4" t="s">
        <v>18</v>
      </c>
      <c r="H3261" s="4" t="s">
        <v>300</v>
      </c>
      <c r="I3261" s="5" t="str">
        <f t="shared" si="50"/>
        <v>2025-12</v>
      </c>
      <c r="J3261" s="4" t="s">
        <v>49</v>
      </c>
      <c r="K3261" s="5" t="s">
        <v>343</v>
      </c>
      <c r="L3261" s="2">
        <v>42000</v>
      </c>
      <c r="M3261" s="3">
        <v>7</v>
      </c>
      <c r="N3261" s="2">
        <v>294000</v>
      </c>
      <c r="O3261" s="2">
        <v>29400</v>
      </c>
      <c r="P3261" s="2">
        <v>323400</v>
      </c>
      <c r="Q3261" s="2">
        <f>P3261*12%</f>
        <v>38808</v>
      </c>
    </row>
    <row r="3262" spans="1:17" hidden="1" x14ac:dyDescent="0.4">
      <c r="A3262" s="4" t="s">
        <v>35</v>
      </c>
      <c r="B3262" s="4" t="s">
        <v>14</v>
      </c>
      <c r="C3262" s="30" t="s">
        <v>434</v>
      </c>
      <c r="D3262" s="4" t="s">
        <v>36</v>
      </c>
      <c r="E3262" s="4" t="s">
        <v>16</v>
      </c>
      <c r="F3262" s="4" t="s">
        <v>17</v>
      </c>
      <c r="G3262" s="4" t="s">
        <v>18</v>
      </c>
      <c r="H3262" s="4" t="s">
        <v>300</v>
      </c>
      <c r="I3262" s="5" t="str">
        <f t="shared" si="50"/>
        <v>2025-12</v>
      </c>
      <c r="J3262" s="4" t="s">
        <v>49</v>
      </c>
      <c r="K3262" s="5" t="s">
        <v>343</v>
      </c>
      <c r="L3262" s="2">
        <v>116220</v>
      </c>
      <c r="M3262" s="3">
        <v>1</v>
      </c>
      <c r="N3262" s="2">
        <v>116220</v>
      </c>
      <c r="O3262" s="2">
        <v>11622</v>
      </c>
      <c r="P3262" s="2">
        <v>127842</v>
      </c>
      <c r="Q3262" s="2">
        <f>P3262*12%</f>
        <v>15341.039999999999</v>
      </c>
    </row>
    <row r="3263" spans="1:17" hidden="1" x14ac:dyDescent="0.4">
      <c r="A3263" s="4" t="s">
        <v>23</v>
      </c>
      <c r="B3263" s="4" t="s">
        <v>14</v>
      </c>
      <c r="C3263" s="31" t="s">
        <v>435</v>
      </c>
      <c r="D3263" s="4" t="s">
        <v>24</v>
      </c>
      <c r="E3263" s="4" t="s">
        <v>16</v>
      </c>
      <c r="F3263" s="4" t="s">
        <v>17</v>
      </c>
      <c r="G3263" s="4" t="s">
        <v>18</v>
      </c>
      <c r="H3263" s="4" t="s">
        <v>300</v>
      </c>
      <c r="I3263" s="5" t="str">
        <f t="shared" si="50"/>
        <v>2025-12</v>
      </c>
      <c r="J3263" s="4" t="s">
        <v>49</v>
      </c>
      <c r="K3263" s="5" t="s">
        <v>343</v>
      </c>
      <c r="L3263" s="2">
        <v>55500</v>
      </c>
      <c r="M3263" s="3">
        <v>5</v>
      </c>
      <c r="N3263" s="2">
        <v>277500</v>
      </c>
      <c r="O3263" s="2">
        <v>27750</v>
      </c>
      <c r="P3263" s="2">
        <v>305250</v>
      </c>
      <c r="Q3263" s="2">
        <f>P3263*12%</f>
        <v>36630</v>
      </c>
    </row>
    <row r="3264" spans="1:17" hidden="1" x14ac:dyDescent="0.4">
      <c r="A3264" s="4" t="s">
        <v>51</v>
      </c>
      <c r="B3264" s="4" t="s">
        <v>14</v>
      </c>
      <c r="C3264" s="30" t="s">
        <v>434</v>
      </c>
      <c r="D3264" s="4" t="s">
        <v>52</v>
      </c>
      <c r="E3264" s="4" t="s">
        <v>16</v>
      </c>
      <c r="F3264" s="4" t="s">
        <v>17</v>
      </c>
      <c r="G3264" s="4" t="s">
        <v>18</v>
      </c>
      <c r="H3264" s="4" t="s">
        <v>300</v>
      </c>
      <c r="I3264" s="5" t="str">
        <f t="shared" si="50"/>
        <v>2025-12</v>
      </c>
      <c r="J3264" s="4" t="s">
        <v>49</v>
      </c>
      <c r="K3264" s="5" t="s">
        <v>343</v>
      </c>
      <c r="L3264" s="2">
        <v>73000</v>
      </c>
      <c r="M3264" s="3">
        <v>1</v>
      </c>
      <c r="N3264" s="2">
        <v>73000</v>
      </c>
      <c r="O3264" s="2">
        <v>7300</v>
      </c>
      <c r="P3264" s="2">
        <v>80300</v>
      </c>
      <c r="Q3264" s="2">
        <f>P3264*12%</f>
        <v>9636</v>
      </c>
    </row>
    <row r="3265" spans="1:17" x14ac:dyDescent="0.4">
      <c r="A3265" s="4" t="s">
        <v>21</v>
      </c>
      <c r="B3265" s="4" t="s">
        <v>14</v>
      </c>
      <c r="C3265" s="31" t="s">
        <v>435</v>
      </c>
      <c r="D3265" s="4" t="s">
        <v>22</v>
      </c>
      <c r="E3265" s="4" t="s">
        <v>16</v>
      </c>
      <c r="F3265" s="4" t="s">
        <v>17</v>
      </c>
      <c r="G3265" s="4" t="s">
        <v>18</v>
      </c>
      <c r="H3265" s="4" t="s">
        <v>301</v>
      </c>
      <c r="I3265" s="5" t="str">
        <f t="shared" si="50"/>
        <v>2025-12</v>
      </c>
      <c r="J3265" s="4" t="s">
        <v>20</v>
      </c>
      <c r="K3265" s="5" t="s">
        <v>342</v>
      </c>
      <c r="L3265" s="2">
        <v>55500</v>
      </c>
      <c r="M3265" s="3">
        <v>1</v>
      </c>
      <c r="N3265" s="2">
        <v>55500</v>
      </c>
      <c r="O3265" s="2">
        <v>5550</v>
      </c>
      <c r="P3265" s="2">
        <v>61050</v>
      </c>
      <c r="Q3265" s="2">
        <f>P3265*8.5%</f>
        <v>5189.25</v>
      </c>
    </row>
    <row r="3266" spans="1:17" x14ac:dyDescent="0.4">
      <c r="A3266" s="4" t="s">
        <v>23</v>
      </c>
      <c r="B3266" s="4" t="s">
        <v>14</v>
      </c>
      <c r="C3266" s="31" t="s">
        <v>435</v>
      </c>
      <c r="D3266" s="4" t="s">
        <v>24</v>
      </c>
      <c r="E3266" s="4" t="s">
        <v>16</v>
      </c>
      <c r="F3266" s="4" t="s">
        <v>17</v>
      </c>
      <c r="G3266" s="4" t="s">
        <v>18</v>
      </c>
      <c r="H3266" s="4" t="s">
        <v>301</v>
      </c>
      <c r="I3266" s="5" t="str">
        <f t="shared" ref="I3266:I3329" si="51">TEXT(H3266,"yyyy-mm")</f>
        <v>2025-12</v>
      </c>
      <c r="J3266" s="4" t="s">
        <v>20</v>
      </c>
      <c r="K3266" s="5" t="s">
        <v>342</v>
      </c>
      <c r="L3266" s="2">
        <v>55500</v>
      </c>
      <c r="M3266" s="3">
        <v>3</v>
      </c>
      <c r="N3266" s="2">
        <v>166500</v>
      </c>
      <c r="O3266" s="2">
        <v>16650</v>
      </c>
      <c r="P3266" s="2">
        <v>183150</v>
      </c>
      <c r="Q3266" s="2">
        <f>P3266*8.5%</f>
        <v>15567.750000000002</v>
      </c>
    </row>
    <row r="3267" spans="1:17" x14ac:dyDescent="0.4">
      <c r="A3267" s="4" t="s">
        <v>56</v>
      </c>
      <c r="B3267" s="4" t="s">
        <v>26</v>
      </c>
      <c r="C3267" s="32" t="s">
        <v>436</v>
      </c>
      <c r="D3267" s="4" t="s">
        <v>57</v>
      </c>
      <c r="E3267" s="4" t="s">
        <v>44</v>
      </c>
      <c r="F3267" s="4" t="s">
        <v>31</v>
      </c>
      <c r="G3267" s="4" t="s">
        <v>18</v>
      </c>
      <c r="H3267" s="4" t="s">
        <v>301</v>
      </c>
      <c r="I3267" s="5" t="str">
        <f t="shared" si="51"/>
        <v>2025-12</v>
      </c>
      <c r="J3267" s="4" t="s">
        <v>20</v>
      </c>
      <c r="K3267" s="5" t="s">
        <v>342</v>
      </c>
      <c r="L3267" s="2">
        <v>2368</v>
      </c>
      <c r="M3267" s="3">
        <v>15</v>
      </c>
      <c r="N3267" s="2">
        <v>35520</v>
      </c>
      <c r="O3267" s="2">
        <v>0</v>
      </c>
      <c r="P3267" s="2">
        <v>35520</v>
      </c>
      <c r="Q3267" s="2">
        <f>P3267*8.5%</f>
        <v>3019.2000000000003</v>
      </c>
    </row>
    <row r="3268" spans="1:17" x14ac:dyDescent="0.4">
      <c r="A3268" s="4" t="s">
        <v>13</v>
      </c>
      <c r="B3268" s="4" t="s">
        <v>14</v>
      </c>
      <c r="C3268" s="30" t="s">
        <v>434</v>
      </c>
      <c r="D3268" s="4" t="s">
        <v>15</v>
      </c>
      <c r="E3268" s="4" t="s">
        <v>16</v>
      </c>
      <c r="F3268" s="4" t="s">
        <v>17</v>
      </c>
      <c r="G3268" s="4" t="s">
        <v>18</v>
      </c>
      <c r="H3268" s="4" t="s">
        <v>302</v>
      </c>
      <c r="I3268" s="5" t="str">
        <f t="shared" si="51"/>
        <v>2025-12</v>
      </c>
      <c r="J3268" s="4" t="s">
        <v>20</v>
      </c>
      <c r="K3268" s="5" t="s">
        <v>342</v>
      </c>
      <c r="L3268" s="2">
        <v>42000</v>
      </c>
      <c r="M3268" s="3">
        <v>1</v>
      </c>
      <c r="N3268" s="2">
        <v>42000</v>
      </c>
      <c r="O3268" s="2">
        <v>4200</v>
      </c>
      <c r="P3268" s="2">
        <v>46200</v>
      </c>
      <c r="Q3268" s="2">
        <f>P3268*8.5%</f>
        <v>3927.0000000000005</v>
      </c>
    </row>
    <row r="3269" spans="1:17" x14ac:dyDescent="0.4">
      <c r="A3269" s="4" t="s">
        <v>21</v>
      </c>
      <c r="B3269" s="4" t="s">
        <v>14</v>
      </c>
      <c r="C3269" s="31" t="s">
        <v>435</v>
      </c>
      <c r="D3269" s="4" t="s">
        <v>22</v>
      </c>
      <c r="E3269" s="4" t="s">
        <v>16</v>
      </c>
      <c r="F3269" s="4" t="s">
        <v>17</v>
      </c>
      <c r="G3269" s="4" t="s">
        <v>18</v>
      </c>
      <c r="H3269" s="4" t="s">
        <v>302</v>
      </c>
      <c r="I3269" s="5" t="str">
        <f t="shared" si="51"/>
        <v>2025-12</v>
      </c>
      <c r="J3269" s="4" t="s">
        <v>20</v>
      </c>
      <c r="K3269" s="5" t="s">
        <v>342</v>
      </c>
      <c r="L3269" s="2">
        <v>55500</v>
      </c>
      <c r="M3269" s="3">
        <v>2</v>
      </c>
      <c r="N3269" s="2">
        <v>111000</v>
      </c>
      <c r="O3269" s="2">
        <v>11100</v>
      </c>
      <c r="P3269" s="2">
        <v>122100</v>
      </c>
      <c r="Q3269" s="2">
        <f>P3269*8.5%</f>
        <v>10378.5</v>
      </c>
    </row>
    <row r="3270" spans="1:17" x14ac:dyDescent="0.4">
      <c r="A3270" s="4" t="s">
        <v>56</v>
      </c>
      <c r="B3270" s="4" t="s">
        <v>26</v>
      </c>
      <c r="C3270" s="32" t="s">
        <v>436</v>
      </c>
      <c r="D3270" s="4" t="s">
        <v>57</v>
      </c>
      <c r="E3270" s="4" t="s">
        <v>44</v>
      </c>
      <c r="F3270" s="4" t="s">
        <v>31</v>
      </c>
      <c r="G3270" s="4" t="s">
        <v>18</v>
      </c>
      <c r="H3270" s="4" t="s">
        <v>302</v>
      </c>
      <c r="I3270" s="5" t="str">
        <f t="shared" si="51"/>
        <v>2025-12</v>
      </c>
      <c r="J3270" s="4" t="s">
        <v>20</v>
      </c>
      <c r="K3270" s="5" t="s">
        <v>342</v>
      </c>
      <c r="L3270" s="2">
        <v>2368</v>
      </c>
      <c r="M3270" s="3">
        <v>20</v>
      </c>
      <c r="N3270" s="2">
        <v>47360</v>
      </c>
      <c r="O3270" s="2">
        <v>0</v>
      </c>
      <c r="P3270" s="2">
        <v>47360</v>
      </c>
      <c r="Q3270" s="2">
        <f>P3270*8.5%</f>
        <v>4025.6000000000004</v>
      </c>
    </row>
    <row r="3271" spans="1:17" hidden="1" x14ac:dyDescent="0.4">
      <c r="A3271" s="4" t="s">
        <v>64</v>
      </c>
      <c r="B3271" s="4" t="s">
        <v>65</v>
      </c>
      <c r="C3271" s="32" t="s">
        <v>436</v>
      </c>
      <c r="D3271" s="4" t="s">
        <v>66</v>
      </c>
      <c r="E3271" s="4" t="s">
        <v>16</v>
      </c>
      <c r="F3271" s="4" t="s">
        <v>17</v>
      </c>
      <c r="G3271" s="4" t="s">
        <v>18</v>
      </c>
      <c r="H3271" s="4" t="s">
        <v>302</v>
      </c>
      <c r="I3271" s="5" t="str">
        <f t="shared" si="51"/>
        <v>2025-12</v>
      </c>
      <c r="J3271" s="4" t="s">
        <v>34</v>
      </c>
      <c r="K3271" s="5" t="s">
        <v>342</v>
      </c>
      <c r="L3271" s="2">
        <v>10283</v>
      </c>
      <c r="M3271" s="3">
        <v>1</v>
      </c>
      <c r="N3271" s="2">
        <v>10283</v>
      </c>
      <c r="O3271" s="2">
        <v>1028</v>
      </c>
      <c r="P3271" s="2">
        <v>11311</v>
      </c>
      <c r="Q3271" s="2">
        <f>P3271*8.5%</f>
        <v>961.43500000000006</v>
      </c>
    </row>
    <row r="3272" spans="1:17" hidden="1" x14ac:dyDescent="0.4">
      <c r="A3272" s="4" t="s">
        <v>32</v>
      </c>
      <c r="B3272" s="4" t="s">
        <v>14</v>
      </c>
      <c r="C3272" s="31" t="s">
        <v>435</v>
      </c>
      <c r="D3272" s="4" t="s">
        <v>33</v>
      </c>
      <c r="E3272" s="4" t="s">
        <v>16</v>
      </c>
      <c r="F3272" s="4" t="s">
        <v>17</v>
      </c>
      <c r="G3272" s="4" t="s">
        <v>18</v>
      </c>
      <c r="H3272" s="4" t="s">
        <v>302</v>
      </c>
      <c r="I3272" s="5" t="str">
        <f t="shared" si="51"/>
        <v>2025-12</v>
      </c>
      <c r="J3272" s="4" t="s">
        <v>34</v>
      </c>
      <c r="K3272" s="5" t="s">
        <v>342</v>
      </c>
      <c r="L3272" s="2">
        <v>44000</v>
      </c>
      <c r="M3272" s="3">
        <v>2</v>
      </c>
      <c r="N3272" s="2">
        <v>88000</v>
      </c>
      <c r="O3272" s="2">
        <v>8800</v>
      </c>
      <c r="P3272" s="2">
        <v>96800</v>
      </c>
      <c r="Q3272" s="2">
        <f>P3272*8.5%</f>
        <v>8228</v>
      </c>
    </row>
    <row r="3273" spans="1:17" hidden="1" x14ac:dyDescent="0.4">
      <c r="A3273" s="4" t="s">
        <v>13</v>
      </c>
      <c r="B3273" s="4" t="s">
        <v>14</v>
      </c>
      <c r="C3273" s="30" t="s">
        <v>434</v>
      </c>
      <c r="D3273" s="4" t="s">
        <v>15</v>
      </c>
      <c r="E3273" s="4" t="s">
        <v>16</v>
      </c>
      <c r="F3273" s="4" t="s">
        <v>17</v>
      </c>
      <c r="G3273" s="4" t="s">
        <v>18</v>
      </c>
      <c r="H3273" s="4" t="s">
        <v>302</v>
      </c>
      <c r="I3273" s="5" t="str">
        <f t="shared" si="51"/>
        <v>2025-12</v>
      </c>
      <c r="J3273" s="4" t="s">
        <v>34</v>
      </c>
      <c r="K3273" s="5" t="s">
        <v>342</v>
      </c>
      <c r="L3273" s="2">
        <v>42000</v>
      </c>
      <c r="M3273" s="3">
        <v>3</v>
      </c>
      <c r="N3273" s="2">
        <v>126000</v>
      </c>
      <c r="O3273" s="2">
        <v>12600</v>
      </c>
      <c r="P3273" s="2">
        <v>138600</v>
      </c>
      <c r="Q3273" s="2">
        <f>P3273*8.5%</f>
        <v>11781</v>
      </c>
    </row>
    <row r="3274" spans="1:17" hidden="1" x14ac:dyDescent="0.4">
      <c r="A3274" s="4" t="s">
        <v>21</v>
      </c>
      <c r="B3274" s="4" t="s">
        <v>14</v>
      </c>
      <c r="C3274" s="31" t="s">
        <v>435</v>
      </c>
      <c r="D3274" s="4" t="s">
        <v>22</v>
      </c>
      <c r="E3274" s="4" t="s">
        <v>16</v>
      </c>
      <c r="F3274" s="4" t="s">
        <v>17</v>
      </c>
      <c r="G3274" s="4" t="s">
        <v>18</v>
      </c>
      <c r="H3274" s="4" t="s">
        <v>302</v>
      </c>
      <c r="I3274" s="5" t="str">
        <f t="shared" si="51"/>
        <v>2025-12</v>
      </c>
      <c r="J3274" s="4" t="s">
        <v>34</v>
      </c>
      <c r="K3274" s="5" t="s">
        <v>342</v>
      </c>
      <c r="L3274" s="2">
        <v>55500</v>
      </c>
      <c r="M3274" s="3">
        <v>1</v>
      </c>
      <c r="N3274" s="2">
        <v>55500</v>
      </c>
      <c r="O3274" s="2">
        <v>5550</v>
      </c>
      <c r="P3274" s="2">
        <v>61050</v>
      </c>
      <c r="Q3274" s="2">
        <f>P3274*8.5%</f>
        <v>5189.25</v>
      </c>
    </row>
    <row r="3275" spans="1:17" hidden="1" x14ac:dyDescent="0.4">
      <c r="A3275" s="4" t="s">
        <v>23</v>
      </c>
      <c r="B3275" s="4" t="s">
        <v>14</v>
      </c>
      <c r="C3275" s="31" t="s">
        <v>435</v>
      </c>
      <c r="D3275" s="4" t="s">
        <v>24</v>
      </c>
      <c r="E3275" s="4" t="s">
        <v>16</v>
      </c>
      <c r="F3275" s="4" t="s">
        <v>17</v>
      </c>
      <c r="G3275" s="4" t="s">
        <v>18</v>
      </c>
      <c r="H3275" s="4" t="s">
        <v>302</v>
      </c>
      <c r="I3275" s="5" t="str">
        <f t="shared" si="51"/>
        <v>2025-12</v>
      </c>
      <c r="J3275" s="4" t="s">
        <v>34</v>
      </c>
      <c r="K3275" s="5" t="s">
        <v>342</v>
      </c>
      <c r="L3275" s="2">
        <v>55500</v>
      </c>
      <c r="M3275" s="3">
        <v>2</v>
      </c>
      <c r="N3275" s="2">
        <v>111000</v>
      </c>
      <c r="O3275" s="2">
        <v>11100</v>
      </c>
      <c r="P3275" s="2">
        <v>122100</v>
      </c>
      <c r="Q3275" s="2">
        <f>P3275*8.5%</f>
        <v>10378.5</v>
      </c>
    </row>
    <row r="3276" spans="1:17" hidden="1" x14ac:dyDescent="0.4">
      <c r="A3276" s="4" t="s">
        <v>51</v>
      </c>
      <c r="B3276" s="4" t="s">
        <v>14</v>
      </c>
      <c r="C3276" s="30" t="s">
        <v>434</v>
      </c>
      <c r="D3276" s="4" t="s">
        <v>52</v>
      </c>
      <c r="E3276" s="4" t="s">
        <v>16</v>
      </c>
      <c r="F3276" s="4" t="s">
        <v>17</v>
      </c>
      <c r="G3276" s="4" t="s">
        <v>18</v>
      </c>
      <c r="H3276" s="4" t="s">
        <v>302</v>
      </c>
      <c r="I3276" s="5" t="str">
        <f t="shared" si="51"/>
        <v>2025-12</v>
      </c>
      <c r="J3276" s="4" t="s">
        <v>34</v>
      </c>
      <c r="K3276" s="5" t="s">
        <v>342</v>
      </c>
      <c r="L3276" s="2">
        <v>73000</v>
      </c>
      <c r="M3276" s="3">
        <v>1</v>
      </c>
      <c r="N3276" s="2">
        <v>73000</v>
      </c>
      <c r="O3276" s="2">
        <v>7300</v>
      </c>
      <c r="P3276" s="2">
        <v>80300</v>
      </c>
      <c r="Q3276" s="2">
        <f>P3276*8.5%</f>
        <v>6825.5000000000009</v>
      </c>
    </row>
    <row r="3277" spans="1:17" hidden="1" x14ac:dyDescent="0.4">
      <c r="A3277" s="4" t="s">
        <v>73</v>
      </c>
      <c r="B3277" s="4" t="s">
        <v>26</v>
      </c>
      <c r="C3277" s="32" t="s">
        <v>436</v>
      </c>
      <c r="D3277" s="4" t="s">
        <v>57</v>
      </c>
      <c r="E3277" s="4" t="s">
        <v>28</v>
      </c>
      <c r="F3277" s="4" t="s">
        <v>17</v>
      </c>
      <c r="G3277" s="4" t="s">
        <v>18</v>
      </c>
      <c r="H3277" s="4" t="s">
        <v>302</v>
      </c>
      <c r="I3277" s="5" t="str">
        <f t="shared" si="51"/>
        <v>2025-12</v>
      </c>
      <c r="J3277" s="4" t="s">
        <v>34</v>
      </c>
      <c r="K3277" s="5" t="s">
        <v>342</v>
      </c>
      <c r="L3277" s="2">
        <v>7055</v>
      </c>
      <c r="M3277" s="3">
        <v>3</v>
      </c>
      <c r="N3277" s="2">
        <v>21165</v>
      </c>
      <c r="O3277" s="2">
        <v>2117</v>
      </c>
      <c r="P3277" s="2">
        <v>23282</v>
      </c>
      <c r="Q3277" s="2">
        <f>P3277*8.5%</f>
        <v>1978.9700000000003</v>
      </c>
    </row>
    <row r="3278" spans="1:17" hidden="1" x14ac:dyDescent="0.4">
      <c r="A3278" s="4" t="s">
        <v>40</v>
      </c>
      <c r="B3278" s="4" t="s">
        <v>26</v>
      </c>
      <c r="C3278" s="32" t="s">
        <v>436</v>
      </c>
      <c r="D3278" s="4" t="s">
        <v>41</v>
      </c>
      <c r="E3278" s="4" t="s">
        <v>28</v>
      </c>
      <c r="F3278" s="4" t="s">
        <v>17</v>
      </c>
      <c r="G3278" s="4" t="s">
        <v>18</v>
      </c>
      <c r="H3278" s="4" t="s">
        <v>302</v>
      </c>
      <c r="I3278" s="5" t="str">
        <f t="shared" si="51"/>
        <v>2025-12</v>
      </c>
      <c r="J3278" s="4" t="s">
        <v>34</v>
      </c>
      <c r="K3278" s="5" t="s">
        <v>342</v>
      </c>
      <c r="L3278" s="2">
        <v>17936</v>
      </c>
      <c r="M3278" s="3">
        <v>2</v>
      </c>
      <c r="N3278" s="2">
        <v>35872</v>
      </c>
      <c r="O3278" s="2">
        <v>3587</v>
      </c>
      <c r="P3278" s="2">
        <v>39459</v>
      </c>
      <c r="Q3278" s="2">
        <f>P3278*8.5%</f>
        <v>3354.0150000000003</v>
      </c>
    </row>
    <row r="3279" spans="1:17" hidden="1" x14ac:dyDescent="0.4">
      <c r="A3279" s="4" t="s">
        <v>42</v>
      </c>
      <c r="B3279" s="4" t="s">
        <v>14</v>
      </c>
      <c r="C3279" s="30" t="s">
        <v>434</v>
      </c>
      <c r="D3279" s="4" t="s">
        <v>43</v>
      </c>
      <c r="E3279" s="4" t="s">
        <v>44</v>
      </c>
      <c r="F3279" s="4" t="s">
        <v>31</v>
      </c>
      <c r="G3279" s="4" t="s">
        <v>18</v>
      </c>
      <c r="H3279" s="4" t="s">
        <v>302</v>
      </c>
      <c r="I3279" s="5" t="str">
        <f t="shared" si="51"/>
        <v>2025-12</v>
      </c>
      <c r="J3279" s="4" t="s">
        <v>34</v>
      </c>
      <c r="K3279" s="5" t="s">
        <v>342</v>
      </c>
      <c r="L3279" s="2">
        <v>7300</v>
      </c>
      <c r="M3279" s="3">
        <v>49</v>
      </c>
      <c r="N3279" s="2">
        <v>357700</v>
      </c>
      <c r="O3279" s="2">
        <v>0</v>
      </c>
      <c r="P3279" s="2">
        <v>357700</v>
      </c>
      <c r="Q3279" s="2">
        <f>P3279*8.5%</f>
        <v>30404.500000000004</v>
      </c>
    </row>
    <row r="3280" spans="1:17" hidden="1" x14ac:dyDescent="0.4">
      <c r="A3280" s="4" t="s">
        <v>32</v>
      </c>
      <c r="B3280" s="4" t="s">
        <v>14</v>
      </c>
      <c r="C3280" s="31" t="s">
        <v>435</v>
      </c>
      <c r="D3280" s="4" t="s">
        <v>33</v>
      </c>
      <c r="E3280" s="4" t="s">
        <v>16</v>
      </c>
      <c r="F3280" s="4" t="s">
        <v>17</v>
      </c>
      <c r="G3280" s="4" t="s">
        <v>18</v>
      </c>
      <c r="H3280" s="4" t="s">
        <v>302</v>
      </c>
      <c r="I3280" s="5" t="str">
        <f t="shared" si="51"/>
        <v>2025-12</v>
      </c>
      <c r="J3280" s="4" t="s">
        <v>59</v>
      </c>
      <c r="K3280" s="5" t="s">
        <v>343</v>
      </c>
      <c r="L3280" s="2">
        <v>44000</v>
      </c>
      <c r="M3280" s="3">
        <v>2</v>
      </c>
      <c r="N3280" s="2">
        <v>88000</v>
      </c>
      <c r="O3280" s="2">
        <v>8800</v>
      </c>
      <c r="P3280" s="2">
        <v>96800</v>
      </c>
      <c r="Q3280" s="2">
        <f>P3280*12%</f>
        <v>11616</v>
      </c>
    </row>
    <row r="3281" spans="1:17" hidden="1" x14ac:dyDescent="0.4">
      <c r="A3281" s="4" t="s">
        <v>13</v>
      </c>
      <c r="B3281" s="4" t="s">
        <v>14</v>
      </c>
      <c r="C3281" s="30" t="s">
        <v>434</v>
      </c>
      <c r="D3281" s="4" t="s">
        <v>15</v>
      </c>
      <c r="E3281" s="4" t="s">
        <v>16</v>
      </c>
      <c r="F3281" s="4" t="s">
        <v>17</v>
      </c>
      <c r="G3281" s="4" t="s">
        <v>18</v>
      </c>
      <c r="H3281" s="4" t="s">
        <v>302</v>
      </c>
      <c r="I3281" s="5" t="str">
        <f t="shared" si="51"/>
        <v>2025-12</v>
      </c>
      <c r="J3281" s="4" t="s">
        <v>59</v>
      </c>
      <c r="K3281" s="5" t="s">
        <v>343</v>
      </c>
      <c r="L3281" s="2">
        <v>42000</v>
      </c>
      <c r="M3281" s="3">
        <v>2</v>
      </c>
      <c r="N3281" s="2">
        <v>84000</v>
      </c>
      <c r="O3281" s="2">
        <v>8400</v>
      </c>
      <c r="P3281" s="2">
        <v>92400</v>
      </c>
      <c r="Q3281" s="2">
        <f>P3281*12%</f>
        <v>11088</v>
      </c>
    </row>
    <row r="3282" spans="1:17" hidden="1" x14ac:dyDescent="0.4">
      <c r="A3282" s="4" t="s">
        <v>32</v>
      </c>
      <c r="B3282" s="4" t="s">
        <v>14</v>
      </c>
      <c r="C3282" s="31" t="s">
        <v>435</v>
      </c>
      <c r="D3282" s="4" t="s">
        <v>33</v>
      </c>
      <c r="E3282" s="4" t="s">
        <v>16</v>
      </c>
      <c r="F3282" s="4" t="s">
        <v>17</v>
      </c>
      <c r="G3282" s="4" t="s">
        <v>18</v>
      </c>
      <c r="H3282" s="4" t="s">
        <v>302</v>
      </c>
      <c r="I3282" s="5" t="str">
        <f t="shared" si="51"/>
        <v>2025-12</v>
      </c>
      <c r="J3282" s="4" t="s">
        <v>49</v>
      </c>
      <c r="K3282" s="5" t="s">
        <v>343</v>
      </c>
      <c r="L3282" s="2">
        <v>44000</v>
      </c>
      <c r="M3282" s="3">
        <v>5</v>
      </c>
      <c r="N3282" s="2">
        <v>220000</v>
      </c>
      <c r="O3282" s="2">
        <v>22000</v>
      </c>
      <c r="P3282" s="2">
        <v>242000</v>
      </c>
      <c r="Q3282" s="2">
        <f>P3282*12%</f>
        <v>29040</v>
      </c>
    </row>
    <row r="3283" spans="1:17" hidden="1" x14ac:dyDescent="0.4">
      <c r="A3283" s="4" t="s">
        <v>13</v>
      </c>
      <c r="B3283" s="4" t="s">
        <v>14</v>
      </c>
      <c r="C3283" s="30" t="s">
        <v>434</v>
      </c>
      <c r="D3283" s="4" t="s">
        <v>15</v>
      </c>
      <c r="E3283" s="4" t="s">
        <v>16</v>
      </c>
      <c r="F3283" s="4" t="s">
        <v>17</v>
      </c>
      <c r="G3283" s="4" t="s">
        <v>18</v>
      </c>
      <c r="H3283" s="4" t="s">
        <v>302</v>
      </c>
      <c r="I3283" s="5" t="str">
        <f t="shared" si="51"/>
        <v>2025-12</v>
      </c>
      <c r="J3283" s="4" t="s">
        <v>49</v>
      </c>
      <c r="K3283" s="5" t="s">
        <v>343</v>
      </c>
      <c r="L3283" s="2">
        <v>42000</v>
      </c>
      <c r="M3283" s="3">
        <v>2</v>
      </c>
      <c r="N3283" s="2">
        <v>84000</v>
      </c>
      <c r="O3283" s="2">
        <v>8400</v>
      </c>
      <c r="P3283" s="2">
        <v>92400</v>
      </c>
      <c r="Q3283" s="2">
        <f>P3283*12%</f>
        <v>11088</v>
      </c>
    </row>
    <row r="3284" spans="1:17" hidden="1" x14ac:dyDescent="0.4">
      <c r="A3284" s="4" t="s">
        <v>23</v>
      </c>
      <c r="B3284" s="4" t="s">
        <v>14</v>
      </c>
      <c r="C3284" s="31" t="s">
        <v>435</v>
      </c>
      <c r="D3284" s="4" t="s">
        <v>24</v>
      </c>
      <c r="E3284" s="4" t="s">
        <v>16</v>
      </c>
      <c r="F3284" s="4" t="s">
        <v>17</v>
      </c>
      <c r="G3284" s="4" t="s">
        <v>18</v>
      </c>
      <c r="H3284" s="4" t="s">
        <v>302</v>
      </c>
      <c r="I3284" s="5" t="str">
        <f t="shared" si="51"/>
        <v>2025-12</v>
      </c>
      <c r="J3284" s="4" t="s">
        <v>49</v>
      </c>
      <c r="K3284" s="5" t="s">
        <v>343</v>
      </c>
      <c r="L3284" s="2">
        <v>55500</v>
      </c>
      <c r="M3284" s="3">
        <v>3</v>
      </c>
      <c r="N3284" s="2">
        <v>166500</v>
      </c>
      <c r="O3284" s="2">
        <v>16650</v>
      </c>
      <c r="P3284" s="2">
        <v>183150</v>
      </c>
      <c r="Q3284" s="2">
        <f>P3284*12%</f>
        <v>21978</v>
      </c>
    </row>
    <row r="3285" spans="1:17" x14ac:dyDescent="0.4">
      <c r="A3285" s="4" t="s">
        <v>13</v>
      </c>
      <c r="B3285" s="4" t="s">
        <v>14</v>
      </c>
      <c r="C3285" s="30" t="s">
        <v>434</v>
      </c>
      <c r="D3285" s="4" t="s">
        <v>15</v>
      </c>
      <c r="E3285" s="4" t="s">
        <v>16</v>
      </c>
      <c r="F3285" s="4" t="s">
        <v>17</v>
      </c>
      <c r="G3285" s="4" t="s">
        <v>18</v>
      </c>
      <c r="H3285" s="4" t="s">
        <v>303</v>
      </c>
      <c r="I3285" s="5" t="str">
        <f t="shared" si="51"/>
        <v>2025-12</v>
      </c>
      <c r="J3285" s="4" t="s">
        <v>20</v>
      </c>
      <c r="K3285" s="5" t="s">
        <v>342</v>
      </c>
      <c r="L3285" s="2">
        <v>42000</v>
      </c>
      <c r="M3285" s="3">
        <v>1</v>
      </c>
      <c r="N3285" s="2">
        <v>42000</v>
      </c>
      <c r="O3285" s="2">
        <v>4200</v>
      </c>
      <c r="P3285" s="2">
        <v>46200</v>
      </c>
      <c r="Q3285" s="2">
        <f>P3285*8.5%</f>
        <v>3927.0000000000005</v>
      </c>
    </row>
    <row r="3286" spans="1:17" x14ac:dyDescent="0.4">
      <c r="A3286" s="4" t="s">
        <v>21</v>
      </c>
      <c r="B3286" s="4" t="s">
        <v>14</v>
      </c>
      <c r="C3286" s="31" t="s">
        <v>435</v>
      </c>
      <c r="D3286" s="4" t="s">
        <v>22</v>
      </c>
      <c r="E3286" s="4" t="s">
        <v>16</v>
      </c>
      <c r="F3286" s="4" t="s">
        <v>17</v>
      </c>
      <c r="G3286" s="4" t="s">
        <v>18</v>
      </c>
      <c r="H3286" s="4" t="s">
        <v>303</v>
      </c>
      <c r="I3286" s="5" t="str">
        <f t="shared" si="51"/>
        <v>2025-12</v>
      </c>
      <c r="J3286" s="4" t="s">
        <v>20</v>
      </c>
      <c r="K3286" s="5" t="s">
        <v>342</v>
      </c>
      <c r="L3286" s="2">
        <v>55500</v>
      </c>
      <c r="M3286" s="3">
        <v>1</v>
      </c>
      <c r="N3286" s="2">
        <v>55500</v>
      </c>
      <c r="O3286" s="2">
        <v>5550</v>
      </c>
      <c r="P3286" s="2">
        <v>61050</v>
      </c>
      <c r="Q3286" s="2">
        <f>P3286*8.5%</f>
        <v>5189.25</v>
      </c>
    </row>
    <row r="3287" spans="1:17" x14ac:dyDescent="0.4">
      <c r="A3287" s="4" t="s">
        <v>23</v>
      </c>
      <c r="B3287" s="4" t="s">
        <v>14</v>
      </c>
      <c r="C3287" s="31" t="s">
        <v>435</v>
      </c>
      <c r="D3287" s="4" t="s">
        <v>24</v>
      </c>
      <c r="E3287" s="4" t="s">
        <v>16</v>
      </c>
      <c r="F3287" s="4" t="s">
        <v>17</v>
      </c>
      <c r="G3287" s="4" t="s">
        <v>18</v>
      </c>
      <c r="H3287" s="4" t="s">
        <v>303</v>
      </c>
      <c r="I3287" s="5" t="str">
        <f t="shared" si="51"/>
        <v>2025-12</v>
      </c>
      <c r="J3287" s="4" t="s">
        <v>20</v>
      </c>
      <c r="K3287" s="5" t="s">
        <v>342</v>
      </c>
      <c r="L3287" s="2">
        <v>55500</v>
      </c>
      <c r="M3287" s="3">
        <v>3</v>
      </c>
      <c r="N3287" s="2">
        <v>166500</v>
      </c>
      <c r="O3287" s="2">
        <v>16650</v>
      </c>
      <c r="P3287" s="2">
        <v>183150</v>
      </c>
      <c r="Q3287" s="2">
        <f>P3287*8.5%</f>
        <v>15567.750000000002</v>
      </c>
    </row>
    <row r="3288" spans="1:17" x14ac:dyDescent="0.4">
      <c r="A3288" s="4" t="s">
        <v>56</v>
      </c>
      <c r="B3288" s="4" t="s">
        <v>26</v>
      </c>
      <c r="C3288" s="32" t="s">
        <v>436</v>
      </c>
      <c r="D3288" s="4" t="s">
        <v>57</v>
      </c>
      <c r="E3288" s="4" t="s">
        <v>44</v>
      </c>
      <c r="F3288" s="4" t="s">
        <v>31</v>
      </c>
      <c r="G3288" s="4" t="s">
        <v>18</v>
      </c>
      <c r="H3288" s="4" t="s">
        <v>303</v>
      </c>
      <c r="I3288" s="5" t="str">
        <f t="shared" si="51"/>
        <v>2025-12</v>
      </c>
      <c r="J3288" s="4" t="s">
        <v>20</v>
      </c>
      <c r="K3288" s="5" t="s">
        <v>342</v>
      </c>
      <c r="L3288" s="2">
        <v>2368</v>
      </c>
      <c r="M3288" s="3">
        <v>20</v>
      </c>
      <c r="N3288" s="2">
        <v>47360</v>
      </c>
      <c r="O3288" s="2">
        <v>0</v>
      </c>
      <c r="P3288" s="2">
        <v>47360</v>
      </c>
      <c r="Q3288" s="2">
        <f>P3288*8.5%</f>
        <v>4025.6000000000004</v>
      </c>
    </row>
    <row r="3289" spans="1:17" hidden="1" x14ac:dyDescent="0.4">
      <c r="A3289" s="4" t="s">
        <v>32</v>
      </c>
      <c r="B3289" s="4" t="s">
        <v>14</v>
      </c>
      <c r="C3289" s="31" t="s">
        <v>435</v>
      </c>
      <c r="D3289" s="4" t="s">
        <v>33</v>
      </c>
      <c r="E3289" s="4" t="s">
        <v>16</v>
      </c>
      <c r="F3289" s="4" t="s">
        <v>17</v>
      </c>
      <c r="G3289" s="4" t="s">
        <v>18</v>
      </c>
      <c r="H3289" s="4" t="s">
        <v>303</v>
      </c>
      <c r="I3289" s="5" t="str">
        <f t="shared" si="51"/>
        <v>2025-12</v>
      </c>
      <c r="J3289" s="4" t="s">
        <v>34</v>
      </c>
      <c r="K3289" s="5" t="s">
        <v>342</v>
      </c>
      <c r="L3289" s="2">
        <v>44000</v>
      </c>
      <c r="M3289" s="3">
        <v>3</v>
      </c>
      <c r="N3289" s="2">
        <v>132000</v>
      </c>
      <c r="O3289" s="2">
        <v>13200</v>
      </c>
      <c r="P3289" s="2">
        <v>145200</v>
      </c>
      <c r="Q3289" s="2">
        <f>P3289*8.5%</f>
        <v>12342</v>
      </c>
    </row>
    <row r="3290" spans="1:17" hidden="1" x14ac:dyDescent="0.4">
      <c r="A3290" s="4" t="s">
        <v>13</v>
      </c>
      <c r="B3290" s="4" t="s">
        <v>14</v>
      </c>
      <c r="C3290" s="30" t="s">
        <v>434</v>
      </c>
      <c r="D3290" s="4" t="s">
        <v>15</v>
      </c>
      <c r="E3290" s="4" t="s">
        <v>16</v>
      </c>
      <c r="F3290" s="4" t="s">
        <v>17</v>
      </c>
      <c r="G3290" s="4" t="s">
        <v>18</v>
      </c>
      <c r="H3290" s="4" t="s">
        <v>303</v>
      </c>
      <c r="I3290" s="5" t="str">
        <f t="shared" si="51"/>
        <v>2025-12</v>
      </c>
      <c r="J3290" s="4" t="s">
        <v>34</v>
      </c>
      <c r="K3290" s="5" t="s">
        <v>342</v>
      </c>
      <c r="L3290" s="2">
        <v>42000</v>
      </c>
      <c r="M3290" s="3">
        <v>3</v>
      </c>
      <c r="N3290" s="2">
        <v>126000</v>
      </c>
      <c r="O3290" s="2">
        <v>12600</v>
      </c>
      <c r="P3290" s="2">
        <v>138600</v>
      </c>
      <c r="Q3290" s="2">
        <f>P3290*8.5%</f>
        <v>11781</v>
      </c>
    </row>
    <row r="3291" spans="1:17" hidden="1" x14ac:dyDescent="0.4">
      <c r="A3291" s="4" t="s">
        <v>21</v>
      </c>
      <c r="B3291" s="4" t="s">
        <v>14</v>
      </c>
      <c r="C3291" s="31" t="s">
        <v>435</v>
      </c>
      <c r="D3291" s="4" t="s">
        <v>22</v>
      </c>
      <c r="E3291" s="4" t="s">
        <v>16</v>
      </c>
      <c r="F3291" s="4" t="s">
        <v>17</v>
      </c>
      <c r="G3291" s="4" t="s">
        <v>18</v>
      </c>
      <c r="H3291" s="4" t="s">
        <v>303</v>
      </c>
      <c r="I3291" s="5" t="str">
        <f t="shared" si="51"/>
        <v>2025-12</v>
      </c>
      <c r="J3291" s="4" t="s">
        <v>34</v>
      </c>
      <c r="K3291" s="5" t="s">
        <v>342</v>
      </c>
      <c r="L3291" s="2">
        <v>55500</v>
      </c>
      <c r="M3291" s="3">
        <v>1</v>
      </c>
      <c r="N3291" s="2">
        <v>55500</v>
      </c>
      <c r="O3291" s="2">
        <v>5550</v>
      </c>
      <c r="P3291" s="2">
        <v>61050</v>
      </c>
      <c r="Q3291" s="2">
        <f>P3291*8.5%</f>
        <v>5189.25</v>
      </c>
    </row>
    <row r="3292" spans="1:17" hidden="1" x14ac:dyDescent="0.4">
      <c r="A3292" s="4" t="s">
        <v>23</v>
      </c>
      <c r="B3292" s="4" t="s">
        <v>14</v>
      </c>
      <c r="C3292" s="31" t="s">
        <v>435</v>
      </c>
      <c r="D3292" s="4" t="s">
        <v>24</v>
      </c>
      <c r="E3292" s="4" t="s">
        <v>16</v>
      </c>
      <c r="F3292" s="4" t="s">
        <v>17</v>
      </c>
      <c r="G3292" s="4" t="s">
        <v>18</v>
      </c>
      <c r="H3292" s="4" t="s">
        <v>303</v>
      </c>
      <c r="I3292" s="5" t="str">
        <f t="shared" si="51"/>
        <v>2025-12</v>
      </c>
      <c r="J3292" s="4" t="s">
        <v>34</v>
      </c>
      <c r="K3292" s="5" t="s">
        <v>342</v>
      </c>
      <c r="L3292" s="2">
        <v>55500</v>
      </c>
      <c r="M3292" s="3">
        <v>3</v>
      </c>
      <c r="N3292" s="2">
        <v>166500</v>
      </c>
      <c r="O3292" s="2">
        <v>16650</v>
      </c>
      <c r="P3292" s="2">
        <v>183150</v>
      </c>
      <c r="Q3292" s="2">
        <f>P3292*8.5%</f>
        <v>15567.750000000002</v>
      </c>
    </row>
    <row r="3293" spans="1:17" hidden="1" x14ac:dyDescent="0.4">
      <c r="A3293" s="4" t="s">
        <v>84</v>
      </c>
      <c r="B3293" s="4" t="s">
        <v>26</v>
      </c>
      <c r="C3293" s="32" t="s">
        <v>436</v>
      </c>
      <c r="D3293" s="4" t="s">
        <v>85</v>
      </c>
      <c r="E3293" s="4" t="s">
        <v>28</v>
      </c>
      <c r="F3293" s="4" t="s">
        <v>17</v>
      </c>
      <c r="G3293" s="4" t="s">
        <v>18</v>
      </c>
      <c r="H3293" s="4" t="s">
        <v>303</v>
      </c>
      <c r="I3293" s="5" t="str">
        <f t="shared" si="51"/>
        <v>2025-12</v>
      </c>
      <c r="J3293" s="4" t="s">
        <v>34</v>
      </c>
      <c r="K3293" s="5" t="s">
        <v>342</v>
      </c>
      <c r="L3293" s="2">
        <v>5032</v>
      </c>
      <c r="M3293" s="3">
        <v>1</v>
      </c>
      <c r="N3293" s="2">
        <v>5032</v>
      </c>
      <c r="O3293" s="2">
        <v>503</v>
      </c>
      <c r="P3293" s="2">
        <v>5535</v>
      </c>
      <c r="Q3293" s="2">
        <f>P3293*8.5%</f>
        <v>470.47500000000002</v>
      </c>
    </row>
    <row r="3294" spans="1:17" hidden="1" x14ac:dyDescent="0.4">
      <c r="A3294" s="4" t="s">
        <v>37</v>
      </c>
      <c r="B3294" s="4" t="s">
        <v>26</v>
      </c>
      <c r="C3294" s="32" t="s">
        <v>436</v>
      </c>
      <c r="D3294" s="4" t="s">
        <v>38</v>
      </c>
      <c r="E3294" s="4" t="s">
        <v>28</v>
      </c>
      <c r="F3294" s="4" t="s">
        <v>17</v>
      </c>
      <c r="G3294" s="4" t="s">
        <v>18</v>
      </c>
      <c r="H3294" s="4" t="s">
        <v>303</v>
      </c>
      <c r="I3294" s="5" t="str">
        <f t="shared" si="51"/>
        <v>2025-12</v>
      </c>
      <c r="J3294" s="4" t="s">
        <v>34</v>
      </c>
      <c r="K3294" s="5" t="s">
        <v>342</v>
      </c>
      <c r="L3294" s="2">
        <v>395</v>
      </c>
      <c r="M3294" s="3">
        <v>20</v>
      </c>
      <c r="N3294" s="2">
        <v>7900</v>
      </c>
      <c r="O3294" s="2">
        <v>790</v>
      </c>
      <c r="P3294" s="2">
        <v>8690</v>
      </c>
      <c r="Q3294" s="2">
        <f>P3294*8.5%</f>
        <v>738.65000000000009</v>
      </c>
    </row>
    <row r="3295" spans="1:17" hidden="1" x14ac:dyDescent="0.4">
      <c r="A3295" s="4" t="s">
        <v>70</v>
      </c>
      <c r="B3295" s="4" t="s">
        <v>26</v>
      </c>
      <c r="C3295" s="32" t="s">
        <v>436</v>
      </c>
      <c r="D3295" s="4" t="s">
        <v>71</v>
      </c>
      <c r="E3295" s="4" t="s">
        <v>28</v>
      </c>
      <c r="F3295" s="4" t="s">
        <v>31</v>
      </c>
      <c r="G3295" s="4" t="s">
        <v>18</v>
      </c>
      <c r="H3295" s="4" t="s">
        <v>303</v>
      </c>
      <c r="I3295" s="5" t="str">
        <f t="shared" si="51"/>
        <v>2025-12</v>
      </c>
      <c r="J3295" s="4" t="s">
        <v>34</v>
      </c>
      <c r="K3295" s="5" t="s">
        <v>342</v>
      </c>
      <c r="L3295" s="2">
        <v>6624</v>
      </c>
      <c r="M3295" s="3">
        <v>2</v>
      </c>
      <c r="N3295" s="2">
        <v>13248</v>
      </c>
      <c r="O3295" s="2">
        <v>0</v>
      </c>
      <c r="P3295" s="2">
        <v>13248</v>
      </c>
      <c r="Q3295" s="2">
        <f>P3295*8.5%</f>
        <v>1126.0800000000002</v>
      </c>
    </row>
    <row r="3296" spans="1:17" hidden="1" x14ac:dyDescent="0.4">
      <c r="A3296" s="4" t="s">
        <v>42</v>
      </c>
      <c r="B3296" s="4" t="s">
        <v>14</v>
      </c>
      <c r="C3296" s="30" t="s">
        <v>434</v>
      </c>
      <c r="D3296" s="4" t="s">
        <v>43</v>
      </c>
      <c r="E3296" s="4" t="s">
        <v>44</v>
      </c>
      <c r="F3296" s="4" t="s">
        <v>31</v>
      </c>
      <c r="G3296" s="4" t="s">
        <v>18</v>
      </c>
      <c r="H3296" s="4" t="s">
        <v>303</v>
      </c>
      <c r="I3296" s="5" t="str">
        <f t="shared" si="51"/>
        <v>2025-12</v>
      </c>
      <c r="J3296" s="4" t="s">
        <v>34</v>
      </c>
      <c r="K3296" s="5" t="s">
        <v>342</v>
      </c>
      <c r="L3296" s="2">
        <v>7300</v>
      </c>
      <c r="M3296" s="3">
        <v>51</v>
      </c>
      <c r="N3296" s="2">
        <v>372300</v>
      </c>
      <c r="O3296" s="2">
        <v>0</v>
      </c>
      <c r="P3296" s="2">
        <v>372300</v>
      </c>
      <c r="Q3296" s="2">
        <f>P3296*8.5%</f>
        <v>31645.500000000004</v>
      </c>
    </row>
    <row r="3297" spans="1:17" x14ac:dyDescent="0.4">
      <c r="A3297" s="4" t="s">
        <v>58</v>
      </c>
      <c r="B3297" s="4" t="s">
        <v>14</v>
      </c>
      <c r="C3297" s="30" t="s">
        <v>434</v>
      </c>
      <c r="D3297" s="4" t="s">
        <v>36</v>
      </c>
      <c r="E3297" s="4" t="s">
        <v>16</v>
      </c>
      <c r="F3297" s="4" t="s">
        <v>17</v>
      </c>
      <c r="G3297" s="4" t="s">
        <v>304</v>
      </c>
      <c r="H3297" s="4" t="s">
        <v>305</v>
      </c>
      <c r="I3297" s="5" t="str">
        <f t="shared" si="51"/>
        <v>2026-01</v>
      </c>
      <c r="J3297" s="4" t="s">
        <v>20</v>
      </c>
      <c r="K3297" s="5" t="s">
        <v>342</v>
      </c>
      <c r="L3297" s="2">
        <v>120880</v>
      </c>
      <c r="M3297" s="3">
        <v>1</v>
      </c>
      <c r="N3297" s="2">
        <v>120880</v>
      </c>
      <c r="O3297" s="2">
        <v>12088</v>
      </c>
      <c r="P3297" s="2">
        <v>132968</v>
      </c>
      <c r="Q3297" s="2">
        <f>P3297*8.5%</f>
        <v>11302.28</v>
      </c>
    </row>
    <row r="3298" spans="1:17" x14ac:dyDescent="0.4">
      <c r="A3298" s="4" t="s">
        <v>58</v>
      </c>
      <c r="B3298" s="4" t="s">
        <v>14</v>
      </c>
      <c r="C3298" s="30" t="s">
        <v>434</v>
      </c>
      <c r="D3298" s="4" t="s">
        <v>36</v>
      </c>
      <c r="E3298" s="4" t="s">
        <v>16</v>
      </c>
      <c r="F3298" s="4" t="s">
        <v>17</v>
      </c>
      <c r="G3298" s="4" t="s">
        <v>18</v>
      </c>
      <c r="H3298" s="4" t="s">
        <v>305</v>
      </c>
      <c r="I3298" s="5" t="str">
        <f t="shared" si="51"/>
        <v>2026-01</v>
      </c>
      <c r="J3298" s="4" t="s">
        <v>20</v>
      </c>
      <c r="K3298" s="5" t="s">
        <v>342</v>
      </c>
      <c r="L3298" s="2">
        <v>120880</v>
      </c>
      <c r="M3298" s="3">
        <v>1</v>
      </c>
      <c r="N3298" s="2">
        <v>120880</v>
      </c>
      <c r="O3298" s="2">
        <v>12088</v>
      </c>
      <c r="P3298" s="2">
        <v>132968</v>
      </c>
      <c r="Q3298" s="2">
        <f>P3298*8.5%</f>
        <v>11302.28</v>
      </c>
    </row>
    <row r="3299" spans="1:17" x14ac:dyDescent="0.4">
      <c r="A3299" s="4" t="s">
        <v>21</v>
      </c>
      <c r="B3299" s="4" t="s">
        <v>14</v>
      </c>
      <c r="C3299" s="31" t="s">
        <v>435</v>
      </c>
      <c r="D3299" s="4" t="s">
        <v>22</v>
      </c>
      <c r="E3299" s="4" t="s">
        <v>16</v>
      </c>
      <c r="F3299" s="4" t="s">
        <v>17</v>
      </c>
      <c r="G3299" s="4" t="s">
        <v>18</v>
      </c>
      <c r="H3299" s="4" t="s">
        <v>305</v>
      </c>
      <c r="I3299" s="5" t="str">
        <f t="shared" si="51"/>
        <v>2026-01</v>
      </c>
      <c r="J3299" s="4" t="s">
        <v>20</v>
      </c>
      <c r="K3299" s="5" t="s">
        <v>342</v>
      </c>
      <c r="L3299" s="2">
        <v>55500</v>
      </c>
      <c r="M3299" s="3">
        <v>2</v>
      </c>
      <c r="N3299" s="2">
        <v>111000</v>
      </c>
      <c r="O3299" s="2">
        <v>11100</v>
      </c>
      <c r="P3299" s="2">
        <v>122100</v>
      </c>
      <c r="Q3299" s="2">
        <f>P3299*8.5%</f>
        <v>10378.5</v>
      </c>
    </row>
    <row r="3300" spans="1:17" x14ac:dyDescent="0.4">
      <c r="A3300" s="4" t="s">
        <v>23</v>
      </c>
      <c r="B3300" s="4" t="s">
        <v>14</v>
      </c>
      <c r="C3300" s="31" t="s">
        <v>435</v>
      </c>
      <c r="D3300" s="4" t="s">
        <v>24</v>
      </c>
      <c r="E3300" s="4" t="s">
        <v>16</v>
      </c>
      <c r="F3300" s="4" t="s">
        <v>17</v>
      </c>
      <c r="G3300" s="4" t="s">
        <v>18</v>
      </c>
      <c r="H3300" s="4" t="s">
        <v>305</v>
      </c>
      <c r="I3300" s="5" t="str">
        <f t="shared" si="51"/>
        <v>2026-01</v>
      </c>
      <c r="J3300" s="4" t="s">
        <v>20</v>
      </c>
      <c r="K3300" s="5" t="s">
        <v>342</v>
      </c>
      <c r="L3300" s="2">
        <v>55500</v>
      </c>
      <c r="M3300" s="3">
        <v>2</v>
      </c>
      <c r="N3300" s="2">
        <v>111000</v>
      </c>
      <c r="O3300" s="2">
        <v>11100</v>
      </c>
      <c r="P3300" s="2">
        <v>122100</v>
      </c>
      <c r="Q3300" s="2">
        <f>P3300*8.5%</f>
        <v>10378.5</v>
      </c>
    </row>
    <row r="3301" spans="1:17" x14ac:dyDescent="0.4">
      <c r="A3301" s="4" t="s">
        <v>127</v>
      </c>
      <c r="B3301" s="4" t="s">
        <v>26</v>
      </c>
      <c r="C3301" s="32" t="s">
        <v>436</v>
      </c>
      <c r="D3301" s="4" t="s">
        <v>128</v>
      </c>
      <c r="E3301" s="4" t="s">
        <v>28</v>
      </c>
      <c r="F3301" s="4" t="s">
        <v>17</v>
      </c>
      <c r="G3301" s="4" t="s">
        <v>18</v>
      </c>
      <c r="H3301" s="4" t="s">
        <v>305</v>
      </c>
      <c r="I3301" s="5" t="str">
        <f t="shared" si="51"/>
        <v>2026-01</v>
      </c>
      <c r="J3301" s="4" t="s">
        <v>20</v>
      </c>
      <c r="K3301" s="5" t="s">
        <v>342</v>
      </c>
      <c r="L3301" s="2">
        <v>2870</v>
      </c>
      <c r="M3301" s="3">
        <v>2</v>
      </c>
      <c r="N3301" s="2">
        <v>5740</v>
      </c>
      <c r="O3301" s="2">
        <v>574</v>
      </c>
      <c r="P3301" s="2">
        <v>6314</v>
      </c>
      <c r="Q3301" s="2">
        <f>P3301*8.5%</f>
        <v>536.69000000000005</v>
      </c>
    </row>
    <row r="3302" spans="1:17" x14ac:dyDescent="0.4">
      <c r="A3302" s="4" t="s">
        <v>25</v>
      </c>
      <c r="B3302" s="4" t="s">
        <v>26</v>
      </c>
      <c r="C3302" s="32" t="s">
        <v>436</v>
      </c>
      <c r="D3302" s="4" t="s">
        <v>27</v>
      </c>
      <c r="E3302" s="4" t="s">
        <v>28</v>
      </c>
      <c r="F3302" s="4" t="s">
        <v>17</v>
      </c>
      <c r="G3302" s="4" t="s">
        <v>18</v>
      </c>
      <c r="H3302" s="4" t="s">
        <v>305</v>
      </c>
      <c r="I3302" s="5" t="str">
        <f t="shared" si="51"/>
        <v>2026-01</v>
      </c>
      <c r="J3302" s="4" t="s">
        <v>20</v>
      </c>
      <c r="K3302" s="5" t="s">
        <v>342</v>
      </c>
      <c r="L3302" s="2">
        <v>2631</v>
      </c>
      <c r="M3302" s="3">
        <v>1</v>
      </c>
      <c r="N3302" s="2">
        <v>2631</v>
      </c>
      <c r="O3302" s="2">
        <v>263</v>
      </c>
      <c r="P3302" s="2">
        <v>2894</v>
      </c>
      <c r="Q3302" s="2">
        <f>P3302*8.5%</f>
        <v>245.99</v>
      </c>
    </row>
    <row r="3303" spans="1:17" x14ac:dyDescent="0.4">
      <c r="A3303" s="4" t="s">
        <v>29</v>
      </c>
      <c r="B3303" s="4" t="s">
        <v>26</v>
      </c>
      <c r="C3303" s="32" t="s">
        <v>436</v>
      </c>
      <c r="D3303" s="4" t="s">
        <v>30</v>
      </c>
      <c r="E3303" s="4" t="s">
        <v>28</v>
      </c>
      <c r="F3303" s="4" t="s">
        <v>31</v>
      </c>
      <c r="G3303" s="4" t="s">
        <v>18</v>
      </c>
      <c r="H3303" s="4" t="s">
        <v>305</v>
      </c>
      <c r="I3303" s="5" t="str">
        <f t="shared" si="51"/>
        <v>2026-01</v>
      </c>
      <c r="J3303" s="4" t="s">
        <v>20</v>
      </c>
      <c r="K3303" s="5" t="s">
        <v>342</v>
      </c>
      <c r="L3303" s="2">
        <v>3719</v>
      </c>
      <c r="M3303" s="3">
        <v>1</v>
      </c>
      <c r="N3303" s="2">
        <v>3719</v>
      </c>
      <c r="O3303" s="2">
        <v>0</v>
      </c>
      <c r="P3303" s="2">
        <v>3719</v>
      </c>
      <c r="Q3303" s="2">
        <f>P3303*8.5%</f>
        <v>316.11500000000001</v>
      </c>
    </row>
    <row r="3304" spans="1:17" hidden="1" x14ac:dyDescent="0.4">
      <c r="A3304" s="4" t="s">
        <v>32</v>
      </c>
      <c r="B3304" s="4" t="s">
        <v>14</v>
      </c>
      <c r="C3304" s="31" t="s">
        <v>435</v>
      </c>
      <c r="D3304" s="4" t="s">
        <v>33</v>
      </c>
      <c r="E3304" s="4" t="s">
        <v>16</v>
      </c>
      <c r="F3304" s="4" t="s">
        <v>17</v>
      </c>
      <c r="G3304" s="4" t="s">
        <v>18</v>
      </c>
      <c r="H3304" s="4" t="s">
        <v>305</v>
      </c>
      <c r="I3304" s="5" t="str">
        <f t="shared" si="51"/>
        <v>2026-01</v>
      </c>
      <c r="J3304" s="4" t="s">
        <v>49</v>
      </c>
      <c r="K3304" s="5" t="s">
        <v>343</v>
      </c>
      <c r="L3304" s="2">
        <v>44000</v>
      </c>
      <c r="M3304" s="3">
        <v>4</v>
      </c>
      <c r="N3304" s="2">
        <v>176000</v>
      </c>
      <c r="O3304" s="2">
        <v>17600</v>
      </c>
      <c r="P3304" s="2">
        <v>193600</v>
      </c>
      <c r="Q3304" s="2">
        <f>P3304*12%</f>
        <v>23232</v>
      </c>
    </row>
    <row r="3305" spans="1:17" hidden="1" x14ac:dyDescent="0.4">
      <c r="A3305" s="4" t="s">
        <v>13</v>
      </c>
      <c r="B3305" s="4" t="s">
        <v>14</v>
      </c>
      <c r="C3305" s="30" t="s">
        <v>434</v>
      </c>
      <c r="D3305" s="4" t="s">
        <v>15</v>
      </c>
      <c r="E3305" s="4" t="s">
        <v>16</v>
      </c>
      <c r="F3305" s="4" t="s">
        <v>17</v>
      </c>
      <c r="G3305" s="4" t="s">
        <v>18</v>
      </c>
      <c r="H3305" s="4" t="s">
        <v>305</v>
      </c>
      <c r="I3305" s="5" t="str">
        <f t="shared" si="51"/>
        <v>2026-01</v>
      </c>
      <c r="J3305" s="4" t="s">
        <v>49</v>
      </c>
      <c r="K3305" s="5" t="s">
        <v>343</v>
      </c>
      <c r="L3305" s="2">
        <v>42000</v>
      </c>
      <c r="M3305" s="3">
        <v>3</v>
      </c>
      <c r="N3305" s="2">
        <v>126000</v>
      </c>
      <c r="O3305" s="2">
        <v>12600</v>
      </c>
      <c r="P3305" s="2">
        <v>138600</v>
      </c>
      <c r="Q3305" s="2">
        <f>P3305*12%</f>
        <v>16632</v>
      </c>
    </row>
    <row r="3306" spans="1:17" hidden="1" x14ac:dyDescent="0.4">
      <c r="A3306" s="4" t="s">
        <v>35</v>
      </c>
      <c r="B3306" s="4" t="s">
        <v>14</v>
      </c>
      <c r="C3306" s="30" t="s">
        <v>434</v>
      </c>
      <c r="D3306" s="4" t="s">
        <v>36</v>
      </c>
      <c r="E3306" s="4" t="s">
        <v>16</v>
      </c>
      <c r="F3306" s="4" t="s">
        <v>17</v>
      </c>
      <c r="G3306" s="4" t="s">
        <v>18</v>
      </c>
      <c r="H3306" s="4" t="s">
        <v>305</v>
      </c>
      <c r="I3306" s="5" t="str">
        <f t="shared" si="51"/>
        <v>2026-01</v>
      </c>
      <c r="J3306" s="4" t="s">
        <v>49</v>
      </c>
      <c r="K3306" s="5" t="s">
        <v>343</v>
      </c>
      <c r="L3306" s="2">
        <v>116220</v>
      </c>
      <c r="M3306" s="3">
        <v>1</v>
      </c>
      <c r="N3306" s="2">
        <v>116220</v>
      </c>
      <c r="O3306" s="2">
        <v>11622</v>
      </c>
      <c r="P3306" s="2">
        <v>127842</v>
      </c>
      <c r="Q3306" s="2">
        <f>P3306*12%</f>
        <v>15341.039999999999</v>
      </c>
    </row>
    <row r="3307" spans="1:17" hidden="1" x14ac:dyDescent="0.4">
      <c r="A3307" s="4" t="s">
        <v>23</v>
      </c>
      <c r="B3307" s="4" t="s">
        <v>14</v>
      </c>
      <c r="C3307" s="31" t="s">
        <v>435</v>
      </c>
      <c r="D3307" s="4" t="s">
        <v>24</v>
      </c>
      <c r="E3307" s="4" t="s">
        <v>16</v>
      </c>
      <c r="F3307" s="4" t="s">
        <v>17</v>
      </c>
      <c r="G3307" s="4" t="s">
        <v>18</v>
      </c>
      <c r="H3307" s="4" t="s">
        <v>305</v>
      </c>
      <c r="I3307" s="5" t="str">
        <f t="shared" si="51"/>
        <v>2026-01</v>
      </c>
      <c r="J3307" s="4" t="s">
        <v>49</v>
      </c>
      <c r="K3307" s="5" t="s">
        <v>343</v>
      </c>
      <c r="L3307" s="2">
        <v>55500</v>
      </c>
      <c r="M3307" s="3">
        <v>3</v>
      </c>
      <c r="N3307" s="2">
        <v>166500</v>
      </c>
      <c r="O3307" s="2">
        <v>16650</v>
      </c>
      <c r="P3307" s="2">
        <v>183150</v>
      </c>
      <c r="Q3307" s="2">
        <f>P3307*12%</f>
        <v>21978</v>
      </c>
    </row>
    <row r="3308" spans="1:17" hidden="1" x14ac:dyDescent="0.4">
      <c r="A3308" s="4" t="s">
        <v>51</v>
      </c>
      <c r="B3308" s="4" t="s">
        <v>14</v>
      </c>
      <c r="C3308" s="30" t="s">
        <v>434</v>
      </c>
      <c r="D3308" s="4" t="s">
        <v>52</v>
      </c>
      <c r="E3308" s="4" t="s">
        <v>16</v>
      </c>
      <c r="F3308" s="4" t="s">
        <v>17</v>
      </c>
      <c r="G3308" s="4" t="s">
        <v>18</v>
      </c>
      <c r="H3308" s="4" t="s">
        <v>305</v>
      </c>
      <c r="I3308" s="5" t="str">
        <f t="shared" si="51"/>
        <v>2026-01</v>
      </c>
      <c r="J3308" s="4" t="s">
        <v>49</v>
      </c>
      <c r="K3308" s="5" t="s">
        <v>343</v>
      </c>
      <c r="L3308" s="2">
        <v>73000</v>
      </c>
      <c r="M3308" s="3">
        <v>1</v>
      </c>
      <c r="N3308" s="2">
        <v>73000</v>
      </c>
      <c r="O3308" s="2">
        <v>7300</v>
      </c>
      <c r="P3308" s="2">
        <v>80300</v>
      </c>
      <c r="Q3308" s="2">
        <f>P3308*12%</f>
        <v>9636</v>
      </c>
    </row>
    <row r="3309" spans="1:17" x14ac:dyDescent="0.4">
      <c r="A3309" s="4" t="s">
        <v>13</v>
      </c>
      <c r="B3309" s="4" t="s">
        <v>14</v>
      </c>
      <c r="C3309" s="30" t="s">
        <v>434</v>
      </c>
      <c r="D3309" s="4" t="s">
        <v>15</v>
      </c>
      <c r="E3309" s="4" t="s">
        <v>16</v>
      </c>
      <c r="F3309" s="4" t="s">
        <v>17</v>
      </c>
      <c r="G3309" s="4" t="s">
        <v>18</v>
      </c>
      <c r="H3309" s="4" t="s">
        <v>306</v>
      </c>
      <c r="I3309" s="5" t="str">
        <f t="shared" si="51"/>
        <v>2026-01</v>
      </c>
      <c r="J3309" s="4" t="s">
        <v>20</v>
      </c>
      <c r="K3309" s="5" t="s">
        <v>342</v>
      </c>
      <c r="L3309" s="2">
        <v>42000</v>
      </c>
      <c r="M3309" s="3">
        <v>1</v>
      </c>
      <c r="N3309" s="2">
        <v>42000</v>
      </c>
      <c r="O3309" s="2">
        <v>4200</v>
      </c>
      <c r="P3309" s="2">
        <v>46200</v>
      </c>
      <c r="Q3309" s="2">
        <f>P3309*8.5%</f>
        <v>3927.0000000000005</v>
      </c>
    </row>
    <row r="3310" spans="1:17" x14ac:dyDescent="0.4">
      <c r="A3310" s="4" t="s">
        <v>21</v>
      </c>
      <c r="B3310" s="4" t="s">
        <v>14</v>
      </c>
      <c r="C3310" s="31" t="s">
        <v>435</v>
      </c>
      <c r="D3310" s="4" t="s">
        <v>22</v>
      </c>
      <c r="E3310" s="4" t="s">
        <v>16</v>
      </c>
      <c r="F3310" s="4" t="s">
        <v>17</v>
      </c>
      <c r="G3310" s="4" t="s">
        <v>18</v>
      </c>
      <c r="H3310" s="4" t="s">
        <v>306</v>
      </c>
      <c r="I3310" s="5" t="str">
        <f t="shared" si="51"/>
        <v>2026-01</v>
      </c>
      <c r="J3310" s="4" t="s">
        <v>20</v>
      </c>
      <c r="K3310" s="5" t="s">
        <v>342</v>
      </c>
      <c r="L3310" s="2">
        <v>55500</v>
      </c>
      <c r="M3310" s="3">
        <v>2</v>
      </c>
      <c r="N3310" s="2">
        <v>111000</v>
      </c>
      <c r="O3310" s="2">
        <v>11100</v>
      </c>
      <c r="P3310" s="2">
        <v>122100</v>
      </c>
      <c r="Q3310" s="2">
        <f>P3310*8.5%</f>
        <v>10378.5</v>
      </c>
    </row>
    <row r="3311" spans="1:17" x14ac:dyDescent="0.4">
      <c r="A3311" s="4" t="s">
        <v>23</v>
      </c>
      <c r="B3311" s="4" t="s">
        <v>14</v>
      </c>
      <c r="C3311" s="31" t="s">
        <v>435</v>
      </c>
      <c r="D3311" s="4" t="s">
        <v>24</v>
      </c>
      <c r="E3311" s="4" t="s">
        <v>16</v>
      </c>
      <c r="F3311" s="4" t="s">
        <v>17</v>
      </c>
      <c r="G3311" s="4" t="s">
        <v>18</v>
      </c>
      <c r="H3311" s="4" t="s">
        <v>306</v>
      </c>
      <c r="I3311" s="5" t="str">
        <f t="shared" si="51"/>
        <v>2026-01</v>
      </c>
      <c r="J3311" s="4" t="s">
        <v>20</v>
      </c>
      <c r="K3311" s="5" t="s">
        <v>342</v>
      </c>
      <c r="L3311" s="2">
        <v>55500</v>
      </c>
      <c r="M3311" s="3">
        <v>2</v>
      </c>
      <c r="N3311" s="2">
        <v>111000</v>
      </c>
      <c r="O3311" s="2">
        <v>11100</v>
      </c>
      <c r="P3311" s="2">
        <v>122100</v>
      </c>
      <c r="Q3311" s="2">
        <f>P3311*8.5%</f>
        <v>10378.5</v>
      </c>
    </row>
    <row r="3312" spans="1:17" x14ac:dyDescent="0.4">
      <c r="A3312" s="4" t="s">
        <v>307</v>
      </c>
      <c r="B3312" s="4" t="s">
        <v>26</v>
      </c>
      <c r="C3312" s="32" t="s">
        <v>436</v>
      </c>
      <c r="D3312" s="4" t="s">
        <v>55</v>
      </c>
      <c r="E3312" s="4" t="s">
        <v>28</v>
      </c>
      <c r="F3312" s="4" t="s">
        <v>17</v>
      </c>
      <c r="G3312" s="4" t="s">
        <v>18</v>
      </c>
      <c r="H3312" s="4" t="s">
        <v>306</v>
      </c>
      <c r="I3312" s="5" t="str">
        <f t="shared" si="51"/>
        <v>2026-01</v>
      </c>
      <c r="J3312" s="4" t="s">
        <v>20</v>
      </c>
      <c r="K3312" s="5" t="s">
        <v>342</v>
      </c>
      <c r="L3312" s="2">
        <v>5919</v>
      </c>
      <c r="M3312" s="3">
        <v>1</v>
      </c>
      <c r="N3312" s="2">
        <v>5919</v>
      </c>
      <c r="O3312" s="2">
        <v>592</v>
      </c>
      <c r="P3312" s="2">
        <v>6511</v>
      </c>
      <c r="Q3312" s="2">
        <f>P3312*8.5%</f>
        <v>553.43500000000006</v>
      </c>
    </row>
    <row r="3313" spans="1:17" x14ac:dyDescent="0.4">
      <c r="A3313" s="4" t="s">
        <v>56</v>
      </c>
      <c r="B3313" s="4" t="s">
        <v>26</v>
      </c>
      <c r="C3313" s="32" t="s">
        <v>436</v>
      </c>
      <c r="D3313" s="4" t="s">
        <v>57</v>
      </c>
      <c r="E3313" s="4" t="s">
        <v>44</v>
      </c>
      <c r="F3313" s="4" t="s">
        <v>31</v>
      </c>
      <c r="G3313" s="4" t="s">
        <v>18</v>
      </c>
      <c r="H3313" s="4" t="s">
        <v>306</v>
      </c>
      <c r="I3313" s="5" t="str">
        <f t="shared" si="51"/>
        <v>2026-01</v>
      </c>
      <c r="J3313" s="4" t="s">
        <v>20</v>
      </c>
      <c r="K3313" s="5" t="s">
        <v>342</v>
      </c>
      <c r="L3313" s="2">
        <v>2368</v>
      </c>
      <c r="M3313" s="3">
        <v>20</v>
      </c>
      <c r="N3313" s="2">
        <v>47360</v>
      </c>
      <c r="O3313" s="2">
        <v>0</v>
      </c>
      <c r="P3313" s="2">
        <v>47360</v>
      </c>
      <c r="Q3313" s="2">
        <f>P3313*8.5%</f>
        <v>4025.6000000000004</v>
      </c>
    </row>
    <row r="3314" spans="1:17" hidden="1" x14ac:dyDescent="0.4">
      <c r="A3314" s="4" t="s">
        <v>13</v>
      </c>
      <c r="B3314" s="4" t="s">
        <v>14</v>
      </c>
      <c r="C3314" s="30" t="s">
        <v>434</v>
      </c>
      <c r="D3314" s="4" t="s">
        <v>15</v>
      </c>
      <c r="E3314" s="4" t="s">
        <v>16</v>
      </c>
      <c r="F3314" s="4" t="s">
        <v>17</v>
      </c>
      <c r="G3314" s="4" t="s">
        <v>18</v>
      </c>
      <c r="H3314" s="4" t="s">
        <v>306</v>
      </c>
      <c r="I3314" s="5" t="str">
        <f t="shared" si="51"/>
        <v>2026-01</v>
      </c>
      <c r="J3314" s="4" t="s">
        <v>34</v>
      </c>
      <c r="K3314" s="5" t="s">
        <v>342</v>
      </c>
      <c r="L3314" s="2">
        <v>42000</v>
      </c>
      <c r="M3314" s="3">
        <v>3</v>
      </c>
      <c r="N3314" s="2">
        <v>126000</v>
      </c>
      <c r="O3314" s="2">
        <v>12600</v>
      </c>
      <c r="P3314" s="2">
        <v>138600</v>
      </c>
      <c r="Q3314" s="2">
        <f>P3314*8.5%</f>
        <v>11781</v>
      </c>
    </row>
    <row r="3315" spans="1:17" hidden="1" x14ac:dyDescent="0.4">
      <c r="A3315" s="4" t="s">
        <v>23</v>
      </c>
      <c r="B3315" s="4" t="s">
        <v>14</v>
      </c>
      <c r="C3315" s="31" t="s">
        <v>435</v>
      </c>
      <c r="D3315" s="4" t="s">
        <v>24</v>
      </c>
      <c r="E3315" s="4" t="s">
        <v>16</v>
      </c>
      <c r="F3315" s="4" t="s">
        <v>17</v>
      </c>
      <c r="G3315" s="4" t="s">
        <v>18</v>
      </c>
      <c r="H3315" s="4" t="s">
        <v>306</v>
      </c>
      <c r="I3315" s="5" t="str">
        <f t="shared" si="51"/>
        <v>2026-01</v>
      </c>
      <c r="J3315" s="4" t="s">
        <v>34</v>
      </c>
      <c r="K3315" s="5" t="s">
        <v>342</v>
      </c>
      <c r="L3315" s="2">
        <v>55500</v>
      </c>
      <c r="M3315" s="3">
        <v>2</v>
      </c>
      <c r="N3315" s="2">
        <v>111000</v>
      </c>
      <c r="O3315" s="2">
        <v>11100</v>
      </c>
      <c r="P3315" s="2">
        <v>122100</v>
      </c>
      <c r="Q3315" s="2">
        <f>P3315*8.5%</f>
        <v>10378.5</v>
      </c>
    </row>
    <row r="3316" spans="1:17" hidden="1" x14ac:dyDescent="0.4">
      <c r="A3316" s="4" t="s">
        <v>84</v>
      </c>
      <c r="B3316" s="4" t="s">
        <v>26</v>
      </c>
      <c r="C3316" s="32" t="s">
        <v>436</v>
      </c>
      <c r="D3316" s="4" t="s">
        <v>85</v>
      </c>
      <c r="E3316" s="4" t="s">
        <v>28</v>
      </c>
      <c r="F3316" s="4" t="s">
        <v>17</v>
      </c>
      <c r="G3316" s="4" t="s">
        <v>18</v>
      </c>
      <c r="H3316" s="4" t="s">
        <v>306</v>
      </c>
      <c r="I3316" s="5" t="str">
        <f t="shared" si="51"/>
        <v>2026-01</v>
      </c>
      <c r="J3316" s="4" t="s">
        <v>34</v>
      </c>
      <c r="K3316" s="5" t="s">
        <v>342</v>
      </c>
      <c r="L3316" s="2">
        <v>5032</v>
      </c>
      <c r="M3316" s="3">
        <v>1</v>
      </c>
      <c r="N3316" s="2">
        <v>5032</v>
      </c>
      <c r="O3316" s="2">
        <v>503</v>
      </c>
      <c r="P3316" s="2">
        <v>5535</v>
      </c>
      <c r="Q3316" s="2">
        <f>P3316*8.5%</f>
        <v>470.47500000000002</v>
      </c>
    </row>
    <row r="3317" spans="1:17" hidden="1" x14ac:dyDescent="0.4">
      <c r="A3317" s="4" t="s">
        <v>67</v>
      </c>
      <c r="B3317" s="4" t="s">
        <v>26</v>
      </c>
      <c r="C3317" s="32" t="s">
        <v>436</v>
      </c>
      <c r="D3317" s="4" t="s">
        <v>63</v>
      </c>
      <c r="E3317" s="4" t="s">
        <v>28</v>
      </c>
      <c r="F3317" s="4" t="s">
        <v>17</v>
      </c>
      <c r="G3317" s="4" t="s">
        <v>18</v>
      </c>
      <c r="H3317" s="4" t="s">
        <v>306</v>
      </c>
      <c r="I3317" s="5" t="str">
        <f t="shared" si="51"/>
        <v>2026-01</v>
      </c>
      <c r="J3317" s="4" t="s">
        <v>34</v>
      </c>
      <c r="K3317" s="5" t="s">
        <v>342</v>
      </c>
      <c r="L3317" s="2">
        <v>7174</v>
      </c>
      <c r="M3317" s="3">
        <v>1</v>
      </c>
      <c r="N3317" s="2">
        <v>7174</v>
      </c>
      <c r="O3317" s="2">
        <v>717</v>
      </c>
      <c r="P3317" s="2">
        <v>7891</v>
      </c>
      <c r="Q3317" s="2">
        <f>P3317*8.5%</f>
        <v>670.73500000000001</v>
      </c>
    </row>
    <row r="3318" spans="1:17" hidden="1" x14ac:dyDescent="0.4">
      <c r="A3318" s="4" t="s">
        <v>40</v>
      </c>
      <c r="B3318" s="4" t="s">
        <v>26</v>
      </c>
      <c r="C3318" s="32" t="s">
        <v>436</v>
      </c>
      <c r="D3318" s="4" t="s">
        <v>41</v>
      </c>
      <c r="E3318" s="4" t="s">
        <v>28</v>
      </c>
      <c r="F3318" s="4" t="s">
        <v>17</v>
      </c>
      <c r="G3318" s="4" t="s">
        <v>18</v>
      </c>
      <c r="H3318" s="4" t="s">
        <v>306</v>
      </c>
      <c r="I3318" s="5" t="str">
        <f t="shared" si="51"/>
        <v>2026-01</v>
      </c>
      <c r="J3318" s="4" t="s">
        <v>34</v>
      </c>
      <c r="K3318" s="5" t="s">
        <v>342</v>
      </c>
      <c r="L3318" s="2">
        <v>17936</v>
      </c>
      <c r="M3318" s="3">
        <v>2</v>
      </c>
      <c r="N3318" s="2">
        <v>35872</v>
      </c>
      <c r="O3318" s="2">
        <v>3587</v>
      </c>
      <c r="P3318" s="2">
        <v>39459</v>
      </c>
      <c r="Q3318" s="2">
        <f>P3318*8.5%</f>
        <v>3354.0150000000003</v>
      </c>
    </row>
    <row r="3319" spans="1:17" hidden="1" x14ac:dyDescent="0.4">
      <c r="A3319" s="4" t="s">
        <v>120</v>
      </c>
      <c r="B3319" s="4" t="s">
        <v>26</v>
      </c>
      <c r="C3319" s="32" t="s">
        <v>436</v>
      </c>
      <c r="D3319" s="4" t="s">
        <v>121</v>
      </c>
      <c r="E3319" s="4" t="s">
        <v>28</v>
      </c>
      <c r="F3319" s="4" t="s">
        <v>17</v>
      </c>
      <c r="G3319" s="4" t="s">
        <v>18</v>
      </c>
      <c r="H3319" s="4" t="s">
        <v>306</v>
      </c>
      <c r="I3319" s="5" t="str">
        <f t="shared" si="51"/>
        <v>2026-01</v>
      </c>
      <c r="J3319" s="4" t="s">
        <v>34</v>
      </c>
      <c r="K3319" s="5" t="s">
        <v>342</v>
      </c>
      <c r="L3319" s="2">
        <v>7653</v>
      </c>
      <c r="M3319" s="3">
        <v>2</v>
      </c>
      <c r="N3319" s="2">
        <v>15306</v>
      </c>
      <c r="O3319" s="2">
        <v>1531</v>
      </c>
      <c r="P3319" s="2">
        <v>16837</v>
      </c>
      <c r="Q3319" s="2">
        <f>P3319*8.5%</f>
        <v>1431.1450000000002</v>
      </c>
    </row>
    <row r="3320" spans="1:17" hidden="1" x14ac:dyDescent="0.4">
      <c r="A3320" s="4" t="s">
        <v>42</v>
      </c>
      <c r="B3320" s="4" t="s">
        <v>14</v>
      </c>
      <c r="C3320" s="30" t="s">
        <v>434</v>
      </c>
      <c r="D3320" s="4" t="s">
        <v>43</v>
      </c>
      <c r="E3320" s="4" t="s">
        <v>44</v>
      </c>
      <c r="F3320" s="4" t="s">
        <v>31</v>
      </c>
      <c r="G3320" s="4" t="s">
        <v>18</v>
      </c>
      <c r="H3320" s="4" t="s">
        <v>306</v>
      </c>
      <c r="I3320" s="5" t="str">
        <f t="shared" si="51"/>
        <v>2026-01</v>
      </c>
      <c r="J3320" s="4" t="s">
        <v>34</v>
      </c>
      <c r="K3320" s="5" t="s">
        <v>342</v>
      </c>
      <c r="L3320" s="2">
        <v>7300</v>
      </c>
      <c r="M3320" s="3">
        <v>50.5</v>
      </c>
      <c r="N3320" s="2">
        <v>368650</v>
      </c>
      <c r="O3320" s="2">
        <v>0</v>
      </c>
      <c r="P3320" s="2">
        <v>368650</v>
      </c>
      <c r="Q3320" s="2">
        <f>P3320*8.5%</f>
        <v>31335.250000000004</v>
      </c>
    </row>
    <row r="3321" spans="1:17" hidden="1" x14ac:dyDescent="0.4">
      <c r="A3321" s="4" t="s">
        <v>222</v>
      </c>
      <c r="B3321" s="4" t="s">
        <v>26</v>
      </c>
      <c r="C3321" s="32" t="s">
        <v>436</v>
      </c>
      <c r="D3321" s="4" t="s">
        <v>203</v>
      </c>
      <c r="E3321" s="4" t="s">
        <v>47</v>
      </c>
      <c r="F3321" s="4" t="s">
        <v>17</v>
      </c>
      <c r="G3321" s="4" t="s">
        <v>18</v>
      </c>
      <c r="H3321" s="4" t="s">
        <v>306</v>
      </c>
      <c r="I3321" s="5" t="str">
        <f t="shared" si="51"/>
        <v>2026-01</v>
      </c>
      <c r="J3321" s="4" t="s">
        <v>34</v>
      </c>
      <c r="K3321" s="5" t="s">
        <v>342</v>
      </c>
      <c r="L3321" s="2">
        <v>13153</v>
      </c>
      <c r="M3321" s="3">
        <v>1</v>
      </c>
      <c r="N3321" s="2">
        <v>13153</v>
      </c>
      <c r="O3321" s="2">
        <v>1315</v>
      </c>
      <c r="P3321" s="2">
        <v>14468</v>
      </c>
      <c r="Q3321" s="2">
        <f>P3321*8.5%</f>
        <v>1229.7800000000002</v>
      </c>
    </row>
    <row r="3322" spans="1:17" hidden="1" x14ac:dyDescent="0.4">
      <c r="A3322" s="4" t="s">
        <v>32</v>
      </c>
      <c r="B3322" s="4" t="s">
        <v>14</v>
      </c>
      <c r="C3322" s="31" t="s">
        <v>435</v>
      </c>
      <c r="D3322" s="4" t="s">
        <v>33</v>
      </c>
      <c r="E3322" s="4" t="s">
        <v>16</v>
      </c>
      <c r="F3322" s="4" t="s">
        <v>17</v>
      </c>
      <c r="G3322" s="4" t="s">
        <v>18</v>
      </c>
      <c r="H3322" s="4" t="s">
        <v>306</v>
      </c>
      <c r="I3322" s="5" t="str">
        <f t="shared" si="51"/>
        <v>2026-01</v>
      </c>
      <c r="J3322" s="4" t="s">
        <v>59</v>
      </c>
      <c r="K3322" s="5" t="s">
        <v>343</v>
      </c>
      <c r="L3322" s="2">
        <v>44000</v>
      </c>
      <c r="M3322" s="3">
        <v>1</v>
      </c>
      <c r="N3322" s="2">
        <v>44000</v>
      </c>
      <c r="O3322" s="2">
        <v>4400</v>
      </c>
      <c r="P3322" s="2">
        <v>48400</v>
      </c>
      <c r="Q3322" s="2">
        <f>P3322*12%</f>
        <v>5808</v>
      </c>
    </row>
    <row r="3323" spans="1:17" hidden="1" x14ac:dyDescent="0.4">
      <c r="A3323" s="4" t="s">
        <v>13</v>
      </c>
      <c r="B3323" s="4" t="s">
        <v>14</v>
      </c>
      <c r="C3323" s="30" t="s">
        <v>434</v>
      </c>
      <c r="D3323" s="4" t="s">
        <v>15</v>
      </c>
      <c r="E3323" s="4" t="s">
        <v>16</v>
      </c>
      <c r="F3323" s="4" t="s">
        <v>17</v>
      </c>
      <c r="G3323" s="4" t="s">
        <v>18</v>
      </c>
      <c r="H3323" s="4" t="s">
        <v>306</v>
      </c>
      <c r="I3323" s="5" t="str">
        <f t="shared" si="51"/>
        <v>2026-01</v>
      </c>
      <c r="J3323" s="4" t="s">
        <v>59</v>
      </c>
      <c r="K3323" s="5" t="s">
        <v>343</v>
      </c>
      <c r="L3323" s="2">
        <v>42000</v>
      </c>
      <c r="M3323" s="3">
        <v>1</v>
      </c>
      <c r="N3323" s="2">
        <v>42000</v>
      </c>
      <c r="O3323" s="2">
        <v>4200</v>
      </c>
      <c r="P3323" s="2">
        <v>46200</v>
      </c>
      <c r="Q3323" s="2">
        <f>P3323*12%</f>
        <v>5544</v>
      </c>
    </row>
    <row r="3324" spans="1:17" hidden="1" x14ac:dyDescent="0.4">
      <c r="A3324" s="4" t="s">
        <v>23</v>
      </c>
      <c r="B3324" s="4" t="s">
        <v>14</v>
      </c>
      <c r="C3324" s="31" t="s">
        <v>435</v>
      </c>
      <c r="D3324" s="4" t="s">
        <v>24</v>
      </c>
      <c r="E3324" s="4" t="s">
        <v>16</v>
      </c>
      <c r="F3324" s="4" t="s">
        <v>17</v>
      </c>
      <c r="G3324" s="4" t="s">
        <v>18</v>
      </c>
      <c r="H3324" s="4" t="s">
        <v>306</v>
      </c>
      <c r="I3324" s="5" t="str">
        <f t="shared" si="51"/>
        <v>2026-01</v>
      </c>
      <c r="J3324" s="4" t="s">
        <v>59</v>
      </c>
      <c r="K3324" s="5" t="s">
        <v>343</v>
      </c>
      <c r="L3324" s="2">
        <v>55500</v>
      </c>
      <c r="M3324" s="3">
        <v>1</v>
      </c>
      <c r="N3324" s="2">
        <v>55500</v>
      </c>
      <c r="O3324" s="2">
        <v>5550</v>
      </c>
      <c r="P3324" s="2">
        <v>61050</v>
      </c>
      <c r="Q3324" s="2">
        <f>P3324*12%</f>
        <v>7326</v>
      </c>
    </row>
    <row r="3325" spans="1:17" hidden="1" x14ac:dyDescent="0.4">
      <c r="A3325" s="4" t="s">
        <v>51</v>
      </c>
      <c r="B3325" s="4" t="s">
        <v>14</v>
      </c>
      <c r="C3325" s="30" t="s">
        <v>434</v>
      </c>
      <c r="D3325" s="4" t="s">
        <v>52</v>
      </c>
      <c r="E3325" s="4" t="s">
        <v>16</v>
      </c>
      <c r="F3325" s="4" t="s">
        <v>17</v>
      </c>
      <c r="G3325" s="4" t="s">
        <v>18</v>
      </c>
      <c r="H3325" s="4" t="s">
        <v>306</v>
      </c>
      <c r="I3325" s="5" t="str">
        <f t="shared" si="51"/>
        <v>2026-01</v>
      </c>
      <c r="J3325" s="4" t="s">
        <v>59</v>
      </c>
      <c r="K3325" s="5" t="s">
        <v>343</v>
      </c>
      <c r="L3325" s="2">
        <v>73000</v>
      </c>
      <c r="M3325" s="3">
        <v>1</v>
      </c>
      <c r="N3325" s="2">
        <v>73000</v>
      </c>
      <c r="O3325" s="2">
        <v>7300</v>
      </c>
      <c r="P3325" s="2">
        <v>80300</v>
      </c>
      <c r="Q3325" s="2">
        <f>P3325*12%</f>
        <v>9636</v>
      </c>
    </row>
    <row r="3326" spans="1:17" hidden="1" x14ac:dyDescent="0.4">
      <c r="A3326" s="4" t="s">
        <v>35</v>
      </c>
      <c r="B3326" s="4" t="s">
        <v>14</v>
      </c>
      <c r="C3326" s="30" t="s">
        <v>434</v>
      </c>
      <c r="D3326" s="4" t="s">
        <v>36</v>
      </c>
      <c r="E3326" s="4" t="s">
        <v>16</v>
      </c>
      <c r="F3326" s="4" t="s">
        <v>17</v>
      </c>
      <c r="G3326" s="4" t="s">
        <v>18</v>
      </c>
      <c r="H3326" s="4" t="s">
        <v>306</v>
      </c>
      <c r="I3326" s="5" t="str">
        <f t="shared" si="51"/>
        <v>2026-01</v>
      </c>
      <c r="J3326" s="4" t="s">
        <v>60</v>
      </c>
      <c r="K3326" s="5" t="s">
        <v>343</v>
      </c>
      <c r="L3326" s="2">
        <v>116220</v>
      </c>
      <c r="M3326" s="3">
        <v>4</v>
      </c>
      <c r="N3326" s="2">
        <v>464880</v>
      </c>
      <c r="O3326" s="2">
        <v>46488</v>
      </c>
      <c r="P3326" s="2">
        <v>511368</v>
      </c>
      <c r="Q3326" s="2">
        <f>P3326*12%</f>
        <v>61364.159999999996</v>
      </c>
    </row>
    <row r="3327" spans="1:17" hidden="1" x14ac:dyDescent="0.4">
      <c r="A3327" s="4" t="s">
        <v>23</v>
      </c>
      <c r="B3327" s="4" t="s">
        <v>14</v>
      </c>
      <c r="C3327" s="31" t="s">
        <v>435</v>
      </c>
      <c r="D3327" s="4" t="s">
        <v>24</v>
      </c>
      <c r="E3327" s="4" t="s">
        <v>16</v>
      </c>
      <c r="F3327" s="4" t="s">
        <v>17</v>
      </c>
      <c r="G3327" s="4" t="s">
        <v>18</v>
      </c>
      <c r="H3327" s="4" t="s">
        <v>306</v>
      </c>
      <c r="I3327" s="5" t="str">
        <f t="shared" si="51"/>
        <v>2026-01</v>
      </c>
      <c r="J3327" s="4" t="s">
        <v>60</v>
      </c>
      <c r="K3327" s="5" t="s">
        <v>343</v>
      </c>
      <c r="L3327" s="2">
        <v>55500</v>
      </c>
      <c r="M3327" s="3">
        <v>6</v>
      </c>
      <c r="N3327" s="2">
        <v>333000</v>
      </c>
      <c r="O3327" s="2">
        <v>33300</v>
      </c>
      <c r="P3327" s="2">
        <v>366300</v>
      </c>
      <c r="Q3327" s="2">
        <f>P3327*12%</f>
        <v>43956</v>
      </c>
    </row>
    <row r="3328" spans="1:17" hidden="1" x14ac:dyDescent="0.4">
      <c r="A3328" s="4" t="s">
        <v>51</v>
      </c>
      <c r="B3328" s="4" t="s">
        <v>14</v>
      </c>
      <c r="C3328" s="30" t="s">
        <v>434</v>
      </c>
      <c r="D3328" s="4" t="s">
        <v>52</v>
      </c>
      <c r="E3328" s="4" t="s">
        <v>16</v>
      </c>
      <c r="F3328" s="4" t="s">
        <v>17</v>
      </c>
      <c r="G3328" s="4" t="s">
        <v>18</v>
      </c>
      <c r="H3328" s="4" t="s">
        <v>306</v>
      </c>
      <c r="I3328" s="5" t="str">
        <f t="shared" si="51"/>
        <v>2026-01</v>
      </c>
      <c r="J3328" s="4" t="s">
        <v>60</v>
      </c>
      <c r="K3328" s="5" t="s">
        <v>343</v>
      </c>
      <c r="L3328" s="2">
        <v>73000</v>
      </c>
      <c r="M3328" s="3">
        <v>1</v>
      </c>
      <c r="N3328" s="2">
        <v>73000</v>
      </c>
      <c r="O3328" s="2">
        <v>7300</v>
      </c>
      <c r="P3328" s="2">
        <v>80300</v>
      </c>
      <c r="Q3328" s="2">
        <f>P3328*12%</f>
        <v>9636</v>
      </c>
    </row>
    <row r="3329" spans="1:17" hidden="1" x14ac:dyDescent="0.4">
      <c r="A3329" s="4" t="s">
        <v>32</v>
      </c>
      <c r="B3329" s="4" t="s">
        <v>14</v>
      </c>
      <c r="C3329" s="31" t="s">
        <v>435</v>
      </c>
      <c r="D3329" s="4" t="s">
        <v>33</v>
      </c>
      <c r="E3329" s="4" t="s">
        <v>16</v>
      </c>
      <c r="F3329" s="4" t="s">
        <v>17</v>
      </c>
      <c r="G3329" s="4" t="s">
        <v>18</v>
      </c>
      <c r="H3329" s="4" t="s">
        <v>306</v>
      </c>
      <c r="I3329" s="5" t="str">
        <f t="shared" si="51"/>
        <v>2026-01</v>
      </c>
      <c r="J3329" s="4" t="s">
        <v>49</v>
      </c>
      <c r="K3329" s="5" t="s">
        <v>343</v>
      </c>
      <c r="L3329" s="2">
        <v>44000</v>
      </c>
      <c r="M3329" s="3">
        <v>6</v>
      </c>
      <c r="N3329" s="2">
        <v>264000</v>
      </c>
      <c r="O3329" s="2">
        <v>26400</v>
      </c>
      <c r="P3329" s="2">
        <v>290400</v>
      </c>
      <c r="Q3329" s="2">
        <f>P3329*12%</f>
        <v>34848</v>
      </c>
    </row>
    <row r="3330" spans="1:17" hidden="1" x14ac:dyDescent="0.4">
      <c r="A3330" s="4" t="s">
        <v>13</v>
      </c>
      <c r="B3330" s="4" t="s">
        <v>14</v>
      </c>
      <c r="C3330" s="30" t="s">
        <v>434</v>
      </c>
      <c r="D3330" s="4" t="s">
        <v>15</v>
      </c>
      <c r="E3330" s="4" t="s">
        <v>16</v>
      </c>
      <c r="F3330" s="4" t="s">
        <v>17</v>
      </c>
      <c r="G3330" s="4" t="s">
        <v>18</v>
      </c>
      <c r="H3330" s="4" t="s">
        <v>306</v>
      </c>
      <c r="I3330" s="5" t="str">
        <f t="shared" ref="I3330:I3393" si="52">TEXT(H3330,"yyyy-mm")</f>
        <v>2026-01</v>
      </c>
      <c r="J3330" s="4" t="s">
        <v>49</v>
      </c>
      <c r="K3330" s="5" t="s">
        <v>343</v>
      </c>
      <c r="L3330" s="2">
        <v>42000</v>
      </c>
      <c r="M3330" s="3">
        <v>5</v>
      </c>
      <c r="N3330" s="2">
        <v>210000</v>
      </c>
      <c r="O3330" s="2">
        <v>21000</v>
      </c>
      <c r="P3330" s="2">
        <v>231000</v>
      </c>
      <c r="Q3330" s="2">
        <f>P3330*12%</f>
        <v>27720</v>
      </c>
    </row>
    <row r="3331" spans="1:17" hidden="1" x14ac:dyDescent="0.4">
      <c r="A3331" s="4" t="s">
        <v>23</v>
      </c>
      <c r="B3331" s="4" t="s">
        <v>14</v>
      </c>
      <c r="C3331" s="31" t="s">
        <v>435</v>
      </c>
      <c r="D3331" s="4" t="s">
        <v>24</v>
      </c>
      <c r="E3331" s="4" t="s">
        <v>16</v>
      </c>
      <c r="F3331" s="4" t="s">
        <v>17</v>
      </c>
      <c r="G3331" s="4" t="s">
        <v>18</v>
      </c>
      <c r="H3331" s="4" t="s">
        <v>306</v>
      </c>
      <c r="I3331" s="5" t="str">
        <f t="shared" si="52"/>
        <v>2026-01</v>
      </c>
      <c r="J3331" s="4" t="s">
        <v>49</v>
      </c>
      <c r="K3331" s="5" t="s">
        <v>343</v>
      </c>
      <c r="L3331" s="2">
        <v>55500</v>
      </c>
      <c r="M3331" s="3">
        <v>3</v>
      </c>
      <c r="N3331" s="2">
        <v>166500</v>
      </c>
      <c r="O3331" s="2">
        <v>16650</v>
      </c>
      <c r="P3331" s="2">
        <v>183150</v>
      </c>
      <c r="Q3331" s="2">
        <f>P3331*12%</f>
        <v>21978</v>
      </c>
    </row>
    <row r="3332" spans="1:17" hidden="1" x14ac:dyDescent="0.4">
      <c r="A3332" s="4" t="s">
        <v>32</v>
      </c>
      <c r="B3332" s="4" t="s">
        <v>14</v>
      </c>
      <c r="C3332" s="31" t="s">
        <v>435</v>
      </c>
      <c r="D3332" s="4" t="s">
        <v>33</v>
      </c>
      <c r="E3332" s="4" t="s">
        <v>16</v>
      </c>
      <c r="F3332" s="4" t="s">
        <v>17</v>
      </c>
      <c r="G3332" s="4" t="s">
        <v>18</v>
      </c>
      <c r="H3332" s="4" t="s">
        <v>306</v>
      </c>
      <c r="I3332" s="5" t="str">
        <f t="shared" si="52"/>
        <v>2026-01</v>
      </c>
      <c r="J3332" s="4" t="s">
        <v>50</v>
      </c>
      <c r="K3332" s="5" t="s">
        <v>343</v>
      </c>
      <c r="L3332" s="2">
        <v>44000</v>
      </c>
      <c r="M3332" s="3">
        <v>1</v>
      </c>
      <c r="N3332" s="2">
        <v>44000</v>
      </c>
      <c r="O3332" s="2">
        <v>4400</v>
      </c>
      <c r="P3332" s="2">
        <v>48400</v>
      </c>
      <c r="Q3332" s="2">
        <f>P3332*12%</f>
        <v>5808</v>
      </c>
    </row>
    <row r="3333" spans="1:17" hidden="1" x14ac:dyDescent="0.4">
      <c r="A3333" s="4" t="s">
        <v>13</v>
      </c>
      <c r="B3333" s="4" t="s">
        <v>14</v>
      </c>
      <c r="C3333" s="30" t="s">
        <v>434</v>
      </c>
      <c r="D3333" s="4" t="s">
        <v>15</v>
      </c>
      <c r="E3333" s="4" t="s">
        <v>16</v>
      </c>
      <c r="F3333" s="4" t="s">
        <v>17</v>
      </c>
      <c r="G3333" s="4" t="s">
        <v>18</v>
      </c>
      <c r="H3333" s="4" t="s">
        <v>306</v>
      </c>
      <c r="I3333" s="5" t="str">
        <f t="shared" si="52"/>
        <v>2026-01</v>
      </c>
      <c r="J3333" s="4" t="s">
        <v>50</v>
      </c>
      <c r="K3333" s="5" t="s">
        <v>343</v>
      </c>
      <c r="L3333" s="2">
        <v>42000</v>
      </c>
      <c r="M3333" s="3">
        <v>10</v>
      </c>
      <c r="N3333" s="2">
        <v>420000</v>
      </c>
      <c r="O3333" s="2">
        <v>42000</v>
      </c>
      <c r="P3333" s="2">
        <v>462000</v>
      </c>
      <c r="Q3333" s="2">
        <f>P3333*12%</f>
        <v>55440</v>
      </c>
    </row>
    <row r="3334" spans="1:17" hidden="1" x14ac:dyDescent="0.4">
      <c r="A3334" s="4" t="s">
        <v>23</v>
      </c>
      <c r="B3334" s="4" t="s">
        <v>14</v>
      </c>
      <c r="C3334" s="31" t="s">
        <v>435</v>
      </c>
      <c r="D3334" s="4" t="s">
        <v>24</v>
      </c>
      <c r="E3334" s="4" t="s">
        <v>16</v>
      </c>
      <c r="F3334" s="4" t="s">
        <v>17</v>
      </c>
      <c r="G3334" s="4" t="s">
        <v>18</v>
      </c>
      <c r="H3334" s="4" t="s">
        <v>306</v>
      </c>
      <c r="I3334" s="5" t="str">
        <f t="shared" si="52"/>
        <v>2026-01</v>
      </c>
      <c r="J3334" s="4" t="s">
        <v>50</v>
      </c>
      <c r="K3334" s="5" t="s">
        <v>343</v>
      </c>
      <c r="L3334" s="2">
        <v>55500</v>
      </c>
      <c r="M3334" s="3">
        <v>3</v>
      </c>
      <c r="N3334" s="2">
        <v>166500</v>
      </c>
      <c r="O3334" s="2">
        <v>16650</v>
      </c>
      <c r="P3334" s="2">
        <v>183150</v>
      </c>
      <c r="Q3334" s="2">
        <f>P3334*12%</f>
        <v>21978</v>
      </c>
    </row>
    <row r="3335" spans="1:17" hidden="1" x14ac:dyDescent="0.4">
      <c r="A3335" s="4" t="s">
        <v>51</v>
      </c>
      <c r="B3335" s="4" t="s">
        <v>14</v>
      </c>
      <c r="C3335" s="30" t="s">
        <v>434</v>
      </c>
      <c r="D3335" s="4" t="s">
        <v>52</v>
      </c>
      <c r="E3335" s="4" t="s">
        <v>16</v>
      </c>
      <c r="F3335" s="4" t="s">
        <v>17</v>
      </c>
      <c r="G3335" s="4" t="s">
        <v>18</v>
      </c>
      <c r="H3335" s="4" t="s">
        <v>306</v>
      </c>
      <c r="I3335" s="5" t="str">
        <f t="shared" si="52"/>
        <v>2026-01</v>
      </c>
      <c r="J3335" s="4" t="s">
        <v>50</v>
      </c>
      <c r="K3335" s="5" t="s">
        <v>343</v>
      </c>
      <c r="L3335" s="2">
        <v>73000</v>
      </c>
      <c r="M3335" s="3">
        <v>1</v>
      </c>
      <c r="N3335" s="2">
        <v>73000</v>
      </c>
      <c r="O3335" s="2">
        <v>7300</v>
      </c>
      <c r="P3335" s="2">
        <v>80300</v>
      </c>
      <c r="Q3335" s="2">
        <f>P3335*12%</f>
        <v>9636</v>
      </c>
    </row>
    <row r="3336" spans="1:17" x14ac:dyDescent="0.4">
      <c r="A3336" s="4" t="s">
        <v>58</v>
      </c>
      <c r="B3336" s="4" t="s">
        <v>14</v>
      </c>
      <c r="C3336" s="30" t="s">
        <v>434</v>
      </c>
      <c r="D3336" s="4" t="s">
        <v>36</v>
      </c>
      <c r="E3336" s="4" t="s">
        <v>16</v>
      </c>
      <c r="F3336" s="4" t="s">
        <v>17</v>
      </c>
      <c r="G3336" s="4" t="s">
        <v>233</v>
      </c>
      <c r="H3336" s="4" t="s">
        <v>308</v>
      </c>
      <c r="I3336" s="5" t="str">
        <f t="shared" si="52"/>
        <v>2026-01</v>
      </c>
      <c r="J3336" s="4" t="s">
        <v>20</v>
      </c>
      <c r="K3336" s="5" t="s">
        <v>342</v>
      </c>
      <c r="L3336" s="2">
        <v>120880</v>
      </c>
      <c r="M3336" s="3">
        <v>-1</v>
      </c>
      <c r="N3336" s="2">
        <v>-120880</v>
      </c>
      <c r="O3336" s="2">
        <v>-12088</v>
      </c>
      <c r="P3336" s="2">
        <v>-132968</v>
      </c>
      <c r="Q3336" s="2">
        <f>P3336*8.5%</f>
        <v>-11302.28</v>
      </c>
    </row>
    <row r="3337" spans="1:17" x14ac:dyDescent="0.4">
      <c r="A3337" s="4" t="s">
        <v>21</v>
      </c>
      <c r="B3337" s="4" t="s">
        <v>14</v>
      </c>
      <c r="C3337" s="31" t="s">
        <v>435</v>
      </c>
      <c r="D3337" s="4" t="s">
        <v>22</v>
      </c>
      <c r="E3337" s="4" t="s">
        <v>16</v>
      </c>
      <c r="F3337" s="4" t="s">
        <v>17</v>
      </c>
      <c r="G3337" s="4" t="s">
        <v>18</v>
      </c>
      <c r="H3337" s="4" t="s">
        <v>309</v>
      </c>
      <c r="I3337" s="5" t="str">
        <f t="shared" si="52"/>
        <v>2026-01</v>
      </c>
      <c r="J3337" s="4" t="s">
        <v>20</v>
      </c>
      <c r="K3337" s="5" t="s">
        <v>342</v>
      </c>
      <c r="L3337" s="2">
        <v>55500</v>
      </c>
      <c r="M3337" s="3">
        <v>1</v>
      </c>
      <c r="N3337" s="2">
        <v>55500</v>
      </c>
      <c r="O3337" s="2">
        <v>5550</v>
      </c>
      <c r="P3337" s="2">
        <v>61050</v>
      </c>
      <c r="Q3337" s="2">
        <f>P3337*8.5%</f>
        <v>5189.25</v>
      </c>
    </row>
    <row r="3338" spans="1:17" x14ac:dyDescent="0.4">
      <c r="A3338" s="4" t="s">
        <v>23</v>
      </c>
      <c r="B3338" s="4" t="s">
        <v>14</v>
      </c>
      <c r="C3338" s="31" t="s">
        <v>435</v>
      </c>
      <c r="D3338" s="4" t="s">
        <v>24</v>
      </c>
      <c r="E3338" s="4" t="s">
        <v>16</v>
      </c>
      <c r="F3338" s="4" t="s">
        <v>17</v>
      </c>
      <c r="G3338" s="4" t="s">
        <v>18</v>
      </c>
      <c r="H3338" s="4" t="s">
        <v>309</v>
      </c>
      <c r="I3338" s="5" t="str">
        <f t="shared" si="52"/>
        <v>2026-01</v>
      </c>
      <c r="J3338" s="4" t="s">
        <v>20</v>
      </c>
      <c r="K3338" s="5" t="s">
        <v>342</v>
      </c>
      <c r="L3338" s="2">
        <v>55500</v>
      </c>
      <c r="M3338" s="3">
        <v>3</v>
      </c>
      <c r="N3338" s="2">
        <v>166500</v>
      </c>
      <c r="O3338" s="2">
        <v>16650</v>
      </c>
      <c r="P3338" s="2">
        <v>183150</v>
      </c>
      <c r="Q3338" s="2">
        <f>P3338*8.5%</f>
        <v>15567.750000000002</v>
      </c>
    </row>
    <row r="3339" spans="1:17" x14ac:dyDescent="0.4">
      <c r="A3339" s="4" t="s">
        <v>56</v>
      </c>
      <c r="B3339" s="4" t="s">
        <v>26</v>
      </c>
      <c r="C3339" s="32" t="s">
        <v>436</v>
      </c>
      <c r="D3339" s="4" t="s">
        <v>57</v>
      </c>
      <c r="E3339" s="4" t="s">
        <v>44</v>
      </c>
      <c r="F3339" s="4" t="s">
        <v>31</v>
      </c>
      <c r="G3339" s="4" t="s">
        <v>18</v>
      </c>
      <c r="H3339" s="4" t="s">
        <v>309</v>
      </c>
      <c r="I3339" s="5" t="str">
        <f t="shared" si="52"/>
        <v>2026-01</v>
      </c>
      <c r="J3339" s="4" t="s">
        <v>20</v>
      </c>
      <c r="K3339" s="5" t="s">
        <v>342</v>
      </c>
      <c r="L3339" s="2">
        <v>2368</v>
      </c>
      <c r="M3339" s="3">
        <v>20</v>
      </c>
      <c r="N3339" s="2">
        <v>47360</v>
      </c>
      <c r="O3339" s="2">
        <v>0</v>
      </c>
      <c r="P3339" s="2">
        <v>47360</v>
      </c>
      <c r="Q3339" s="2">
        <f>P3339*8.5%</f>
        <v>4025.6000000000004</v>
      </c>
    </row>
    <row r="3340" spans="1:17" hidden="1" x14ac:dyDescent="0.4">
      <c r="A3340" s="4" t="s">
        <v>80</v>
      </c>
      <c r="B3340" s="4" t="s">
        <v>26</v>
      </c>
      <c r="C3340" s="32" t="s">
        <v>436</v>
      </c>
      <c r="D3340" s="4" t="s">
        <v>81</v>
      </c>
      <c r="E3340" s="4" t="s">
        <v>16</v>
      </c>
      <c r="F3340" s="4" t="s">
        <v>17</v>
      </c>
      <c r="G3340" s="4" t="s">
        <v>18</v>
      </c>
      <c r="H3340" s="4" t="s">
        <v>309</v>
      </c>
      <c r="I3340" s="5" t="str">
        <f t="shared" si="52"/>
        <v>2026-01</v>
      </c>
      <c r="J3340" s="4" t="s">
        <v>34</v>
      </c>
      <c r="K3340" s="5" t="s">
        <v>342</v>
      </c>
      <c r="L3340" s="2">
        <v>17072</v>
      </c>
      <c r="M3340" s="3">
        <v>1</v>
      </c>
      <c r="N3340" s="2">
        <v>17072</v>
      </c>
      <c r="O3340" s="2">
        <v>1707</v>
      </c>
      <c r="P3340" s="2">
        <v>18779</v>
      </c>
      <c r="Q3340" s="2">
        <f>P3340*8.5%</f>
        <v>1596.2150000000001</v>
      </c>
    </row>
    <row r="3341" spans="1:17" hidden="1" x14ac:dyDescent="0.4">
      <c r="A3341" s="4" t="s">
        <v>82</v>
      </c>
      <c r="B3341" s="4" t="s">
        <v>26</v>
      </c>
      <c r="C3341" s="32" t="s">
        <v>436</v>
      </c>
      <c r="D3341" s="4" t="s">
        <v>81</v>
      </c>
      <c r="E3341" s="4" t="s">
        <v>16</v>
      </c>
      <c r="F3341" s="4" t="s">
        <v>17</v>
      </c>
      <c r="G3341" s="4" t="s">
        <v>18</v>
      </c>
      <c r="H3341" s="4" t="s">
        <v>309</v>
      </c>
      <c r="I3341" s="5" t="str">
        <f t="shared" si="52"/>
        <v>2026-01</v>
      </c>
      <c r="J3341" s="4" t="s">
        <v>34</v>
      </c>
      <c r="K3341" s="5" t="s">
        <v>342</v>
      </c>
      <c r="L3341" s="2">
        <v>20891</v>
      </c>
      <c r="M3341" s="3">
        <v>1</v>
      </c>
      <c r="N3341" s="2">
        <v>20891</v>
      </c>
      <c r="O3341" s="2">
        <v>2089</v>
      </c>
      <c r="P3341" s="2">
        <v>22980</v>
      </c>
      <c r="Q3341" s="2">
        <f>P3341*8.5%</f>
        <v>1953.3000000000002</v>
      </c>
    </row>
    <row r="3342" spans="1:17" hidden="1" x14ac:dyDescent="0.4">
      <c r="A3342" s="4" t="s">
        <v>32</v>
      </c>
      <c r="B3342" s="4" t="s">
        <v>14</v>
      </c>
      <c r="C3342" s="31" t="s">
        <v>435</v>
      </c>
      <c r="D3342" s="4" t="s">
        <v>33</v>
      </c>
      <c r="E3342" s="4" t="s">
        <v>16</v>
      </c>
      <c r="F3342" s="4" t="s">
        <v>17</v>
      </c>
      <c r="G3342" s="4" t="s">
        <v>18</v>
      </c>
      <c r="H3342" s="4" t="s">
        <v>309</v>
      </c>
      <c r="I3342" s="5" t="str">
        <f t="shared" si="52"/>
        <v>2026-01</v>
      </c>
      <c r="J3342" s="4" t="s">
        <v>34</v>
      </c>
      <c r="K3342" s="5" t="s">
        <v>342</v>
      </c>
      <c r="L3342" s="2">
        <v>44000</v>
      </c>
      <c r="M3342" s="3">
        <v>2</v>
      </c>
      <c r="N3342" s="2">
        <v>88000</v>
      </c>
      <c r="O3342" s="2">
        <v>8800</v>
      </c>
      <c r="P3342" s="2">
        <v>96800</v>
      </c>
      <c r="Q3342" s="2">
        <f>P3342*8.5%</f>
        <v>8228</v>
      </c>
    </row>
    <row r="3343" spans="1:17" hidden="1" x14ac:dyDescent="0.4">
      <c r="A3343" s="4" t="s">
        <v>13</v>
      </c>
      <c r="B3343" s="4" t="s">
        <v>14</v>
      </c>
      <c r="C3343" s="30" t="s">
        <v>434</v>
      </c>
      <c r="D3343" s="4" t="s">
        <v>15</v>
      </c>
      <c r="E3343" s="4" t="s">
        <v>16</v>
      </c>
      <c r="F3343" s="4" t="s">
        <v>17</v>
      </c>
      <c r="G3343" s="4" t="s">
        <v>18</v>
      </c>
      <c r="H3343" s="4" t="s">
        <v>309</v>
      </c>
      <c r="I3343" s="5" t="str">
        <f t="shared" si="52"/>
        <v>2026-01</v>
      </c>
      <c r="J3343" s="4" t="s">
        <v>34</v>
      </c>
      <c r="K3343" s="5" t="s">
        <v>342</v>
      </c>
      <c r="L3343" s="2">
        <v>42000</v>
      </c>
      <c r="M3343" s="3">
        <v>3</v>
      </c>
      <c r="N3343" s="2">
        <v>126000</v>
      </c>
      <c r="O3343" s="2">
        <v>12600</v>
      </c>
      <c r="P3343" s="2">
        <v>138600</v>
      </c>
      <c r="Q3343" s="2">
        <f>P3343*8.5%</f>
        <v>11781</v>
      </c>
    </row>
    <row r="3344" spans="1:17" hidden="1" x14ac:dyDescent="0.4">
      <c r="A3344" s="4" t="s">
        <v>21</v>
      </c>
      <c r="B3344" s="4" t="s">
        <v>14</v>
      </c>
      <c r="C3344" s="31" t="s">
        <v>435</v>
      </c>
      <c r="D3344" s="4" t="s">
        <v>22</v>
      </c>
      <c r="E3344" s="4" t="s">
        <v>16</v>
      </c>
      <c r="F3344" s="4" t="s">
        <v>17</v>
      </c>
      <c r="G3344" s="4" t="s">
        <v>18</v>
      </c>
      <c r="H3344" s="4" t="s">
        <v>309</v>
      </c>
      <c r="I3344" s="5" t="str">
        <f t="shared" si="52"/>
        <v>2026-01</v>
      </c>
      <c r="J3344" s="4" t="s">
        <v>34</v>
      </c>
      <c r="K3344" s="5" t="s">
        <v>342</v>
      </c>
      <c r="L3344" s="2">
        <v>55500</v>
      </c>
      <c r="M3344" s="3">
        <v>1</v>
      </c>
      <c r="N3344" s="2">
        <v>55500</v>
      </c>
      <c r="O3344" s="2">
        <v>5550</v>
      </c>
      <c r="P3344" s="2">
        <v>61050</v>
      </c>
      <c r="Q3344" s="2">
        <f>P3344*8.5%</f>
        <v>5189.25</v>
      </c>
    </row>
    <row r="3345" spans="1:17" hidden="1" x14ac:dyDescent="0.4">
      <c r="A3345" s="4" t="s">
        <v>35</v>
      </c>
      <c r="B3345" s="4" t="s">
        <v>14</v>
      </c>
      <c r="C3345" s="30" t="s">
        <v>434</v>
      </c>
      <c r="D3345" s="4" t="s">
        <v>36</v>
      </c>
      <c r="E3345" s="4" t="s">
        <v>16</v>
      </c>
      <c r="F3345" s="4" t="s">
        <v>17</v>
      </c>
      <c r="G3345" s="4" t="s">
        <v>18</v>
      </c>
      <c r="H3345" s="4" t="s">
        <v>309</v>
      </c>
      <c r="I3345" s="5" t="str">
        <f t="shared" si="52"/>
        <v>2026-01</v>
      </c>
      <c r="J3345" s="4" t="s">
        <v>34</v>
      </c>
      <c r="K3345" s="5" t="s">
        <v>342</v>
      </c>
      <c r="L3345" s="2">
        <v>116220</v>
      </c>
      <c r="M3345" s="3">
        <v>1</v>
      </c>
      <c r="N3345" s="2">
        <v>116220</v>
      </c>
      <c r="O3345" s="2">
        <v>11622</v>
      </c>
      <c r="P3345" s="2">
        <v>127842</v>
      </c>
      <c r="Q3345" s="2">
        <f>P3345*8.5%</f>
        <v>10866.570000000002</v>
      </c>
    </row>
    <row r="3346" spans="1:17" hidden="1" x14ac:dyDescent="0.4">
      <c r="A3346" s="4" t="s">
        <v>23</v>
      </c>
      <c r="B3346" s="4" t="s">
        <v>14</v>
      </c>
      <c r="C3346" s="31" t="s">
        <v>435</v>
      </c>
      <c r="D3346" s="4" t="s">
        <v>24</v>
      </c>
      <c r="E3346" s="4" t="s">
        <v>16</v>
      </c>
      <c r="F3346" s="4" t="s">
        <v>17</v>
      </c>
      <c r="G3346" s="4" t="s">
        <v>18</v>
      </c>
      <c r="H3346" s="4" t="s">
        <v>309</v>
      </c>
      <c r="I3346" s="5" t="str">
        <f t="shared" si="52"/>
        <v>2026-01</v>
      </c>
      <c r="J3346" s="4" t="s">
        <v>34</v>
      </c>
      <c r="K3346" s="5" t="s">
        <v>342</v>
      </c>
      <c r="L3346" s="2">
        <v>55500</v>
      </c>
      <c r="M3346" s="3">
        <v>3</v>
      </c>
      <c r="N3346" s="2">
        <v>166500</v>
      </c>
      <c r="O3346" s="2">
        <v>16650</v>
      </c>
      <c r="P3346" s="2">
        <v>183150</v>
      </c>
      <c r="Q3346" s="2">
        <f>P3346*8.5%</f>
        <v>15567.750000000002</v>
      </c>
    </row>
    <row r="3347" spans="1:17" hidden="1" x14ac:dyDescent="0.4">
      <c r="A3347" s="4" t="s">
        <v>51</v>
      </c>
      <c r="B3347" s="4" t="s">
        <v>14</v>
      </c>
      <c r="C3347" s="30" t="s">
        <v>434</v>
      </c>
      <c r="D3347" s="4" t="s">
        <v>52</v>
      </c>
      <c r="E3347" s="4" t="s">
        <v>16</v>
      </c>
      <c r="F3347" s="4" t="s">
        <v>17</v>
      </c>
      <c r="G3347" s="4" t="s">
        <v>18</v>
      </c>
      <c r="H3347" s="4" t="s">
        <v>309</v>
      </c>
      <c r="I3347" s="5" t="str">
        <f t="shared" si="52"/>
        <v>2026-01</v>
      </c>
      <c r="J3347" s="4" t="s">
        <v>34</v>
      </c>
      <c r="K3347" s="5" t="s">
        <v>342</v>
      </c>
      <c r="L3347" s="2">
        <v>73000</v>
      </c>
      <c r="M3347" s="3">
        <v>1</v>
      </c>
      <c r="N3347" s="2">
        <v>73000</v>
      </c>
      <c r="O3347" s="2">
        <v>7300</v>
      </c>
      <c r="P3347" s="2">
        <v>80300</v>
      </c>
      <c r="Q3347" s="2">
        <f>P3347*8.5%</f>
        <v>6825.5000000000009</v>
      </c>
    </row>
    <row r="3348" spans="1:17" hidden="1" x14ac:dyDescent="0.4">
      <c r="A3348" s="4" t="s">
        <v>310</v>
      </c>
      <c r="B3348" s="4" t="s">
        <v>26</v>
      </c>
      <c r="C3348" s="32" t="s">
        <v>436</v>
      </c>
      <c r="D3348" s="4" t="s">
        <v>30</v>
      </c>
      <c r="E3348" s="4" t="s">
        <v>28</v>
      </c>
      <c r="F3348" s="4" t="s">
        <v>17</v>
      </c>
      <c r="G3348" s="4" t="s">
        <v>18</v>
      </c>
      <c r="H3348" s="4" t="s">
        <v>309</v>
      </c>
      <c r="I3348" s="5" t="str">
        <f t="shared" si="52"/>
        <v>2026-01</v>
      </c>
      <c r="J3348" s="4" t="s">
        <v>34</v>
      </c>
      <c r="K3348" s="5" t="s">
        <v>342</v>
      </c>
      <c r="L3348" s="2">
        <v>5739</v>
      </c>
      <c r="M3348" s="3">
        <v>1</v>
      </c>
      <c r="N3348" s="2">
        <v>5739</v>
      </c>
      <c r="O3348" s="2">
        <v>574</v>
      </c>
      <c r="P3348" s="2">
        <v>6313</v>
      </c>
      <c r="Q3348" s="2">
        <f>P3348*8.5%</f>
        <v>536.60500000000002</v>
      </c>
    </row>
    <row r="3349" spans="1:17" hidden="1" x14ac:dyDescent="0.4">
      <c r="A3349" s="4" t="s">
        <v>42</v>
      </c>
      <c r="B3349" s="4" t="s">
        <v>14</v>
      </c>
      <c r="C3349" s="30" t="s">
        <v>434</v>
      </c>
      <c r="D3349" s="4" t="s">
        <v>43</v>
      </c>
      <c r="E3349" s="4" t="s">
        <v>44</v>
      </c>
      <c r="F3349" s="4" t="s">
        <v>31</v>
      </c>
      <c r="G3349" s="4" t="s">
        <v>18</v>
      </c>
      <c r="H3349" s="4" t="s">
        <v>309</v>
      </c>
      <c r="I3349" s="5" t="str">
        <f t="shared" si="52"/>
        <v>2026-01</v>
      </c>
      <c r="J3349" s="4" t="s">
        <v>34</v>
      </c>
      <c r="K3349" s="5" t="s">
        <v>342</v>
      </c>
      <c r="L3349" s="2">
        <v>7300</v>
      </c>
      <c r="M3349" s="3">
        <v>47.1</v>
      </c>
      <c r="N3349" s="2">
        <v>343830</v>
      </c>
      <c r="O3349" s="2">
        <v>0</v>
      </c>
      <c r="P3349" s="2">
        <v>343830</v>
      </c>
      <c r="Q3349" s="2">
        <f>P3349*8.5%</f>
        <v>29225.550000000003</v>
      </c>
    </row>
    <row r="3350" spans="1:17" x14ac:dyDescent="0.4">
      <c r="A3350" s="4" t="s">
        <v>13</v>
      </c>
      <c r="B3350" s="4" t="s">
        <v>14</v>
      </c>
      <c r="C3350" s="30" t="s">
        <v>434</v>
      </c>
      <c r="D3350" s="4" t="s">
        <v>15</v>
      </c>
      <c r="E3350" s="4" t="s">
        <v>16</v>
      </c>
      <c r="F3350" s="4" t="s">
        <v>17</v>
      </c>
      <c r="G3350" s="4" t="s">
        <v>18</v>
      </c>
      <c r="H3350" s="4" t="s">
        <v>311</v>
      </c>
      <c r="I3350" s="5" t="str">
        <f t="shared" si="52"/>
        <v>2026-01</v>
      </c>
      <c r="J3350" s="4" t="s">
        <v>20</v>
      </c>
      <c r="K3350" s="5" t="s">
        <v>342</v>
      </c>
      <c r="L3350" s="2">
        <v>42000</v>
      </c>
      <c r="M3350" s="3">
        <v>1</v>
      </c>
      <c r="N3350" s="2">
        <v>42000</v>
      </c>
      <c r="O3350" s="2">
        <v>4200</v>
      </c>
      <c r="P3350" s="2">
        <v>46200</v>
      </c>
      <c r="Q3350" s="2">
        <f>P3350*8.5%</f>
        <v>3927.0000000000005</v>
      </c>
    </row>
    <row r="3351" spans="1:17" x14ac:dyDescent="0.4">
      <c r="A3351" s="4" t="s">
        <v>21</v>
      </c>
      <c r="B3351" s="4" t="s">
        <v>14</v>
      </c>
      <c r="C3351" s="31" t="s">
        <v>435</v>
      </c>
      <c r="D3351" s="4" t="s">
        <v>22</v>
      </c>
      <c r="E3351" s="4" t="s">
        <v>16</v>
      </c>
      <c r="F3351" s="4" t="s">
        <v>17</v>
      </c>
      <c r="G3351" s="4" t="s">
        <v>18</v>
      </c>
      <c r="H3351" s="4" t="s">
        <v>311</v>
      </c>
      <c r="I3351" s="5" t="str">
        <f t="shared" si="52"/>
        <v>2026-01</v>
      </c>
      <c r="J3351" s="4" t="s">
        <v>20</v>
      </c>
      <c r="K3351" s="5" t="s">
        <v>342</v>
      </c>
      <c r="L3351" s="2">
        <v>55500</v>
      </c>
      <c r="M3351" s="3">
        <v>1</v>
      </c>
      <c r="N3351" s="2">
        <v>55500</v>
      </c>
      <c r="O3351" s="2">
        <v>5550</v>
      </c>
      <c r="P3351" s="2">
        <v>61050</v>
      </c>
      <c r="Q3351" s="2">
        <f>P3351*8.5%</f>
        <v>5189.25</v>
      </c>
    </row>
    <row r="3352" spans="1:17" x14ac:dyDescent="0.4">
      <c r="A3352" s="4" t="s">
        <v>23</v>
      </c>
      <c r="B3352" s="4" t="s">
        <v>14</v>
      </c>
      <c r="C3352" s="31" t="s">
        <v>435</v>
      </c>
      <c r="D3352" s="4" t="s">
        <v>24</v>
      </c>
      <c r="E3352" s="4" t="s">
        <v>16</v>
      </c>
      <c r="F3352" s="4" t="s">
        <v>17</v>
      </c>
      <c r="G3352" s="4" t="s">
        <v>18</v>
      </c>
      <c r="H3352" s="4" t="s">
        <v>311</v>
      </c>
      <c r="I3352" s="5" t="str">
        <f t="shared" si="52"/>
        <v>2026-01</v>
      </c>
      <c r="J3352" s="4" t="s">
        <v>20</v>
      </c>
      <c r="K3352" s="5" t="s">
        <v>342</v>
      </c>
      <c r="L3352" s="2">
        <v>55500</v>
      </c>
      <c r="M3352" s="3">
        <v>1</v>
      </c>
      <c r="N3352" s="2">
        <v>55500</v>
      </c>
      <c r="O3352" s="2">
        <v>5550</v>
      </c>
      <c r="P3352" s="2">
        <v>61050</v>
      </c>
      <c r="Q3352" s="2">
        <f>P3352*8.5%</f>
        <v>5189.25</v>
      </c>
    </row>
    <row r="3353" spans="1:17" hidden="1" x14ac:dyDescent="0.4">
      <c r="A3353" s="4" t="s">
        <v>32</v>
      </c>
      <c r="B3353" s="4" t="s">
        <v>14</v>
      </c>
      <c r="C3353" s="31" t="s">
        <v>435</v>
      </c>
      <c r="D3353" s="4" t="s">
        <v>33</v>
      </c>
      <c r="E3353" s="4" t="s">
        <v>16</v>
      </c>
      <c r="F3353" s="4" t="s">
        <v>17</v>
      </c>
      <c r="G3353" s="4" t="s">
        <v>18</v>
      </c>
      <c r="H3353" s="4" t="s">
        <v>311</v>
      </c>
      <c r="I3353" s="5" t="str">
        <f t="shared" si="52"/>
        <v>2026-01</v>
      </c>
      <c r="J3353" s="4" t="s">
        <v>34</v>
      </c>
      <c r="K3353" s="5" t="s">
        <v>342</v>
      </c>
      <c r="L3353" s="2">
        <v>44000</v>
      </c>
      <c r="M3353" s="3">
        <v>2</v>
      </c>
      <c r="N3353" s="2">
        <v>88000</v>
      </c>
      <c r="O3353" s="2">
        <v>8800</v>
      </c>
      <c r="P3353" s="2">
        <v>96800</v>
      </c>
      <c r="Q3353" s="2">
        <f>P3353*8.5%</f>
        <v>8228</v>
      </c>
    </row>
    <row r="3354" spans="1:17" hidden="1" x14ac:dyDescent="0.4">
      <c r="A3354" s="4" t="s">
        <v>13</v>
      </c>
      <c r="B3354" s="4" t="s">
        <v>14</v>
      </c>
      <c r="C3354" s="30" t="s">
        <v>434</v>
      </c>
      <c r="D3354" s="4" t="s">
        <v>15</v>
      </c>
      <c r="E3354" s="4" t="s">
        <v>16</v>
      </c>
      <c r="F3354" s="4" t="s">
        <v>17</v>
      </c>
      <c r="G3354" s="4" t="s">
        <v>18</v>
      </c>
      <c r="H3354" s="4" t="s">
        <v>311</v>
      </c>
      <c r="I3354" s="5" t="str">
        <f t="shared" si="52"/>
        <v>2026-01</v>
      </c>
      <c r="J3354" s="4" t="s">
        <v>34</v>
      </c>
      <c r="K3354" s="5" t="s">
        <v>342</v>
      </c>
      <c r="L3354" s="2">
        <v>42000</v>
      </c>
      <c r="M3354" s="3">
        <v>3</v>
      </c>
      <c r="N3354" s="2">
        <v>126000</v>
      </c>
      <c r="O3354" s="2">
        <v>12600</v>
      </c>
      <c r="P3354" s="2">
        <v>138600</v>
      </c>
      <c r="Q3354" s="2">
        <f>P3354*8.5%</f>
        <v>11781</v>
      </c>
    </row>
    <row r="3355" spans="1:17" hidden="1" x14ac:dyDescent="0.4">
      <c r="A3355" s="4" t="s">
        <v>21</v>
      </c>
      <c r="B3355" s="4" t="s">
        <v>14</v>
      </c>
      <c r="C3355" s="31" t="s">
        <v>435</v>
      </c>
      <c r="D3355" s="4" t="s">
        <v>22</v>
      </c>
      <c r="E3355" s="4" t="s">
        <v>16</v>
      </c>
      <c r="F3355" s="4" t="s">
        <v>17</v>
      </c>
      <c r="G3355" s="4" t="s">
        <v>18</v>
      </c>
      <c r="H3355" s="4" t="s">
        <v>311</v>
      </c>
      <c r="I3355" s="5" t="str">
        <f t="shared" si="52"/>
        <v>2026-01</v>
      </c>
      <c r="J3355" s="4" t="s">
        <v>34</v>
      </c>
      <c r="K3355" s="5" t="s">
        <v>342</v>
      </c>
      <c r="L3355" s="2">
        <v>55500</v>
      </c>
      <c r="M3355" s="3">
        <v>2</v>
      </c>
      <c r="N3355" s="2">
        <v>111000</v>
      </c>
      <c r="O3355" s="2">
        <v>11100</v>
      </c>
      <c r="P3355" s="2">
        <v>122100</v>
      </c>
      <c r="Q3355" s="2">
        <f>P3355*8.5%</f>
        <v>10378.5</v>
      </c>
    </row>
    <row r="3356" spans="1:17" hidden="1" x14ac:dyDescent="0.4">
      <c r="A3356" s="4" t="s">
        <v>23</v>
      </c>
      <c r="B3356" s="4" t="s">
        <v>14</v>
      </c>
      <c r="C3356" s="31" t="s">
        <v>435</v>
      </c>
      <c r="D3356" s="4" t="s">
        <v>24</v>
      </c>
      <c r="E3356" s="4" t="s">
        <v>16</v>
      </c>
      <c r="F3356" s="4" t="s">
        <v>17</v>
      </c>
      <c r="G3356" s="4" t="s">
        <v>18</v>
      </c>
      <c r="H3356" s="4" t="s">
        <v>311</v>
      </c>
      <c r="I3356" s="5" t="str">
        <f t="shared" si="52"/>
        <v>2026-01</v>
      </c>
      <c r="J3356" s="4" t="s">
        <v>34</v>
      </c>
      <c r="K3356" s="5" t="s">
        <v>342</v>
      </c>
      <c r="L3356" s="2">
        <v>55500</v>
      </c>
      <c r="M3356" s="3">
        <v>2</v>
      </c>
      <c r="N3356" s="2">
        <v>111000</v>
      </c>
      <c r="O3356" s="2">
        <v>11100</v>
      </c>
      <c r="P3356" s="2">
        <v>122100</v>
      </c>
      <c r="Q3356" s="2">
        <f>P3356*8.5%</f>
        <v>10378.5</v>
      </c>
    </row>
    <row r="3357" spans="1:17" hidden="1" x14ac:dyDescent="0.4">
      <c r="A3357" s="4" t="s">
        <v>40</v>
      </c>
      <c r="B3357" s="4" t="s">
        <v>26</v>
      </c>
      <c r="C3357" s="32" t="s">
        <v>436</v>
      </c>
      <c r="D3357" s="4" t="s">
        <v>41</v>
      </c>
      <c r="E3357" s="4" t="s">
        <v>28</v>
      </c>
      <c r="F3357" s="4" t="s">
        <v>17</v>
      </c>
      <c r="G3357" s="4" t="s">
        <v>18</v>
      </c>
      <c r="H3357" s="4" t="s">
        <v>311</v>
      </c>
      <c r="I3357" s="5" t="str">
        <f t="shared" si="52"/>
        <v>2026-01</v>
      </c>
      <c r="J3357" s="4" t="s">
        <v>34</v>
      </c>
      <c r="K3357" s="5" t="s">
        <v>342</v>
      </c>
      <c r="L3357" s="2">
        <v>17936</v>
      </c>
      <c r="M3357" s="3">
        <v>2</v>
      </c>
      <c r="N3357" s="2">
        <v>35872</v>
      </c>
      <c r="O3357" s="2">
        <v>3587</v>
      </c>
      <c r="P3357" s="2">
        <v>39459</v>
      </c>
      <c r="Q3357" s="2">
        <f>P3357*8.5%</f>
        <v>3354.0150000000003</v>
      </c>
    </row>
    <row r="3358" spans="1:17" hidden="1" x14ac:dyDescent="0.4">
      <c r="A3358" s="4" t="s">
        <v>42</v>
      </c>
      <c r="B3358" s="4" t="s">
        <v>14</v>
      </c>
      <c r="C3358" s="30" t="s">
        <v>434</v>
      </c>
      <c r="D3358" s="4" t="s">
        <v>43</v>
      </c>
      <c r="E3358" s="4" t="s">
        <v>44</v>
      </c>
      <c r="F3358" s="4" t="s">
        <v>31</v>
      </c>
      <c r="G3358" s="4" t="s">
        <v>18</v>
      </c>
      <c r="H3358" s="4" t="s">
        <v>311</v>
      </c>
      <c r="I3358" s="5" t="str">
        <f t="shared" si="52"/>
        <v>2026-01</v>
      </c>
      <c r="J3358" s="4" t="s">
        <v>34</v>
      </c>
      <c r="K3358" s="5" t="s">
        <v>342</v>
      </c>
      <c r="L3358" s="2">
        <v>7300</v>
      </c>
      <c r="M3358" s="3">
        <v>31.8</v>
      </c>
      <c r="N3358" s="2">
        <v>232140</v>
      </c>
      <c r="O3358" s="2">
        <v>0</v>
      </c>
      <c r="P3358" s="2">
        <v>232140</v>
      </c>
      <c r="Q3358" s="2">
        <f>P3358*8.5%</f>
        <v>19731.900000000001</v>
      </c>
    </row>
    <row r="3359" spans="1:17" hidden="1" x14ac:dyDescent="0.4">
      <c r="A3359" s="4" t="s">
        <v>32</v>
      </c>
      <c r="B3359" s="4" t="s">
        <v>14</v>
      </c>
      <c r="C3359" s="31" t="s">
        <v>435</v>
      </c>
      <c r="D3359" s="4" t="s">
        <v>33</v>
      </c>
      <c r="E3359" s="4" t="s">
        <v>16</v>
      </c>
      <c r="F3359" s="4" t="s">
        <v>17</v>
      </c>
      <c r="G3359" s="4" t="s">
        <v>18</v>
      </c>
      <c r="H3359" s="4" t="s">
        <v>311</v>
      </c>
      <c r="I3359" s="5" t="str">
        <f t="shared" si="52"/>
        <v>2026-01</v>
      </c>
      <c r="J3359" s="4" t="s">
        <v>59</v>
      </c>
      <c r="K3359" s="5" t="s">
        <v>343</v>
      </c>
      <c r="L3359" s="2">
        <v>44000</v>
      </c>
      <c r="M3359" s="3">
        <v>1</v>
      </c>
      <c r="N3359" s="2">
        <v>44000</v>
      </c>
      <c r="O3359" s="2">
        <v>4400</v>
      </c>
      <c r="P3359" s="2">
        <v>48400</v>
      </c>
      <c r="Q3359" s="2">
        <f>P3359*12%</f>
        <v>5808</v>
      </c>
    </row>
    <row r="3360" spans="1:17" hidden="1" x14ac:dyDescent="0.4">
      <c r="A3360" s="4" t="s">
        <v>13</v>
      </c>
      <c r="B3360" s="4" t="s">
        <v>14</v>
      </c>
      <c r="C3360" s="30" t="s">
        <v>434</v>
      </c>
      <c r="D3360" s="4" t="s">
        <v>15</v>
      </c>
      <c r="E3360" s="4" t="s">
        <v>16</v>
      </c>
      <c r="F3360" s="4" t="s">
        <v>17</v>
      </c>
      <c r="G3360" s="4" t="s">
        <v>18</v>
      </c>
      <c r="H3360" s="4" t="s">
        <v>311</v>
      </c>
      <c r="I3360" s="5" t="str">
        <f t="shared" si="52"/>
        <v>2026-01</v>
      </c>
      <c r="J3360" s="4" t="s">
        <v>59</v>
      </c>
      <c r="K3360" s="5" t="s">
        <v>343</v>
      </c>
      <c r="L3360" s="2">
        <v>42000</v>
      </c>
      <c r="M3360" s="3">
        <v>4</v>
      </c>
      <c r="N3360" s="2">
        <v>168000</v>
      </c>
      <c r="O3360" s="2">
        <v>16800</v>
      </c>
      <c r="P3360" s="2">
        <v>184800</v>
      </c>
      <c r="Q3360" s="2">
        <f>P3360*12%</f>
        <v>22176</v>
      </c>
    </row>
    <row r="3361" spans="1:17" hidden="1" x14ac:dyDescent="0.4">
      <c r="A3361" s="4" t="s">
        <v>35</v>
      </c>
      <c r="B3361" s="4" t="s">
        <v>14</v>
      </c>
      <c r="C3361" s="30" t="s">
        <v>434</v>
      </c>
      <c r="D3361" s="4" t="s">
        <v>36</v>
      </c>
      <c r="E3361" s="4" t="s">
        <v>16</v>
      </c>
      <c r="F3361" s="4" t="s">
        <v>17</v>
      </c>
      <c r="G3361" s="4" t="s">
        <v>18</v>
      </c>
      <c r="H3361" s="4" t="s">
        <v>311</v>
      </c>
      <c r="I3361" s="5" t="str">
        <f t="shared" si="52"/>
        <v>2026-01</v>
      </c>
      <c r="J3361" s="4" t="s">
        <v>59</v>
      </c>
      <c r="K3361" s="5" t="s">
        <v>343</v>
      </c>
      <c r="L3361" s="2">
        <v>116220</v>
      </c>
      <c r="M3361" s="3">
        <v>1</v>
      </c>
      <c r="N3361" s="2">
        <v>116220</v>
      </c>
      <c r="O3361" s="2">
        <v>11622</v>
      </c>
      <c r="P3361" s="2">
        <v>127842</v>
      </c>
      <c r="Q3361" s="2">
        <f>P3361*12%</f>
        <v>15341.039999999999</v>
      </c>
    </row>
    <row r="3362" spans="1:17" hidden="1" x14ac:dyDescent="0.4">
      <c r="A3362" s="4" t="s">
        <v>23</v>
      </c>
      <c r="B3362" s="4" t="s">
        <v>14</v>
      </c>
      <c r="C3362" s="31" t="s">
        <v>435</v>
      </c>
      <c r="D3362" s="4" t="s">
        <v>24</v>
      </c>
      <c r="E3362" s="4" t="s">
        <v>16</v>
      </c>
      <c r="F3362" s="4" t="s">
        <v>17</v>
      </c>
      <c r="G3362" s="4" t="s">
        <v>18</v>
      </c>
      <c r="H3362" s="4" t="s">
        <v>311</v>
      </c>
      <c r="I3362" s="5" t="str">
        <f t="shared" si="52"/>
        <v>2026-01</v>
      </c>
      <c r="J3362" s="4" t="s">
        <v>59</v>
      </c>
      <c r="K3362" s="5" t="s">
        <v>343</v>
      </c>
      <c r="L3362" s="2">
        <v>55500</v>
      </c>
      <c r="M3362" s="3">
        <v>2</v>
      </c>
      <c r="N3362" s="2">
        <v>111000</v>
      </c>
      <c r="O3362" s="2">
        <v>11100</v>
      </c>
      <c r="P3362" s="2">
        <v>122100</v>
      </c>
      <c r="Q3362" s="2">
        <f>P3362*12%</f>
        <v>14652</v>
      </c>
    </row>
    <row r="3363" spans="1:17" hidden="1" x14ac:dyDescent="0.4">
      <c r="A3363" s="4" t="s">
        <v>32</v>
      </c>
      <c r="B3363" s="4" t="s">
        <v>14</v>
      </c>
      <c r="C3363" s="31" t="s">
        <v>435</v>
      </c>
      <c r="D3363" s="4" t="s">
        <v>33</v>
      </c>
      <c r="E3363" s="4" t="s">
        <v>16</v>
      </c>
      <c r="F3363" s="4" t="s">
        <v>17</v>
      </c>
      <c r="G3363" s="4" t="s">
        <v>18</v>
      </c>
      <c r="H3363" s="4" t="s">
        <v>311</v>
      </c>
      <c r="I3363" s="5" t="str">
        <f t="shared" si="52"/>
        <v>2026-01</v>
      </c>
      <c r="J3363" s="4" t="s">
        <v>49</v>
      </c>
      <c r="K3363" s="5" t="s">
        <v>343</v>
      </c>
      <c r="L3363" s="2">
        <v>44000</v>
      </c>
      <c r="M3363" s="3">
        <v>5</v>
      </c>
      <c r="N3363" s="2">
        <v>220000</v>
      </c>
      <c r="O3363" s="2">
        <v>22000</v>
      </c>
      <c r="P3363" s="2">
        <v>242000</v>
      </c>
      <c r="Q3363" s="2">
        <f>P3363*12%</f>
        <v>29040</v>
      </c>
    </row>
    <row r="3364" spans="1:17" hidden="1" x14ac:dyDescent="0.4">
      <c r="A3364" s="4" t="s">
        <v>13</v>
      </c>
      <c r="B3364" s="4" t="s">
        <v>14</v>
      </c>
      <c r="C3364" s="30" t="s">
        <v>434</v>
      </c>
      <c r="D3364" s="4" t="s">
        <v>15</v>
      </c>
      <c r="E3364" s="4" t="s">
        <v>16</v>
      </c>
      <c r="F3364" s="4" t="s">
        <v>17</v>
      </c>
      <c r="G3364" s="4" t="s">
        <v>18</v>
      </c>
      <c r="H3364" s="4" t="s">
        <v>311</v>
      </c>
      <c r="I3364" s="5" t="str">
        <f t="shared" si="52"/>
        <v>2026-01</v>
      </c>
      <c r="J3364" s="4" t="s">
        <v>49</v>
      </c>
      <c r="K3364" s="5" t="s">
        <v>343</v>
      </c>
      <c r="L3364" s="2">
        <v>42000</v>
      </c>
      <c r="M3364" s="3">
        <v>6</v>
      </c>
      <c r="N3364" s="2">
        <v>252000</v>
      </c>
      <c r="O3364" s="2">
        <v>25200</v>
      </c>
      <c r="P3364" s="2">
        <v>277200</v>
      </c>
      <c r="Q3364" s="2">
        <f>P3364*12%</f>
        <v>33264</v>
      </c>
    </row>
    <row r="3365" spans="1:17" hidden="1" x14ac:dyDescent="0.4">
      <c r="A3365" s="4" t="s">
        <v>35</v>
      </c>
      <c r="B3365" s="4" t="s">
        <v>14</v>
      </c>
      <c r="C3365" s="30" t="s">
        <v>434</v>
      </c>
      <c r="D3365" s="4" t="s">
        <v>36</v>
      </c>
      <c r="E3365" s="4" t="s">
        <v>16</v>
      </c>
      <c r="F3365" s="4" t="s">
        <v>17</v>
      </c>
      <c r="G3365" s="4" t="s">
        <v>18</v>
      </c>
      <c r="H3365" s="4" t="s">
        <v>311</v>
      </c>
      <c r="I3365" s="5" t="str">
        <f t="shared" si="52"/>
        <v>2026-01</v>
      </c>
      <c r="J3365" s="4" t="s">
        <v>49</v>
      </c>
      <c r="K3365" s="5" t="s">
        <v>343</v>
      </c>
      <c r="L3365" s="2">
        <v>116220</v>
      </c>
      <c r="M3365" s="3">
        <v>1</v>
      </c>
      <c r="N3365" s="2">
        <v>116220</v>
      </c>
      <c r="O3365" s="2">
        <v>11622</v>
      </c>
      <c r="P3365" s="2">
        <v>127842</v>
      </c>
      <c r="Q3365" s="2">
        <f>P3365*12%</f>
        <v>15341.039999999999</v>
      </c>
    </row>
    <row r="3366" spans="1:17" hidden="1" x14ac:dyDescent="0.4">
      <c r="A3366" s="4" t="s">
        <v>23</v>
      </c>
      <c r="B3366" s="4" t="s">
        <v>14</v>
      </c>
      <c r="C3366" s="31" t="s">
        <v>435</v>
      </c>
      <c r="D3366" s="4" t="s">
        <v>24</v>
      </c>
      <c r="E3366" s="4" t="s">
        <v>16</v>
      </c>
      <c r="F3366" s="4" t="s">
        <v>17</v>
      </c>
      <c r="G3366" s="4" t="s">
        <v>18</v>
      </c>
      <c r="H3366" s="4" t="s">
        <v>311</v>
      </c>
      <c r="I3366" s="5" t="str">
        <f t="shared" si="52"/>
        <v>2026-01</v>
      </c>
      <c r="J3366" s="4" t="s">
        <v>49</v>
      </c>
      <c r="K3366" s="5" t="s">
        <v>343</v>
      </c>
      <c r="L3366" s="2">
        <v>55500</v>
      </c>
      <c r="M3366" s="3">
        <v>4</v>
      </c>
      <c r="N3366" s="2">
        <v>222000</v>
      </c>
      <c r="O3366" s="2">
        <v>22200</v>
      </c>
      <c r="P3366" s="2">
        <v>244200</v>
      </c>
      <c r="Q3366" s="2">
        <f>P3366*12%</f>
        <v>29304</v>
      </c>
    </row>
    <row r="3367" spans="1:17" x14ac:dyDescent="0.4">
      <c r="A3367" s="4" t="s">
        <v>21</v>
      </c>
      <c r="B3367" s="4" t="s">
        <v>14</v>
      </c>
      <c r="C3367" s="31" t="s">
        <v>435</v>
      </c>
      <c r="D3367" s="4" t="s">
        <v>22</v>
      </c>
      <c r="E3367" s="4" t="s">
        <v>16</v>
      </c>
      <c r="F3367" s="4" t="s">
        <v>17</v>
      </c>
      <c r="G3367" s="4" t="s">
        <v>18</v>
      </c>
      <c r="H3367" s="4" t="s">
        <v>312</v>
      </c>
      <c r="I3367" s="5" t="str">
        <f t="shared" si="52"/>
        <v>2026-01</v>
      </c>
      <c r="J3367" s="4" t="s">
        <v>20</v>
      </c>
      <c r="K3367" s="5" t="s">
        <v>342</v>
      </c>
      <c r="L3367" s="2">
        <v>55500</v>
      </c>
      <c r="M3367" s="3">
        <v>1</v>
      </c>
      <c r="N3367" s="2">
        <v>55500</v>
      </c>
      <c r="O3367" s="2">
        <v>5550</v>
      </c>
      <c r="P3367" s="2">
        <v>61050</v>
      </c>
      <c r="Q3367" s="2">
        <f>P3367*8.5%</f>
        <v>5189.25</v>
      </c>
    </row>
    <row r="3368" spans="1:17" x14ac:dyDescent="0.4">
      <c r="A3368" s="4" t="s">
        <v>23</v>
      </c>
      <c r="B3368" s="4" t="s">
        <v>14</v>
      </c>
      <c r="C3368" s="31" t="s">
        <v>435</v>
      </c>
      <c r="D3368" s="4" t="s">
        <v>24</v>
      </c>
      <c r="E3368" s="4" t="s">
        <v>16</v>
      </c>
      <c r="F3368" s="4" t="s">
        <v>17</v>
      </c>
      <c r="G3368" s="4" t="s">
        <v>18</v>
      </c>
      <c r="H3368" s="4" t="s">
        <v>312</v>
      </c>
      <c r="I3368" s="5" t="str">
        <f t="shared" si="52"/>
        <v>2026-01</v>
      </c>
      <c r="J3368" s="4" t="s">
        <v>20</v>
      </c>
      <c r="K3368" s="5" t="s">
        <v>342</v>
      </c>
      <c r="L3368" s="2">
        <v>55500</v>
      </c>
      <c r="M3368" s="3">
        <v>3</v>
      </c>
      <c r="N3368" s="2">
        <v>166500</v>
      </c>
      <c r="O3368" s="2">
        <v>16650</v>
      </c>
      <c r="P3368" s="2">
        <v>183150</v>
      </c>
      <c r="Q3368" s="2">
        <f>P3368*8.5%</f>
        <v>15567.750000000002</v>
      </c>
    </row>
    <row r="3369" spans="1:17" x14ac:dyDescent="0.4">
      <c r="A3369" s="4" t="s">
        <v>56</v>
      </c>
      <c r="B3369" s="4" t="s">
        <v>26</v>
      </c>
      <c r="C3369" s="32" t="s">
        <v>436</v>
      </c>
      <c r="D3369" s="4" t="s">
        <v>57</v>
      </c>
      <c r="E3369" s="4" t="s">
        <v>44</v>
      </c>
      <c r="F3369" s="4" t="s">
        <v>31</v>
      </c>
      <c r="G3369" s="4" t="s">
        <v>18</v>
      </c>
      <c r="H3369" s="4" t="s">
        <v>312</v>
      </c>
      <c r="I3369" s="5" t="str">
        <f t="shared" si="52"/>
        <v>2026-01</v>
      </c>
      <c r="J3369" s="4" t="s">
        <v>20</v>
      </c>
      <c r="K3369" s="5" t="s">
        <v>342</v>
      </c>
      <c r="L3369" s="2">
        <v>2368</v>
      </c>
      <c r="M3369" s="3">
        <v>25</v>
      </c>
      <c r="N3369" s="2">
        <v>59200</v>
      </c>
      <c r="O3369" s="2">
        <v>0</v>
      </c>
      <c r="P3369" s="2">
        <v>59200</v>
      </c>
      <c r="Q3369" s="2">
        <f>P3369*8.5%</f>
        <v>5032</v>
      </c>
    </row>
    <row r="3370" spans="1:17" hidden="1" x14ac:dyDescent="0.4">
      <c r="A3370" s="4" t="s">
        <v>64</v>
      </c>
      <c r="B3370" s="4" t="s">
        <v>65</v>
      </c>
      <c r="C3370" s="32" t="s">
        <v>436</v>
      </c>
      <c r="D3370" s="4" t="s">
        <v>66</v>
      </c>
      <c r="E3370" s="4" t="s">
        <v>16</v>
      </c>
      <c r="F3370" s="4" t="s">
        <v>17</v>
      </c>
      <c r="G3370" s="4" t="s">
        <v>18</v>
      </c>
      <c r="H3370" s="4" t="s">
        <v>312</v>
      </c>
      <c r="I3370" s="5" t="str">
        <f t="shared" si="52"/>
        <v>2026-01</v>
      </c>
      <c r="J3370" s="4" t="s">
        <v>34</v>
      </c>
      <c r="K3370" s="5" t="s">
        <v>342</v>
      </c>
      <c r="L3370" s="2">
        <v>10283</v>
      </c>
      <c r="M3370" s="3">
        <v>1</v>
      </c>
      <c r="N3370" s="2">
        <v>10283</v>
      </c>
      <c r="O3370" s="2">
        <v>1028</v>
      </c>
      <c r="P3370" s="2">
        <v>11311</v>
      </c>
      <c r="Q3370" s="2">
        <f>P3370*8.5%</f>
        <v>961.43500000000006</v>
      </c>
    </row>
    <row r="3371" spans="1:17" hidden="1" x14ac:dyDescent="0.4">
      <c r="A3371" s="4" t="s">
        <v>103</v>
      </c>
      <c r="B3371" s="4" t="s">
        <v>26</v>
      </c>
      <c r="C3371" s="32" t="s">
        <v>436</v>
      </c>
      <c r="D3371" s="4" t="s">
        <v>104</v>
      </c>
      <c r="E3371" s="4" t="s">
        <v>16</v>
      </c>
      <c r="F3371" s="4" t="s">
        <v>17</v>
      </c>
      <c r="G3371" s="4" t="s">
        <v>18</v>
      </c>
      <c r="H3371" s="4" t="s">
        <v>312</v>
      </c>
      <c r="I3371" s="5" t="str">
        <f t="shared" si="52"/>
        <v>2026-01</v>
      </c>
      <c r="J3371" s="4" t="s">
        <v>34</v>
      </c>
      <c r="K3371" s="5" t="s">
        <v>342</v>
      </c>
      <c r="L3371" s="2">
        <v>12459</v>
      </c>
      <c r="M3371" s="3">
        <v>1</v>
      </c>
      <c r="N3371" s="2">
        <v>12459</v>
      </c>
      <c r="O3371" s="2">
        <v>1246</v>
      </c>
      <c r="P3371" s="2">
        <v>13705</v>
      </c>
      <c r="Q3371" s="2">
        <f>P3371*8.5%</f>
        <v>1164.9250000000002</v>
      </c>
    </row>
    <row r="3372" spans="1:17" hidden="1" x14ac:dyDescent="0.4">
      <c r="A3372" s="4" t="s">
        <v>32</v>
      </c>
      <c r="B3372" s="4" t="s">
        <v>14</v>
      </c>
      <c r="C3372" s="31" t="s">
        <v>435</v>
      </c>
      <c r="D3372" s="4" t="s">
        <v>33</v>
      </c>
      <c r="E3372" s="4" t="s">
        <v>16</v>
      </c>
      <c r="F3372" s="4" t="s">
        <v>17</v>
      </c>
      <c r="G3372" s="4" t="s">
        <v>18</v>
      </c>
      <c r="H3372" s="4" t="s">
        <v>312</v>
      </c>
      <c r="I3372" s="5" t="str">
        <f t="shared" si="52"/>
        <v>2026-01</v>
      </c>
      <c r="J3372" s="4" t="s">
        <v>34</v>
      </c>
      <c r="K3372" s="5" t="s">
        <v>342</v>
      </c>
      <c r="L3372" s="2">
        <v>44000</v>
      </c>
      <c r="M3372" s="3">
        <v>2</v>
      </c>
      <c r="N3372" s="2">
        <v>88000</v>
      </c>
      <c r="O3372" s="2">
        <v>8800</v>
      </c>
      <c r="P3372" s="2">
        <v>96800</v>
      </c>
      <c r="Q3372" s="2">
        <f>P3372*8.5%</f>
        <v>8228</v>
      </c>
    </row>
    <row r="3373" spans="1:17" hidden="1" x14ac:dyDescent="0.4">
      <c r="A3373" s="4" t="s">
        <v>13</v>
      </c>
      <c r="B3373" s="4" t="s">
        <v>14</v>
      </c>
      <c r="C3373" s="30" t="s">
        <v>434</v>
      </c>
      <c r="D3373" s="4" t="s">
        <v>15</v>
      </c>
      <c r="E3373" s="4" t="s">
        <v>16</v>
      </c>
      <c r="F3373" s="4" t="s">
        <v>17</v>
      </c>
      <c r="G3373" s="4" t="s">
        <v>18</v>
      </c>
      <c r="H3373" s="4" t="s">
        <v>312</v>
      </c>
      <c r="I3373" s="5" t="str">
        <f t="shared" si="52"/>
        <v>2026-01</v>
      </c>
      <c r="J3373" s="4" t="s">
        <v>34</v>
      </c>
      <c r="K3373" s="5" t="s">
        <v>342</v>
      </c>
      <c r="L3373" s="2">
        <v>42000</v>
      </c>
      <c r="M3373" s="3">
        <v>3</v>
      </c>
      <c r="N3373" s="2">
        <v>126000</v>
      </c>
      <c r="O3373" s="2">
        <v>12600</v>
      </c>
      <c r="P3373" s="2">
        <v>138600</v>
      </c>
      <c r="Q3373" s="2">
        <f>P3373*8.5%</f>
        <v>11781</v>
      </c>
    </row>
    <row r="3374" spans="1:17" hidden="1" x14ac:dyDescent="0.4">
      <c r="A3374" s="4" t="s">
        <v>23</v>
      </c>
      <c r="B3374" s="4" t="s">
        <v>14</v>
      </c>
      <c r="C3374" s="31" t="s">
        <v>435</v>
      </c>
      <c r="D3374" s="4" t="s">
        <v>24</v>
      </c>
      <c r="E3374" s="4" t="s">
        <v>16</v>
      </c>
      <c r="F3374" s="4" t="s">
        <v>17</v>
      </c>
      <c r="G3374" s="4" t="s">
        <v>18</v>
      </c>
      <c r="H3374" s="4" t="s">
        <v>312</v>
      </c>
      <c r="I3374" s="5" t="str">
        <f t="shared" si="52"/>
        <v>2026-01</v>
      </c>
      <c r="J3374" s="4" t="s">
        <v>34</v>
      </c>
      <c r="K3374" s="5" t="s">
        <v>342</v>
      </c>
      <c r="L3374" s="2">
        <v>55500</v>
      </c>
      <c r="M3374" s="3">
        <v>3</v>
      </c>
      <c r="N3374" s="2">
        <v>166500</v>
      </c>
      <c r="O3374" s="2">
        <v>16650</v>
      </c>
      <c r="P3374" s="2">
        <v>183150</v>
      </c>
      <c r="Q3374" s="2">
        <f>P3374*8.5%</f>
        <v>15567.750000000002</v>
      </c>
    </row>
    <row r="3375" spans="1:17" hidden="1" x14ac:dyDescent="0.4">
      <c r="A3375" s="4" t="s">
        <v>51</v>
      </c>
      <c r="B3375" s="4" t="s">
        <v>14</v>
      </c>
      <c r="C3375" s="30" t="s">
        <v>434</v>
      </c>
      <c r="D3375" s="4" t="s">
        <v>52</v>
      </c>
      <c r="E3375" s="4" t="s">
        <v>16</v>
      </c>
      <c r="F3375" s="4" t="s">
        <v>17</v>
      </c>
      <c r="G3375" s="4" t="s">
        <v>18</v>
      </c>
      <c r="H3375" s="4" t="s">
        <v>312</v>
      </c>
      <c r="I3375" s="5" t="str">
        <f t="shared" si="52"/>
        <v>2026-01</v>
      </c>
      <c r="J3375" s="4" t="s">
        <v>34</v>
      </c>
      <c r="K3375" s="5" t="s">
        <v>342</v>
      </c>
      <c r="L3375" s="2">
        <v>73000</v>
      </c>
      <c r="M3375" s="3">
        <v>1</v>
      </c>
      <c r="N3375" s="2">
        <v>73000</v>
      </c>
      <c r="O3375" s="2">
        <v>7300</v>
      </c>
      <c r="P3375" s="2">
        <v>80300</v>
      </c>
      <c r="Q3375" s="2">
        <f>P3375*8.5%</f>
        <v>6825.5000000000009</v>
      </c>
    </row>
    <row r="3376" spans="1:17" hidden="1" x14ac:dyDescent="0.4">
      <c r="A3376" s="4" t="s">
        <v>42</v>
      </c>
      <c r="B3376" s="4" t="s">
        <v>14</v>
      </c>
      <c r="C3376" s="30" t="s">
        <v>434</v>
      </c>
      <c r="D3376" s="4" t="s">
        <v>43</v>
      </c>
      <c r="E3376" s="4" t="s">
        <v>44</v>
      </c>
      <c r="F3376" s="4" t="s">
        <v>31</v>
      </c>
      <c r="G3376" s="4" t="s">
        <v>18</v>
      </c>
      <c r="H3376" s="4" t="s">
        <v>312</v>
      </c>
      <c r="I3376" s="5" t="str">
        <f t="shared" si="52"/>
        <v>2026-01</v>
      </c>
      <c r="J3376" s="4" t="s">
        <v>34</v>
      </c>
      <c r="K3376" s="5" t="s">
        <v>342</v>
      </c>
      <c r="L3376" s="2">
        <v>7300</v>
      </c>
      <c r="M3376" s="3">
        <v>49.9</v>
      </c>
      <c r="N3376" s="2">
        <v>364270</v>
      </c>
      <c r="O3376" s="2">
        <v>0</v>
      </c>
      <c r="P3376" s="2">
        <v>364270</v>
      </c>
      <c r="Q3376" s="2">
        <f>P3376*8.5%</f>
        <v>30962.95</v>
      </c>
    </row>
    <row r="3377" spans="1:17" x14ac:dyDescent="0.4">
      <c r="A3377" s="4" t="s">
        <v>58</v>
      </c>
      <c r="B3377" s="4" t="s">
        <v>14</v>
      </c>
      <c r="C3377" s="30" t="s">
        <v>434</v>
      </c>
      <c r="D3377" s="4" t="s">
        <v>36</v>
      </c>
      <c r="E3377" s="4" t="s">
        <v>16</v>
      </c>
      <c r="F3377" s="4" t="s">
        <v>17</v>
      </c>
      <c r="G3377" s="4" t="s">
        <v>18</v>
      </c>
      <c r="H3377" s="4" t="s">
        <v>313</v>
      </c>
      <c r="I3377" s="5" t="str">
        <f t="shared" si="52"/>
        <v>2026-01</v>
      </c>
      <c r="J3377" s="4" t="s">
        <v>20</v>
      </c>
      <c r="K3377" s="5" t="s">
        <v>342</v>
      </c>
      <c r="L3377" s="2">
        <v>120880</v>
      </c>
      <c r="M3377" s="3">
        <v>1</v>
      </c>
      <c r="N3377" s="2">
        <v>120880</v>
      </c>
      <c r="O3377" s="2">
        <v>12088</v>
      </c>
      <c r="P3377" s="2">
        <v>132968</v>
      </c>
      <c r="Q3377" s="2">
        <f>P3377*8.5%</f>
        <v>11302.28</v>
      </c>
    </row>
    <row r="3378" spans="1:17" x14ac:dyDescent="0.4">
      <c r="A3378" s="4" t="s">
        <v>21</v>
      </c>
      <c r="B3378" s="4" t="s">
        <v>14</v>
      </c>
      <c r="C3378" s="31" t="s">
        <v>435</v>
      </c>
      <c r="D3378" s="4" t="s">
        <v>22</v>
      </c>
      <c r="E3378" s="4" t="s">
        <v>16</v>
      </c>
      <c r="F3378" s="4" t="s">
        <v>17</v>
      </c>
      <c r="G3378" s="4" t="s">
        <v>18</v>
      </c>
      <c r="H3378" s="4" t="s">
        <v>313</v>
      </c>
      <c r="I3378" s="5" t="str">
        <f t="shared" si="52"/>
        <v>2026-01</v>
      </c>
      <c r="J3378" s="4" t="s">
        <v>20</v>
      </c>
      <c r="K3378" s="5" t="s">
        <v>342</v>
      </c>
      <c r="L3378" s="2">
        <v>55500</v>
      </c>
      <c r="M3378" s="3">
        <v>1</v>
      </c>
      <c r="N3378" s="2">
        <v>55500</v>
      </c>
      <c r="O3378" s="2">
        <v>5550</v>
      </c>
      <c r="P3378" s="2">
        <v>61050</v>
      </c>
      <c r="Q3378" s="2">
        <f>P3378*8.5%</f>
        <v>5189.25</v>
      </c>
    </row>
    <row r="3379" spans="1:17" x14ac:dyDescent="0.4">
      <c r="A3379" s="4" t="s">
        <v>23</v>
      </c>
      <c r="B3379" s="4" t="s">
        <v>14</v>
      </c>
      <c r="C3379" s="31" t="s">
        <v>435</v>
      </c>
      <c r="D3379" s="4" t="s">
        <v>24</v>
      </c>
      <c r="E3379" s="4" t="s">
        <v>16</v>
      </c>
      <c r="F3379" s="4" t="s">
        <v>17</v>
      </c>
      <c r="G3379" s="4" t="s">
        <v>18</v>
      </c>
      <c r="H3379" s="4" t="s">
        <v>313</v>
      </c>
      <c r="I3379" s="5" t="str">
        <f t="shared" si="52"/>
        <v>2026-01</v>
      </c>
      <c r="J3379" s="4" t="s">
        <v>20</v>
      </c>
      <c r="K3379" s="5" t="s">
        <v>342</v>
      </c>
      <c r="L3379" s="2">
        <v>55500</v>
      </c>
      <c r="M3379" s="3">
        <v>1</v>
      </c>
      <c r="N3379" s="2">
        <v>55500</v>
      </c>
      <c r="O3379" s="2">
        <v>5550</v>
      </c>
      <c r="P3379" s="2">
        <v>61050</v>
      </c>
      <c r="Q3379" s="2">
        <f>P3379*8.5%</f>
        <v>5189.25</v>
      </c>
    </row>
    <row r="3380" spans="1:17" hidden="1" x14ac:dyDescent="0.4">
      <c r="A3380" s="4" t="s">
        <v>32</v>
      </c>
      <c r="B3380" s="4" t="s">
        <v>14</v>
      </c>
      <c r="C3380" s="31" t="s">
        <v>435</v>
      </c>
      <c r="D3380" s="4" t="s">
        <v>33</v>
      </c>
      <c r="E3380" s="4" t="s">
        <v>16</v>
      </c>
      <c r="F3380" s="4" t="s">
        <v>17</v>
      </c>
      <c r="G3380" s="4" t="s">
        <v>18</v>
      </c>
      <c r="H3380" s="4" t="s">
        <v>313</v>
      </c>
      <c r="I3380" s="5" t="str">
        <f t="shared" si="52"/>
        <v>2026-01</v>
      </c>
      <c r="J3380" s="4" t="s">
        <v>34</v>
      </c>
      <c r="K3380" s="5" t="s">
        <v>342</v>
      </c>
      <c r="L3380" s="2">
        <v>44000</v>
      </c>
      <c r="M3380" s="3">
        <v>2</v>
      </c>
      <c r="N3380" s="2">
        <v>88000</v>
      </c>
      <c r="O3380" s="2">
        <v>8800</v>
      </c>
      <c r="P3380" s="2">
        <v>96800</v>
      </c>
      <c r="Q3380" s="2">
        <f>P3380*8.5%</f>
        <v>8228</v>
      </c>
    </row>
    <row r="3381" spans="1:17" hidden="1" x14ac:dyDescent="0.4">
      <c r="A3381" s="4" t="s">
        <v>13</v>
      </c>
      <c r="B3381" s="4" t="s">
        <v>14</v>
      </c>
      <c r="C3381" s="30" t="s">
        <v>434</v>
      </c>
      <c r="D3381" s="4" t="s">
        <v>15</v>
      </c>
      <c r="E3381" s="4" t="s">
        <v>16</v>
      </c>
      <c r="F3381" s="4" t="s">
        <v>17</v>
      </c>
      <c r="G3381" s="4" t="s">
        <v>18</v>
      </c>
      <c r="H3381" s="4" t="s">
        <v>313</v>
      </c>
      <c r="I3381" s="5" t="str">
        <f t="shared" si="52"/>
        <v>2026-01</v>
      </c>
      <c r="J3381" s="4" t="s">
        <v>34</v>
      </c>
      <c r="K3381" s="5" t="s">
        <v>342</v>
      </c>
      <c r="L3381" s="2">
        <v>42000</v>
      </c>
      <c r="M3381" s="3">
        <v>5</v>
      </c>
      <c r="N3381" s="2">
        <v>210000</v>
      </c>
      <c r="O3381" s="2">
        <v>21000</v>
      </c>
      <c r="P3381" s="2">
        <v>231000</v>
      </c>
      <c r="Q3381" s="2">
        <f>P3381*8.5%</f>
        <v>19635</v>
      </c>
    </row>
    <row r="3382" spans="1:17" hidden="1" x14ac:dyDescent="0.4">
      <c r="A3382" s="4" t="s">
        <v>21</v>
      </c>
      <c r="B3382" s="4" t="s">
        <v>14</v>
      </c>
      <c r="C3382" s="31" t="s">
        <v>435</v>
      </c>
      <c r="D3382" s="4" t="s">
        <v>22</v>
      </c>
      <c r="E3382" s="4" t="s">
        <v>16</v>
      </c>
      <c r="F3382" s="4" t="s">
        <v>17</v>
      </c>
      <c r="G3382" s="4" t="s">
        <v>18</v>
      </c>
      <c r="H3382" s="4" t="s">
        <v>313</v>
      </c>
      <c r="I3382" s="5" t="str">
        <f t="shared" si="52"/>
        <v>2026-01</v>
      </c>
      <c r="J3382" s="4" t="s">
        <v>34</v>
      </c>
      <c r="K3382" s="5" t="s">
        <v>342</v>
      </c>
      <c r="L3382" s="2">
        <v>55500</v>
      </c>
      <c r="M3382" s="3">
        <v>2</v>
      </c>
      <c r="N3382" s="2">
        <v>111000</v>
      </c>
      <c r="O3382" s="2">
        <v>11100</v>
      </c>
      <c r="P3382" s="2">
        <v>122100</v>
      </c>
      <c r="Q3382" s="2">
        <f>P3382*8.5%</f>
        <v>10378.5</v>
      </c>
    </row>
    <row r="3383" spans="1:17" hidden="1" x14ac:dyDescent="0.4">
      <c r="A3383" s="4" t="s">
        <v>23</v>
      </c>
      <c r="B3383" s="4" t="s">
        <v>14</v>
      </c>
      <c r="C3383" s="31" t="s">
        <v>435</v>
      </c>
      <c r="D3383" s="4" t="s">
        <v>24</v>
      </c>
      <c r="E3383" s="4" t="s">
        <v>16</v>
      </c>
      <c r="F3383" s="4" t="s">
        <v>17</v>
      </c>
      <c r="G3383" s="4" t="s">
        <v>18</v>
      </c>
      <c r="H3383" s="4" t="s">
        <v>313</v>
      </c>
      <c r="I3383" s="5" t="str">
        <f t="shared" si="52"/>
        <v>2026-01</v>
      </c>
      <c r="J3383" s="4" t="s">
        <v>34</v>
      </c>
      <c r="K3383" s="5" t="s">
        <v>342</v>
      </c>
      <c r="L3383" s="2">
        <v>55500</v>
      </c>
      <c r="M3383" s="3">
        <v>3</v>
      </c>
      <c r="N3383" s="2">
        <v>166500</v>
      </c>
      <c r="O3383" s="2">
        <v>16650</v>
      </c>
      <c r="P3383" s="2">
        <v>183150</v>
      </c>
      <c r="Q3383" s="2">
        <f>P3383*8.5%</f>
        <v>15567.750000000002</v>
      </c>
    </row>
    <row r="3384" spans="1:17" hidden="1" x14ac:dyDescent="0.4">
      <c r="A3384" s="4" t="s">
        <v>73</v>
      </c>
      <c r="B3384" s="4" t="s">
        <v>26</v>
      </c>
      <c r="C3384" s="32" t="s">
        <v>436</v>
      </c>
      <c r="D3384" s="4" t="s">
        <v>57</v>
      </c>
      <c r="E3384" s="4" t="s">
        <v>28</v>
      </c>
      <c r="F3384" s="4" t="s">
        <v>17</v>
      </c>
      <c r="G3384" s="4" t="s">
        <v>18</v>
      </c>
      <c r="H3384" s="4" t="s">
        <v>313</v>
      </c>
      <c r="I3384" s="5" t="str">
        <f t="shared" si="52"/>
        <v>2026-01</v>
      </c>
      <c r="J3384" s="4" t="s">
        <v>34</v>
      </c>
      <c r="K3384" s="5" t="s">
        <v>342</v>
      </c>
      <c r="L3384" s="2">
        <v>7055</v>
      </c>
      <c r="M3384" s="3">
        <v>2</v>
      </c>
      <c r="N3384" s="2">
        <v>14110</v>
      </c>
      <c r="O3384" s="2">
        <v>1411</v>
      </c>
      <c r="P3384" s="2">
        <v>15521</v>
      </c>
      <c r="Q3384" s="2">
        <f>P3384*8.5%</f>
        <v>1319.2850000000001</v>
      </c>
    </row>
    <row r="3385" spans="1:17" hidden="1" x14ac:dyDescent="0.4">
      <c r="A3385" s="4" t="s">
        <v>86</v>
      </c>
      <c r="B3385" s="4" t="s">
        <v>26</v>
      </c>
      <c r="C3385" s="32" t="s">
        <v>436</v>
      </c>
      <c r="D3385" s="4" t="s">
        <v>78</v>
      </c>
      <c r="E3385" s="4" t="s">
        <v>28</v>
      </c>
      <c r="F3385" s="4" t="s">
        <v>17</v>
      </c>
      <c r="G3385" s="4" t="s">
        <v>18</v>
      </c>
      <c r="H3385" s="4" t="s">
        <v>313</v>
      </c>
      <c r="I3385" s="5" t="str">
        <f t="shared" si="52"/>
        <v>2026-01</v>
      </c>
      <c r="J3385" s="4" t="s">
        <v>34</v>
      </c>
      <c r="K3385" s="5" t="s">
        <v>342</v>
      </c>
      <c r="L3385" s="2">
        <v>14348</v>
      </c>
      <c r="M3385" s="3">
        <v>1</v>
      </c>
      <c r="N3385" s="2">
        <v>14348</v>
      </c>
      <c r="O3385" s="2">
        <v>1435</v>
      </c>
      <c r="P3385" s="2">
        <v>15783</v>
      </c>
      <c r="Q3385" s="2">
        <f>P3385*8.5%</f>
        <v>1341.5550000000001</v>
      </c>
    </row>
    <row r="3386" spans="1:17" hidden="1" x14ac:dyDescent="0.4">
      <c r="A3386" s="4" t="s">
        <v>42</v>
      </c>
      <c r="B3386" s="4" t="s">
        <v>14</v>
      </c>
      <c r="C3386" s="30" t="s">
        <v>434</v>
      </c>
      <c r="D3386" s="4" t="s">
        <v>43</v>
      </c>
      <c r="E3386" s="4" t="s">
        <v>44</v>
      </c>
      <c r="F3386" s="4" t="s">
        <v>31</v>
      </c>
      <c r="G3386" s="4" t="s">
        <v>18</v>
      </c>
      <c r="H3386" s="4" t="s">
        <v>313</v>
      </c>
      <c r="I3386" s="5" t="str">
        <f t="shared" si="52"/>
        <v>2026-01</v>
      </c>
      <c r="J3386" s="4" t="s">
        <v>34</v>
      </c>
      <c r="K3386" s="5" t="s">
        <v>342</v>
      </c>
      <c r="L3386" s="2">
        <v>7300</v>
      </c>
      <c r="M3386" s="3">
        <v>64</v>
      </c>
      <c r="N3386" s="2">
        <v>467200</v>
      </c>
      <c r="O3386" s="2">
        <v>0</v>
      </c>
      <c r="P3386" s="2">
        <v>467200</v>
      </c>
      <c r="Q3386" s="2">
        <f>P3386*8.5%</f>
        <v>39712</v>
      </c>
    </row>
    <row r="3387" spans="1:17" hidden="1" x14ac:dyDescent="0.4">
      <c r="A3387" s="4" t="s">
        <v>32</v>
      </c>
      <c r="B3387" s="4" t="s">
        <v>14</v>
      </c>
      <c r="C3387" s="31" t="s">
        <v>435</v>
      </c>
      <c r="D3387" s="4" t="s">
        <v>33</v>
      </c>
      <c r="E3387" s="4" t="s">
        <v>16</v>
      </c>
      <c r="F3387" s="4" t="s">
        <v>17</v>
      </c>
      <c r="G3387" s="4" t="s">
        <v>18</v>
      </c>
      <c r="H3387" s="4" t="s">
        <v>313</v>
      </c>
      <c r="I3387" s="5" t="str">
        <f t="shared" si="52"/>
        <v>2026-01</v>
      </c>
      <c r="J3387" s="4" t="s">
        <v>50</v>
      </c>
      <c r="K3387" s="5" t="s">
        <v>343</v>
      </c>
      <c r="L3387" s="2">
        <v>44000</v>
      </c>
      <c r="M3387" s="3">
        <v>1</v>
      </c>
      <c r="N3387" s="2">
        <v>44000</v>
      </c>
      <c r="O3387" s="2">
        <v>4400</v>
      </c>
      <c r="P3387" s="2">
        <v>48400</v>
      </c>
      <c r="Q3387" s="2">
        <f>P3387*12%</f>
        <v>5808</v>
      </c>
    </row>
    <row r="3388" spans="1:17" hidden="1" x14ac:dyDescent="0.4">
      <c r="A3388" s="4" t="s">
        <v>13</v>
      </c>
      <c r="B3388" s="4" t="s">
        <v>14</v>
      </c>
      <c r="C3388" s="30" t="s">
        <v>434</v>
      </c>
      <c r="D3388" s="4" t="s">
        <v>15</v>
      </c>
      <c r="E3388" s="4" t="s">
        <v>16</v>
      </c>
      <c r="F3388" s="4" t="s">
        <v>17</v>
      </c>
      <c r="G3388" s="4" t="s">
        <v>18</v>
      </c>
      <c r="H3388" s="4" t="s">
        <v>313</v>
      </c>
      <c r="I3388" s="5" t="str">
        <f t="shared" si="52"/>
        <v>2026-01</v>
      </c>
      <c r="J3388" s="4" t="s">
        <v>50</v>
      </c>
      <c r="K3388" s="5" t="s">
        <v>343</v>
      </c>
      <c r="L3388" s="2">
        <v>42000</v>
      </c>
      <c r="M3388" s="3">
        <v>10</v>
      </c>
      <c r="N3388" s="2">
        <v>420000</v>
      </c>
      <c r="O3388" s="2">
        <v>42000</v>
      </c>
      <c r="P3388" s="2">
        <v>462000</v>
      </c>
      <c r="Q3388" s="2">
        <f>P3388*12%</f>
        <v>55440</v>
      </c>
    </row>
    <row r="3389" spans="1:17" hidden="1" x14ac:dyDescent="0.4">
      <c r="A3389" s="4" t="s">
        <v>23</v>
      </c>
      <c r="B3389" s="4" t="s">
        <v>14</v>
      </c>
      <c r="C3389" s="31" t="s">
        <v>435</v>
      </c>
      <c r="D3389" s="4" t="s">
        <v>24</v>
      </c>
      <c r="E3389" s="4" t="s">
        <v>16</v>
      </c>
      <c r="F3389" s="4" t="s">
        <v>17</v>
      </c>
      <c r="G3389" s="4" t="s">
        <v>18</v>
      </c>
      <c r="H3389" s="4" t="s">
        <v>313</v>
      </c>
      <c r="I3389" s="5" t="str">
        <f t="shared" si="52"/>
        <v>2026-01</v>
      </c>
      <c r="J3389" s="4" t="s">
        <v>50</v>
      </c>
      <c r="K3389" s="5" t="s">
        <v>343</v>
      </c>
      <c r="L3389" s="2">
        <v>55500</v>
      </c>
      <c r="M3389" s="3">
        <v>3</v>
      </c>
      <c r="N3389" s="2">
        <v>166500</v>
      </c>
      <c r="O3389" s="2">
        <v>16650</v>
      </c>
      <c r="P3389" s="2">
        <v>183150</v>
      </c>
      <c r="Q3389" s="2">
        <f>P3389*12%</f>
        <v>21978</v>
      </c>
    </row>
    <row r="3390" spans="1:17" hidden="1" x14ac:dyDescent="0.4">
      <c r="A3390" s="4" t="s">
        <v>51</v>
      </c>
      <c r="B3390" s="4" t="s">
        <v>14</v>
      </c>
      <c r="C3390" s="30" t="s">
        <v>434</v>
      </c>
      <c r="D3390" s="4" t="s">
        <v>52</v>
      </c>
      <c r="E3390" s="4" t="s">
        <v>16</v>
      </c>
      <c r="F3390" s="4" t="s">
        <v>17</v>
      </c>
      <c r="G3390" s="4" t="s">
        <v>18</v>
      </c>
      <c r="H3390" s="4" t="s">
        <v>313</v>
      </c>
      <c r="I3390" s="5" t="str">
        <f t="shared" si="52"/>
        <v>2026-01</v>
      </c>
      <c r="J3390" s="4" t="s">
        <v>50</v>
      </c>
      <c r="K3390" s="5" t="s">
        <v>343</v>
      </c>
      <c r="L3390" s="2">
        <v>73000</v>
      </c>
      <c r="M3390" s="3">
        <v>1</v>
      </c>
      <c r="N3390" s="2">
        <v>73000</v>
      </c>
      <c r="O3390" s="2">
        <v>7300</v>
      </c>
      <c r="P3390" s="2">
        <v>80300</v>
      </c>
      <c r="Q3390" s="2">
        <f>P3390*12%</f>
        <v>9636</v>
      </c>
    </row>
    <row r="3391" spans="1:17" x14ac:dyDescent="0.4">
      <c r="A3391" s="4" t="s">
        <v>21</v>
      </c>
      <c r="B3391" s="4" t="s">
        <v>14</v>
      </c>
      <c r="C3391" s="31" t="s">
        <v>435</v>
      </c>
      <c r="D3391" s="4" t="s">
        <v>22</v>
      </c>
      <c r="E3391" s="4" t="s">
        <v>16</v>
      </c>
      <c r="F3391" s="4" t="s">
        <v>17</v>
      </c>
      <c r="G3391" s="4" t="s">
        <v>18</v>
      </c>
      <c r="H3391" s="4" t="s">
        <v>314</v>
      </c>
      <c r="I3391" s="5" t="str">
        <f t="shared" si="52"/>
        <v>2026-01</v>
      </c>
      <c r="J3391" s="4" t="s">
        <v>20</v>
      </c>
      <c r="K3391" s="5" t="s">
        <v>342</v>
      </c>
      <c r="L3391" s="2">
        <v>55500</v>
      </c>
      <c r="M3391" s="3">
        <v>1</v>
      </c>
      <c r="N3391" s="2">
        <v>55500</v>
      </c>
      <c r="O3391" s="2">
        <v>5550</v>
      </c>
      <c r="P3391" s="2">
        <v>61050</v>
      </c>
      <c r="Q3391" s="2">
        <f>P3391*8.5%</f>
        <v>5189.25</v>
      </c>
    </row>
    <row r="3392" spans="1:17" x14ac:dyDescent="0.4">
      <c r="A3392" s="4" t="s">
        <v>23</v>
      </c>
      <c r="B3392" s="4" t="s">
        <v>14</v>
      </c>
      <c r="C3392" s="31" t="s">
        <v>435</v>
      </c>
      <c r="D3392" s="4" t="s">
        <v>24</v>
      </c>
      <c r="E3392" s="4" t="s">
        <v>16</v>
      </c>
      <c r="F3392" s="4" t="s">
        <v>17</v>
      </c>
      <c r="G3392" s="4" t="s">
        <v>18</v>
      </c>
      <c r="H3392" s="4" t="s">
        <v>314</v>
      </c>
      <c r="I3392" s="5" t="str">
        <f t="shared" si="52"/>
        <v>2026-01</v>
      </c>
      <c r="J3392" s="4" t="s">
        <v>20</v>
      </c>
      <c r="K3392" s="5" t="s">
        <v>342</v>
      </c>
      <c r="L3392" s="2">
        <v>55500</v>
      </c>
      <c r="M3392" s="3">
        <v>1</v>
      </c>
      <c r="N3392" s="2">
        <v>55500</v>
      </c>
      <c r="O3392" s="2">
        <v>5550</v>
      </c>
      <c r="P3392" s="2">
        <v>61050</v>
      </c>
      <c r="Q3392" s="2">
        <f>P3392*8.5%</f>
        <v>5189.25</v>
      </c>
    </row>
    <row r="3393" spans="1:17" x14ac:dyDescent="0.4">
      <c r="A3393" s="4" t="s">
        <v>56</v>
      </c>
      <c r="B3393" s="4" t="s">
        <v>26</v>
      </c>
      <c r="C3393" s="32" t="s">
        <v>436</v>
      </c>
      <c r="D3393" s="4" t="s">
        <v>57</v>
      </c>
      <c r="E3393" s="4" t="s">
        <v>44</v>
      </c>
      <c r="F3393" s="4" t="s">
        <v>31</v>
      </c>
      <c r="G3393" s="4" t="s">
        <v>18</v>
      </c>
      <c r="H3393" s="4" t="s">
        <v>314</v>
      </c>
      <c r="I3393" s="5" t="str">
        <f t="shared" si="52"/>
        <v>2026-01</v>
      </c>
      <c r="J3393" s="4" t="s">
        <v>20</v>
      </c>
      <c r="K3393" s="5" t="s">
        <v>342</v>
      </c>
      <c r="L3393" s="2">
        <v>2368</v>
      </c>
      <c r="M3393" s="3">
        <v>12</v>
      </c>
      <c r="N3393" s="2">
        <v>28416</v>
      </c>
      <c r="O3393" s="2">
        <v>0</v>
      </c>
      <c r="P3393" s="2">
        <v>28416</v>
      </c>
      <c r="Q3393" s="2">
        <f>P3393*8.5%</f>
        <v>2415.36</v>
      </c>
    </row>
    <row r="3394" spans="1:17" hidden="1" x14ac:dyDescent="0.4">
      <c r="A3394" s="4" t="s">
        <v>32</v>
      </c>
      <c r="B3394" s="4" t="s">
        <v>14</v>
      </c>
      <c r="C3394" s="31" t="s">
        <v>435</v>
      </c>
      <c r="D3394" s="4" t="s">
        <v>33</v>
      </c>
      <c r="E3394" s="4" t="s">
        <v>16</v>
      </c>
      <c r="F3394" s="4" t="s">
        <v>17</v>
      </c>
      <c r="G3394" s="4" t="s">
        <v>18</v>
      </c>
      <c r="H3394" s="4" t="s">
        <v>314</v>
      </c>
      <c r="I3394" s="5" t="str">
        <f t="shared" ref="I3394:I3457" si="53">TEXT(H3394,"yyyy-mm")</f>
        <v>2026-01</v>
      </c>
      <c r="J3394" s="4" t="s">
        <v>34</v>
      </c>
      <c r="K3394" s="5" t="s">
        <v>342</v>
      </c>
      <c r="L3394" s="2">
        <v>44000</v>
      </c>
      <c r="M3394" s="3">
        <v>2</v>
      </c>
      <c r="N3394" s="2">
        <v>88000</v>
      </c>
      <c r="O3394" s="2">
        <v>8800</v>
      </c>
      <c r="P3394" s="2">
        <v>96800</v>
      </c>
      <c r="Q3394" s="2">
        <f>P3394*8.5%</f>
        <v>8228</v>
      </c>
    </row>
    <row r="3395" spans="1:17" hidden="1" x14ac:dyDescent="0.4">
      <c r="A3395" s="4" t="s">
        <v>13</v>
      </c>
      <c r="B3395" s="4" t="s">
        <v>14</v>
      </c>
      <c r="C3395" s="30" t="s">
        <v>434</v>
      </c>
      <c r="D3395" s="4" t="s">
        <v>15</v>
      </c>
      <c r="E3395" s="4" t="s">
        <v>16</v>
      </c>
      <c r="F3395" s="4" t="s">
        <v>17</v>
      </c>
      <c r="G3395" s="4" t="s">
        <v>18</v>
      </c>
      <c r="H3395" s="4" t="s">
        <v>314</v>
      </c>
      <c r="I3395" s="5" t="str">
        <f t="shared" si="53"/>
        <v>2026-01</v>
      </c>
      <c r="J3395" s="4" t="s">
        <v>34</v>
      </c>
      <c r="K3395" s="5" t="s">
        <v>342</v>
      </c>
      <c r="L3395" s="2">
        <v>42000</v>
      </c>
      <c r="M3395" s="3">
        <v>3</v>
      </c>
      <c r="N3395" s="2">
        <v>126000</v>
      </c>
      <c r="O3395" s="2">
        <v>12600</v>
      </c>
      <c r="P3395" s="2">
        <v>138600</v>
      </c>
      <c r="Q3395" s="2">
        <f>P3395*8.5%</f>
        <v>11781</v>
      </c>
    </row>
    <row r="3396" spans="1:17" hidden="1" x14ac:dyDescent="0.4">
      <c r="A3396" s="4" t="s">
        <v>21</v>
      </c>
      <c r="B3396" s="4" t="s">
        <v>14</v>
      </c>
      <c r="C3396" s="31" t="s">
        <v>435</v>
      </c>
      <c r="D3396" s="4" t="s">
        <v>22</v>
      </c>
      <c r="E3396" s="4" t="s">
        <v>16</v>
      </c>
      <c r="F3396" s="4" t="s">
        <v>17</v>
      </c>
      <c r="G3396" s="4" t="s">
        <v>18</v>
      </c>
      <c r="H3396" s="4" t="s">
        <v>314</v>
      </c>
      <c r="I3396" s="5" t="str">
        <f t="shared" si="53"/>
        <v>2026-01</v>
      </c>
      <c r="J3396" s="4" t="s">
        <v>34</v>
      </c>
      <c r="K3396" s="5" t="s">
        <v>342</v>
      </c>
      <c r="L3396" s="2">
        <v>55500</v>
      </c>
      <c r="M3396" s="3">
        <v>2</v>
      </c>
      <c r="N3396" s="2">
        <v>111000</v>
      </c>
      <c r="O3396" s="2">
        <v>11100</v>
      </c>
      <c r="P3396" s="2">
        <v>122100</v>
      </c>
      <c r="Q3396" s="2">
        <f>P3396*8.5%</f>
        <v>10378.5</v>
      </c>
    </row>
    <row r="3397" spans="1:17" hidden="1" x14ac:dyDescent="0.4">
      <c r="A3397" s="4" t="s">
        <v>23</v>
      </c>
      <c r="B3397" s="4" t="s">
        <v>14</v>
      </c>
      <c r="C3397" s="31" t="s">
        <v>435</v>
      </c>
      <c r="D3397" s="4" t="s">
        <v>24</v>
      </c>
      <c r="E3397" s="4" t="s">
        <v>16</v>
      </c>
      <c r="F3397" s="4" t="s">
        <v>17</v>
      </c>
      <c r="G3397" s="4" t="s">
        <v>18</v>
      </c>
      <c r="H3397" s="4" t="s">
        <v>314</v>
      </c>
      <c r="I3397" s="5" t="str">
        <f t="shared" si="53"/>
        <v>2026-01</v>
      </c>
      <c r="J3397" s="4" t="s">
        <v>34</v>
      </c>
      <c r="K3397" s="5" t="s">
        <v>342</v>
      </c>
      <c r="L3397" s="2">
        <v>55500</v>
      </c>
      <c r="M3397" s="3">
        <v>4</v>
      </c>
      <c r="N3397" s="2">
        <v>222000</v>
      </c>
      <c r="O3397" s="2">
        <v>22200</v>
      </c>
      <c r="P3397" s="2">
        <v>244200</v>
      </c>
      <c r="Q3397" s="2">
        <f>P3397*8.5%</f>
        <v>20757</v>
      </c>
    </row>
    <row r="3398" spans="1:17" hidden="1" x14ac:dyDescent="0.4">
      <c r="A3398" s="4" t="s">
        <v>51</v>
      </c>
      <c r="B3398" s="4" t="s">
        <v>14</v>
      </c>
      <c r="C3398" s="30" t="s">
        <v>434</v>
      </c>
      <c r="D3398" s="4" t="s">
        <v>52</v>
      </c>
      <c r="E3398" s="4" t="s">
        <v>16</v>
      </c>
      <c r="F3398" s="4" t="s">
        <v>17</v>
      </c>
      <c r="G3398" s="4" t="s">
        <v>18</v>
      </c>
      <c r="H3398" s="4" t="s">
        <v>314</v>
      </c>
      <c r="I3398" s="5" t="str">
        <f t="shared" si="53"/>
        <v>2026-01</v>
      </c>
      <c r="J3398" s="4" t="s">
        <v>34</v>
      </c>
      <c r="K3398" s="5" t="s">
        <v>342</v>
      </c>
      <c r="L3398" s="2">
        <v>73000</v>
      </c>
      <c r="M3398" s="3">
        <v>1</v>
      </c>
      <c r="N3398" s="2">
        <v>73000</v>
      </c>
      <c r="O3398" s="2">
        <v>7300</v>
      </c>
      <c r="P3398" s="2">
        <v>80300</v>
      </c>
      <c r="Q3398" s="2">
        <f>P3398*8.5%</f>
        <v>6825.5000000000009</v>
      </c>
    </row>
    <row r="3399" spans="1:17" hidden="1" x14ac:dyDescent="0.4">
      <c r="A3399" s="4" t="s">
        <v>84</v>
      </c>
      <c r="B3399" s="4" t="s">
        <v>26</v>
      </c>
      <c r="C3399" s="32" t="s">
        <v>436</v>
      </c>
      <c r="D3399" s="4" t="s">
        <v>85</v>
      </c>
      <c r="E3399" s="4" t="s">
        <v>28</v>
      </c>
      <c r="F3399" s="4" t="s">
        <v>17</v>
      </c>
      <c r="G3399" s="4" t="s">
        <v>18</v>
      </c>
      <c r="H3399" s="4" t="s">
        <v>314</v>
      </c>
      <c r="I3399" s="5" t="str">
        <f t="shared" si="53"/>
        <v>2026-01</v>
      </c>
      <c r="J3399" s="4" t="s">
        <v>34</v>
      </c>
      <c r="K3399" s="5" t="s">
        <v>342</v>
      </c>
      <c r="L3399" s="2">
        <v>5032</v>
      </c>
      <c r="M3399" s="3">
        <v>1</v>
      </c>
      <c r="N3399" s="2">
        <v>5032</v>
      </c>
      <c r="O3399" s="2">
        <v>503</v>
      </c>
      <c r="P3399" s="2">
        <v>5535</v>
      </c>
      <c r="Q3399" s="2">
        <f>P3399*8.5%</f>
        <v>470.47500000000002</v>
      </c>
    </row>
    <row r="3400" spans="1:17" hidden="1" x14ac:dyDescent="0.4">
      <c r="A3400" s="4" t="s">
        <v>77</v>
      </c>
      <c r="B3400" s="4" t="s">
        <v>26</v>
      </c>
      <c r="C3400" s="32" t="s">
        <v>436</v>
      </c>
      <c r="D3400" s="4" t="s">
        <v>78</v>
      </c>
      <c r="E3400" s="4" t="s">
        <v>28</v>
      </c>
      <c r="F3400" s="4" t="s">
        <v>17</v>
      </c>
      <c r="G3400" s="4" t="s">
        <v>18</v>
      </c>
      <c r="H3400" s="4" t="s">
        <v>314</v>
      </c>
      <c r="I3400" s="5" t="str">
        <f t="shared" si="53"/>
        <v>2026-01</v>
      </c>
      <c r="J3400" s="4" t="s">
        <v>34</v>
      </c>
      <c r="K3400" s="5" t="s">
        <v>342</v>
      </c>
      <c r="L3400" s="2">
        <v>14348</v>
      </c>
      <c r="M3400" s="3">
        <v>1</v>
      </c>
      <c r="N3400" s="2">
        <v>14348</v>
      </c>
      <c r="O3400" s="2">
        <v>1435</v>
      </c>
      <c r="P3400" s="2">
        <v>15783</v>
      </c>
      <c r="Q3400" s="2">
        <f>P3400*8.5%</f>
        <v>1341.5550000000001</v>
      </c>
    </row>
    <row r="3401" spans="1:17" hidden="1" x14ac:dyDescent="0.4">
      <c r="A3401" s="4" t="s">
        <v>40</v>
      </c>
      <c r="B3401" s="4" t="s">
        <v>26</v>
      </c>
      <c r="C3401" s="32" t="s">
        <v>436</v>
      </c>
      <c r="D3401" s="4" t="s">
        <v>41</v>
      </c>
      <c r="E3401" s="4" t="s">
        <v>28</v>
      </c>
      <c r="F3401" s="4" t="s">
        <v>17</v>
      </c>
      <c r="G3401" s="4" t="s">
        <v>18</v>
      </c>
      <c r="H3401" s="4" t="s">
        <v>314</v>
      </c>
      <c r="I3401" s="5" t="str">
        <f t="shared" si="53"/>
        <v>2026-01</v>
      </c>
      <c r="J3401" s="4" t="s">
        <v>34</v>
      </c>
      <c r="K3401" s="5" t="s">
        <v>342</v>
      </c>
      <c r="L3401" s="2">
        <v>17936</v>
      </c>
      <c r="M3401" s="3">
        <v>2</v>
      </c>
      <c r="N3401" s="2">
        <v>35872</v>
      </c>
      <c r="O3401" s="2">
        <v>3587</v>
      </c>
      <c r="P3401" s="2">
        <v>39459</v>
      </c>
      <c r="Q3401" s="2">
        <f>P3401*8.5%</f>
        <v>3354.0150000000003</v>
      </c>
    </row>
    <row r="3402" spans="1:17" hidden="1" x14ac:dyDescent="0.4">
      <c r="A3402" s="4" t="s">
        <v>70</v>
      </c>
      <c r="B3402" s="4" t="s">
        <v>26</v>
      </c>
      <c r="C3402" s="32" t="s">
        <v>436</v>
      </c>
      <c r="D3402" s="4" t="s">
        <v>71</v>
      </c>
      <c r="E3402" s="4" t="s">
        <v>28</v>
      </c>
      <c r="F3402" s="4" t="s">
        <v>31</v>
      </c>
      <c r="G3402" s="4" t="s">
        <v>18</v>
      </c>
      <c r="H3402" s="4" t="s">
        <v>314</v>
      </c>
      <c r="I3402" s="5" t="str">
        <f t="shared" si="53"/>
        <v>2026-01</v>
      </c>
      <c r="J3402" s="4" t="s">
        <v>34</v>
      </c>
      <c r="K3402" s="5" t="s">
        <v>342</v>
      </c>
      <c r="L3402" s="2">
        <v>6624</v>
      </c>
      <c r="M3402" s="3">
        <v>2</v>
      </c>
      <c r="N3402" s="2">
        <v>13248</v>
      </c>
      <c r="O3402" s="2">
        <v>0</v>
      </c>
      <c r="P3402" s="2">
        <v>13248</v>
      </c>
      <c r="Q3402" s="2">
        <f>P3402*8.5%</f>
        <v>1126.0800000000002</v>
      </c>
    </row>
    <row r="3403" spans="1:17" hidden="1" x14ac:dyDescent="0.4">
      <c r="A3403" s="4" t="s">
        <v>42</v>
      </c>
      <c r="B3403" s="4" t="s">
        <v>14</v>
      </c>
      <c r="C3403" s="30" t="s">
        <v>434</v>
      </c>
      <c r="D3403" s="4" t="s">
        <v>43</v>
      </c>
      <c r="E3403" s="4" t="s">
        <v>44</v>
      </c>
      <c r="F3403" s="4" t="s">
        <v>31</v>
      </c>
      <c r="G3403" s="4" t="s">
        <v>18</v>
      </c>
      <c r="H3403" s="4" t="s">
        <v>314</v>
      </c>
      <c r="I3403" s="5" t="str">
        <f t="shared" si="53"/>
        <v>2026-01</v>
      </c>
      <c r="J3403" s="4" t="s">
        <v>34</v>
      </c>
      <c r="K3403" s="5" t="s">
        <v>342</v>
      </c>
      <c r="L3403" s="2">
        <v>7300</v>
      </c>
      <c r="M3403" s="3">
        <v>49.6</v>
      </c>
      <c r="N3403" s="2">
        <v>362080</v>
      </c>
      <c r="O3403" s="2">
        <v>0</v>
      </c>
      <c r="P3403" s="2">
        <v>362080</v>
      </c>
      <c r="Q3403" s="2">
        <f>P3403*8.5%</f>
        <v>30776.800000000003</v>
      </c>
    </row>
    <row r="3404" spans="1:17" hidden="1" x14ac:dyDescent="0.4">
      <c r="A3404" s="4" t="s">
        <v>32</v>
      </c>
      <c r="B3404" s="4" t="s">
        <v>14</v>
      </c>
      <c r="C3404" s="31" t="s">
        <v>435</v>
      </c>
      <c r="D3404" s="4" t="s">
        <v>33</v>
      </c>
      <c r="E3404" s="4" t="s">
        <v>16</v>
      </c>
      <c r="F3404" s="4" t="s">
        <v>17</v>
      </c>
      <c r="G3404" s="4" t="s">
        <v>18</v>
      </c>
      <c r="H3404" s="4" t="s">
        <v>314</v>
      </c>
      <c r="I3404" s="5" t="str">
        <f t="shared" si="53"/>
        <v>2026-01</v>
      </c>
      <c r="J3404" s="4" t="s">
        <v>59</v>
      </c>
      <c r="K3404" s="5" t="s">
        <v>343</v>
      </c>
      <c r="L3404" s="2">
        <v>44000</v>
      </c>
      <c r="M3404" s="3">
        <v>2</v>
      </c>
      <c r="N3404" s="2">
        <v>88000</v>
      </c>
      <c r="O3404" s="2">
        <v>8800</v>
      </c>
      <c r="P3404" s="2">
        <v>96800</v>
      </c>
      <c r="Q3404" s="2">
        <f>P3404*12%</f>
        <v>11616</v>
      </c>
    </row>
    <row r="3405" spans="1:17" hidden="1" x14ac:dyDescent="0.4">
      <c r="A3405" s="4" t="s">
        <v>13</v>
      </c>
      <c r="B3405" s="4" t="s">
        <v>14</v>
      </c>
      <c r="C3405" s="30" t="s">
        <v>434</v>
      </c>
      <c r="D3405" s="4" t="s">
        <v>15</v>
      </c>
      <c r="E3405" s="4" t="s">
        <v>16</v>
      </c>
      <c r="F3405" s="4" t="s">
        <v>17</v>
      </c>
      <c r="G3405" s="4" t="s">
        <v>18</v>
      </c>
      <c r="H3405" s="4" t="s">
        <v>314</v>
      </c>
      <c r="I3405" s="5" t="str">
        <f t="shared" si="53"/>
        <v>2026-01</v>
      </c>
      <c r="J3405" s="4" t="s">
        <v>59</v>
      </c>
      <c r="K3405" s="5" t="s">
        <v>343</v>
      </c>
      <c r="L3405" s="2">
        <v>42000</v>
      </c>
      <c r="M3405" s="3">
        <v>3</v>
      </c>
      <c r="N3405" s="2">
        <v>126000</v>
      </c>
      <c r="O3405" s="2">
        <v>12600</v>
      </c>
      <c r="P3405" s="2">
        <v>138600</v>
      </c>
      <c r="Q3405" s="2">
        <f>P3405*12%</f>
        <v>16632</v>
      </c>
    </row>
    <row r="3406" spans="1:17" hidden="1" x14ac:dyDescent="0.4">
      <c r="A3406" s="4" t="s">
        <v>23</v>
      </c>
      <c r="B3406" s="4" t="s">
        <v>14</v>
      </c>
      <c r="C3406" s="31" t="s">
        <v>435</v>
      </c>
      <c r="D3406" s="4" t="s">
        <v>24</v>
      </c>
      <c r="E3406" s="4" t="s">
        <v>16</v>
      </c>
      <c r="F3406" s="4" t="s">
        <v>17</v>
      </c>
      <c r="G3406" s="4" t="s">
        <v>18</v>
      </c>
      <c r="H3406" s="4" t="s">
        <v>314</v>
      </c>
      <c r="I3406" s="5" t="str">
        <f t="shared" si="53"/>
        <v>2026-01</v>
      </c>
      <c r="J3406" s="4" t="s">
        <v>59</v>
      </c>
      <c r="K3406" s="5" t="s">
        <v>343</v>
      </c>
      <c r="L3406" s="2">
        <v>55500</v>
      </c>
      <c r="M3406" s="3">
        <v>1</v>
      </c>
      <c r="N3406" s="2">
        <v>55500</v>
      </c>
      <c r="O3406" s="2">
        <v>5550</v>
      </c>
      <c r="P3406" s="2">
        <v>61050</v>
      </c>
      <c r="Q3406" s="2">
        <f>P3406*12%</f>
        <v>7326</v>
      </c>
    </row>
    <row r="3407" spans="1:17" hidden="1" x14ac:dyDescent="0.4">
      <c r="A3407" s="4" t="s">
        <v>51</v>
      </c>
      <c r="B3407" s="4" t="s">
        <v>14</v>
      </c>
      <c r="C3407" s="30" t="s">
        <v>434</v>
      </c>
      <c r="D3407" s="4" t="s">
        <v>52</v>
      </c>
      <c r="E3407" s="4" t="s">
        <v>16</v>
      </c>
      <c r="F3407" s="4" t="s">
        <v>17</v>
      </c>
      <c r="G3407" s="4" t="s">
        <v>18</v>
      </c>
      <c r="H3407" s="4" t="s">
        <v>314</v>
      </c>
      <c r="I3407" s="5" t="str">
        <f t="shared" si="53"/>
        <v>2026-01</v>
      </c>
      <c r="J3407" s="4" t="s">
        <v>59</v>
      </c>
      <c r="K3407" s="5" t="s">
        <v>343</v>
      </c>
      <c r="L3407" s="2">
        <v>73000</v>
      </c>
      <c r="M3407" s="3">
        <v>1</v>
      </c>
      <c r="N3407" s="2">
        <v>73000</v>
      </c>
      <c r="O3407" s="2">
        <v>7300</v>
      </c>
      <c r="P3407" s="2">
        <v>80300</v>
      </c>
      <c r="Q3407" s="2">
        <f>P3407*12%</f>
        <v>9636</v>
      </c>
    </row>
    <row r="3408" spans="1:17" hidden="1" x14ac:dyDescent="0.4">
      <c r="A3408" s="4" t="s">
        <v>32</v>
      </c>
      <c r="B3408" s="4" t="s">
        <v>14</v>
      </c>
      <c r="C3408" s="31" t="s">
        <v>435</v>
      </c>
      <c r="D3408" s="4" t="s">
        <v>33</v>
      </c>
      <c r="E3408" s="4" t="s">
        <v>16</v>
      </c>
      <c r="F3408" s="4" t="s">
        <v>17</v>
      </c>
      <c r="G3408" s="4" t="s">
        <v>18</v>
      </c>
      <c r="H3408" s="4" t="s">
        <v>314</v>
      </c>
      <c r="I3408" s="5" t="str">
        <f t="shared" si="53"/>
        <v>2026-01</v>
      </c>
      <c r="J3408" s="4" t="s">
        <v>49</v>
      </c>
      <c r="K3408" s="5" t="s">
        <v>343</v>
      </c>
      <c r="L3408" s="2">
        <v>44000</v>
      </c>
      <c r="M3408" s="3">
        <v>5</v>
      </c>
      <c r="N3408" s="2">
        <v>220000</v>
      </c>
      <c r="O3408" s="2">
        <v>22000</v>
      </c>
      <c r="P3408" s="2">
        <v>242000</v>
      </c>
      <c r="Q3408" s="2">
        <f>P3408*12%</f>
        <v>29040</v>
      </c>
    </row>
    <row r="3409" spans="1:17" hidden="1" x14ac:dyDescent="0.4">
      <c r="A3409" s="4" t="s">
        <v>13</v>
      </c>
      <c r="B3409" s="4" t="s">
        <v>14</v>
      </c>
      <c r="C3409" s="30" t="s">
        <v>434</v>
      </c>
      <c r="D3409" s="4" t="s">
        <v>15</v>
      </c>
      <c r="E3409" s="4" t="s">
        <v>16</v>
      </c>
      <c r="F3409" s="4" t="s">
        <v>17</v>
      </c>
      <c r="G3409" s="4" t="s">
        <v>18</v>
      </c>
      <c r="H3409" s="4" t="s">
        <v>314</v>
      </c>
      <c r="I3409" s="5" t="str">
        <f t="shared" si="53"/>
        <v>2026-01</v>
      </c>
      <c r="J3409" s="4" t="s">
        <v>49</v>
      </c>
      <c r="K3409" s="5" t="s">
        <v>343</v>
      </c>
      <c r="L3409" s="2">
        <v>42000</v>
      </c>
      <c r="M3409" s="3">
        <v>4</v>
      </c>
      <c r="N3409" s="2">
        <v>168000</v>
      </c>
      <c r="O3409" s="2">
        <v>16800</v>
      </c>
      <c r="P3409" s="2">
        <v>184800</v>
      </c>
      <c r="Q3409" s="2">
        <f>P3409*12%</f>
        <v>22176</v>
      </c>
    </row>
    <row r="3410" spans="1:17" hidden="1" x14ac:dyDescent="0.4">
      <c r="A3410" s="4" t="s">
        <v>35</v>
      </c>
      <c r="B3410" s="4" t="s">
        <v>14</v>
      </c>
      <c r="C3410" s="30" t="s">
        <v>434</v>
      </c>
      <c r="D3410" s="4" t="s">
        <v>36</v>
      </c>
      <c r="E3410" s="4" t="s">
        <v>16</v>
      </c>
      <c r="F3410" s="4" t="s">
        <v>17</v>
      </c>
      <c r="G3410" s="4" t="s">
        <v>18</v>
      </c>
      <c r="H3410" s="4" t="s">
        <v>314</v>
      </c>
      <c r="I3410" s="5" t="str">
        <f t="shared" si="53"/>
        <v>2026-01</v>
      </c>
      <c r="J3410" s="4" t="s">
        <v>49</v>
      </c>
      <c r="K3410" s="5" t="s">
        <v>343</v>
      </c>
      <c r="L3410" s="2">
        <v>116220</v>
      </c>
      <c r="M3410" s="3">
        <v>1</v>
      </c>
      <c r="N3410" s="2">
        <v>116220</v>
      </c>
      <c r="O3410" s="2">
        <v>11622</v>
      </c>
      <c r="P3410" s="2">
        <v>127842</v>
      </c>
      <c r="Q3410" s="2">
        <f>P3410*12%</f>
        <v>15341.039999999999</v>
      </c>
    </row>
    <row r="3411" spans="1:17" hidden="1" x14ac:dyDescent="0.4">
      <c r="A3411" s="4" t="s">
        <v>23</v>
      </c>
      <c r="B3411" s="4" t="s">
        <v>14</v>
      </c>
      <c r="C3411" s="31" t="s">
        <v>435</v>
      </c>
      <c r="D3411" s="4" t="s">
        <v>24</v>
      </c>
      <c r="E3411" s="4" t="s">
        <v>16</v>
      </c>
      <c r="F3411" s="4" t="s">
        <v>17</v>
      </c>
      <c r="G3411" s="4" t="s">
        <v>18</v>
      </c>
      <c r="H3411" s="4" t="s">
        <v>314</v>
      </c>
      <c r="I3411" s="5" t="str">
        <f t="shared" si="53"/>
        <v>2026-01</v>
      </c>
      <c r="J3411" s="4" t="s">
        <v>49</v>
      </c>
      <c r="K3411" s="5" t="s">
        <v>343</v>
      </c>
      <c r="L3411" s="2">
        <v>55500</v>
      </c>
      <c r="M3411" s="3">
        <v>3</v>
      </c>
      <c r="N3411" s="2">
        <v>166500</v>
      </c>
      <c r="O3411" s="2">
        <v>16650</v>
      </c>
      <c r="P3411" s="2">
        <v>183150</v>
      </c>
      <c r="Q3411" s="2">
        <f>P3411*12%</f>
        <v>21978</v>
      </c>
    </row>
    <row r="3412" spans="1:17" hidden="1" x14ac:dyDescent="0.4">
      <c r="A3412" s="4" t="s">
        <v>51</v>
      </c>
      <c r="B3412" s="4" t="s">
        <v>14</v>
      </c>
      <c r="C3412" s="30" t="s">
        <v>434</v>
      </c>
      <c r="D3412" s="4" t="s">
        <v>52</v>
      </c>
      <c r="E3412" s="4" t="s">
        <v>16</v>
      </c>
      <c r="F3412" s="4" t="s">
        <v>17</v>
      </c>
      <c r="G3412" s="4" t="s">
        <v>18</v>
      </c>
      <c r="H3412" s="4" t="s">
        <v>314</v>
      </c>
      <c r="I3412" s="5" t="str">
        <f t="shared" si="53"/>
        <v>2026-01</v>
      </c>
      <c r="J3412" s="4" t="s">
        <v>49</v>
      </c>
      <c r="K3412" s="5" t="s">
        <v>343</v>
      </c>
      <c r="L3412" s="2">
        <v>73000</v>
      </c>
      <c r="M3412" s="3">
        <v>1</v>
      </c>
      <c r="N3412" s="2">
        <v>73000</v>
      </c>
      <c r="O3412" s="2">
        <v>7300</v>
      </c>
      <c r="P3412" s="2">
        <v>80300</v>
      </c>
      <c r="Q3412" s="2">
        <f>P3412*12%</f>
        <v>9636</v>
      </c>
    </row>
    <row r="3413" spans="1:17" x14ac:dyDescent="0.4">
      <c r="A3413" s="4" t="s">
        <v>13</v>
      </c>
      <c r="B3413" s="4" t="s">
        <v>14</v>
      </c>
      <c r="C3413" s="30" t="s">
        <v>434</v>
      </c>
      <c r="D3413" s="4" t="s">
        <v>15</v>
      </c>
      <c r="E3413" s="4" t="s">
        <v>16</v>
      </c>
      <c r="F3413" s="4" t="s">
        <v>17</v>
      </c>
      <c r="G3413" s="4" t="s">
        <v>18</v>
      </c>
      <c r="H3413" s="4" t="s">
        <v>315</v>
      </c>
      <c r="I3413" s="5" t="str">
        <f t="shared" si="53"/>
        <v>2026-01</v>
      </c>
      <c r="J3413" s="4" t="s">
        <v>20</v>
      </c>
      <c r="K3413" s="5" t="s">
        <v>342</v>
      </c>
      <c r="L3413" s="2">
        <v>42000</v>
      </c>
      <c r="M3413" s="3">
        <v>1</v>
      </c>
      <c r="N3413" s="2">
        <v>42000</v>
      </c>
      <c r="O3413" s="2">
        <v>4200</v>
      </c>
      <c r="P3413" s="2">
        <v>46200</v>
      </c>
      <c r="Q3413" s="2">
        <f>P3413*8.5%</f>
        <v>3927.0000000000005</v>
      </c>
    </row>
    <row r="3414" spans="1:17" x14ac:dyDescent="0.4">
      <c r="A3414" s="4" t="s">
        <v>21</v>
      </c>
      <c r="B3414" s="4" t="s">
        <v>14</v>
      </c>
      <c r="C3414" s="31" t="s">
        <v>435</v>
      </c>
      <c r="D3414" s="4" t="s">
        <v>22</v>
      </c>
      <c r="E3414" s="4" t="s">
        <v>16</v>
      </c>
      <c r="F3414" s="4" t="s">
        <v>17</v>
      </c>
      <c r="G3414" s="4" t="s">
        <v>18</v>
      </c>
      <c r="H3414" s="4" t="s">
        <v>315</v>
      </c>
      <c r="I3414" s="5" t="str">
        <f t="shared" si="53"/>
        <v>2026-01</v>
      </c>
      <c r="J3414" s="4" t="s">
        <v>20</v>
      </c>
      <c r="K3414" s="5" t="s">
        <v>342</v>
      </c>
      <c r="L3414" s="2">
        <v>55500</v>
      </c>
      <c r="M3414" s="3">
        <v>1</v>
      </c>
      <c r="N3414" s="2">
        <v>55500</v>
      </c>
      <c r="O3414" s="2">
        <v>5550</v>
      </c>
      <c r="P3414" s="2">
        <v>61050</v>
      </c>
      <c r="Q3414" s="2">
        <f>P3414*8.5%</f>
        <v>5189.25</v>
      </c>
    </row>
    <row r="3415" spans="1:17" x14ac:dyDescent="0.4">
      <c r="A3415" s="4" t="s">
        <v>23</v>
      </c>
      <c r="B3415" s="4" t="s">
        <v>14</v>
      </c>
      <c r="C3415" s="31" t="s">
        <v>435</v>
      </c>
      <c r="D3415" s="4" t="s">
        <v>24</v>
      </c>
      <c r="E3415" s="4" t="s">
        <v>16</v>
      </c>
      <c r="F3415" s="4" t="s">
        <v>17</v>
      </c>
      <c r="G3415" s="4" t="s">
        <v>18</v>
      </c>
      <c r="H3415" s="4" t="s">
        <v>315</v>
      </c>
      <c r="I3415" s="5" t="str">
        <f t="shared" si="53"/>
        <v>2026-01</v>
      </c>
      <c r="J3415" s="4" t="s">
        <v>20</v>
      </c>
      <c r="K3415" s="5" t="s">
        <v>342</v>
      </c>
      <c r="L3415" s="2">
        <v>55500</v>
      </c>
      <c r="M3415" s="3">
        <v>2</v>
      </c>
      <c r="N3415" s="2">
        <v>111000</v>
      </c>
      <c r="O3415" s="2">
        <v>11100</v>
      </c>
      <c r="P3415" s="2">
        <v>122100</v>
      </c>
      <c r="Q3415" s="2">
        <f>P3415*8.5%</f>
        <v>10378.5</v>
      </c>
    </row>
    <row r="3416" spans="1:17" x14ac:dyDescent="0.4">
      <c r="A3416" s="4" t="s">
        <v>307</v>
      </c>
      <c r="B3416" s="4" t="s">
        <v>26</v>
      </c>
      <c r="C3416" s="32" t="s">
        <v>436</v>
      </c>
      <c r="D3416" s="4" t="s">
        <v>55</v>
      </c>
      <c r="E3416" s="4" t="s">
        <v>28</v>
      </c>
      <c r="F3416" s="4" t="s">
        <v>17</v>
      </c>
      <c r="G3416" s="4" t="s">
        <v>18</v>
      </c>
      <c r="H3416" s="4" t="s">
        <v>315</v>
      </c>
      <c r="I3416" s="5" t="str">
        <f t="shared" si="53"/>
        <v>2026-01</v>
      </c>
      <c r="J3416" s="4" t="s">
        <v>20</v>
      </c>
      <c r="K3416" s="5" t="s">
        <v>342</v>
      </c>
      <c r="L3416" s="2">
        <v>5919</v>
      </c>
      <c r="M3416" s="3">
        <v>1</v>
      </c>
      <c r="N3416" s="2">
        <v>5919</v>
      </c>
      <c r="O3416" s="2">
        <v>592</v>
      </c>
      <c r="P3416" s="2">
        <v>6511</v>
      </c>
      <c r="Q3416" s="2">
        <f>P3416*8.5%</f>
        <v>553.43500000000006</v>
      </c>
    </row>
    <row r="3417" spans="1:17" x14ac:dyDescent="0.4">
      <c r="A3417" s="4" t="s">
        <v>56</v>
      </c>
      <c r="B3417" s="4" t="s">
        <v>26</v>
      </c>
      <c r="C3417" s="32" t="s">
        <v>436</v>
      </c>
      <c r="D3417" s="4" t="s">
        <v>57</v>
      </c>
      <c r="E3417" s="4" t="s">
        <v>44</v>
      </c>
      <c r="F3417" s="4" t="s">
        <v>31</v>
      </c>
      <c r="G3417" s="4" t="s">
        <v>18</v>
      </c>
      <c r="H3417" s="4" t="s">
        <v>315</v>
      </c>
      <c r="I3417" s="5" t="str">
        <f t="shared" si="53"/>
        <v>2026-01</v>
      </c>
      <c r="J3417" s="4" t="s">
        <v>20</v>
      </c>
      <c r="K3417" s="5" t="s">
        <v>342</v>
      </c>
      <c r="L3417" s="2">
        <v>2368</v>
      </c>
      <c r="M3417" s="3">
        <v>12</v>
      </c>
      <c r="N3417" s="2">
        <v>28416</v>
      </c>
      <c r="O3417" s="2">
        <v>0</v>
      </c>
      <c r="P3417" s="2">
        <v>28416</v>
      </c>
      <c r="Q3417" s="2">
        <f>P3417*8.5%</f>
        <v>2415.36</v>
      </c>
    </row>
    <row r="3418" spans="1:17" hidden="1" x14ac:dyDescent="0.4">
      <c r="A3418" s="4" t="s">
        <v>13</v>
      </c>
      <c r="B3418" s="4" t="s">
        <v>14</v>
      </c>
      <c r="C3418" s="30" t="s">
        <v>434</v>
      </c>
      <c r="D3418" s="4" t="s">
        <v>15</v>
      </c>
      <c r="E3418" s="4" t="s">
        <v>16</v>
      </c>
      <c r="F3418" s="4" t="s">
        <v>17</v>
      </c>
      <c r="G3418" s="4" t="s">
        <v>18</v>
      </c>
      <c r="H3418" s="4" t="s">
        <v>315</v>
      </c>
      <c r="I3418" s="5" t="str">
        <f t="shared" si="53"/>
        <v>2026-01</v>
      </c>
      <c r="J3418" s="4" t="s">
        <v>34</v>
      </c>
      <c r="K3418" s="5" t="s">
        <v>342</v>
      </c>
      <c r="L3418" s="2">
        <v>42000</v>
      </c>
      <c r="M3418" s="3">
        <v>4</v>
      </c>
      <c r="N3418" s="2">
        <v>168000</v>
      </c>
      <c r="O3418" s="2">
        <v>16800</v>
      </c>
      <c r="P3418" s="2">
        <v>184800</v>
      </c>
      <c r="Q3418" s="2">
        <f>P3418*8.5%</f>
        <v>15708.000000000002</v>
      </c>
    </row>
    <row r="3419" spans="1:17" hidden="1" x14ac:dyDescent="0.4">
      <c r="A3419" s="4" t="s">
        <v>23</v>
      </c>
      <c r="B3419" s="4" t="s">
        <v>14</v>
      </c>
      <c r="C3419" s="31" t="s">
        <v>435</v>
      </c>
      <c r="D3419" s="4" t="s">
        <v>24</v>
      </c>
      <c r="E3419" s="4" t="s">
        <v>16</v>
      </c>
      <c r="F3419" s="4" t="s">
        <v>17</v>
      </c>
      <c r="G3419" s="4" t="s">
        <v>18</v>
      </c>
      <c r="H3419" s="4" t="s">
        <v>315</v>
      </c>
      <c r="I3419" s="5" t="str">
        <f t="shared" si="53"/>
        <v>2026-01</v>
      </c>
      <c r="J3419" s="4" t="s">
        <v>34</v>
      </c>
      <c r="K3419" s="5" t="s">
        <v>342</v>
      </c>
      <c r="L3419" s="2">
        <v>55500</v>
      </c>
      <c r="M3419" s="3">
        <v>3</v>
      </c>
      <c r="N3419" s="2">
        <v>166500</v>
      </c>
      <c r="O3419" s="2">
        <v>16650</v>
      </c>
      <c r="P3419" s="2">
        <v>183150</v>
      </c>
      <c r="Q3419" s="2">
        <f>P3419*8.5%</f>
        <v>15567.750000000002</v>
      </c>
    </row>
    <row r="3420" spans="1:17" hidden="1" x14ac:dyDescent="0.4">
      <c r="A3420" s="4" t="s">
        <v>67</v>
      </c>
      <c r="B3420" s="4" t="s">
        <v>26</v>
      </c>
      <c r="C3420" s="32" t="s">
        <v>436</v>
      </c>
      <c r="D3420" s="4" t="s">
        <v>63</v>
      </c>
      <c r="E3420" s="4" t="s">
        <v>28</v>
      </c>
      <c r="F3420" s="4" t="s">
        <v>17</v>
      </c>
      <c r="G3420" s="4" t="s">
        <v>18</v>
      </c>
      <c r="H3420" s="4" t="s">
        <v>315</v>
      </c>
      <c r="I3420" s="5" t="str">
        <f t="shared" si="53"/>
        <v>2026-01</v>
      </c>
      <c r="J3420" s="4" t="s">
        <v>34</v>
      </c>
      <c r="K3420" s="5" t="s">
        <v>342</v>
      </c>
      <c r="L3420" s="2">
        <v>7174</v>
      </c>
      <c r="M3420" s="3">
        <v>1</v>
      </c>
      <c r="N3420" s="2">
        <v>7174</v>
      </c>
      <c r="O3420" s="2">
        <v>717</v>
      </c>
      <c r="P3420" s="2">
        <v>7891</v>
      </c>
      <c r="Q3420" s="2">
        <f>P3420*8.5%</f>
        <v>670.73500000000001</v>
      </c>
    </row>
    <row r="3421" spans="1:17" hidden="1" x14ac:dyDescent="0.4">
      <c r="A3421" s="4" t="s">
        <v>123</v>
      </c>
      <c r="B3421" s="4" t="s">
        <v>26</v>
      </c>
      <c r="C3421" s="32" t="s">
        <v>436</v>
      </c>
      <c r="D3421" s="4" t="s">
        <v>124</v>
      </c>
      <c r="E3421" s="4" t="s">
        <v>28</v>
      </c>
      <c r="F3421" s="4" t="s">
        <v>17</v>
      </c>
      <c r="G3421" s="4" t="s">
        <v>18</v>
      </c>
      <c r="H3421" s="4" t="s">
        <v>315</v>
      </c>
      <c r="I3421" s="5" t="str">
        <f t="shared" si="53"/>
        <v>2026-01</v>
      </c>
      <c r="J3421" s="4" t="s">
        <v>34</v>
      </c>
      <c r="K3421" s="5" t="s">
        <v>342</v>
      </c>
      <c r="L3421" s="2">
        <v>454</v>
      </c>
      <c r="M3421" s="3">
        <v>10</v>
      </c>
      <c r="N3421" s="2">
        <v>4540</v>
      </c>
      <c r="O3421" s="2">
        <v>454</v>
      </c>
      <c r="P3421" s="2">
        <v>4994</v>
      </c>
      <c r="Q3421" s="2">
        <f>P3421*8.5%</f>
        <v>424.49</v>
      </c>
    </row>
    <row r="3422" spans="1:17" hidden="1" x14ac:dyDescent="0.4">
      <c r="A3422" s="4" t="s">
        <v>42</v>
      </c>
      <c r="B3422" s="4" t="s">
        <v>14</v>
      </c>
      <c r="C3422" s="30" t="s">
        <v>434</v>
      </c>
      <c r="D3422" s="4" t="s">
        <v>43</v>
      </c>
      <c r="E3422" s="4" t="s">
        <v>44</v>
      </c>
      <c r="F3422" s="4" t="s">
        <v>31</v>
      </c>
      <c r="G3422" s="4" t="s">
        <v>18</v>
      </c>
      <c r="H3422" s="4" t="s">
        <v>315</v>
      </c>
      <c r="I3422" s="5" t="str">
        <f t="shared" si="53"/>
        <v>2026-01</v>
      </c>
      <c r="J3422" s="4" t="s">
        <v>34</v>
      </c>
      <c r="K3422" s="5" t="s">
        <v>342</v>
      </c>
      <c r="L3422" s="2">
        <v>7300</v>
      </c>
      <c r="M3422" s="3">
        <v>49.2</v>
      </c>
      <c r="N3422" s="2">
        <v>359160</v>
      </c>
      <c r="O3422" s="2">
        <v>0</v>
      </c>
      <c r="P3422" s="2">
        <v>359160</v>
      </c>
      <c r="Q3422" s="2">
        <f>P3422*8.5%</f>
        <v>30528.600000000002</v>
      </c>
    </row>
    <row r="3423" spans="1:17" hidden="1" x14ac:dyDescent="0.4">
      <c r="A3423" s="4" t="s">
        <v>23</v>
      </c>
      <c r="B3423" s="4" t="s">
        <v>14</v>
      </c>
      <c r="C3423" s="31" t="s">
        <v>435</v>
      </c>
      <c r="D3423" s="4" t="s">
        <v>24</v>
      </c>
      <c r="E3423" s="4" t="s">
        <v>16</v>
      </c>
      <c r="F3423" s="4" t="s">
        <v>17</v>
      </c>
      <c r="G3423" s="4" t="s">
        <v>18</v>
      </c>
      <c r="H3423" s="4" t="s">
        <v>315</v>
      </c>
      <c r="I3423" s="5" t="str">
        <f t="shared" si="53"/>
        <v>2026-01</v>
      </c>
      <c r="J3423" s="4" t="s">
        <v>60</v>
      </c>
      <c r="K3423" s="5" t="s">
        <v>343</v>
      </c>
      <c r="L3423" s="2">
        <v>55500</v>
      </c>
      <c r="M3423" s="3">
        <v>10</v>
      </c>
      <c r="N3423" s="2">
        <v>555000</v>
      </c>
      <c r="O3423" s="2">
        <v>55500</v>
      </c>
      <c r="P3423" s="2">
        <v>610500</v>
      </c>
      <c r="Q3423" s="2">
        <f>P3423*12%</f>
        <v>73260</v>
      </c>
    </row>
    <row r="3424" spans="1:17" x14ac:dyDescent="0.4">
      <c r="A3424" s="4" t="s">
        <v>21</v>
      </c>
      <c r="B3424" s="4" t="s">
        <v>14</v>
      </c>
      <c r="C3424" s="31" t="s">
        <v>435</v>
      </c>
      <c r="D3424" s="4" t="s">
        <v>22</v>
      </c>
      <c r="E3424" s="4" t="s">
        <v>16</v>
      </c>
      <c r="F3424" s="4" t="s">
        <v>17</v>
      </c>
      <c r="G3424" s="4" t="s">
        <v>18</v>
      </c>
      <c r="H3424" s="4" t="s">
        <v>316</v>
      </c>
      <c r="I3424" s="5" t="str">
        <f t="shared" si="53"/>
        <v>2026-01</v>
      </c>
      <c r="J3424" s="4" t="s">
        <v>20</v>
      </c>
      <c r="K3424" s="5" t="s">
        <v>342</v>
      </c>
      <c r="L3424" s="2">
        <v>55500</v>
      </c>
      <c r="M3424" s="3">
        <v>1</v>
      </c>
      <c r="N3424" s="2">
        <v>55500</v>
      </c>
      <c r="O3424" s="2">
        <v>5550</v>
      </c>
      <c r="P3424" s="2">
        <v>61050</v>
      </c>
      <c r="Q3424" s="2">
        <f>P3424*8.5%</f>
        <v>5189.25</v>
      </c>
    </row>
    <row r="3425" spans="1:17" x14ac:dyDescent="0.4">
      <c r="A3425" s="4" t="s">
        <v>23</v>
      </c>
      <c r="B3425" s="4" t="s">
        <v>14</v>
      </c>
      <c r="C3425" s="31" t="s">
        <v>435</v>
      </c>
      <c r="D3425" s="4" t="s">
        <v>24</v>
      </c>
      <c r="E3425" s="4" t="s">
        <v>16</v>
      </c>
      <c r="F3425" s="4" t="s">
        <v>17</v>
      </c>
      <c r="G3425" s="4" t="s">
        <v>18</v>
      </c>
      <c r="H3425" s="4" t="s">
        <v>316</v>
      </c>
      <c r="I3425" s="5" t="str">
        <f t="shared" si="53"/>
        <v>2026-01</v>
      </c>
      <c r="J3425" s="4" t="s">
        <v>20</v>
      </c>
      <c r="K3425" s="5" t="s">
        <v>342</v>
      </c>
      <c r="L3425" s="2">
        <v>55500</v>
      </c>
      <c r="M3425" s="3">
        <v>2</v>
      </c>
      <c r="N3425" s="2">
        <v>111000</v>
      </c>
      <c r="O3425" s="2">
        <v>11100</v>
      </c>
      <c r="P3425" s="2">
        <v>122100</v>
      </c>
      <c r="Q3425" s="2">
        <f>P3425*8.5%</f>
        <v>10378.5</v>
      </c>
    </row>
    <row r="3426" spans="1:17" x14ac:dyDescent="0.4">
      <c r="A3426" s="4" t="s">
        <v>76</v>
      </c>
      <c r="B3426" s="4" t="s">
        <v>65</v>
      </c>
      <c r="C3426" s="32" t="s">
        <v>436</v>
      </c>
      <c r="D3426" s="4" t="s">
        <v>27</v>
      </c>
      <c r="E3426" s="4" t="s">
        <v>28</v>
      </c>
      <c r="F3426" s="4" t="s">
        <v>17</v>
      </c>
      <c r="G3426" s="4" t="s">
        <v>18</v>
      </c>
      <c r="H3426" s="4" t="s">
        <v>316</v>
      </c>
      <c r="I3426" s="5" t="str">
        <f t="shared" si="53"/>
        <v>2026-01</v>
      </c>
      <c r="J3426" s="4" t="s">
        <v>20</v>
      </c>
      <c r="K3426" s="5" t="s">
        <v>342</v>
      </c>
      <c r="L3426" s="2">
        <v>17338</v>
      </c>
      <c r="M3426" s="3">
        <v>1</v>
      </c>
      <c r="N3426" s="2">
        <v>17338</v>
      </c>
      <c r="O3426" s="2">
        <v>1734</v>
      </c>
      <c r="P3426" s="2">
        <v>19072</v>
      </c>
      <c r="Q3426" s="2">
        <f>P3426*8.5%</f>
        <v>1621.1200000000001</v>
      </c>
    </row>
    <row r="3427" spans="1:17" x14ac:dyDescent="0.4">
      <c r="A3427" s="4" t="s">
        <v>25</v>
      </c>
      <c r="B3427" s="4" t="s">
        <v>26</v>
      </c>
      <c r="C3427" s="32" t="s">
        <v>436</v>
      </c>
      <c r="D3427" s="4" t="s">
        <v>27</v>
      </c>
      <c r="E3427" s="4" t="s">
        <v>28</v>
      </c>
      <c r="F3427" s="4" t="s">
        <v>17</v>
      </c>
      <c r="G3427" s="4" t="s">
        <v>18</v>
      </c>
      <c r="H3427" s="4" t="s">
        <v>316</v>
      </c>
      <c r="I3427" s="5" t="str">
        <f t="shared" si="53"/>
        <v>2026-01</v>
      </c>
      <c r="J3427" s="4" t="s">
        <v>20</v>
      </c>
      <c r="K3427" s="5" t="s">
        <v>342</v>
      </c>
      <c r="L3427" s="2">
        <v>2631</v>
      </c>
      <c r="M3427" s="3">
        <v>1</v>
      </c>
      <c r="N3427" s="2">
        <v>2631</v>
      </c>
      <c r="O3427" s="2">
        <v>263</v>
      </c>
      <c r="P3427" s="2">
        <v>2894</v>
      </c>
      <c r="Q3427" s="2">
        <f>P3427*8.5%</f>
        <v>245.99</v>
      </c>
    </row>
    <row r="3428" spans="1:17" x14ac:dyDescent="0.4">
      <c r="A3428" s="4" t="s">
        <v>29</v>
      </c>
      <c r="B3428" s="4" t="s">
        <v>26</v>
      </c>
      <c r="C3428" s="32" t="s">
        <v>436</v>
      </c>
      <c r="D3428" s="4" t="s">
        <v>30</v>
      </c>
      <c r="E3428" s="4" t="s">
        <v>28</v>
      </c>
      <c r="F3428" s="4" t="s">
        <v>31</v>
      </c>
      <c r="G3428" s="4" t="s">
        <v>18</v>
      </c>
      <c r="H3428" s="4" t="s">
        <v>316</v>
      </c>
      <c r="I3428" s="5" t="str">
        <f t="shared" si="53"/>
        <v>2026-01</v>
      </c>
      <c r="J3428" s="4" t="s">
        <v>20</v>
      </c>
      <c r="K3428" s="5" t="s">
        <v>342</v>
      </c>
      <c r="L3428" s="2">
        <v>3719</v>
      </c>
      <c r="M3428" s="3">
        <v>1</v>
      </c>
      <c r="N3428" s="2">
        <v>3719</v>
      </c>
      <c r="O3428" s="2">
        <v>0</v>
      </c>
      <c r="P3428" s="2">
        <v>3719</v>
      </c>
      <c r="Q3428" s="2">
        <f>P3428*8.5%</f>
        <v>316.11500000000001</v>
      </c>
    </row>
    <row r="3429" spans="1:17" x14ac:dyDescent="0.4">
      <c r="A3429" s="4" t="s">
        <v>56</v>
      </c>
      <c r="B3429" s="4" t="s">
        <v>26</v>
      </c>
      <c r="C3429" s="32" t="s">
        <v>436</v>
      </c>
      <c r="D3429" s="4" t="s">
        <v>57</v>
      </c>
      <c r="E3429" s="4" t="s">
        <v>44</v>
      </c>
      <c r="F3429" s="4" t="s">
        <v>31</v>
      </c>
      <c r="G3429" s="4" t="s">
        <v>18</v>
      </c>
      <c r="H3429" s="4" t="s">
        <v>316</v>
      </c>
      <c r="I3429" s="5" t="str">
        <f t="shared" si="53"/>
        <v>2026-01</v>
      </c>
      <c r="J3429" s="4" t="s">
        <v>20</v>
      </c>
      <c r="K3429" s="5" t="s">
        <v>342</v>
      </c>
      <c r="L3429" s="2">
        <v>2368</v>
      </c>
      <c r="M3429" s="3">
        <v>20</v>
      </c>
      <c r="N3429" s="2">
        <v>47360</v>
      </c>
      <c r="O3429" s="2">
        <v>0</v>
      </c>
      <c r="P3429" s="2">
        <v>47360</v>
      </c>
      <c r="Q3429" s="2">
        <f>P3429*8.5%</f>
        <v>4025.6000000000004</v>
      </c>
    </row>
    <row r="3430" spans="1:17" hidden="1" x14ac:dyDescent="0.4">
      <c r="A3430" s="4" t="s">
        <v>82</v>
      </c>
      <c r="B3430" s="4" t="s">
        <v>26</v>
      </c>
      <c r="C3430" s="32" t="s">
        <v>436</v>
      </c>
      <c r="D3430" s="4" t="s">
        <v>81</v>
      </c>
      <c r="E3430" s="4" t="s">
        <v>16</v>
      </c>
      <c r="F3430" s="4" t="s">
        <v>17</v>
      </c>
      <c r="G3430" s="4" t="s">
        <v>18</v>
      </c>
      <c r="H3430" s="4" t="s">
        <v>316</v>
      </c>
      <c r="I3430" s="5" t="str">
        <f t="shared" si="53"/>
        <v>2026-01</v>
      </c>
      <c r="J3430" s="4" t="s">
        <v>34</v>
      </c>
      <c r="K3430" s="5" t="s">
        <v>342</v>
      </c>
      <c r="L3430" s="2">
        <v>20891</v>
      </c>
      <c r="M3430" s="3">
        <v>1</v>
      </c>
      <c r="N3430" s="2">
        <v>20891</v>
      </c>
      <c r="O3430" s="2">
        <v>2089</v>
      </c>
      <c r="P3430" s="2">
        <v>22980</v>
      </c>
      <c r="Q3430" s="2">
        <f>P3430*8.5%</f>
        <v>1953.3000000000002</v>
      </c>
    </row>
    <row r="3431" spans="1:17" hidden="1" x14ac:dyDescent="0.4">
      <c r="A3431" s="4" t="s">
        <v>64</v>
      </c>
      <c r="B3431" s="4" t="s">
        <v>65</v>
      </c>
      <c r="C3431" s="32" t="s">
        <v>436</v>
      </c>
      <c r="D3431" s="4" t="s">
        <v>66</v>
      </c>
      <c r="E3431" s="4" t="s">
        <v>16</v>
      </c>
      <c r="F3431" s="4" t="s">
        <v>17</v>
      </c>
      <c r="G3431" s="4" t="s">
        <v>18</v>
      </c>
      <c r="H3431" s="4" t="s">
        <v>316</v>
      </c>
      <c r="I3431" s="5" t="str">
        <f t="shared" si="53"/>
        <v>2026-01</v>
      </c>
      <c r="J3431" s="4" t="s">
        <v>34</v>
      </c>
      <c r="K3431" s="5" t="s">
        <v>342</v>
      </c>
      <c r="L3431" s="2">
        <v>10283</v>
      </c>
      <c r="M3431" s="3">
        <v>1</v>
      </c>
      <c r="N3431" s="2">
        <v>10283</v>
      </c>
      <c r="O3431" s="2">
        <v>1028</v>
      </c>
      <c r="P3431" s="2">
        <v>11311</v>
      </c>
      <c r="Q3431" s="2">
        <f>P3431*8.5%</f>
        <v>961.43500000000006</v>
      </c>
    </row>
    <row r="3432" spans="1:17" hidden="1" x14ac:dyDescent="0.4">
      <c r="A3432" s="4" t="s">
        <v>32</v>
      </c>
      <c r="B3432" s="4" t="s">
        <v>14</v>
      </c>
      <c r="C3432" s="31" t="s">
        <v>435</v>
      </c>
      <c r="D3432" s="4" t="s">
        <v>33</v>
      </c>
      <c r="E3432" s="4" t="s">
        <v>16</v>
      </c>
      <c r="F3432" s="4" t="s">
        <v>17</v>
      </c>
      <c r="G3432" s="4" t="s">
        <v>18</v>
      </c>
      <c r="H3432" s="4" t="s">
        <v>316</v>
      </c>
      <c r="I3432" s="5" t="str">
        <f t="shared" si="53"/>
        <v>2026-01</v>
      </c>
      <c r="J3432" s="4" t="s">
        <v>34</v>
      </c>
      <c r="K3432" s="5" t="s">
        <v>342</v>
      </c>
      <c r="L3432" s="2">
        <v>44000</v>
      </c>
      <c r="M3432" s="3">
        <v>3</v>
      </c>
      <c r="N3432" s="2">
        <v>132000</v>
      </c>
      <c r="O3432" s="2">
        <v>13200</v>
      </c>
      <c r="P3432" s="2">
        <v>145200</v>
      </c>
      <c r="Q3432" s="2">
        <f>P3432*8.5%</f>
        <v>12342</v>
      </c>
    </row>
    <row r="3433" spans="1:17" hidden="1" x14ac:dyDescent="0.4">
      <c r="A3433" s="4" t="s">
        <v>13</v>
      </c>
      <c r="B3433" s="4" t="s">
        <v>14</v>
      </c>
      <c r="C3433" s="30" t="s">
        <v>434</v>
      </c>
      <c r="D3433" s="4" t="s">
        <v>15</v>
      </c>
      <c r="E3433" s="4" t="s">
        <v>16</v>
      </c>
      <c r="F3433" s="4" t="s">
        <v>17</v>
      </c>
      <c r="G3433" s="4" t="s">
        <v>18</v>
      </c>
      <c r="H3433" s="4" t="s">
        <v>316</v>
      </c>
      <c r="I3433" s="5" t="str">
        <f t="shared" si="53"/>
        <v>2026-01</v>
      </c>
      <c r="J3433" s="4" t="s">
        <v>34</v>
      </c>
      <c r="K3433" s="5" t="s">
        <v>342</v>
      </c>
      <c r="L3433" s="2">
        <v>42000</v>
      </c>
      <c r="M3433" s="3">
        <v>4</v>
      </c>
      <c r="N3433" s="2">
        <v>168000</v>
      </c>
      <c r="O3433" s="2">
        <v>16800</v>
      </c>
      <c r="P3433" s="2">
        <v>184800</v>
      </c>
      <c r="Q3433" s="2">
        <f>P3433*8.5%</f>
        <v>15708.000000000002</v>
      </c>
    </row>
    <row r="3434" spans="1:17" hidden="1" x14ac:dyDescent="0.4">
      <c r="A3434" s="4" t="s">
        <v>21</v>
      </c>
      <c r="B3434" s="4" t="s">
        <v>14</v>
      </c>
      <c r="C3434" s="31" t="s">
        <v>435</v>
      </c>
      <c r="D3434" s="4" t="s">
        <v>22</v>
      </c>
      <c r="E3434" s="4" t="s">
        <v>16</v>
      </c>
      <c r="F3434" s="4" t="s">
        <v>17</v>
      </c>
      <c r="G3434" s="4" t="s">
        <v>18</v>
      </c>
      <c r="H3434" s="4" t="s">
        <v>316</v>
      </c>
      <c r="I3434" s="5" t="str">
        <f t="shared" si="53"/>
        <v>2026-01</v>
      </c>
      <c r="J3434" s="4" t="s">
        <v>34</v>
      </c>
      <c r="K3434" s="5" t="s">
        <v>342</v>
      </c>
      <c r="L3434" s="2">
        <v>55500</v>
      </c>
      <c r="M3434" s="3">
        <v>1</v>
      </c>
      <c r="N3434" s="2">
        <v>55500</v>
      </c>
      <c r="O3434" s="2">
        <v>5550</v>
      </c>
      <c r="P3434" s="2">
        <v>61050</v>
      </c>
      <c r="Q3434" s="2">
        <f>P3434*8.5%</f>
        <v>5189.25</v>
      </c>
    </row>
    <row r="3435" spans="1:17" hidden="1" x14ac:dyDescent="0.4">
      <c r="A3435" s="4" t="s">
        <v>23</v>
      </c>
      <c r="B3435" s="4" t="s">
        <v>14</v>
      </c>
      <c r="C3435" s="31" t="s">
        <v>435</v>
      </c>
      <c r="D3435" s="4" t="s">
        <v>24</v>
      </c>
      <c r="E3435" s="4" t="s">
        <v>16</v>
      </c>
      <c r="F3435" s="4" t="s">
        <v>17</v>
      </c>
      <c r="G3435" s="4" t="s">
        <v>18</v>
      </c>
      <c r="H3435" s="4" t="s">
        <v>316</v>
      </c>
      <c r="I3435" s="5" t="str">
        <f t="shared" si="53"/>
        <v>2026-01</v>
      </c>
      <c r="J3435" s="4" t="s">
        <v>34</v>
      </c>
      <c r="K3435" s="5" t="s">
        <v>342</v>
      </c>
      <c r="L3435" s="2">
        <v>55500</v>
      </c>
      <c r="M3435" s="3">
        <v>5</v>
      </c>
      <c r="N3435" s="2">
        <v>277500</v>
      </c>
      <c r="O3435" s="2">
        <v>27750</v>
      </c>
      <c r="P3435" s="2">
        <v>305250</v>
      </c>
      <c r="Q3435" s="2">
        <f>P3435*8.5%</f>
        <v>25946.250000000004</v>
      </c>
    </row>
    <row r="3436" spans="1:17" hidden="1" x14ac:dyDescent="0.4">
      <c r="A3436" s="4" t="s">
        <v>51</v>
      </c>
      <c r="B3436" s="4" t="s">
        <v>14</v>
      </c>
      <c r="C3436" s="30" t="s">
        <v>434</v>
      </c>
      <c r="D3436" s="4" t="s">
        <v>52</v>
      </c>
      <c r="E3436" s="4" t="s">
        <v>16</v>
      </c>
      <c r="F3436" s="4" t="s">
        <v>17</v>
      </c>
      <c r="G3436" s="4" t="s">
        <v>18</v>
      </c>
      <c r="H3436" s="4" t="s">
        <v>316</v>
      </c>
      <c r="I3436" s="5" t="str">
        <f t="shared" si="53"/>
        <v>2026-01</v>
      </c>
      <c r="J3436" s="4" t="s">
        <v>34</v>
      </c>
      <c r="K3436" s="5" t="s">
        <v>342</v>
      </c>
      <c r="L3436" s="2">
        <v>73000</v>
      </c>
      <c r="M3436" s="3">
        <v>1</v>
      </c>
      <c r="N3436" s="2">
        <v>73000</v>
      </c>
      <c r="O3436" s="2">
        <v>7300</v>
      </c>
      <c r="P3436" s="2">
        <v>80300</v>
      </c>
      <c r="Q3436" s="2">
        <f>P3436*8.5%</f>
        <v>6825.5000000000009</v>
      </c>
    </row>
    <row r="3437" spans="1:17" hidden="1" x14ac:dyDescent="0.4">
      <c r="A3437" s="4" t="s">
        <v>42</v>
      </c>
      <c r="B3437" s="4" t="s">
        <v>14</v>
      </c>
      <c r="C3437" s="30" t="s">
        <v>434</v>
      </c>
      <c r="D3437" s="4" t="s">
        <v>43</v>
      </c>
      <c r="E3437" s="4" t="s">
        <v>44</v>
      </c>
      <c r="F3437" s="4" t="s">
        <v>31</v>
      </c>
      <c r="G3437" s="4" t="s">
        <v>18</v>
      </c>
      <c r="H3437" s="4" t="s">
        <v>316</v>
      </c>
      <c r="I3437" s="5" t="str">
        <f t="shared" si="53"/>
        <v>2026-01</v>
      </c>
      <c r="J3437" s="4" t="s">
        <v>34</v>
      </c>
      <c r="K3437" s="5" t="s">
        <v>342</v>
      </c>
      <c r="L3437" s="2">
        <v>7300</v>
      </c>
      <c r="M3437" s="3">
        <v>82</v>
      </c>
      <c r="N3437" s="2">
        <v>598600</v>
      </c>
      <c r="O3437" s="2">
        <v>0</v>
      </c>
      <c r="P3437" s="2">
        <v>598600</v>
      </c>
      <c r="Q3437" s="2">
        <f>P3437*8.5%</f>
        <v>50881.000000000007</v>
      </c>
    </row>
    <row r="3438" spans="1:17" x14ac:dyDescent="0.4">
      <c r="A3438" s="4" t="s">
        <v>13</v>
      </c>
      <c r="B3438" s="4" t="s">
        <v>14</v>
      </c>
      <c r="C3438" s="30" t="s">
        <v>434</v>
      </c>
      <c r="D3438" s="4" t="s">
        <v>15</v>
      </c>
      <c r="E3438" s="4" t="s">
        <v>16</v>
      </c>
      <c r="F3438" s="4" t="s">
        <v>17</v>
      </c>
      <c r="G3438" s="4" t="s">
        <v>18</v>
      </c>
      <c r="H3438" s="4" t="s">
        <v>317</v>
      </c>
      <c r="I3438" s="5" t="str">
        <f t="shared" si="53"/>
        <v>2026-01</v>
      </c>
      <c r="J3438" s="4" t="s">
        <v>20</v>
      </c>
      <c r="K3438" s="5" t="s">
        <v>342</v>
      </c>
      <c r="L3438" s="2">
        <v>42000</v>
      </c>
      <c r="M3438" s="3">
        <v>1</v>
      </c>
      <c r="N3438" s="2">
        <v>42000</v>
      </c>
      <c r="O3438" s="2">
        <v>4200</v>
      </c>
      <c r="P3438" s="2">
        <v>46200</v>
      </c>
      <c r="Q3438" s="2">
        <f>P3438*8.5%</f>
        <v>3927.0000000000005</v>
      </c>
    </row>
    <row r="3439" spans="1:17" x14ac:dyDescent="0.4">
      <c r="A3439" s="4" t="s">
        <v>21</v>
      </c>
      <c r="B3439" s="4" t="s">
        <v>14</v>
      </c>
      <c r="C3439" s="31" t="s">
        <v>435</v>
      </c>
      <c r="D3439" s="4" t="s">
        <v>22</v>
      </c>
      <c r="E3439" s="4" t="s">
        <v>16</v>
      </c>
      <c r="F3439" s="4" t="s">
        <v>17</v>
      </c>
      <c r="G3439" s="4" t="s">
        <v>18</v>
      </c>
      <c r="H3439" s="4" t="s">
        <v>317</v>
      </c>
      <c r="I3439" s="5" t="str">
        <f t="shared" si="53"/>
        <v>2026-01</v>
      </c>
      <c r="J3439" s="4" t="s">
        <v>20</v>
      </c>
      <c r="K3439" s="5" t="s">
        <v>342</v>
      </c>
      <c r="L3439" s="2">
        <v>55500</v>
      </c>
      <c r="M3439" s="3">
        <v>1</v>
      </c>
      <c r="N3439" s="2">
        <v>55500</v>
      </c>
      <c r="O3439" s="2">
        <v>5550</v>
      </c>
      <c r="P3439" s="2">
        <v>61050</v>
      </c>
      <c r="Q3439" s="2">
        <f>P3439*8.5%</f>
        <v>5189.25</v>
      </c>
    </row>
    <row r="3440" spans="1:17" x14ac:dyDescent="0.4">
      <c r="A3440" s="4" t="s">
        <v>23</v>
      </c>
      <c r="B3440" s="4" t="s">
        <v>14</v>
      </c>
      <c r="C3440" s="31" t="s">
        <v>435</v>
      </c>
      <c r="D3440" s="4" t="s">
        <v>24</v>
      </c>
      <c r="E3440" s="4" t="s">
        <v>16</v>
      </c>
      <c r="F3440" s="4" t="s">
        <v>17</v>
      </c>
      <c r="G3440" s="4" t="s">
        <v>18</v>
      </c>
      <c r="H3440" s="4" t="s">
        <v>317</v>
      </c>
      <c r="I3440" s="5" t="str">
        <f t="shared" si="53"/>
        <v>2026-01</v>
      </c>
      <c r="J3440" s="4" t="s">
        <v>20</v>
      </c>
      <c r="K3440" s="5" t="s">
        <v>342</v>
      </c>
      <c r="L3440" s="2">
        <v>55500</v>
      </c>
      <c r="M3440" s="3">
        <v>2</v>
      </c>
      <c r="N3440" s="2">
        <v>111000</v>
      </c>
      <c r="O3440" s="2">
        <v>11100</v>
      </c>
      <c r="P3440" s="2">
        <v>122100</v>
      </c>
      <c r="Q3440" s="2">
        <f>P3440*8.5%</f>
        <v>10378.5</v>
      </c>
    </row>
    <row r="3441" spans="1:17" hidden="1" x14ac:dyDescent="0.4">
      <c r="A3441" s="4" t="s">
        <v>32</v>
      </c>
      <c r="B3441" s="4" t="s">
        <v>14</v>
      </c>
      <c r="C3441" s="31" t="s">
        <v>435</v>
      </c>
      <c r="D3441" s="4" t="s">
        <v>33</v>
      </c>
      <c r="E3441" s="4" t="s">
        <v>16</v>
      </c>
      <c r="F3441" s="4" t="s">
        <v>17</v>
      </c>
      <c r="G3441" s="4" t="s">
        <v>18</v>
      </c>
      <c r="H3441" s="4" t="s">
        <v>317</v>
      </c>
      <c r="I3441" s="5" t="str">
        <f t="shared" si="53"/>
        <v>2026-01</v>
      </c>
      <c r="J3441" s="4" t="s">
        <v>34</v>
      </c>
      <c r="K3441" s="5" t="s">
        <v>342</v>
      </c>
      <c r="L3441" s="2">
        <v>44000</v>
      </c>
      <c r="M3441" s="3">
        <v>2</v>
      </c>
      <c r="N3441" s="2">
        <v>88000</v>
      </c>
      <c r="O3441" s="2">
        <v>8800</v>
      </c>
      <c r="P3441" s="2">
        <v>96800</v>
      </c>
      <c r="Q3441" s="2">
        <f>P3441*8.5%</f>
        <v>8228</v>
      </c>
    </row>
    <row r="3442" spans="1:17" hidden="1" x14ac:dyDescent="0.4">
      <c r="A3442" s="4" t="s">
        <v>13</v>
      </c>
      <c r="B3442" s="4" t="s">
        <v>14</v>
      </c>
      <c r="C3442" s="30" t="s">
        <v>434</v>
      </c>
      <c r="D3442" s="4" t="s">
        <v>15</v>
      </c>
      <c r="E3442" s="4" t="s">
        <v>16</v>
      </c>
      <c r="F3442" s="4" t="s">
        <v>17</v>
      </c>
      <c r="G3442" s="4" t="s">
        <v>18</v>
      </c>
      <c r="H3442" s="4" t="s">
        <v>317</v>
      </c>
      <c r="I3442" s="5" t="str">
        <f t="shared" si="53"/>
        <v>2026-01</v>
      </c>
      <c r="J3442" s="4" t="s">
        <v>34</v>
      </c>
      <c r="K3442" s="5" t="s">
        <v>342</v>
      </c>
      <c r="L3442" s="2">
        <v>42000</v>
      </c>
      <c r="M3442" s="3">
        <v>4</v>
      </c>
      <c r="N3442" s="2">
        <v>168000</v>
      </c>
      <c r="O3442" s="2">
        <v>16800</v>
      </c>
      <c r="P3442" s="2">
        <v>184800</v>
      </c>
      <c r="Q3442" s="2">
        <f>P3442*8.5%</f>
        <v>15708.000000000002</v>
      </c>
    </row>
    <row r="3443" spans="1:17" hidden="1" x14ac:dyDescent="0.4">
      <c r="A3443" s="4" t="s">
        <v>21</v>
      </c>
      <c r="B3443" s="4" t="s">
        <v>14</v>
      </c>
      <c r="C3443" s="31" t="s">
        <v>435</v>
      </c>
      <c r="D3443" s="4" t="s">
        <v>22</v>
      </c>
      <c r="E3443" s="4" t="s">
        <v>16</v>
      </c>
      <c r="F3443" s="4" t="s">
        <v>17</v>
      </c>
      <c r="G3443" s="4" t="s">
        <v>18</v>
      </c>
      <c r="H3443" s="4" t="s">
        <v>317</v>
      </c>
      <c r="I3443" s="5" t="str">
        <f t="shared" si="53"/>
        <v>2026-01</v>
      </c>
      <c r="J3443" s="4" t="s">
        <v>34</v>
      </c>
      <c r="K3443" s="5" t="s">
        <v>342</v>
      </c>
      <c r="L3443" s="2">
        <v>55500</v>
      </c>
      <c r="M3443" s="3">
        <v>1</v>
      </c>
      <c r="N3443" s="2">
        <v>55500</v>
      </c>
      <c r="O3443" s="2">
        <v>5550</v>
      </c>
      <c r="P3443" s="2">
        <v>61050</v>
      </c>
      <c r="Q3443" s="2">
        <f>P3443*8.5%</f>
        <v>5189.25</v>
      </c>
    </row>
    <row r="3444" spans="1:17" hidden="1" x14ac:dyDescent="0.4">
      <c r="A3444" s="4" t="s">
        <v>23</v>
      </c>
      <c r="B3444" s="4" t="s">
        <v>14</v>
      </c>
      <c r="C3444" s="31" t="s">
        <v>435</v>
      </c>
      <c r="D3444" s="4" t="s">
        <v>24</v>
      </c>
      <c r="E3444" s="4" t="s">
        <v>16</v>
      </c>
      <c r="F3444" s="4" t="s">
        <v>17</v>
      </c>
      <c r="G3444" s="4" t="s">
        <v>18</v>
      </c>
      <c r="H3444" s="4" t="s">
        <v>317</v>
      </c>
      <c r="I3444" s="5" t="str">
        <f t="shared" si="53"/>
        <v>2026-01</v>
      </c>
      <c r="J3444" s="4" t="s">
        <v>34</v>
      </c>
      <c r="K3444" s="5" t="s">
        <v>342</v>
      </c>
      <c r="L3444" s="2">
        <v>55500</v>
      </c>
      <c r="M3444" s="3">
        <v>2</v>
      </c>
      <c r="N3444" s="2">
        <v>111000</v>
      </c>
      <c r="O3444" s="2">
        <v>11100</v>
      </c>
      <c r="P3444" s="2">
        <v>122100</v>
      </c>
      <c r="Q3444" s="2">
        <f>P3444*8.5%</f>
        <v>10378.5</v>
      </c>
    </row>
    <row r="3445" spans="1:17" hidden="1" x14ac:dyDescent="0.4">
      <c r="A3445" s="4" t="s">
        <v>37</v>
      </c>
      <c r="B3445" s="4" t="s">
        <v>26</v>
      </c>
      <c r="C3445" s="32" t="s">
        <v>436</v>
      </c>
      <c r="D3445" s="4" t="s">
        <v>38</v>
      </c>
      <c r="E3445" s="4" t="s">
        <v>28</v>
      </c>
      <c r="F3445" s="4" t="s">
        <v>17</v>
      </c>
      <c r="G3445" s="4" t="s">
        <v>18</v>
      </c>
      <c r="H3445" s="4" t="s">
        <v>317</v>
      </c>
      <c r="I3445" s="5" t="str">
        <f t="shared" si="53"/>
        <v>2026-01</v>
      </c>
      <c r="J3445" s="4" t="s">
        <v>34</v>
      </c>
      <c r="K3445" s="5" t="s">
        <v>342</v>
      </c>
      <c r="L3445" s="2">
        <v>395</v>
      </c>
      <c r="M3445" s="3">
        <v>20</v>
      </c>
      <c r="N3445" s="2">
        <v>7900</v>
      </c>
      <c r="O3445" s="2">
        <v>790</v>
      </c>
      <c r="P3445" s="2">
        <v>8690</v>
      </c>
      <c r="Q3445" s="2">
        <f>P3445*8.5%</f>
        <v>738.65000000000009</v>
      </c>
    </row>
    <row r="3446" spans="1:17" hidden="1" x14ac:dyDescent="0.4">
      <c r="A3446" s="4" t="s">
        <v>73</v>
      </c>
      <c r="B3446" s="4" t="s">
        <v>26</v>
      </c>
      <c r="C3446" s="32" t="s">
        <v>436</v>
      </c>
      <c r="D3446" s="4" t="s">
        <v>57</v>
      </c>
      <c r="E3446" s="4" t="s">
        <v>28</v>
      </c>
      <c r="F3446" s="4" t="s">
        <v>17</v>
      </c>
      <c r="G3446" s="4" t="s">
        <v>18</v>
      </c>
      <c r="H3446" s="4" t="s">
        <v>317</v>
      </c>
      <c r="I3446" s="5" t="str">
        <f t="shared" si="53"/>
        <v>2026-01</v>
      </c>
      <c r="J3446" s="4" t="s">
        <v>34</v>
      </c>
      <c r="K3446" s="5" t="s">
        <v>342</v>
      </c>
      <c r="L3446" s="2">
        <v>7055</v>
      </c>
      <c r="M3446" s="3">
        <v>3</v>
      </c>
      <c r="N3446" s="2">
        <v>21165</v>
      </c>
      <c r="O3446" s="2">
        <v>2117</v>
      </c>
      <c r="P3446" s="2">
        <v>23282</v>
      </c>
      <c r="Q3446" s="2">
        <f>P3446*8.5%</f>
        <v>1978.9700000000003</v>
      </c>
    </row>
    <row r="3447" spans="1:17" hidden="1" x14ac:dyDescent="0.4">
      <c r="A3447" s="4" t="s">
        <v>40</v>
      </c>
      <c r="B3447" s="4" t="s">
        <v>26</v>
      </c>
      <c r="C3447" s="32" t="s">
        <v>436</v>
      </c>
      <c r="D3447" s="4" t="s">
        <v>41</v>
      </c>
      <c r="E3447" s="4" t="s">
        <v>28</v>
      </c>
      <c r="F3447" s="4" t="s">
        <v>17</v>
      </c>
      <c r="G3447" s="4" t="s">
        <v>18</v>
      </c>
      <c r="H3447" s="4" t="s">
        <v>317</v>
      </c>
      <c r="I3447" s="5" t="str">
        <f t="shared" si="53"/>
        <v>2026-01</v>
      </c>
      <c r="J3447" s="4" t="s">
        <v>34</v>
      </c>
      <c r="K3447" s="5" t="s">
        <v>342</v>
      </c>
      <c r="L3447" s="2">
        <v>17936</v>
      </c>
      <c r="M3447" s="3">
        <v>2</v>
      </c>
      <c r="N3447" s="2">
        <v>35872</v>
      </c>
      <c r="O3447" s="2">
        <v>3587</v>
      </c>
      <c r="P3447" s="2">
        <v>39459</v>
      </c>
      <c r="Q3447" s="2">
        <f>P3447*8.5%</f>
        <v>3354.0150000000003</v>
      </c>
    </row>
    <row r="3448" spans="1:17" hidden="1" x14ac:dyDescent="0.4">
      <c r="A3448" s="4" t="s">
        <v>42</v>
      </c>
      <c r="B3448" s="4" t="s">
        <v>14</v>
      </c>
      <c r="C3448" s="30" t="s">
        <v>434</v>
      </c>
      <c r="D3448" s="4" t="s">
        <v>43</v>
      </c>
      <c r="E3448" s="4" t="s">
        <v>44</v>
      </c>
      <c r="F3448" s="4" t="s">
        <v>31</v>
      </c>
      <c r="G3448" s="4" t="s">
        <v>18</v>
      </c>
      <c r="H3448" s="4" t="s">
        <v>317</v>
      </c>
      <c r="I3448" s="5" t="str">
        <f t="shared" si="53"/>
        <v>2026-01</v>
      </c>
      <c r="J3448" s="4" t="s">
        <v>34</v>
      </c>
      <c r="K3448" s="5" t="s">
        <v>342</v>
      </c>
      <c r="L3448" s="2">
        <v>7300</v>
      </c>
      <c r="M3448" s="3">
        <v>49.6</v>
      </c>
      <c r="N3448" s="2">
        <v>362080</v>
      </c>
      <c r="O3448" s="2">
        <v>0</v>
      </c>
      <c r="P3448" s="2">
        <v>362080</v>
      </c>
      <c r="Q3448" s="2">
        <f>P3448*8.5%</f>
        <v>30776.800000000003</v>
      </c>
    </row>
    <row r="3449" spans="1:17" hidden="1" x14ac:dyDescent="0.4">
      <c r="A3449" s="4" t="s">
        <v>32</v>
      </c>
      <c r="B3449" s="4" t="s">
        <v>14</v>
      </c>
      <c r="C3449" s="31" t="s">
        <v>435</v>
      </c>
      <c r="D3449" s="4" t="s">
        <v>33</v>
      </c>
      <c r="E3449" s="4" t="s">
        <v>16</v>
      </c>
      <c r="F3449" s="4" t="s">
        <v>17</v>
      </c>
      <c r="G3449" s="4" t="s">
        <v>18</v>
      </c>
      <c r="H3449" s="4" t="s">
        <v>317</v>
      </c>
      <c r="I3449" s="5" t="str">
        <f t="shared" si="53"/>
        <v>2026-01</v>
      </c>
      <c r="J3449" s="4" t="s">
        <v>59</v>
      </c>
      <c r="K3449" s="5" t="s">
        <v>343</v>
      </c>
      <c r="L3449" s="2">
        <v>44000</v>
      </c>
      <c r="M3449" s="3">
        <v>2</v>
      </c>
      <c r="N3449" s="2">
        <v>88000</v>
      </c>
      <c r="O3449" s="2">
        <v>8800</v>
      </c>
      <c r="P3449" s="2">
        <v>96800</v>
      </c>
      <c r="Q3449" s="2">
        <f>P3449*12%</f>
        <v>11616</v>
      </c>
    </row>
    <row r="3450" spans="1:17" hidden="1" x14ac:dyDescent="0.4">
      <c r="A3450" s="4" t="s">
        <v>13</v>
      </c>
      <c r="B3450" s="4" t="s">
        <v>14</v>
      </c>
      <c r="C3450" s="30" t="s">
        <v>434</v>
      </c>
      <c r="D3450" s="4" t="s">
        <v>15</v>
      </c>
      <c r="E3450" s="4" t="s">
        <v>16</v>
      </c>
      <c r="F3450" s="4" t="s">
        <v>17</v>
      </c>
      <c r="G3450" s="4" t="s">
        <v>18</v>
      </c>
      <c r="H3450" s="4" t="s">
        <v>317</v>
      </c>
      <c r="I3450" s="5" t="str">
        <f t="shared" si="53"/>
        <v>2026-01</v>
      </c>
      <c r="J3450" s="4" t="s">
        <v>59</v>
      </c>
      <c r="K3450" s="5" t="s">
        <v>343</v>
      </c>
      <c r="L3450" s="2">
        <v>42000</v>
      </c>
      <c r="M3450" s="3">
        <v>4</v>
      </c>
      <c r="N3450" s="2">
        <v>168000</v>
      </c>
      <c r="O3450" s="2">
        <v>16800</v>
      </c>
      <c r="P3450" s="2">
        <v>184800</v>
      </c>
      <c r="Q3450" s="2">
        <f>P3450*12%</f>
        <v>22176</v>
      </c>
    </row>
    <row r="3451" spans="1:17" hidden="1" x14ac:dyDescent="0.4">
      <c r="A3451" s="4" t="s">
        <v>35</v>
      </c>
      <c r="B3451" s="4" t="s">
        <v>14</v>
      </c>
      <c r="C3451" s="30" t="s">
        <v>434</v>
      </c>
      <c r="D3451" s="4" t="s">
        <v>36</v>
      </c>
      <c r="E3451" s="4" t="s">
        <v>16</v>
      </c>
      <c r="F3451" s="4" t="s">
        <v>17</v>
      </c>
      <c r="G3451" s="4" t="s">
        <v>18</v>
      </c>
      <c r="H3451" s="4" t="s">
        <v>317</v>
      </c>
      <c r="I3451" s="5" t="str">
        <f t="shared" si="53"/>
        <v>2026-01</v>
      </c>
      <c r="J3451" s="4" t="s">
        <v>59</v>
      </c>
      <c r="K3451" s="5" t="s">
        <v>343</v>
      </c>
      <c r="L3451" s="2">
        <v>116220</v>
      </c>
      <c r="M3451" s="3">
        <v>1</v>
      </c>
      <c r="N3451" s="2">
        <v>116220</v>
      </c>
      <c r="O3451" s="2">
        <v>11622</v>
      </c>
      <c r="P3451" s="2">
        <v>127842</v>
      </c>
      <c r="Q3451" s="2">
        <f>P3451*12%</f>
        <v>15341.039999999999</v>
      </c>
    </row>
    <row r="3452" spans="1:17" hidden="1" x14ac:dyDescent="0.4">
      <c r="A3452" s="4" t="s">
        <v>23</v>
      </c>
      <c r="B3452" s="4" t="s">
        <v>14</v>
      </c>
      <c r="C3452" s="31" t="s">
        <v>435</v>
      </c>
      <c r="D3452" s="4" t="s">
        <v>24</v>
      </c>
      <c r="E3452" s="4" t="s">
        <v>16</v>
      </c>
      <c r="F3452" s="4" t="s">
        <v>17</v>
      </c>
      <c r="G3452" s="4" t="s">
        <v>18</v>
      </c>
      <c r="H3452" s="4" t="s">
        <v>317</v>
      </c>
      <c r="I3452" s="5" t="str">
        <f t="shared" si="53"/>
        <v>2026-01</v>
      </c>
      <c r="J3452" s="4" t="s">
        <v>59</v>
      </c>
      <c r="K3452" s="5" t="s">
        <v>343</v>
      </c>
      <c r="L3452" s="2">
        <v>55500</v>
      </c>
      <c r="M3452" s="3">
        <v>2</v>
      </c>
      <c r="N3452" s="2">
        <v>111000</v>
      </c>
      <c r="O3452" s="2">
        <v>11100</v>
      </c>
      <c r="P3452" s="2">
        <v>122100</v>
      </c>
      <c r="Q3452" s="2">
        <f>P3452*12%</f>
        <v>14652</v>
      </c>
    </row>
    <row r="3453" spans="1:17" hidden="1" x14ac:dyDescent="0.4">
      <c r="A3453" s="4" t="s">
        <v>32</v>
      </c>
      <c r="B3453" s="4" t="s">
        <v>14</v>
      </c>
      <c r="C3453" s="31" t="s">
        <v>435</v>
      </c>
      <c r="D3453" s="4" t="s">
        <v>33</v>
      </c>
      <c r="E3453" s="4" t="s">
        <v>16</v>
      </c>
      <c r="F3453" s="4" t="s">
        <v>17</v>
      </c>
      <c r="G3453" s="4" t="s">
        <v>18</v>
      </c>
      <c r="H3453" s="4" t="s">
        <v>317</v>
      </c>
      <c r="I3453" s="5" t="str">
        <f t="shared" si="53"/>
        <v>2026-01</v>
      </c>
      <c r="J3453" s="4" t="s">
        <v>49</v>
      </c>
      <c r="K3453" s="5" t="s">
        <v>343</v>
      </c>
      <c r="L3453" s="2">
        <v>44000</v>
      </c>
      <c r="M3453" s="3">
        <v>6</v>
      </c>
      <c r="N3453" s="2">
        <v>264000</v>
      </c>
      <c r="O3453" s="2">
        <v>26400</v>
      </c>
      <c r="P3453" s="2">
        <v>290400</v>
      </c>
      <c r="Q3453" s="2">
        <f>P3453*12%</f>
        <v>34848</v>
      </c>
    </row>
    <row r="3454" spans="1:17" hidden="1" x14ac:dyDescent="0.4">
      <c r="A3454" s="4" t="s">
        <v>13</v>
      </c>
      <c r="B3454" s="4" t="s">
        <v>14</v>
      </c>
      <c r="C3454" s="30" t="s">
        <v>434</v>
      </c>
      <c r="D3454" s="4" t="s">
        <v>15</v>
      </c>
      <c r="E3454" s="4" t="s">
        <v>16</v>
      </c>
      <c r="F3454" s="4" t="s">
        <v>17</v>
      </c>
      <c r="G3454" s="4" t="s">
        <v>18</v>
      </c>
      <c r="H3454" s="4" t="s">
        <v>317</v>
      </c>
      <c r="I3454" s="5" t="str">
        <f t="shared" si="53"/>
        <v>2026-01</v>
      </c>
      <c r="J3454" s="4" t="s">
        <v>49</v>
      </c>
      <c r="K3454" s="5" t="s">
        <v>343</v>
      </c>
      <c r="L3454" s="2">
        <v>42000</v>
      </c>
      <c r="M3454" s="3">
        <v>4</v>
      </c>
      <c r="N3454" s="2">
        <v>168000</v>
      </c>
      <c r="O3454" s="2">
        <v>16800</v>
      </c>
      <c r="P3454" s="2">
        <v>184800</v>
      </c>
      <c r="Q3454" s="2">
        <f>P3454*12%</f>
        <v>22176</v>
      </c>
    </row>
    <row r="3455" spans="1:17" hidden="1" x14ac:dyDescent="0.4">
      <c r="A3455" s="4" t="s">
        <v>35</v>
      </c>
      <c r="B3455" s="4" t="s">
        <v>14</v>
      </c>
      <c r="C3455" s="30" t="s">
        <v>434</v>
      </c>
      <c r="D3455" s="4" t="s">
        <v>36</v>
      </c>
      <c r="E3455" s="4" t="s">
        <v>16</v>
      </c>
      <c r="F3455" s="4" t="s">
        <v>17</v>
      </c>
      <c r="G3455" s="4" t="s">
        <v>18</v>
      </c>
      <c r="H3455" s="4" t="s">
        <v>317</v>
      </c>
      <c r="I3455" s="5" t="str">
        <f t="shared" si="53"/>
        <v>2026-01</v>
      </c>
      <c r="J3455" s="4" t="s">
        <v>49</v>
      </c>
      <c r="K3455" s="5" t="s">
        <v>343</v>
      </c>
      <c r="L3455" s="2">
        <v>116220</v>
      </c>
      <c r="M3455" s="3">
        <v>1</v>
      </c>
      <c r="N3455" s="2">
        <v>116220</v>
      </c>
      <c r="O3455" s="2">
        <v>11622</v>
      </c>
      <c r="P3455" s="2">
        <v>127842</v>
      </c>
      <c r="Q3455" s="2">
        <f>P3455*12%</f>
        <v>15341.039999999999</v>
      </c>
    </row>
    <row r="3456" spans="1:17" hidden="1" x14ac:dyDescent="0.4">
      <c r="A3456" s="4" t="s">
        <v>23</v>
      </c>
      <c r="B3456" s="4" t="s">
        <v>14</v>
      </c>
      <c r="C3456" s="31" t="s">
        <v>435</v>
      </c>
      <c r="D3456" s="4" t="s">
        <v>24</v>
      </c>
      <c r="E3456" s="4" t="s">
        <v>16</v>
      </c>
      <c r="F3456" s="4" t="s">
        <v>17</v>
      </c>
      <c r="G3456" s="4" t="s">
        <v>18</v>
      </c>
      <c r="H3456" s="4" t="s">
        <v>317</v>
      </c>
      <c r="I3456" s="5" t="str">
        <f t="shared" si="53"/>
        <v>2026-01</v>
      </c>
      <c r="J3456" s="4" t="s">
        <v>49</v>
      </c>
      <c r="K3456" s="5" t="s">
        <v>343</v>
      </c>
      <c r="L3456" s="2">
        <v>55500</v>
      </c>
      <c r="M3456" s="3">
        <v>4</v>
      </c>
      <c r="N3456" s="2">
        <v>222000</v>
      </c>
      <c r="O3456" s="2">
        <v>22200</v>
      </c>
      <c r="P3456" s="2">
        <v>244200</v>
      </c>
      <c r="Q3456" s="2">
        <f>P3456*12%</f>
        <v>29304</v>
      </c>
    </row>
    <row r="3457" spans="1:17" x14ac:dyDescent="0.4">
      <c r="A3457" s="4" t="s">
        <v>13</v>
      </c>
      <c r="B3457" s="4" t="s">
        <v>14</v>
      </c>
      <c r="C3457" s="30" t="s">
        <v>434</v>
      </c>
      <c r="D3457" s="4" t="s">
        <v>15</v>
      </c>
      <c r="E3457" s="4" t="s">
        <v>16</v>
      </c>
      <c r="F3457" s="4" t="s">
        <v>17</v>
      </c>
      <c r="G3457" s="4" t="s">
        <v>18</v>
      </c>
      <c r="H3457" s="4" t="s">
        <v>318</v>
      </c>
      <c r="I3457" s="5" t="str">
        <f t="shared" si="53"/>
        <v>2026-01</v>
      </c>
      <c r="J3457" s="4" t="s">
        <v>20</v>
      </c>
      <c r="K3457" s="5" t="s">
        <v>342</v>
      </c>
      <c r="L3457" s="2">
        <v>42000</v>
      </c>
      <c r="M3457" s="3">
        <v>1</v>
      </c>
      <c r="N3457" s="2">
        <v>42000</v>
      </c>
      <c r="O3457" s="2">
        <v>4200</v>
      </c>
      <c r="P3457" s="2">
        <v>46200</v>
      </c>
      <c r="Q3457" s="2">
        <f>P3457*8.5%</f>
        <v>3927.0000000000005</v>
      </c>
    </row>
    <row r="3458" spans="1:17" x14ac:dyDescent="0.4">
      <c r="A3458" s="4" t="s">
        <v>23</v>
      </c>
      <c r="B3458" s="4" t="s">
        <v>14</v>
      </c>
      <c r="C3458" s="31" t="s">
        <v>435</v>
      </c>
      <c r="D3458" s="4" t="s">
        <v>24</v>
      </c>
      <c r="E3458" s="4" t="s">
        <v>16</v>
      </c>
      <c r="F3458" s="4" t="s">
        <v>17</v>
      </c>
      <c r="G3458" s="4" t="s">
        <v>18</v>
      </c>
      <c r="H3458" s="4" t="s">
        <v>318</v>
      </c>
      <c r="I3458" s="5" t="str">
        <f t="shared" ref="I3458:I3521" si="54">TEXT(H3458,"yyyy-mm")</f>
        <v>2026-01</v>
      </c>
      <c r="J3458" s="4" t="s">
        <v>20</v>
      </c>
      <c r="K3458" s="5" t="s">
        <v>342</v>
      </c>
      <c r="L3458" s="2">
        <v>55500</v>
      </c>
      <c r="M3458" s="3">
        <v>3</v>
      </c>
      <c r="N3458" s="2">
        <v>166500</v>
      </c>
      <c r="O3458" s="2">
        <v>16650</v>
      </c>
      <c r="P3458" s="2">
        <v>183150</v>
      </c>
      <c r="Q3458" s="2">
        <f>P3458*8.5%</f>
        <v>15567.750000000002</v>
      </c>
    </row>
    <row r="3459" spans="1:17" x14ac:dyDescent="0.4">
      <c r="A3459" s="4" t="s">
        <v>56</v>
      </c>
      <c r="B3459" s="4" t="s">
        <v>26</v>
      </c>
      <c r="C3459" s="32" t="s">
        <v>436</v>
      </c>
      <c r="D3459" s="4" t="s">
        <v>57</v>
      </c>
      <c r="E3459" s="4" t="s">
        <v>44</v>
      </c>
      <c r="F3459" s="4" t="s">
        <v>31</v>
      </c>
      <c r="G3459" s="4" t="s">
        <v>18</v>
      </c>
      <c r="H3459" s="4" t="s">
        <v>318</v>
      </c>
      <c r="I3459" s="5" t="str">
        <f t="shared" si="54"/>
        <v>2026-01</v>
      </c>
      <c r="J3459" s="4" t="s">
        <v>20</v>
      </c>
      <c r="K3459" s="5" t="s">
        <v>342</v>
      </c>
      <c r="L3459" s="2">
        <v>2368</v>
      </c>
      <c r="M3459" s="3">
        <v>15</v>
      </c>
      <c r="N3459" s="2">
        <v>35520</v>
      </c>
      <c r="O3459" s="2">
        <v>0</v>
      </c>
      <c r="P3459" s="2">
        <v>35520</v>
      </c>
      <c r="Q3459" s="2">
        <f>P3459*8.5%</f>
        <v>3019.2000000000003</v>
      </c>
    </row>
    <row r="3460" spans="1:17" hidden="1" x14ac:dyDescent="0.4">
      <c r="A3460" s="4" t="s">
        <v>103</v>
      </c>
      <c r="B3460" s="4" t="s">
        <v>26</v>
      </c>
      <c r="C3460" s="32" t="s">
        <v>436</v>
      </c>
      <c r="D3460" s="4" t="s">
        <v>104</v>
      </c>
      <c r="E3460" s="4" t="s">
        <v>16</v>
      </c>
      <c r="F3460" s="4" t="s">
        <v>17</v>
      </c>
      <c r="G3460" s="4" t="s">
        <v>18</v>
      </c>
      <c r="H3460" s="4" t="s">
        <v>318</v>
      </c>
      <c r="I3460" s="5" t="str">
        <f t="shared" si="54"/>
        <v>2026-01</v>
      </c>
      <c r="J3460" s="4" t="s">
        <v>34</v>
      </c>
      <c r="K3460" s="5" t="s">
        <v>342</v>
      </c>
      <c r="L3460" s="2">
        <v>12459</v>
      </c>
      <c r="M3460" s="3">
        <v>1</v>
      </c>
      <c r="N3460" s="2">
        <v>12459</v>
      </c>
      <c r="O3460" s="2">
        <v>1246</v>
      </c>
      <c r="P3460" s="2">
        <v>13705</v>
      </c>
      <c r="Q3460" s="2">
        <f>P3460*8.5%</f>
        <v>1164.9250000000002</v>
      </c>
    </row>
    <row r="3461" spans="1:17" hidden="1" x14ac:dyDescent="0.4">
      <c r="A3461" s="4" t="s">
        <v>13</v>
      </c>
      <c r="B3461" s="4" t="s">
        <v>14</v>
      </c>
      <c r="C3461" s="30" t="s">
        <v>434</v>
      </c>
      <c r="D3461" s="4" t="s">
        <v>15</v>
      </c>
      <c r="E3461" s="4" t="s">
        <v>16</v>
      </c>
      <c r="F3461" s="4" t="s">
        <v>17</v>
      </c>
      <c r="G3461" s="4" t="s">
        <v>18</v>
      </c>
      <c r="H3461" s="4" t="s">
        <v>318</v>
      </c>
      <c r="I3461" s="5" t="str">
        <f t="shared" si="54"/>
        <v>2026-01</v>
      </c>
      <c r="J3461" s="4" t="s">
        <v>34</v>
      </c>
      <c r="K3461" s="5" t="s">
        <v>342</v>
      </c>
      <c r="L3461" s="2">
        <v>42000</v>
      </c>
      <c r="M3461" s="3">
        <v>3</v>
      </c>
      <c r="N3461" s="2">
        <v>126000</v>
      </c>
      <c r="O3461" s="2">
        <v>12600</v>
      </c>
      <c r="P3461" s="2">
        <v>138600</v>
      </c>
      <c r="Q3461" s="2">
        <f>P3461*8.5%</f>
        <v>11781</v>
      </c>
    </row>
    <row r="3462" spans="1:17" hidden="1" x14ac:dyDescent="0.4">
      <c r="A3462" s="4" t="s">
        <v>21</v>
      </c>
      <c r="B3462" s="4" t="s">
        <v>14</v>
      </c>
      <c r="C3462" s="31" t="s">
        <v>435</v>
      </c>
      <c r="D3462" s="4" t="s">
        <v>22</v>
      </c>
      <c r="E3462" s="4" t="s">
        <v>16</v>
      </c>
      <c r="F3462" s="4" t="s">
        <v>17</v>
      </c>
      <c r="G3462" s="4" t="s">
        <v>18</v>
      </c>
      <c r="H3462" s="4" t="s">
        <v>318</v>
      </c>
      <c r="I3462" s="5" t="str">
        <f t="shared" si="54"/>
        <v>2026-01</v>
      </c>
      <c r="J3462" s="4" t="s">
        <v>34</v>
      </c>
      <c r="K3462" s="5" t="s">
        <v>342</v>
      </c>
      <c r="L3462" s="2">
        <v>55500</v>
      </c>
      <c r="M3462" s="3">
        <v>1</v>
      </c>
      <c r="N3462" s="2">
        <v>55500</v>
      </c>
      <c r="O3462" s="2">
        <v>5550</v>
      </c>
      <c r="P3462" s="2">
        <v>61050</v>
      </c>
      <c r="Q3462" s="2">
        <f>P3462*8.5%</f>
        <v>5189.25</v>
      </c>
    </row>
    <row r="3463" spans="1:17" hidden="1" x14ac:dyDescent="0.4">
      <c r="A3463" s="4" t="s">
        <v>35</v>
      </c>
      <c r="B3463" s="4" t="s">
        <v>14</v>
      </c>
      <c r="C3463" s="30" t="s">
        <v>434</v>
      </c>
      <c r="D3463" s="4" t="s">
        <v>36</v>
      </c>
      <c r="E3463" s="4" t="s">
        <v>16</v>
      </c>
      <c r="F3463" s="4" t="s">
        <v>17</v>
      </c>
      <c r="G3463" s="4" t="s">
        <v>18</v>
      </c>
      <c r="H3463" s="4" t="s">
        <v>318</v>
      </c>
      <c r="I3463" s="5" t="str">
        <f t="shared" si="54"/>
        <v>2026-01</v>
      </c>
      <c r="J3463" s="4" t="s">
        <v>34</v>
      </c>
      <c r="K3463" s="5" t="s">
        <v>342</v>
      </c>
      <c r="L3463" s="2">
        <v>116220</v>
      </c>
      <c r="M3463" s="3">
        <v>1</v>
      </c>
      <c r="N3463" s="2">
        <v>116220</v>
      </c>
      <c r="O3463" s="2">
        <v>11622</v>
      </c>
      <c r="P3463" s="2">
        <v>127842</v>
      </c>
      <c r="Q3463" s="2">
        <f>P3463*8.5%</f>
        <v>10866.570000000002</v>
      </c>
    </row>
    <row r="3464" spans="1:17" hidden="1" x14ac:dyDescent="0.4">
      <c r="A3464" s="4" t="s">
        <v>23</v>
      </c>
      <c r="B3464" s="4" t="s">
        <v>14</v>
      </c>
      <c r="C3464" s="31" t="s">
        <v>435</v>
      </c>
      <c r="D3464" s="4" t="s">
        <v>24</v>
      </c>
      <c r="E3464" s="4" t="s">
        <v>16</v>
      </c>
      <c r="F3464" s="4" t="s">
        <v>17</v>
      </c>
      <c r="G3464" s="4" t="s">
        <v>18</v>
      </c>
      <c r="H3464" s="4" t="s">
        <v>318</v>
      </c>
      <c r="I3464" s="5" t="str">
        <f t="shared" si="54"/>
        <v>2026-01</v>
      </c>
      <c r="J3464" s="4" t="s">
        <v>34</v>
      </c>
      <c r="K3464" s="5" t="s">
        <v>342</v>
      </c>
      <c r="L3464" s="2">
        <v>55500</v>
      </c>
      <c r="M3464" s="3">
        <v>4</v>
      </c>
      <c r="N3464" s="2">
        <v>222000</v>
      </c>
      <c r="O3464" s="2">
        <v>22200</v>
      </c>
      <c r="P3464" s="2">
        <v>244200</v>
      </c>
      <c r="Q3464" s="2">
        <f>P3464*8.5%</f>
        <v>20757</v>
      </c>
    </row>
    <row r="3465" spans="1:17" hidden="1" x14ac:dyDescent="0.4">
      <c r="A3465" s="4" t="s">
        <v>51</v>
      </c>
      <c r="B3465" s="4" t="s">
        <v>14</v>
      </c>
      <c r="C3465" s="30" t="s">
        <v>434</v>
      </c>
      <c r="D3465" s="4" t="s">
        <v>52</v>
      </c>
      <c r="E3465" s="4" t="s">
        <v>16</v>
      </c>
      <c r="F3465" s="4" t="s">
        <v>17</v>
      </c>
      <c r="G3465" s="4" t="s">
        <v>18</v>
      </c>
      <c r="H3465" s="4" t="s">
        <v>318</v>
      </c>
      <c r="I3465" s="5" t="str">
        <f t="shared" si="54"/>
        <v>2026-01</v>
      </c>
      <c r="J3465" s="4" t="s">
        <v>34</v>
      </c>
      <c r="K3465" s="5" t="s">
        <v>342</v>
      </c>
      <c r="L3465" s="2">
        <v>73000</v>
      </c>
      <c r="M3465" s="3">
        <v>1</v>
      </c>
      <c r="N3465" s="2">
        <v>73000</v>
      </c>
      <c r="O3465" s="2">
        <v>7300</v>
      </c>
      <c r="P3465" s="2">
        <v>80300</v>
      </c>
      <c r="Q3465" s="2">
        <f>P3465*8.5%</f>
        <v>6825.5000000000009</v>
      </c>
    </row>
    <row r="3466" spans="1:17" hidden="1" x14ac:dyDescent="0.4">
      <c r="A3466" s="4" t="s">
        <v>42</v>
      </c>
      <c r="B3466" s="4" t="s">
        <v>14</v>
      </c>
      <c r="C3466" s="30" t="s">
        <v>434</v>
      </c>
      <c r="D3466" s="4" t="s">
        <v>43</v>
      </c>
      <c r="E3466" s="4" t="s">
        <v>44</v>
      </c>
      <c r="F3466" s="4" t="s">
        <v>31</v>
      </c>
      <c r="G3466" s="4" t="s">
        <v>18</v>
      </c>
      <c r="H3466" s="4" t="s">
        <v>318</v>
      </c>
      <c r="I3466" s="5" t="str">
        <f t="shared" si="54"/>
        <v>2026-01</v>
      </c>
      <c r="J3466" s="4" t="s">
        <v>34</v>
      </c>
      <c r="K3466" s="5" t="s">
        <v>342</v>
      </c>
      <c r="L3466" s="2">
        <v>7300</v>
      </c>
      <c r="M3466" s="3">
        <v>49.8</v>
      </c>
      <c r="N3466" s="2">
        <v>363540</v>
      </c>
      <c r="O3466" s="2">
        <v>0</v>
      </c>
      <c r="P3466" s="2">
        <v>363540</v>
      </c>
      <c r="Q3466" s="2">
        <f>P3466*8.5%</f>
        <v>30900.9</v>
      </c>
    </row>
    <row r="3467" spans="1:17" hidden="1" x14ac:dyDescent="0.4">
      <c r="A3467" s="4" t="s">
        <v>93</v>
      </c>
      <c r="B3467" s="4" t="s">
        <v>26</v>
      </c>
      <c r="C3467" s="32" t="s">
        <v>436</v>
      </c>
      <c r="D3467" s="4" t="s">
        <v>94</v>
      </c>
      <c r="E3467" s="4" t="s">
        <v>47</v>
      </c>
      <c r="F3467" s="4" t="s">
        <v>17</v>
      </c>
      <c r="G3467" s="4" t="s">
        <v>18</v>
      </c>
      <c r="H3467" s="4" t="s">
        <v>318</v>
      </c>
      <c r="I3467" s="5" t="str">
        <f t="shared" si="54"/>
        <v>2026-01</v>
      </c>
      <c r="J3467" s="4" t="s">
        <v>34</v>
      </c>
      <c r="K3467" s="5" t="s">
        <v>342</v>
      </c>
      <c r="L3467" s="2">
        <v>4735</v>
      </c>
      <c r="M3467" s="3">
        <v>3</v>
      </c>
      <c r="N3467" s="2">
        <v>14205</v>
      </c>
      <c r="O3467" s="2">
        <v>1421</v>
      </c>
      <c r="P3467" s="2">
        <v>15626</v>
      </c>
      <c r="Q3467" s="2">
        <f>P3467*8.5%</f>
        <v>1328.21</v>
      </c>
    </row>
    <row r="3468" spans="1:17" hidden="1" x14ac:dyDescent="0.4">
      <c r="A3468" s="4" t="s">
        <v>32</v>
      </c>
      <c r="B3468" s="4" t="s">
        <v>14</v>
      </c>
      <c r="C3468" s="31" t="s">
        <v>435</v>
      </c>
      <c r="D3468" s="4" t="s">
        <v>33</v>
      </c>
      <c r="E3468" s="4" t="s">
        <v>16</v>
      </c>
      <c r="F3468" s="4" t="s">
        <v>17</v>
      </c>
      <c r="G3468" s="4" t="s">
        <v>18</v>
      </c>
      <c r="H3468" s="4" t="s">
        <v>318</v>
      </c>
      <c r="I3468" s="5" t="str">
        <f t="shared" si="54"/>
        <v>2026-01</v>
      </c>
      <c r="J3468" s="4" t="s">
        <v>50</v>
      </c>
      <c r="K3468" s="5" t="s">
        <v>343</v>
      </c>
      <c r="L3468" s="2">
        <v>44000</v>
      </c>
      <c r="M3468" s="3">
        <v>3</v>
      </c>
      <c r="N3468" s="2">
        <v>132000</v>
      </c>
      <c r="O3468" s="2">
        <v>13200</v>
      </c>
      <c r="P3468" s="2">
        <v>145200</v>
      </c>
      <c r="Q3468" s="2">
        <f>P3468*12%</f>
        <v>17424</v>
      </c>
    </row>
    <row r="3469" spans="1:17" hidden="1" x14ac:dyDescent="0.4">
      <c r="A3469" s="4" t="s">
        <v>13</v>
      </c>
      <c r="B3469" s="4" t="s">
        <v>14</v>
      </c>
      <c r="C3469" s="30" t="s">
        <v>434</v>
      </c>
      <c r="D3469" s="4" t="s">
        <v>15</v>
      </c>
      <c r="E3469" s="4" t="s">
        <v>16</v>
      </c>
      <c r="F3469" s="4" t="s">
        <v>17</v>
      </c>
      <c r="G3469" s="4" t="s">
        <v>18</v>
      </c>
      <c r="H3469" s="4" t="s">
        <v>318</v>
      </c>
      <c r="I3469" s="5" t="str">
        <f t="shared" si="54"/>
        <v>2026-01</v>
      </c>
      <c r="J3469" s="4" t="s">
        <v>50</v>
      </c>
      <c r="K3469" s="5" t="s">
        <v>343</v>
      </c>
      <c r="L3469" s="2">
        <v>42000</v>
      </c>
      <c r="M3469" s="3">
        <v>12</v>
      </c>
      <c r="N3469" s="2">
        <v>504000</v>
      </c>
      <c r="O3469" s="2">
        <v>50400</v>
      </c>
      <c r="P3469" s="2">
        <v>554400</v>
      </c>
      <c r="Q3469" s="2">
        <f>P3469*12%</f>
        <v>66528</v>
      </c>
    </row>
    <row r="3470" spans="1:17" hidden="1" x14ac:dyDescent="0.4">
      <c r="A3470" s="4" t="s">
        <v>23</v>
      </c>
      <c r="B3470" s="4" t="s">
        <v>14</v>
      </c>
      <c r="C3470" s="31" t="s">
        <v>435</v>
      </c>
      <c r="D3470" s="4" t="s">
        <v>24</v>
      </c>
      <c r="E3470" s="4" t="s">
        <v>16</v>
      </c>
      <c r="F3470" s="4" t="s">
        <v>17</v>
      </c>
      <c r="G3470" s="4" t="s">
        <v>18</v>
      </c>
      <c r="H3470" s="4" t="s">
        <v>318</v>
      </c>
      <c r="I3470" s="5" t="str">
        <f t="shared" si="54"/>
        <v>2026-01</v>
      </c>
      <c r="J3470" s="4" t="s">
        <v>50</v>
      </c>
      <c r="K3470" s="5" t="s">
        <v>343</v>
      </c>
      <c r="L3470" s="2">
        <v>55500</v>
      </c>
      <c r="M3470" s="3">
        <v>5</v>
      </c>
      <c r="N3470" s="2">
        <v>277500</v>
      </c>
      <c r="O3470" s="2">
        <v>27750</v>
      </c>
      <c r="P3470" s="2">
        <v>305250</v>
      </c>
      <c r="Q3470" s="2">
        <f>P3470*12%</f>
        <v>36630</v>
      </c>
    </row>
    <row r="3471" spans="1:17" hidden="1" x14ac:dyDescent="0.4">
      <c r="A3471" s="4" t="s">
        <v>51</v>
      </c>
      <c r="B3471" s="4" t="s">
        <v>14</v>
      </c>
      <c r="C3471" s="30" t="s">
        <v>434</v>
      </c>
      <c r="D3471" s="4" t="s">
        <v>52</v>
      </c>
      <c r="E3471" s="4" t="s">
        <v>16</v>
      </c>
      <c r="F3471" s="4" t="s">
        <v>17</v>
      </c>
      <c r="G3471" s="4" t="s">
        <v>18</v>
      </c>
      <c r="H3471" s="4" t="s">
        <v>318</v>
      </c>
      <c r="I3471" s="5" t="str">
        <f t="shared" si="54"/>
        <v>2026-01</v>
      </c>
      <c r="J3471" s="4" t="s">
        <v>50</v>
      </c>
      <c r="K3471" s="5" t="s">
        <v>343</v>
      </c>
      <c r="L3471" s="2">
        <v>73000</v>
      </c>
      <c r="M3471" s="3">
        <v>2</v>
      </c>
      <c r="N3471" s="2">
        <v>146000</v>
      </c>
      <c r="O3471" s="2">
        <v>14600</v>
      </c>
      <c r="P3471" s="2">
        <v>160600</v>
      </c>
      <c r="Q3471" s="2">
        <f>P3471*12%</f>
        <v>19272</v>
      </c>
    </row>
    <row r="3472" spans="1:17" x14ac:dyDescent="0.4">
      <c r="A3472" s="4" t="s">
        <v>21</v>
      </c>
      <c r="B3472" s="4" t="s">
        <v>14</v>
      </c>
      <c r="C3472" s="31" t="s">
        <v>435</v>
      </c>
      <c r="D3472" s="4" t="s">
        <v>22</v>
      </c>
      <c r="E3472" s="4" t="s">
        <v>16</v>
      </c>
      <c r="F3472" s="4" t="s">
        <v>17</v>
      </c>
      <c r="G3472" s="4" t="s">
        <v>18</v>
      </c>
      <c r="H3472" s="4" t="s">
        <v>319</v>
      </c>
      <c r="I3472" s="5" t="str">
        <f t="shared" si="54"/>
        <v>2026-01</v>
      </c>
      <c r="J3472" s="4" t="s">
        <v>20</v>
      </c>
      <c r="K3472" s="5" t="s">
        <v>342</v>
      </c>
      <c r="L3472" s="2">
        <v>55500</v>
      </c>
      <c r="M3472" s="3">
        <v>2</v>
      </c>
      <c r="N3472" s="2">
        <v>111000</v>
      </c>
      <c r="O3472" s="2">
        <v>11100</v>
      </c>
      <c r="P3472" s="2">
        <v>122100</v>
      </c>
      <c r="Q3472" s="2">
        <f>P3472*8.5%</f>
        <v>10378.5</v>
      </c>
    </row>
    <row r="3473" spans="1:17" x14ac:dyDescent="0.4">
      <c r="A3473" s="4" t="s">
        <v>23</v>
      </c>
      <c r="B3473" s="4" t="s">
        <v>14</v>
      </c>
      <c r="C3473" s="31" t="s">
        <v>435</v>
      </c>
      <c r="D3473" s="4" t="s">
        <v>24</v>
      </c>
      <c r="E3473" s="4" t="s">
        <v>16</v>
      </c>
      <c r="F3473" s="4" t="s">
        <v>17</v>
      </c>
      <c r="G3473" s="4" t="s">
        <v>18</v>
      </c>
      <c r="H3473" s="4" t="s">
        <v>319</v>
      </c>
      <c r="I3473" s="5" t="str">
        <f t="shared" si="54"/>
        <v>2026-01</v>
      </c>
      <c r="J3473" s="4" t="s">
        <v>20</v>
      </c>
      <c r="K3473" s="5" t="s">
        <v>342</v>
      </c>
      <c r="L3473" s="2">
        <v>55500</v>
      </c>
      <c r="M3473" s="3">
        <v>2</v>
      </c>
      <c r="N3473" s="2">
        <v>111000</v>
      </c>
      <c r="O3473" s="2">
        <v>11100</v>
      </c>
      <c r="P3473" s="2">
        <v>122100</v>
      </c>
      <c r="Q3473" s="2">
        <f>P3473*8.5%</f>
        <v>10378.5</v>
      </c>
    </row>
    <row r="3474" spans="1:17" x14ac:dyDescent="0.4">
      <c r="A3474" s="4" t="s">
        <v>56</v>
      </c>
      <c r="B3474" s="4" t="s">
        <v>26</v>
      </c>
      <c r="C3474" s="32" t="s">
        <v>436</v>
      </c>
      <c r="D3474" s="4" t="s">
        <v>57</v>
      </c>
      <c r="E3474" s="4" t="s">
        <v>44</v>
      </c>
      <c r="F3474" s="4" t="s">
        <v>31</v>
      </c>
      <c r="G3474" s="4" t="s">
        <v>18</v>
      </c>
      <c r="H3474" s="4" t="s">
        <v>319</v>
      </c>
      <c r="I3474" s="5" t="str">
        <f t="shared" si="54"/>
        <v>2026-01</v>
      </c>
      <c r="J3474" s="4" t="s">
        <v>20</v>
      </c>
      <c r="K3474" s="5" t="s">
        <v>342</v>
      </c>
      <c r="L3474" s="2">
        <v>2368</v>
      </c>
      <c r="M3474" s="3">
        <v>15</v>
      </c>
      <c r="N3474" s="2">
        <v>35520</v>
      </c>
      <c r="O3474" s="2">
        <v>0</v>
      </c>
      <c r="P3474" s="2">
        <v>35520</v>
      </c>
      <c r="Q3474" s="2">
        <f>P3474*8.5%</f>
        <v>3019.2000000000003</v>
      </c>
    </row>
    <row r="3475" spans="1:17" hidden="1" x14ac:dyDescent="0.4">
      <c r="A3475" s="4" t="s">
        <v>32</v>
      </c>
      <c r="B3475" s="4" t="s">
        <v>14</v>
      </c>
      <c r="C3475" s="31" t="s">
        <v>435</v>
      </c>
      <c r="D3475" s="4" t="s">
        <v>33</v>
      </c>
      <c r="E3475" s="4" t="s">
        <v>16</v>
      </c>
      <c r="F3475" s="4" t="s">
        <v>17</v>
      </c>
      <c r="G3475" s="4" t="s">
        <v>18</v>
      </c>
      <c r="H3475" s="4" t="s">
        <v>319</v>
      </c>
      <c r="I3475" s="5" t="str">
        <f t="shared" si="54"/>
        <v>2026-01</v>
      </c>
      <c r="J3475" s="4" t="s">
        <v>34</v>
      </c>
      <c r="K3475" s="5" t="s">
        <v>342</v>
      </c>
      <c r="L3475" s="2">
        <v>44000</v>
      </c>
      <c r="M3475" s="3">
        <v>3</v>
      </c>
      <c r="N3475" s="2">
        <v>132000</v>
      </c>
      <c r="O3475" s="2">
        <v>13200</v>
      </c>
      <c r="P3475" s="2">
        <v>145200</v>
      </c>
      <c r="Q3475" s="2">
        <f>P3475*8.5%</f>
        <v>12342</v>
      </c>
    </row>
    <row r="3476" spans="1:17" hidden="1" x14ac:dyDescent="0.4">
      <c r="A3476" s="4" t="s">
        <v>13</v>
      </c>
      <c r="B3476" s="4" t="s">
        <v>14</v>
      </c>
      <c r="C3476" s="30" t="s">
        <v>434</v>
      </c>
      <c r="D3476" s="4" t="s">
        <v>15</v>
      </c>
      <c r="E3476" s="4" t="s">
        <v>16</v>
      </c>
      <c r="F3476" s="4" t="s">
        <v>17</v>
      </c>
      <c r="G3476" s="4" t="s">
        <v>18</v>
      </c>
      <c r="H3476" s="4" t="s">
        <v>319</v>
      </c>
      <c r="I3476" s="5" t="str">
        <f t="shared" si="54"/>
        <v>2026-01</v>
      </c>
      <c r="J3476" s="4" t="s">
        <v>34</v>
      </c>
      <c r="K3476" s="5" t="s">
        <v>342</v>
      </c>
      <c r="L3476" s="2">
        <v>42000</v>
      </c>
      <c r="M3476" s="3">
        <v>4</v>
      </c>
      <c r="N3476" s="2">
        <v>168000</v>
      </c>
      <c r="O3476" s="2">
        <v>16800</v>
      </c>
      <c r="P3476" s="2">
        <v>184800</v>
      </c>
      <c r="Q3476" s="2">
        <f>P3476*8.5%</f>
        <v>15708.000000000002</v>
      </c>
    </row>
    <row r="3477" spans="1:17" hidden="1" x14ac:dyDescent="0.4">
      <c r="A3477" s="4" t="s">
        <v>21</v>
      </c>
      <c r="B3477" s="4" t="s">
        <v>14</v>
      </c>
      <c r="C3477" s="31" t="s">
        <v>435</v>
      </c>
      <c r="D3477" s="4" t="s">
        <v>22</v>
      </c>
      <c r="E3477" s="4" t="s">
        <v>16</v>
      </c>
      <c r="F3477" s="4" t="s">
        <v>17</v>
      </c>
      <c r="G3477" s="4" t="s">
        <v>18</v>
      </c>
      <c r="H3477" s="4" t="s">
        <v>319</v>
      </c>
      <c r="I3477" s="5" t="str">
        <f t="shared" si="54"/>
        <v>2026-01</v>
      </c>
      <c r="J3477" s="4" t="s">
        <v>34</v>
      </c>
      <c r="K3477" s="5" t="s">
        <v>342</v>
      </c>
      <c r="L3477" s="2">
        <v>55500</v>
      </c>
      <c r="M3477" s="3">
        <v>2</v>
      </c>
      <c r="N3477" s="2">
        <v>111000</v>
      </c>
      <c r="O3477" s="2">
        <v>11100</v>
      </c>
      <c r="P3477" s="2">
        <v>122100</v>
      </c>
      <c r="Q3477" s="2">
        <f>P3477*8.5%</f>
        <v>10378.5</v>
      </c>
    </row>
    <row r="3478" spans="1:17" hidden="1" x14ac:dyDescent="0.4">
      <c r="A3478" s="4" t="s">
        <v>23</v>
      </c>
      <c r="B3478" s="4" t="s">
        <v>14</v>
      </c>
      <c r="C3478" s="31" t="s">
        <v>435</v>
      </c>
      <c r="D3478" s="4" t="s">
        <v>24</v>
      </c>
      <c r="E3478" s="4" t="s">
        <v>16</v>
      </c>
      <c r="F3478" s="4" t="s">
        <v>17</v>
      </c>
      <c r="G3478" s="4" t="s">
        <v>18</v>
      </c>
      <c r="H3478" s="4" t="s">
        <v>319</v>
      </c>
      <c r="I3478" s="5" t="str">
        <f t="shared" si="54"/>
        <v>2026-01</v>
      </c>
      <c r="J3478" s="4" t="s">
        <v>34</v>
      </c>
      <c r="K3478" s="5" t="s">
        <v>342</v>
      </c>
      <c r="L3478" s="2">
        <v>55500</v>
      </c>
      <c r="M3478" s="3">
        <v>4</v>
      </c>
      <c r="N3478" s="2">
        <v>222000</v>
      </c>
      <c r="O3478" s="2">
        <v>22200</v>
      </c>
      <c r="P3478" s="2">
        <v>244200</v>
      </c>
      <c r="Q3478" s="2">
        <f>P3478*8.5%</f>
        <v>20757</v>
      </c>
    </row>
    <row r="3479" spans="1:17" hidden="1" x14ac:dyDescent="0.4">
      <c r="A3479" s="4" t="s">
        <v>67</v>
      </c>
      <c r="B3479" s="4" t="s">
        <v>26</v>
      </c>
      <c r="C3479" s="32" t="s">
        <v>436</v>
      </c>
      <c r="D3479" s="4" t="s">
        <v>63</v>
      </c>
      <c r="E3479" s="4" t="s">
        <v>28</v>
      </c>
      <c r="F3479" s="4" t="s">
        <v>17</v>
      </c>
      <c r="G3479" s="4" t="s">
        <v>18</v>
      </c>
      <c r="H3479" s="4" t="s">
        <v>319</v>
      </c>
      <c r="I3479" s="5" t="str">
        <f t="shared" si="54"/>
        <v>2026-01</v>
      </c>
      <c r="J3479" s="4" t="s">
        <v>34</v>
      </c>
      <c r="K3479" s="5" t="s">
        <v>342</v>
      </c>
      <c r="L3479" s="2">
        <v>7174</v>
      </c>
      <c r="M3479" s="3">
        <v>1</v>
      </c>
      <c r="N3479" s="2">
        <v>7174</v>
      </c>
      <c r="O3479" s="2">
        <v>717</v>
      </c>
      <c r="P3479" s="2">
        <v>7891</v>
      </c>
      <c r="Q3479" s="2">
        <f>P3479*8.5%</f>
        <v>670.73500000000001</v>
      </c>
    </row>
    <row r="3480" spans="1:17" hidden="1" x14ac:dyDescent="0.4">
      <c r="A3480" s="4" t="s">
        <v>42</v>
      </c>
      <c r="B3480" s="4" t="s">
        <v>14</v>
      </c>
      <c r="C3480" s="30" t="s">
        <v>434</v>
      </c>
      <c r="D3480" s="4" t="s">
        <v>43</v>
      </c>
      <c r="E3480" s="4" t="s">
        <v>44</v>
      </c>
      <c r="F3480" s="4" t="s">
        <v>31</v>
      </c>
      <c r="G3480" s="4" t="s">
        <v>18</v>
      </c>
      <c r="H3480" s="4" t="s">
        <v>319</v>
      </c>
      <c r="I3480" s="5" t="str">
        <f t="shared" si="54"/>
        <v>2026-01</v>
      </c>
      <c r="J3480" s="4" t="s">
        <v>34</v>
      </c>
      <c r="K3480" s="5" t="s">
        <v>342</v>
      </c>
      <c r="L3480" s="2">
        <v>7300</v>
      </c>
      <c r="M3480" s="3">
        <v>64.2</v>
      </c>
      <c r="N3480" s="2">
        <v>468660</v>
      </c>
      <c r="O3480" s="2">
        <v>0</v>
      </c>
      <c r="P3480" s="2">
        <v>468660</v>
      </c>
      <c r="Q3480" s="2">
        <f>P3480*8.5%</f>
        <v>39836.100000000006</v>
      </c>
    </row>
    <row r="3481" spans="1:17" hidden="1" x14ac:dyDescent="0.4">
      <c r="A3481" s="4" t="s">
        <v>32</v>
      </c>
      <c r="B3481" s="4" t="s">
        <v>14</v>
      </c>
      <c r="C3481" s="31" t="s">
        <v>435</v>
      </c>
      <c r="D3481" s="4" t="s">
        <v>33</v>
      </c>
      <c r="E3481" s="4" t="s">
        <v>16</v>
      </c>
      <c r="F3481" s="4" t="s">
        <v>17</v>
      </c>
      <c r="G3481" s="4" t="s">
        <v>18</v>
      </c>
      <c r="H3481" s="4" t="s">
        <v>319</v>
      </c>
      <c r="I3481" s="5" t="str">
        <f t="shared" si="54"/>
        <v>2026-01</v>
      </c>
      <c r="J3481" s="4" t="s">
        <v>49</v>
      </c>
      <c r="K3481" s="5" t="s">
        <v>343</v>
      </c>
      <c r="L3481" s="2">
        <v>44000</v>
      </c>
      <c r="M3481" s="3">
        <v>6</v>
      </c>
      <c r="N3481" s="2">
        <v>264000</v>
      </c>
      <c r="O3481" s="2">
        <v>26400</v>
      </c>
      <c r="P3481" s="2">
        <v>290400</v>
      </c>
      <c r="Q3481" s="2">
        <f>P3481*12%</f>
        <v>34848</v>
      </c>
    </row>
    <row r="3482" spans="1:17" hidden="1" x14ac:dyDescent="0.4">
      <c r="A3482" s="4" t="s">
        <v>13</v>
      </c>
      <c r="B3482" s="4" t="s">
        <v>14</v>
      </c>
      <c r="C3482" s="30" t="s">
        <v>434</v>
      </c>
      <c r="D3482" s="4" t="s">
        <v>15</v>
      </c>
      <c r="E3482" s="4" t="s">
        <v>16</v>
      </c>
      <c r="F3482" s="4" t="s">
        <v>17</v>
      </c>
      <c r="G3482" s="4" t="s">
        <v>18</v>
      </c>
      <c r="H3482" s="4" t="s">
        <v>319</v>
      </c>
      <c r="I3482" s="5" t="str">
        <f t="shared" si="54"/>
        <v>2026-01</v>
      </c>
      <c r="J3482" s="4" t="s">
        <v>49</v>
      </c>
      <c r="K3482" s="5" t="s">
        <v>343</v>
      </c>
      <c r="L3482" s="2">
        <v>42000</v>
      </c>
      <c r="M3482" s="3">
        <v>3</v>
      </c>
      <c r="N3482" s="2">
        <v>126000</v>
      </c>
      <c r="O3482" s="2">
        <v>12600</v>
      </c>
      <c r="P3482" s="2">
        <v>138600</v>
      </c>
      <c r="Q3482" s="2">
        <f>P3482*12%</f>
        <v>16632</v>
      </c>
    </row>
    <row r="3483" spans="1:17" hidden="1" x14ac:dyDescent="0.4">
      <c r="A3483" s="4" t="s">
        <v>23</v>
      </c>
      <c r="B3483" s="4" t="s">
        <v>14</v>
      </c>
      <c r="C3483" s="31" t="s">
        <v>435</v>
      </c>
      <c r="D3483" s="4" t="s">
        <v>24</v>
      </c>
      <c r="E3483" s="4" t="s">
        <v>16</v>
      </c>
      <c r="F3483" s="4" t="s">
        <v>17</v>
      </c>
      <c r="G3483" s="4" t="s">
        <v>18</v>
      </c>
      <c r="H3483" s="4" t="s">
        <v>319</v>
      </c>
      <c r="I3483" s="5" t="str">
        <f t="shared" si="54"/>
        <v>2026-01</v>
      </c>
      <c r="J3483" s="4" t="s">
        <v>49</v>
      </c>
      <c r="K3483" s="5" t="s">
        <v>343</v>
      </c>
      <c r="L3483" s="2">
        <v>55500</v>
      </c>
      <c r="M3483" s="3">
        <v>3</v>
      </c>
      <c r="N3483" s="2">
        <v>166500</v>
      </c>
      <c r="O3483" s="2">
        <v>16650</v>
      </c>
      <c r="P3483" s="2">
        <v>183150</v>
      </c>
      <c r="Q3483" s="2">
        <f>P3483*12%</f>
        <v>21978</v>
      </c>
    </row>
    <row r="3484" spans="1:17" hidden="1" x14ac:dyDescent="0.4">
      <c r="A3484" s="4" t="s">
        <v>13</v>
      </c>
      <c r="B3484" s="4" t="s">
        <v>14</v>
      </c>
      <c r="C3484" s="30" t="s">
        <v>434</v>
      </c>
      <c r="D3484" s="4" t="s">
        <v>15</v>
      </c>
      <c r="E3484" s="4" t="s">
        <v>16</v>
      </c>
      <c r="F3484" s="4" t="s">
        <v>17</v>
      </c>
      <c r="G3484" s="4" t="s">
        <v>18</v>
      </c>
      <c r="H3484" s="4" t="s">
        <v>320</v>
      </c>
      <c r="I3484" s="5" t="str">
        <f t="shared" si="54"/>
        <v>2026-01</v>
      </c>
      <c r="J3484" s="4" t="s">
        <v>281</v>
      </c>
      <c r="K3484" s="5" t="s">
        <v>342</v>
      </c>
      <c r="L3484" s="2">
        <v>42000</v>
      </c>
      <c r="M3484" s="3">
        <v>1</v>
      </c>
      <c r="N3484" s="2">
        <v>42000</v>
      </c>
      <c r="O3484" s="2">
        <v>4200</v>
      </c>
      <c r="P3484" s="2">
        <v>46200</v>
      </c>
      <c r="Q3484" s="2">
        <f>P3484*8.5%</f>
        <v>3927.0000000000005</v>
      </c>
    </row>
    <row r="3485" spans="1:17" hidden="1" x14ac:dyDescent="0.4">
      <c r="A3485" s="4" t="s">
        <v>23</v>
      </c>
      <c r="B3485" s="4" t="s">
        <v>14</v>
      </c>
      <c r="C3485" s="31" t="s">
        <v>435</v>
      </c>
      <c r="D3485" s="4" t="s">
        <v>24</v>
      </c>
      <c r="E3485" s="4" t="s">
        <v>16</v>
      </c>
      <c r="F3485" s="4" t="s">
        <v>17</v>
      </c>
      <c r="G3485" s="4" t="s">
        <v>18</v>
      </c>
      <c r="H3485" s="4" t="s">
        <v>320</v>
      </c>
      <c r="I3485" s="5" t="str">
        <f t="shared" si="54"/>
        <v>2026-01</v>
      </c>
      <c r="J3485" s="4" t="s">
        <v>281</v>
      </c>
      <c r="K3485" s="5" t="s">
        <v>342</v>
      </c>
      <c r="L3485" s="2">
        <v>55500</v>
      </c>
      <c r="M3485" s="3">
        <v>2</v>
      </c>
      <c r="N3485" s="2">
        <v>111000</v>
      </c>
      <c r="O3485" s="2">
        <v>11100</v>
      </c>
      <c r="P3485" s="2">
        <v>122100</v>
      </c>
      <c r="Q3485" s="2">
        <f>P3485*8.5%</f>
        <v>10378.5</v>
      </c>
    </row>
    <row r="3486" spans="1:17" x14ac:dyDescent="0.4">
      <c r="A3486" s="4" t="s">
        <v>58</v>
      </c>
      <c r="B3486" s="4" t="s">
        <v>14</v>
      </c>
      <c r="C3486" s="30" t="s">
        <v>434</v>
      </c>
      <c r="D3486" s="4" t="s">
        <v>36</v>
      </c>
      <c r="E3486" s="4" t="s">
        <v>16</v>
      </c>
      <c r="F3486" s="4" t="s">
        <v>17</v>
      </c>
      <c r="G3486" s="4" t="s">
        <v>18</v>
      </c>
      <c r="H3486" s="4" t="s">
        <v>320</v>
      </c>
      <c r="I3486" s="5" t="str">
        <f t="shared" si="54"/>
        <v>2026-01</v>
      </c>
      <c r="J3486" s="4" t="s">
        <v>20</v>
      </c>
      <c r="K3486" s="5" t="s">
        <v>342</v>
      </c>
      <c r="L3486" s="2">
        <v>120880</v>
      </c>
      <c r="M3486" s="3">
        <v>1</v>
      </c>
      <c r="N3486" s="2">
        <v>120880</v>
      </c>
      <c r="O3486" s="2">
        <v>12088</v>
      </c>
      <c r="P3486" s="2">
        <v>132968</v>
      </c>
      <c r="Q3486" s="2">
        <f>P3486*8.5%</f>
        <v>11302.28</v>
      </c>
    </row>
    <row r="3487" spans="1:17" x14ac:dyDescent="0.4">
      <c r="A3487" s="4" t="s">
        <v>13</v>
      </c>
      <c r="B3487" s="4" t="s">
        <v>14</v>
      </c>
      <c r="C3487" s="30" t="s">
        <v>434</v>
      </c>
      <c r="D3487" s="4" t="s">
        <v>15</v>
      </c>
      <c r="E3487" s="4" t="s">
        <v>16</v>
      </c>
      <c r="F3487" s="4" t="s">
        <v>17</v>
      </c>
      <c r="G3487" s="4" t="s">
        <v>18</v>
      </c>
      <c r="H3487" s="4" t="s">
        <v>320</v>
      </c>
      <c r="I3487" s="5" t="str">
        <f t="shared" si="54"/>
        <v>2026-01</v>
      </c>
      <c r="J3487" s="4" t="s">
        <v>20</v>
      </c>
      <c r="K3487" s="5" t="s">
        <v>342</v>
      </c>
      <c r="L3487" s="2">
        <v>42000</v>
      </c>
      <c r="M3487" s="3">
        <v>1</v>
      </c>
      <c r="N3487" s="2">
        <v>42000</v>
      </c>
      <c r="O3487" s="2">
        <v>4200</v>
      </c>
      <c r="P3487" s="2">
        <v>46200</v>
      </c>
      <c r="Q3487" s="2">
        <f>P3487*8.5%</f>
        <v>3927.0000000000005</v>
      </c>
    </row>
    <row r="3488" spans="1:17" x14ac:dyDescent="0.4">
      <c r="A3488" s="4" t="s">
        <v>21</v>
      </c>
      <c r="B3488" s="4" t="s">
        <v>14</v>
      </c>
      <c r="C3488" s="31" t="s">
        <v>435</v>
      </c>
      <c r="D3488" s="4" t="s">
        <v>22</v>
      </c>
      <c r="E3488" s="4" t="s">
        <v>16</v>
      </c>
      <c r="F3488" s="4" t="s">
        <v>17</v>
      </c>
      <c r="G3488" s="4" t="s">
        <v>18</v>
      </c>
      <c r="H3488" s="4" t="s">
        <v>320</v>
      </c>
      <c r="I3488" s="5" t="str">
        <f t="shared" si="54"/>
        <v>2026-01</v>
      </c>
      <c r="J3488" s="4" t="s">
        <v>20</v>
      </c>
      <c r="K3488" s="5" t="s">
        <v>342</v>
      </c>
      <c r="L3488" s="2">
        <v>55500</v>
      </c>
      <c r="M3488" s="3">
        <v>1</v>
      </c>
      <c r="N3488" s="2">
        <v>55500</v>
      </c>
      <c r="O3488" s="2">
        <v>5550</v>
      </c>
      <c r="P3488" s="2">
        <v>61050</v>
      </c>
      <c r="Q3488" s="2">
        <f>P3488*8.5%</f>
        <v>5189.25</v>
      </c>
    </row>
    <row r="3489" spans="1:17" x14ac:dyDescent="0.4">
      <c r="A3489" s="4" t="s">
        <v>23</v>
      </c>
      <c r="B3489" s="4" t="s">
        <v>14</v>
      </c>
      <c r="C3489" s="31" t="s">
        <v>435</v>
      </c>
      <c r="D3489" s="4" t="s">
        <v>24</v>
      </c>
      <c r="E3489" s="4" t="s">
        <v>16</v>
      </c>
      <c r="F3489" s="4" t="s">
        <v>17</v>
      </c>
      <c r="G3489" s="4" t="s">
        <v>18</v>
      </c>
      <c r="H3489" s="4" t="s">
        <v>320</v>
      </c>
      <c r="I3489" s="5" t="str">
        <f t="shared" si="54"/>
        <v>2026-01</v>
      </c>
      <c r="J3489" s="4" t="s">
        <v>20</v>
      </c>
      <c r="K3489" s="5" t="s">
        <v>342</v>
      </c>
      <c r="L3489" s="2">
        <v>55500</v>
      </c>
      <c r="M3489" s="3">
        <v>2</v>
      </c>
      <c r="N3489" s="2">
        <v>111000</v>
      </c>
      <c r="O3489" s="2">
        <v>11100</v>
      </c>
      <c r="P3489" s="2">
        <v>122100</v>
      </c>
      <c r="Q3489" s="2">
        <f>P3489*8.5%</f>
        <v>10378.5</v>
      </c>
    </row>
    <row r="3490" spans="1:17" x14ac:dyDescent="0.4">
      <c r="A3490" s="4" t="s">
        <v>307</v>
      </c>
      <c r="B3490" s="4" t="s">
        <v>26</v>
      </c>
      <c r="C3490" s="32" t="s">
        <v>436</v>
      </c>
      <c r="D3490" s="4" t="s">
        <v>55</v>
      </c>
      <c r="E3490" s="4" t="s">
        <v>28</v>
      </c>
      <c r="F3490" s="4" t="s">
        <v>17</v>
      </c>
      <c r="G3490" s="4" t="s">
        <v>18</v>
      </c>
      <c r="H3490" s="4" t="s">
        <v>320</v>
      </c>
      <c r="I3490" s="5" t="str">
        <f t="shared" si="54"/>
        <v>2026-01</v>
      </c>
      <c r="J3490" s="4" t="s">
        <v>20</v>
      </c>
      <c r="K3490" s="5" t="s">
        <v>342</v>
      </c>
      <c r="L3490" s="2">
        <v>5919</v>
      </c>
      <c r="M3490" s="3">
        <v>1</v>
      </c>
      <c r="N3490" s="2">
        <v>5919</v>
      </c>
      <c r="O3490" s="2">
        <v>592</v>
      </c>
      <c r="P3490" s="2">
        <v>6511</v>
      </c>
      <c r="Q3490" s="2">
        <f>P3490*8.5%</f>
        <v>553.43500000000006</v>
      </c>
    </row>
    <row r="3491" spans="1:17" hidden="1" x14ac:dyDescent="0.4">
      <c r="A3491" s="4" t="s">
        <v>80</v>
      </c>
      <c r="B3491" s="4" t="s">
        <v>26</v>
      </c>
      <c r="C3491" s="32" t="s">
        <v>436</v>
      </c>
      <c r="D3491" s="4" t="s">
        <v>81</v>
      </c>
      <c r="E3491" s="4" t="s">
        <v>16</v>
      </c>
      <c r="F3491" s="4" t="s">
        <v>17</v>
      </c>
      <c r="G3491" s="4" t="s">
        <v>18</v>
      </c>
      <c r="H3491" s="4" t="s">
        <v>320</v>
      </c>
      <c r="I3491" s="5" t="str">
        <f t="shared" si="54"/>
        <v>2026-01</v>
      </c>
      <c r="J3491" s="4" t="s">
        <v>34</v>
      </c>
      <c r="K3491" s="5" t="s">
        <v>342</v>
      </c>
      <c r="L3491" s="2">
        <v>17072</v>
      </c>
      <c r="M3491" s="3">
        <v>1</v>
      </c>
      <c r="N3491" s="2">
        <v>17072</v>
      </c>
      <c r="O3491" s="2">
        <v>1707</v>
      </c>
      <c r="P3491" s="2">
        <v>18779</v>
      </c>
      <c r="Q3491" s="2">
        <f>P3491*8.5%</f>
        <v>1596.2150000000001</v>
      </c>
    </row>
    <row r="3492" spans="1:17" hidden="1" x14ac:dyDescent="0.4">
      <c r="A3492" s="4" t="s">
        <v>82</v>
      </c>
      <c r="B3492" s="4" t="s">
        <v>26</v>
      </c>
      <c r="C3492" s="32" t="s">
        <v>436</v>
      </c>
      <c r="D3492" s="4" t="s">
        <v>81</v>
      </c>
      <c r="E3492" s="4" t="s">
        <v>16</v>
      </c>
      <c r="F3492" s="4" t="s">
        <v>17</v>
      </c>
      <c r="G3492" s="4" t="s">
        <v>18</v>
      </c>
      <c r="H3492" s="4" t="s">
        <v>320</v>
      </c>
      <c r="I3492" s="5" t="str">
        <f t="shared" si="54"/>
        <v>2026-01</v>
      </c>
      <c r="J3492" s="4" t="s">
        <v>34</v>
      </c>
      <c r="K3492" s="5" t="s">
        <v>342</v>
      </c>
      <c r="L3492" s="2">
        <v>20891</v>
      </c>
      <c r="M3492" s="3">
        <v>1</v>
      </c>
      <c r="N3492" s="2">
        <v>20891</v>
      </c>
      <c r="O3492" s="2">
        <v>2089</v>
      </c>
      <c r="P3492" s="2">
        <v>22980</v>
      </c>
      <c r="Q3492" s="2">
        <f>P3492*8.5%</f>
        <v>1953.3000000000002</v>
      </c>
    </row>
    <row r="3493" spans="1:17" hidden="1" x14ac:dyDescent="0.4">
      <c r="A3493" s="4" t="s">
        <v>64</v>
      </c>
      <c r="B3493" s="4" t="s">
        <v>65</v>
      </c>
      <c r="C3493" s="32" t="s">
        <v>436</v>
      </c>
      <c r="D3493" s="4" t="s">
        <v>66</v>
      </c>
      <c r="E3493" s="4" t="s">
        <v>16</v>
      </c>
      <c r="F3493" s="4" t="s">
        <v>17</v>
      </c>
      <c r="G3493" s="4" t="s">
        <v>18</v>
      </c>
      <c r="H3493" s="4" t="s">
        <v>320</v>
      </c>
      <c r="I3493" s="5" t="str">
        <f t="shared" si="54"/>
        <v>2026-01</v>
      </c>
      <c r="J3493" s="4" t="s">
        <v>34</v>
      </c>
      <c r="K3493" s="5" t="s">
        <v>342</v>
      </c>
      <c r="L3493" s="2">
        <v>10283</v>
      </c>
      <c r="M3493" s="3">
        <v>1</v>
      </c>
      <c r="N3493" s="2">
        <v>10283</v>
      </c>
      <c r="O3493" s="2">
        <v>1028</v>
      </c>
      <c r="P3493" s="2">
        <v>11311</v>
      </c>
      <c r="Q3493" s="2">
        <f>P3493*8.5%</f>
        <v>961.43500000000006</v>
      </c>
    </row>
    <row r="3494" spans="1:17" hidden="1" x14ac:dyDescent="0.4">
      <c r="A3494" s="4" t="s">
        <v>32</v>
      </c>
      <c r="B3494" s="4" t="s">
        <v>14</v>
      </c>
      <c r="C3494" s="31" t="s">
        <v>435</v>
      </c>
      <c r="D3494" s="4" t="s">
        <v>33</v>
      </c>
      <c r="E3494" s="4" t="s">
        <v>16</v>
      </c>
      <c r="F3494" s="4" t="s">
        <v>17</v>
      </c>
      <c r="G3494" s="4" t="s">
        <v>18</v>
      </c>
      <c r="H3494" s="4" t="s">
        <v>320</v>
      </c>
      <c r="I3494" s="5" t="str">
        <f t="shared" si="54"/>
        <v>2026-01</v>
      </c>
      <c r="J3494" s="4" t="s">
        <v>34</v>
      </c>
      <c r="K3494" s="5" t="s">
        <v>342</v>
      </c>
      <c r="L3494" s="2">
        <v>44000</v>
      </c>
      <c r="M3494" s="3">
        <v>2</v>
      </c>
      <c r="N3494" s="2">
        <v>88000</v>
      </c>
      <c r="O3494" s="2">
        <v>8800</v>
      </c>
      <c r="P3494" s="2">
        <v>96800</v>
      </c>
      <c r="Q3494" s="2">
        <f>P3494*8.5%</f>
        <v>8228</v>
      </c>
    </row>
    <row r="3495" spans="1:17" hidden="1" x14ac:dyDescent="0.4">
      <c r="A3495" s="4" t="s">
        <v>23</v>
      </c>
      <c r="B3495" s="4" t="s">
        <v>14</v>
      </c>
      <c r="C3495" s="31" t="s">
        <v>435</v>
      </c>
      <c r="D3495" s="4" t="s">
        <v>24</v>
      </c>
      <c r="E3495" s="4" t="s">
        <v>16</v>
      </c>
      <c r="F3495" s="4" t="s">
        <v>17</v>
      </c>
      <c r="G3495" s="4" t="s">
        <v>18</v>
      </c>
      <c r="H3495" s="4" t="s">
        <v>320</v>
      </c>
      <c r="I3495" s="5" t="str">
        <f t="shared" si="54"/>
        <v>2026-01</v>
      </c>
      <c r="J3495" s="4" t="s">
        <v>34</v>
      </c>
      <c r="K3495" s="5" t="s">
        <v>342</v>
      </c>
      <c r="L3495" s="2">
        <v>55500</v>
      </c>
      <c r="M3495" s="3">
        <v>6</v>
      </c>
      <c r="N3495" s="2">
        <v>333000</v>
      </c>
      <c r="O3495" s="2">
        <v>33300</v>
      </c>
      <c r="P3495" s="2">
        <v>366300</v>
      </c>
      <c r="Q3495" s="2">
        <f>P3495*8.5%</f>
        <v>31135.500000000004</v>
      </c>
    </row>
    <row r="3496" spans="1:17" hidden="1" x14ac:dyDescent="0.4">
      <c r="A3496" s="4" t="s">
        <v>84</v>
      </c>
      <c r="B3496" s="4" t="s">
        <v>26</v>
      </c>
      <c r="C3496" s="32" t="s">
        <v>436</v>
      </c>
      <c r="D3496" s="4" t="s">
        <v>85</v>
      </c>
      <c r="E3496" s="4" t="s">
        <v>28</v>
      </c>
      <c r="F3496" s="4" t="s">
        <v>17</v>
      </c>
      <c r="G3496" s="4" t="s">
        <v>18</v>
      </c>
      <c r="H3496" s="4" t="s">
        <v>320</v>
      </c>
      <c r="I3496" s="5" t="str">
        <f t="shared" si="54"/>
        <v>2026-01</v>
      </c>
      <c r="J3496" s="4" t="s">
        <v>34</v>
      </c>
      <c r="K3496" s="5" t="s">
        <v>342</v>
      </c>
      <c r="L3496" s="2">
        <v>5032</v>
      </c>
      <c r="M3496" s="3">
        <v>1</v>
      </c>
      <c r="N3496" s="2">
        <v>5032</v>
      </c>
      <c r="O3496" s="2">
        <v>503</v>
      </c>
      <c r="P3496" s="2">
        <v>5535</v>
      </c>
      <c r="Q3496" s="2">
        <f>P3496*8.5%</f>
        <v>470.47500000000002</v>
      </c>
    </row>
    <row r="3497" spans="1:17" hidden="1" x14ac:dyDescent="0.4">
      <c r="A3497" s="4" t="s">
        <v>37</v>
      </c>
      <c r="B3497" s="4" t="s">
        <v>26</v>
      </c>
      <c r="C3497" s="32" t="s">
        <v>436</v>
      </c>
      <c r="D3497" s="4" t="s">
        <v>38</v>
      </c>
      <c r="E3497" s="4" t="s">
        <v>28</v>
      </c>
      <c r="F3497" s="4" t="s">
        <v>17</v>
      </c>
      <c r="G3497" s="4" t="s">
        <v>18</v>
      </c>
      <c r="H3497" s="4" t="s">
        <v>320</v>
      </c>
      <c r="I3497" s="5" t="str">
        <f t="shared" si="54"/>
        <v>2026-01</v>
      </c>
      <c r="J3497" s="4" t="s">
        <v>34</v>
      </c>
      <c r="K3497" s="5" t="s">
        <v>342</v>
      </c>
      <c r="L3497" s="2">
        <v>395</v>
      </c>
      <c r="M3497" s="3">
        <v>20</v>
      </c>
      <c r="N3497" s="2">
        <v>7900</v>
      </c>
      <c r="O3497" s="2">
        <v>790</v>
      </c>
      <c r="P3497" s="2">
        <v>8690</v>
      </c>
      <c r="Q3497" s="2">
        <f>P3497*8.5%</f>
        <v>738.65000000000009</v>
      </c>
    </row>
    <row r="3498" spans="1:17" hidden="1" x14ac:dyDescent="0.4">
      <c r="A3498" s="4" t="s">
        <v>176</v>
      </c>
      <c r="B3498" s="4" t="s">
        <v>26</v>
      </c>
      <c r="C3498" s="32" t="s">
        <v>436</v>
      </c>
      <c r="D3498" s="4" t="s">
        <v>177</v>
      </c>
      <c r="E3498" s="4" t="s">
        <v>28</v>
      </c>
      <c r="F3498" s="4" t="s">
        <v>17</v>
      </c>
      <c r="G3498" s="4" t="s">
        <v>18</v>
      </c>
      <c r="H3498" s="4" t="s">
        <v>320</v>
      </c>
      <c r="I3498" s="5" t="str">
        <f t="shared" si="54"/>
        <v>2026-01</v>
      </c>
      <c r="J3498" s="4" t="s">
        <v>34</v>
      </c>
      <c r="K3498" s="5" t="s">
        <v>342</v>
      </c>
      <c r="L3498" s="2">
        <v>658</v>
      </c>
      <c r="M3498" s="3">
        <v>10</v>
      </c>
      <c r="N3498" s="2">
        <v>6580</v>
      </c>
      <c r="O3498" s="2">
        <v>658</v>
      </c>
      <c r="P3498" s="2">
        <v>7238</v>
      </c>
      <c r="Q3498" s="2">
        <f>P3498*8.5%</f>
        <v>615.23</v>
      </c>
    </row>
    <row r="3499" spans="1:17" hidden="1" x14ac:dyDescent="0.4">
      <c r="A3499" s="4" t="s">
        <v>40</v>
      </c>
      <c r="B3499" s="4" t="s">
        <v>26</v>
      </c>
      <c r="C3499" s="32" t="s">
        <v>436</v>
      </c>
      <c r="D3499" s="4" t="s">
        <v>41</v>
      </c>
      <c r="E3499" s="4" t="s">
        <v>28</v>
      </c>
      <c r="F3499" s="4" t="s">
        <v>17</v>
      </c>
      <c r="G3499" s="4" t="s">
        <v>18</v>
      </c>
      <c r="H3499" s="4" t="s">
        <v>320</v>
      </c>
      <c r="I3499" s="5" t="str">
        <f t="shared" si="54"/>
        <v>2026-01</v>
      </c>
      <c r="J3499" s="4" t="s">
        <v>34</v>
      </c>
      <c r="K3499" s="5" t="s">
        <v>342</v>
      </c>
      <c r="L3499" s="2">
        <v>17936</v>
      </c>
      <c r="M3499" s="3">
        <v>2</v>
      </c>
      <c r="N3499" s="2">
        <v>35872</v>
      </c>
      <c r="O3499" s="2">
        <v>3587</v>
      </c>
      <c r="P3499" s="2">
        <v>39459</v>
      </c>
      <c r="Q3499" s="2">
        <f>P3499*8.5%</f>
        <v>3354.0150000000003</v>
      </c>
    </row>
    <row r="3500" spans="1:17" hidden="1" x14ac:dyDescent="0.4">
      <c r="A3500" s="4" t="s">
        <v>136</v>
      </c>
      <c r="B3500" s="4" t="s">
        <v>26</v>
      </c>
      <c r="C3500" s="32" t="s">
        <v>436</v>
      </c>
      <c r="D3500" s="4" t="s">
        <v>137</v>
      </c>
      <c r="E3500" s="4" t="s">
        <v>28</v>
      </c>
      <c r="F3500" s="4" t="s">
        <v>17</v>
      </c>
      <c r="G3500" s="4" t="s">
        <v>18</v>
      </c>
      <c r="H3500" s="4" t="s">
        <v>320</v>
      </c>
      <c r="I3500" s="5" t="str">
        <f t="shared" si="54"/>
        <v>2026-01</v>
      </c>
      <c r="J3500" s="4" t="s">
        <v>34</v>
      </c>
      <c r="K3500" s="5" t="s">
        <v>342</v>
      </c>
      <c r="L3500" s="2">
        <v>5429</v>
      </c>
      <c r="M3500" s="3">
        <v>2</v>
      </c>
      <c r="N3500" s="2">
        <v>10858</v>
      </c>
      <c r="O3500" s="2">
        <v>1086</v>
      </c>
      <c r="P3500" s="2">
        <v>11944</v>
      </c>
      <c r="Q3500" s="2">
        <f>P3500*8.5%</f>
        <v>1015.2400000000001</v>
      </c>
    </row>
    <row r="3501" spans="1:17" hidden="1" x14ac:dyDescent="0.4">
      <c r="A3501" s="4" t="s">
        <v>321</v>
      </c>
      <c r="B3501" s="4" t="s">
        <v>26</v>
      </c>
      <c r="C3501" s="32" t="s">
        <v>436</v>
      </c>
      <c r="D3501" s="4" t="s">
        <v>322</v>
      </c>
      <c r="E3501" s="4" t="s">
        <v>28</v>
      </c>
      <c r="F3501" s="4" t="s">
        <v>17</v>
      </c>
      <c r="G3501" s="4" t="s">
        <v>18</v>
      </c>
      <c r="H3501" s="4" t="s">
        <v>320</v>
      </c>
      <c r="I3501" s="5" t="str">
        <f t="shared" si="54"/>
        <v>2026-01</v>
      </c>
      <c r="J3501" s="4" t="s">
        <v>34</v>
      </c>
      <c r="K3501" s="5" t="s">
        <v>342</v>
      </c>
      <c r="L3501" s="2">
        <v>34377</v>
      </c>
      <c r="M3501" s="3">
        <v>1</v>
      </c>
      <c r="N3501" s="2">
        <v>34377</v>
      </c>
      <c r="O3501" s="2">
        <v>3438</v>
      </c>
      <c r="P3501" s="2">
        <v>37815</v>
      </c>
      <c r="Q3501" s="2">
        <f>P3501*8.5%</f>
        <v>3214.2750000000001</v>
      </c>
    </row>
    <row r="3502" spans="1:17" hidden="1" x14ac:dyDescent="0.4">
      <c r="A3502" s="4" t="s">
        <v>42</v>
      </c>
      <c r="B3502" s="4" t="s">
        <v>14</v>
      </c>
      <c r="C3502" s="30" t="s">
        <v>434</v>
      </c>
      <c r="D3502" s="4" t="s">
        <v>43</v>
      </c>
      <c r="E3502" s="4" t="s">
        <v>44</v>
      </c>
      <c r="F3502" s="4" t="s">
        <v>31</v>
      </c>
      <c r="G3502" s="4" t="s">
        <v>18</v>
      </c>
      <c r="H3502" s="4" t="s">
        <v>320</v>
      </c>
      <c r="I3502" s="5" t="str">
        <f t="shared" si="54"/>
        <v>2026-01</v>
      </c>
      <c r="J3502" s="4" t="s">
        <v>34</v>
      </c>
      <c r="K3502" s="5" t="s">
        <v>342</v>
      </c>
      <c r="L3502" s="2">
        <v>7300</v>
      </c>
      <c r="M3502" s="3">
        <v>16.899999999999999</v>
      </c>
      <c r="N3502" s="2">
        <v>123370</v>
      </c>
      <c r="O3502" s="2">
        <v>0</v>
      </c>
      <c r="P3502" s="2">
        <v>123370</v>
      </c>
      <c r="Q3502" s="2">
        <f>P3502*8.5%</f>
        <v>10486.45</v>
      </c>
    </row>
    <row r="3503" spans="1:17" hidden="1" x14ac:dyDescent="0.4">
      <c r="A3503" s="4" t="s">
        <v>32</v>
      </c>
      <c r="B3503" s="4" t="s">
        <v>14</v>
      </c>
      <c r="C3503" s="31" t="s">
        <v>435</v>
      </c>
      <c r="D3503" s="4" t="s">
        <v>33</v>
      </c>
      <c r="E3503" s="4" t="s">
        <v>16</v>
      </c>
      <c r="F3503" s="4" t="s">
        <v>17</v>
      </c>
      <c r="G3503" s="4" t="s">
        <v>18</v>
      </c>
      <c r="H3503" s="4" t="s">
        <v>320</v>
      </c>
      <c r="I3503" s="5" t="str">
        <f t="shared" si="54"/>
        <v>2026-01</v>
      </c>
      <c r="J3503" s="4" t="s">
        <v>59</v>
      </c>
      <c r="K3503" s="5" t="s">
        <v>343</v>
      </c>
      <c r="L3503" s="2">
        <v>44000</v>
      </c>
      <c r="M3503" s="3">
        <v>1</v>
      </c>
      <c r="N3503" s="2">
        <v>44000</v>
      </c>
      <c r="O3503" s="2">
        <v>4400</v>
      </c>
      <c r="P3503" s="2">
        <v>48400</v>
      </c>
      <c r="Q3503" s="2">
        <f>P3503*12%</f>
        <v>5808</v>
      </c>
    </row>
    <row r="3504" spans="1:17" hidden="1" x14ac:dyDescent="0.4">
      <c r="A3504" s="4" t="s">
        <v>13</v>
      </c>
      <c r="B3504" s="4" t="s">
        <v>14</v>
      </c>
      <c r="C3504" s="30" t="s">
        <v>434</v>
      </c>
      <c r="D3504" s="4" t="s">
        <v>15</v>
      </c>
      <c r="E3504" s="4" t="s">
        <v>16</v>
      </c>
      <c r="F3504" s="4" t="s">
        <v>17</v>
      </c>
      <c r="G3504" s="4" t="s">
        <v>18</v>
      </c>
      <c r="H3504" s="4" t="s">
        <v>320</v>
      </c>
      <c r="I3504" s="5" t="str">
        <f t="shared" si="54"/>
        <v>2026-01</v>
      </c>
      <c r="J3504" s="4" t="s">
        <v>59</v>
      </c>
      <c r="K3504" s="5" t="s">
        <v>343</v>
      </c>
      <c r="L3504" s="2">
        <v>42000</v>
      </c>
      <c r="M3504" s="3">
        <v>2</v>
      </c>
      <c r="N3504" s="2">
        <v>84000</v>
      </c>
      <c r="O3504" s="2">
        <v>8400</v>
      </c>
      <c r="P3504" s="2">
        <v>92400</v>
      </c>
      <c r="Q3504" s="2">
        <f>P3504*12%</f>
        <v>11088</v>
      </c>
    </row>
    <row r="3505" spans="1:17" hidden="1" x14ac:dyDescent="0.4">
      <c r="A3505" s="4" t="s">
        <v>23</v>
      </c>
      <c r="B3505" s="4" t="s">
        <v>14</v>
      </c>
      <c r="C3505" s="31" t="s">
        <v>435</v>
      </c>
      <c r="D3505" s="4" t="s">
        <v>24</v>
      </c>
      <c r="E3505" s="4" t="s">
        <v>16</v>
      </c>
      <c r="F3505" s="4" t="s">
        <v>17</v>
      </c>
      <c r="G3505" s="4" t="s">
        <v>18</v>
      </c>
      <c r="H3505" s="4" t="s">
        <v>320</v>
      </c>
      <c r="I3505" s="5" t="str">
        <f t="shared" si="54"/>
        <v>2026-01</v>
      </c>
      <c r="J3505" s="4" t="s">
        <v>59</v>
      </c>
      <c r="K3505" s="5" t="s">
        <v>343</v>
      </c>
      <c r="L3505" s="2">
        <v>55500</v>
      </c>
      <c r="M3505" s="3">
        <v>1</v>
      </c>
      <c r="N3505" s="2">
        <v>55500</v>
      </c>
      <c r="O3505" s="2">
        <v>5550</v>
      </c>
      <c r="P3505" s="2">
        <v>61050</v>
      </c>
      <c r="Q3505" s="2">
        <f>P3505*12%</f>
        <v>7326</v>
      </c>
    </row>
    <row r="3506" spans="1:17" x14ac:dyDescent="0.4">
      <c r="A3506" s="4" t="s">
        <v>23</v>
      </c>
      <c r="B3506" s="4" t="s">
        <v>14</v>
      </c>
      <c r="C3506" s="31" t="s">
        <v>435</v>
      </c>
      <c r="D3506" s="4" t="s">
        <v>24</v>
      </c>
      <c r="E3506" s="4" t="s">
        <v>16</v>
      </c>
      <c r="F3506" s="4" t="s">
        <v>17</v>
      </c>
      <c r="G3506" s="4" t="s">
        <v>18</v>
      </c>
      <c r="H3506" s="4" t="s">
        <v>323</v>
      </c>
      <c r="I3506" s="5" t="str">
        <f t="shared" si="54"/>
        <v>2026-02</v>
      </c>
      <c r="J3506" s="4" t="s">
        <v>20</v>
      </c>
      <c r="K3506" s="5" t="s">
        <v>342</v>
      </c>
      <c r="L3506" s="2">
        <v>55500</v>
      </c>
      <c r="M3506" s="3">
        <v>2</v>
      </c>
      <c r="N3506" s="2">
        <v>111000</v>
      </c>
      <c r="O3506" s="2">
        <v>11100</v>
      </c>
      <c r="P3506" s="2">
        <v>122100</v>
      </c>
      <c r="Q3506" s="2">
        <f>P3506*8.5%</f>
        <v>10378.5</v>
      </c>
    </row>
    <row r="3507" spans="1:17" x14ac:dyDescent="0.4">
      <c r="A3507" s="4" t="s">
        <v>51</v>
      </c>
      <c r="B3507" s="4" t="s">
        <v>14</v>
      </c>
      <c r="C3507" s="30" t="s">
        <v>434</v>
      </c>
      <c r="D3507" s="4" t="s">
        <v>52</v>
      </c>
      <c r="E3507" s="4" t="s">
        <v>16</v>
      </c>
      <c r="F3507" s="4" t="s">
        <v>17</v>
      </c>
      <c r="G3507" s="4" t="s">
        <v>18</v>
      </c>
      <c r="H3507" s="4" t="s">
        <v>323</v>
      </c>
      <c r="I3507" s="5" t="str">
        <f t="shared" si="54"/>
        <v>2026-02</v>
      </c>
      <c r="J3507" s="4" t="s">
        <v>20</v>
      </c>
      <c r="K3507" s="5" t="s">
        <v>342</v>
      </c>
      <c r="L3507" s="2">
        <v>73000</v>
      </c>
      <c r="M3507" s="3">
        <v>1</v>
      </c>
      <c r="N3507" s="2">
        <v>73000</v>
      </c>
      <c r="O3507" s="2">
        <v>7300</v>
      </c>
      <c r="P3507" s="2">
        <v>80300</v>
      </c>
      <c r="Q3507" s="2">
        <f>P3507*8.5%</f>
        <v>6825.5000000000009</v>
      </c>
    </row>
    <row r="3508" spans="1:17" x14ac:dyDescent="0.4">
      <c r="A3508" s="4" t="s">
        <v>100</v>
      </c>
      <c r="B3508" s="4" t="s">
        <v>26</v>
      </c>
      <c r="C3508" s="32" t="s">
        <v>436</v>
      </c>
      <c r="D3508" s="4" t="s">
        <v>101</v>
      </c>
      <c r="E3508" s="4" t="s">
        <v>28</v>
      </c>
      <c r="F3508" s="4" t="s">
        <v>17</v>
      </c>
      <c r="G3508" s="4" t="s">
        <v>18</v>
      </c>
      <c r="H3508" s="4" t="s">
        <v>323</v>
      </c>
      <c r="I3508" s="5" t="str">
        <f t="shared" si="54"/>
        <v>2026-02</v>
      </c>
      <c r="J3508" s="4" t="s">
        <v>20</v>
      </c>
      <c r="K3508" s="5" t="s">
        <v>342</v>
      </c>
      <c r="L3508" s="2">
        <v>5620</v>
      </c>
      <c r="M3508" s="3">
        <v>3</v>
      </c>
      <c r="N3508" s="2">
        <v>16860</v>
      </c>
      <c r="O3508" s="2">
        <v>1686</v>
      </c>
      <c r="P3508" s="2">
        <v>18546</v>
      </c>
      <c r="Q3508" s="2">
        <f>P3508*8.5%</f>
        <v>1576.41</v>
      </c>
    </row>
    <row r="3509" spans="1:17" x14ac:dyDescent="0.4">
      <c r="A3509" s="4" t="s">
        <v>56</v>
      </c>
      <c r="B3509" s="4" t="s">
        <v>26</v>
      </c>
      <c r="C3509" s="32" t="s">
        <v>436</v>
      </c>
      <c r="D3509" s="4" t="s">
        <v>57</v>
      </c>
      <c r="E3509" s="4" t="s">
        <v>44</v>
      </c>
      <c r="F3509" s="4" t="s">
        <v>31</v>
      </c>
      <c r="G3509" s="4" t="s">
        <v>18</v>
      </c>
      <c r="H3509" s="4" t="s">
        <v>323</v>
      </c>
      <c r="I3509" s="5" t="str">
        <f t="shared" si="54"/>
        <v>2026-02</v>
      </c>
      <c r="J3509" s="4" t="s">
        <v>20</v>
      </c>
      <c r="K3509" s="5" t="s">
        <v>342</v>
      </c>
      <c r="L3509" s="2">
        <v>2368</v>
      </c>
      <c r="M3509" s="3">
        <v>15</v>
      </c>
      <c r="N3509" s="2">
        <v>35520</v>
      </c>
      <c r="O3509" s="2">
        <v>0</v>
      </c>
      <c r="P3509" s="2">
        <v>35520</v>
      </c>
      <c r="Q3509" s="2">
        <f>P3509*8.5%</f>
        <v>3019.2000000000003</v>
      </c>
    </row>
    <row r="3510" spans="1:17" hidden="1" x14ac:dyDescent="0.4">
      <c r="A3510" s="4" t="s">
        <v>13</v>
      </c>
      <c r="B3510" s="4" t="s">
        <v>14</v>
      </c>
      <c r="C3510" s="30" t="s">
        <v>434</v>
      </c>
      <c r="D3510" s="4" t="s">
        <v>15</v>
      </c>
      <c r="E3510" s="4" t="s">
        <v>16</v>
      </c>
      <c r="F3510" s="4" t="s">
        <v>17</v>
      </c>
      <c r="G3510" s="4" t="s">
        <v>18</v>
      </c>
      <c r="H3510" s="4" t="s">
        <v>323</v>
      </c>
      <c r="I3510" s="5" t="str">
        <f t="shared" si="54"/>
        <v>2026-02</v>
      </c>
      <c r="J3510" s="4" t="s">
        <v>34</v>
      </c>
      <c r="K3510" s="5" t="s">
        <v>342</v>
      </c>
      <c r="L3510" s="2">
        <v>42000</v>
      </c>
      <c r="M3510" s="3">
        <v>5</v>
      </c>
      <c r="N3510" s="2">
        <v>210000</v>
      </c>
      <c r="O3510" s="2">
        <v>21000</v>
      </c>
      <c r="P3510" s="2">
        <v>231000</v>
      </c>
      <c r="Q3510" s="2">
        <f>P3510*8.5%</f>
        <v>19635</v>
      </c>
    </row>
    <row r="3511" spans="1:17" hidden="1" x14ac:dyDescent="0.4">
      <c r="A3511" s="4" t="s">
        <v>23</v>
      </c>
      <c r="B3511" s="4" t="s">
        <v>14</v>
      </c>
      <c r="C3511" s="31" t="s">
        <v>435</v>
      </c>
      <c r="D3511" s="4" t="s">
        <v>24</v>
      </c>
      <c r="E3511" s="4" t="s">
        <v>16</v>
      </c>
      <c r="F3511" s="4" t="s">
        <v>17</v>
      </c>
      <c r="G3511" s="4" t="s">
        <v>18</v>
      </c>
      <c r="H3511" s="4" t="s">
        <v>323</v>
      </c>
      <c r="I3511" s="5" t="str">
        <f t="shared" si="54"/>
        <v>2026-02</v>
      </c>
      <c r="J3511" s="4" t="s">
        <v>34</v>
      </c>
      <c r="K3511" s="5" t="s">
        <v>342</v>
      </c>
      <c r="L3511" s="2">
        <v>55500</v>
      </c>
      <c r="M3511" s="3">
        <v>2</v>
      </c>
      <c r="N3511" s="2">
        <v>111000</v>
      </c>
      <c r="O3511" s="2">
        <v>11100</v>
      </c>
      <c r="P3511" s="2">
        <v>122100</v>
      </c>
      <c r="Q3511" s="2">
        <f>P3511*8.5%</f>
        <v>10378.5</v>
      </c>
    </row>
    <row r="3512" spans="1:17" hidden="1" x14ac:dyDescent="0.4">
      <c r="A3512" s="4" t="s">
        <v>73</v>
      </c>
      <c r="B3512" s="4" t="s">
        <v>26</v>
      </c>
      <c r="C3512" s="32" t="s">
        <v>436</v>
      </c>
      <c r="D3512" s="4" t="s">
        <v>57</v>
      </c>
      <c r="E3512" s="4" t="s">
        <v>28</v>
      </c>
      <c r="F3512" s="4" t="s">
        <v>17</v>
      </c>
      <c r="G3512" s="4" t="s">
        <v>18</v>
      </c>
      <c r="H3512" s="4" t="s">
        <v>323</v>
      </c>
      <c r="I3512" s="5" t="str">
        <f t="shared" si="54"/>
        <v>2026-02</v>
      </c>
      <c r="J3512" s="4" t="s">
        <v>34</v>
      </c>
      <c r="K3512" s="5" t="s">
        <v>342</v>
      </c>
      <c r="L3512" s="2">
        <v>7055</v>
      </c>
      <c r="M3512" s="3">
        <v>3</v>
      </c>
      <c r="N3512" s="2">
        <v>21165</v>
      </c>
      <c r="O3512" s="2">
        <v>2117</v>
      </c>
      <c r="P3512" s="2">
        <v>23282</v>
      </c>
      <c r="Q3512" s="2">
        <f>P3512*8.5%</f>
        <v>1978.9700000000003</v>
      </c>
    </row>
    <row r="3513" spans="1:17" hidden="1" x14ac:dyDescent="0.4">
      <c r="A3513" s="4" t="s">
        <v>324</v>
      </c>
      <c r="B3513" s="4" t="s">
        <v>26</v>
      </c>
      <c r="C3513" s="32" t="s">
        <v>436</v>
      </c>
      <c r="D3513" s="4" t="s">
        <v>71</v>
      </c>
      <c r="E3513" s="4" t="s">
        <v>28</v>
      </c>
      <c r="F3513" s="4" t="s">
        <v>31</v>
      </c>
      <c r="G3513" s="4" t="s">
        <v>18</v>
      </c>
      <c r="H3513" s="4" t="s">
        <v>323</v>
      </c>
      <c r="I3513" s="5" t="str">
        <f t="shared" si="54"/>
        <v>2026-02</v>
      </c>
      <c r="J3513" s="4" t="s">
        <v>34</v>
      </c>
      <c r="K3513" s="5" t="s">
        <v>342</v>
      </c>
      <c r="L3513" s="2">
        <v>6397</v>
      </c>
      <c r="M3513" s="3">
        <v>2</v>
      </c>
      <c r="N3513" s="2">
        <v>12794</v>
      </c>
      <c r="O3513" s="2">
        <v>0</v>
      </c>
      <c r="P3513" s="2">
        <v>12794</v>
      </c>
      <c r="Q3513" s="2">
        <f>P3513*8.5%</f>
        <v>1087.49</v>
      </c>
    </row>
    <row r="3514" spans="1:17" hidden="1" x14ac:dyDescent="0.4">
      <c r="A3514" s="4" t="s">
        <v>42</v>
      </c>
      <c r="B3514" s="4" t="s">
        <v>14</v>
      </c>
      <c r="C3514" s="30" t="s">
        <v>434</v>
      </c>
      <c r="D3514" s="4" t="s">
        <v>43</v>
      </c>
      <c r="E3514" s="4" t="s">
        <v>44</v>
      </c>
      <c r="F3514" s="4" t="s">
        <v>31</v>
      </c>
      <c r="G3514" s="4" t="s">
        <v>18</v>
      </c>
      <c r="H3514" s="4" t="s">
        <v>323</v>
      </c>
      <c r="I3514" s="5" t="str">
        <f t="shared" si="54"/>
        <v>2026-02</v>
      </c>
      <c r="J3514" s="4" t="s">
        <v>34</v>
      </c>
      <c r="K3514" s="5" t="s">
        <v>342</v>
      </c>
      <c r="L3514" s="2">
        <v>7300</v>
      </c>
      <c r="M3514" s="3">
        <v>63.4</v>
      </c>
      <c r="N3514" s="2">
        <v>462820</v>
      </c>
      <c r="O3514" s="2">
        <v>0</v>
      </c>
      <c r="P3514" s="2">
        <v>462820</v>
      </c>
      <c r="Q3514" s="2">
        <f>P3514*8.5%</f>
        <v>39339.700000000004</v>
      </c>
    </row>
    <row r="3515" spans="1:17" hidden="1" x14ac:dyDescent="0.4">
      <c r="A3515" s="4" t="s">
        <v>32</v>
      </c>
      <c r="B3515" s="4" t="s">
        <v>14</v>
      </c>
      <c r="C3515" s="31" t="s">
        <v>435</v>
      </c>
      <c r="D3515" s="4" t="s">
        <v>33</v>
      </c>
      <c r="E3515" s="4" t="s">
        <v>16</v>
      </c>
      <c r="F3515" s="4" t="s">
        <v>17</v>
      </c>
      <c r="G3515" s="4" t="s">
        <v>18</v>
      </c>
      <c r="H3515" s="4" t="s">
        <v>323</v>
      </c>
      <c r="I3515" s="5" t="str">
        <f t="shared" si="54"/>
        <v>2026-02</v>
      </c>
      <c r="J3515" s="4" t="s">
        <v>49</v>
      </c>
      <c r="K3515" s="5" t="s">
        <v>343</v>
      </c>
      <c r="L3515" s="2">
        <v>44000</v>
      </c>
      <c r="M3515" s="3">
        <v>4</v>
      </c>
      <c r="N3515" s="2">
        <v>176000</v>
      </c>
      <c r="O3515" s="2">
        <v>17600</v>
      </c>
      <c r="P3515" s="2">
        <v>193600</v>
      </c>
      <c r="Q3515" s="2">
        <f>P3515*12%</f>
        <v>23232</v>
      </c>
    </row>
    <row r="3516" spans="1:17" hidden="1" x14ac:dyDescent="0.4">
      <c r="A3516" s="4" t="s">
        <v>13</v>
      </c>
      <c r="B3516" s="4" t="s">
        <v>14</v>
      </c>
      <c r="C3516" s="30" t="s">
        <v>434</v>
      </c>
      <c r="D3516" s="4" t="s">
        <v>15</v>
      </c>
      <c r="E3516" s="4" t="s">
        <v>16</v>
      </c>
      <c r="F3516" s="4" t="s">
        <v>17</v>
      </c>
      <c r="G3516" s="4" t="s">
        <v>18</v>
      </c>
      <c r="H3516" s="4" t="s">
        <v>323</v>
      </c>
      <c r="I3516" s="5" t="str">
        <f t="shared" si="54"/>
        <v>2026-02</v>
      </c>
      <c r="J3516" s="4" t="s">
        <v>49</v>
      </c>
      <c r="K3516" s="5" t="s">
        <v>343</v>
      </c>
      <c r="L3516" s="2">
        <v>42000</v>
      </c>
      <c r="M3516" s="3">
        <v>5</v>
      </c>
      <c r="N3516" s="2">
        <v>210000</v>
      </c>
      <c r="O3516" s="2">
        <v>21000</v>
      </c>
      <c r="P3516" s="2">
        <v>231000</v>
      </c>
      <c r="Q3516" s="2">
        <f>P3516*12%</f>
        <v>27720</v>
      </c>
    </row>
    <row r="3517" spans="1:17" hidden="1" x14ac:dyDescent="0.4">
      <c r="A3517" s="4" t="s">
        <v>51</v>
      </c>
      <c r="B3517" s="4" t="s">
        <v>14</v>
      </c>
      <c r="C3517" s="30" t="s">
        <v>434</v>
      </c>
      <c r="D3517" s="4" t="s">
        <v>52</v>
      </c>
      <c r="E3517" s="4" t="s">
        <v>16</v>
      </c>
      <c r="F3517" s="4" t="s">
        <v>17</v>
      </c>
      <c r="G3517" s="4" t="s">
        <v>18</v>
      </c>
      <c r="H3517" s="4" t="s">
        <v>323</v>
      </c>
      <c r="I3517" s="5" t="str">
        <f t="shared" si="54"/>
        <v>2026-02</v>
      </c>
      <c r="J3517" s="4" t="s">
        <v>49</v>
      </c>
      <c r="K3517" s="5" t="s">
        <v>343</v>
      </c>
      <c r="L3517" s="2">
        <v>73000</v>
      </c>
      <c r="M3517" s="3">
        <v>1</v>
      </c>
      <c r="N3517" s="2">
        <v>73000</v>
      </c>
      <c r="O3517" s="2">
        <v>7300</v>
      </c>
      <c r="P3517" s="2">
        <v>80300</v>
      </c>
      <c r="Q3517" s="2">
        <f>P3517*12%</f>
        <v>9636</v>
      </c>
    </row>
    <row r="3518" spans="1:17" x14ac:dyDescent="0.4">
      <c r="A3518" s="4" t="s">
        <v>13</v>
      </c>
      <c r="B3518" s="4" t="s">
        <v>14</v>
      </c>
      <c r="C3518" s="30" t="s">
        <v>434</v>
      </c>
      <c r="D3518" s="4" t="s">
        <v>15</v>
      </c>
      <c r="E3518" s="4" t="s">
        <v>16</v>
      </c>
      <c r="F3518" s="4" t="s">
        <v>17</v>
      </c>
      <c r="G3518" s="4" t="s">
        <v>18</v>
      </c>
      <c r="H3518" s="4" t="s">
        <v>325</v>
      </c>
      <c r="I3518" s="5" t="str">
        <f t="shared" si="54"/>
        <v>2026-02</v>
      </c>
      <c r="J3518" s="4" t="s">
        <v>20</v>
      </c>
      <c r="K3518" s="5" t="s">
        <v>342</v>
      </c>
      <c r="L3518" s="2">
        <v>42000</v>
      </c>
      <c r="M3518" s="3">
        <v>1</v>
      </c>
      <c r="N3518" s="2">
        <v>42000</v>
      </c>
      <c r="O3518" s="2">
        <v>4200</v>
      </c>
      <c r="P3518" s="2">
        <v>46200</v>
      </c>
      <c r="Q3518" s="2">
        <f>P3518*8.5%</f>
        <v>3927.0000000000005</v>
      </c>
    </row>
    <row r="3519" spans="1:17" x14ac:dyDescent="0.4">
      <c r="A3519" s="4" t="s">
        <v>21</v>
      </c>
      <c r="B3519" s="4" t="s">
        <v>14</v>
      </c>
      <c r="C3519" s="31" t="s">
        <v>435</v>
      </c>
      <c r="D3519" s="4" t="s">
        <v>22</v>
      </c>
      <c r="E3519" s="4" t="s">
        <v>16</v>
      </c>
      <c r="F3519" s="4" t="s">
        <v>17</v>
      </c>
      <c r="G3519" s="4" t="s">
        <v>18</v>
      </c>
      <c r="H3519" s="4" t="s">
        <v>325</v>
      </c>
      <c r="I3519" s="5" t="str">
        <f t="shared" si="54"/>
        <v>2026-02</v>
      </c>
      <c r="J3519" s="4" t="s">
        <v>20</v>
      </c>
      <c r="K3519" s="5" t="s">
        <v>342</v>
      </c>
      <c r="L3519" s="2">
        <v>55500</v>
      </c>
      <c r="M3519" s="3">
        <v>1</v>
      </c>
      <c r="N3519" s="2">
        <v>55500</v>
      </c>
      <c r="O3519" s="2">
        <v>5550</v>
      </c>
      <c r="P3519" s="2">
        <v>61050</v>
      </c>
      <c r="Q3519" s="2">
        <f>P3519*8.5%</f>
        <v>5189.25</v>
      </c>
    </row>
    <row r="3520" spans="1:17" x14ac:dyDescent="0.4">
      <c r="A3520" s="4" t="s">
        <v>23</v>
      </c>
      <c r="B3520" s="4" t="s">
        <v>14</v>
      </c>
      <c r="C3520" s="31" t="s">
        <v>435</v>
      </c>
      <c r="D3520" s="4" t="s">
        <v>24</v>
      </c>
      <c r="E3520" s="4" t="s">
        <v>16</v>
      </c>
      <c r="F3520" s="4" t="s">
        <v>17</v>
      </c>
      <c r="G3520" s="4" t="s">
        <v>18</v>
      </c>
      <c r="H3520" s="4" t="s">
        <v>325</v>
      </c>
      <c r="I3520" s="5" t="str">
        <f t="shared" si="54"/>
        <v>2026-02</v>
      </c>
      <c r="J3520" s="4" t="s">
        <v>20</v>
      </c>
      <c r="K3520" s="5" t="s">
        <v>342</v>
      </c>
      <c r="L3520" s="2">
        <v>55500</v>
      </c>
      <c r="M3520" s="3">
        <v>2</v>
      </c>
      <c r="N3520" s="2">
        <v>111000</v>
      </c>
      <c r="O3520" s="2">
        <v>11100</v>
      </c>
      <c r="P3520" s="2">
        <v>122100</v>
      </c>
      <c r="Q3520" s="2">
        <f>P3520*8.5%</f>
        <v>10378.5</v>
      </c>
    </row>
    <row r="3521" spans="1:17" x14ac:dyDescent="0.4">
      <c r="A3521" s="4" t="s">
        <v>56</v>
      </c>
      <c r="B3521" s="4" t="s">
        <v>26</v>
      </c>
      <c r="C3521" s="32" t="s">
        <v>436</v>
      </c>
      <c r="D3521" s="4" t="s">
        <v>57</v>
      </c>
      <c r="E3521" s="4" t="s">
        <v>44</v>
      </c>
      <c r="F3521" s="4" t="s">
        <v>31</v>
      </c>
      <c r="G3521" s="4" t="s">
        <v>18</v>
      </c>
      <c r="H3521" s="4" t="s">
        <v>325</v>
      </c>
      <c r="I3521" s="5" t="str">
        <f t="shared" si="54"/>
        <v>2026-02</v>
      </c>
      <c r="J3521" s="4" t="s">
        <v>20</v>
      </c>
      <c r="K3521" s="5" t="s">
        <v>342</v>
      </c>
      <c r="L3521" s="2">
        <v>2368</v>
      </c>
      <c r="M3521" s="3">
        <v>25</v>
      </c>
      <c r="N3521" s="2">
        <v>59200</v>
      </c>
      <c r="O3521" s="2">
        <v>0</v>
      </c>
      <c r="P3521" s="2">
        <v>59200</v>
      </c>
      <c r="Q3521" s="2">
        <f>P3521*8.5%</f>
        <v>5032</v>
      </c>
    </row>
    <row r="3522" spans="1:17" hidden="1" x14ac:dyDescent="0.4">
      <c r="A3522" s="4" t="s">
        <v>32</v>
      </c>
      <c r="B3522" s="4" t="s">
        <v>14</v>
      </c>
      <c r="C3522" s="31" t="s">
        <v>435</v>
      </c>
      <c r="D3522" s="4" t="s">
        <v>33</v>
      </c>
      <c r="E3522" s="4" t="s">
        <v>16</v>
      </c>
      <c r="F3522" s="4" t="s">
        <v>17</v>
      </c>
      <c r="G3522" s="4" t="s">
        <v>18</v>
      </c>
      <c r="H3522" s="4" t="s">
        <v>325</v>
      </c>
      <c r="I3522" s="5" t="str">
        <f t="shared" ref="I3522:I3585" si="55">TEXT(H3522,"yyyy-mm")</f>
        <v>2026-02</v>
      </c>
      <c r="J3522" s="4" t="s">
        <v>34</v>
      </c>
      <c r="K3522" s="5" t="s">
        <v>342</v>
      </c>
      <c r="L3522" s="2">
        <v>44000</v>
      </c>
      <c r="M3522" s="3">
        <v>3</v>
      </c>
      <c r="N3522" s="2">
        <v>132000</v>
      </c>
      <c r="O3522" s="2">
        <v>13200</v>
      </c>
      <c r="P3522" s="2">
        <v>145200</v>
      </c>
      <c r="Q3522" s="2">
        <f>P3522*8.5%</f>
        <v>12342</v>
      </c>
    </row>
    <row r="3523" spans="1:17" hidden="1" x14ac:dyDescent="0.4">
      <c r="A3523" s="4" t="s">
        <v>13</v>
      </c>
      <c r="B3523" s="4" t="s">
        <v>14</v>
      </c>
      <c r="C3523" s="30" t="s">
        <v>434</v>
      </c>
      <c r="D3523" s="4" t="s">
        <v>15</v>
      </c>
      <c r="E3523" s="4" t="s">
        <v>16</v>
      </c>
      <c r="F3523" s="4" t="s">
        <v>17</v>
      </c>
      <c r="G3523" s="4" t="s">
        <v>18</v>
      </c>
      <c r="H3523" s="4" t="s">
        <v>325</v>
      </c>
      <c r="I3523" s="5" t="str">
        <f t="shared" si="55"/>
        <v>2026-02</v>
      </c>
      <c r="J3523" s="4" t="s">
        <v>34</v>
      </c>
      <c r="K3523" s="5" t="s">
        <v>342</v>
      </c>
      <c r="L3523" s="2">
        <v>42000</v>
      </c>
      <c r="M3523" s="3">
        <v>3</v>
      </c>
      <c r="N3523" s="2">
        <v>126000</v>
      </c>
      <c r="O3523" s="2">
        <v>12600</v>
      </c>
      <c r="P3523" s="2">
        <v>138600</v>
      </c>
      <c r="Q3523" s="2">
        <f>P3523*8.5%</f>
        <v>11781</v>
      </c>
    </row>
    <row r="3524" spans="1:17" hidden="1" x14ac:dyDescent="0.4">
      <c r="A3524" s="4" t="s">
        <v>21</v>
      </c>
      <c r="B3524" s="4" t="s">
        <v>14</v>
      </c>
      <c r="C3524" s="31" t="s">
        <v>435</v>
      </c>
      <c r="D3524" s="4" t="s">
        <v>22</v>
      </c>
      <c r="E3524" s="4" t="s">
        <v>16</v>
      </c>
      <c r="F3524" s="4" t="s">
        <v>17</v>
      </c>
      <c r="G3524" s="4" t="s">
        <v>18</v>
      </c>
      <c r="H3524" s="4" t="s">
        <v>325</v>
      </c>
      <c r="I3524" s="5" t="str">
        <f t="shared" si="55"/>
        <v>2026-02</v>
      </c>
      <c r="J3524" s="4" t="s">
        <v>34</v>
      </c>
      <c r="K3524" s="5" t="s">
        <v>342</v>
      </c>
      <c r="L3524" s="2">
        <v>55500</v>
      </c>
      <c r="M3524" s="3">
        <v>2</v>
      </c>
      <c r="N3524" s="2">
        <v>111000</v>
      </c>
      <c r="O3524" s="2">
        <v>11100</v>
      </c>
      <c r="P3524" s="2">
        <v>122100</v>
      </c>
      <c r="Q3524" s="2">
        <f>P3524*8.5%</f>
        <v>10378.5</v>
      </c>
    </row>
    <row r="3525" spans="1:17" hidden="1" x14ac:dyDescent="0.4">
      <c r="A3525" s="4" t="s">
        <v>51</v>
      </c>
      <c r="B3525" s="4" t="s">
        <v>14</v>
      </c>
      <c r="C3525" s="30" t="s">
        <v>434</v>
      </c>
      <c r="D3525" s="4" t="s">
        <v>52</v>
      </c>
      <c r="E3525" s="4" t="s">
        <v>16</v>
      </c>
      <c r="F3525" s="4" t="s">
        <v>17</v>
      </c>
      <c r="G3525" s="4" t="s">
        <v>18</v>
      </c>
      <c r="H3525" s="4" t="s">
        <v>325</v>
      </c>
      <c r="I3525" s="5" t="str">
        <f t="shared" si="55"/>
        <v>2026-02</v>
      </c>
      <c r="J3525" s="4" t="s">
        <v>34</v>
      </c>
      <c r="K3525" s="5" t="s">
        <v>342</v>
      </c>
      <c r="L3525" s="2">
        <v>73000</v>
      </c>
      <c r="M3525" s="3">
        <v>1</v>
      </c>
      <c r="N3525" s="2">
        <v>73000</v>
      </c>
      <c r="O3525" s="2">
        <v>7300</v>
      </c>
      <c r="P3525" s="2">
        <v>80300</v>
      </c>
      <c r="Q3525" s="2">
        <f>P3525*8.5%</f>
        <v>6825.5000000000009</v>
      </c>
    </row>
    <row r="3526" spans="1:17" hidden="1" x14ac:dyDescent="0.4">
      <c r="A3526" s="4" t="s">
        <v>86</v>
      </c>
      <c r="B3526" s="4" t="s">
        <v>26</v>
      </c>
      <c r="C3526" s="32" t="s">
        <v>436</v>
      </c>
      <c r="D3526" s="4" t="s">
        <v>78</v>
      </c>
      <c r="E3526" s="4" t="s">
        <v>28</v>
      </c>
      <c r="F3526" s="4" t="s">
        <v>17</v>
      </c>
      <c r="G3526" s="4" t="s">
        <v>18</v>
      </c>
      <c r="H3526" s="4" t="s">
        <v>325</v>
      </c>
      <c r="I3526" s="5" t="str">
        <f t="shared" si="55"/>
        <v>2026-02</v>
      </c>
      <c r="J3526" s="4" t="s">
        <v>34</v>
      </c>
      <c r="K3526" s="5" t="s">
        <v>342</v>
      </c>
      <c r="L3526" s="2">
        <v>14348</v>
      </c>
      <c r="M3526" s="3">
        <v>1</v>
      </c>
      <c r="N3526" s="2">
        <v>14348</v>
      </c>
      <c r="O3526" s="2">
        <v>1435</v>
      </c>
      <c r="P3526" s="2">
        <v>15783</v>
      </c>
      <c r="Q3526" s="2">
        <f>P3526*8.5%</f>
        <v>1341.5550000000001</v>
      </c>
    </row>
    <row r="3527" spans="1:17" hidden="1" x14ac:dyDescent="0.4">
      <c r="A3527" s="4" t="s">
        <v>248</v>
      </c>
      <c r="B3527" s="4" t="s">
        <v>26</v>
      </c>
      <c r="C3527" s="32" t="s">
        <v>436</v>
      </c>
      <c r="D3527" s="4" t="s">
        <v>249</v>
      </c>
      <c r="E3527" s="4" t="s">
        <v>28</v>
      </c>
      <c r="F3527" s="4" t="s">
        <v>17</v>
      </c>
      <c r="G3527" s="4" t="s">
        <v>18</v>
      </c>
      <c r="H3527" s="4" t="s">
        <v>325</v>
      </c>
      <c r="I3527" s="5" t="str">
        <f t="shared" si="55"/>
        <v>2026-02</v>
      </c>
      <c r="J3527" s="4" t="s">
        <v>34</v>
      </c>
      <c r="K3527" s="5" t="s">
        <v>342</v>
      </c>
      <c r="L3527" s="2">
        <v>10164</v>
      </c>
      <c r="M3527" s="3">
        <v>1</v>
      </c>
      <c r="N3527" s="2">
        <v>10164</v>
      </c>
      <c r="O3527" s="2">
        <v>1016</v>
      </c>
      <c r="P3527" s="2">
        <v>11180</v>
      </c>
      <c r="Q3527" s="2">
        <f>P3527*8.5%</f>
        <v>950.30000000000007</v>
      </c>
    </row>
    <row r="3528" spans="1:17" hidden="1" x14ac:dyDescent="0.4">
      <c r="A3528" s="4" t="s">
        <v>40</v>
      </c>
      <c r="B3528" s="4" t="s">
        <v>26</v>
      </c>
      <c r="C3528" s="32" t="s">
        <v>436</v>
      </c>
      <c r="D3528" s="4" t="s">
        <v>41</v>
      </c>
      <c r="E3528" s="4" t="s">
        <v>28</v>
      </c>
      <c r="F3528" s="4" t="s">
        <v>17</v>
      </c>
      <c r="G3528" s="4" t="s">
        <v>18</v>
      </c>
      <c r="H3528" s="4" t="s">
        <v>325</v>
      </c>
      <c r="I3528" s="5" t="str">
        <f t="shared" si="55"/>
        <v>2026-02</v>
      </c>
      <c r="J3528" s="4" t="s">
        <v>34</v>
      </c>
      <c r="K3528" s="5" t="s">
        <v>342</v>
      </c>
      <c r="L3528" s="2">
        <v>17936</v>
      </c>
      <c r="M3528" s="3">
        <v>2</v>
      </c>
      <c r="N3528" s="2">
        <v>35872</v>
      </c>
      <c r="O3528" s="2">
        <v>3587</v>
      </c>
      <c r="P3528" s="2">
        <v>39459</v>
      </c>
      <c r="Q3528" s="2">
        <f>P3528*8.5%</f>
        <v>3354.0150000000003</v>
      </c>
    </row>
    <row r="3529" spans="1:17" hidden="1" x14ac:dyDescent="0.4">
      <c r="A3529" s="4" t="s">
        <v>42</v>
      </c>
      <c r="B3529" s="4" t="s">
        <v>14</v>
      </c>
      <c r="C3529" s="30" t="s">
        <v>434</v>
      </c>
      <c r="D3529" s="4" t="s">
        <v>43</v>
      </c>
      <c r="E3529" s="4" t="s">
        <v>44</v>
      </c>
      <c r="F3529" s="4" t="s">
        <v>31</v>
      </c>
      <c r="G3529" s="4" t="s">
        <v>18</v>
      </c>
      <c r="H3529" s="4" t="s">
        <v>325</v>
      </c>
      <c r="I3529" s="5" t="str">
        <f t="shared" si="55"/>
        <v>2026-02</v>
      </c>
      <c r="J3529" s="4" t="s">
        <v>34</v>
      </c>
      <c r="K3529" s="5" t="s">
        <v>342</v>
      </c>
      <c r="L3529" s="2">
        <v>7300</v>
      </c>
      <c r="M3529" s="3">
        <v>65.599999999999994</v>
      </c>
      <c r="N3529" s="2">
        <v>478880</v>
      </c>
      <c r="O3529" s="2">
        <v>0</v>
      </c>
      <c r="P3529" s="2">
        <v>478880</v>
      </c>
      <c r="Q3529" s="2">
        <f>P3529*8.5%</f>
        <v>40704.800000000003</v>
      </c>
    </row>
    <row r="3530" spans="1:17" x14ac:dyDescent="0.4">
      <c r="A3530" s="4" t="s">
        <v>21</v>
      </c>
      <c r="B3530" s="4" t="s">
        <v>14</v>
      </c>
      <c r="C3530" s="31" t="s">
        <v>435</v>
      </c>
      <c r="D3530" s="4" t="s">
        <v>22</v>
      </c>
      <c r="E3530" s="4" t="s">
        <v>16</v>
      </c>
      <c r="F3530" s="4" t="s">
        <v>17</v>
      </c>
      <c r="G3530" s="4" t="s">
        <v>18</v>
      </c>
      <c r="H3530" s="4" t="s">
        <v>326</v>
      </c>
      <c r="I3530" s="5" t="str">
        <f t="shared" si="55"/>
        <v>2026-02</v>
      </c>
      <c r="J3530" s="4" t="s">
        <v>20</v>
      </c>
      <c r="K3530" s="5" t="s">
        <v>342</v>
      </c>
      <c r="L3530" s="2">
        <v>55500</v>
      </c>
      <c r="M3530" s="3">
        <v>2</v>
      </c>
      <c r="N3530" s="2">
        <v>111000</v>
      </c>
      <c r="O3530" s="2">
        <v>11100</v>
      </c>
      <c r="P3530" s="2">
        <v>122100</v>
      </c>
      <c r="Q3530" s="2">
        <f>P3530*8.5%</f>
        <v>10378.5</v>
      </c>
    </row>
    <row r="3531" spans="1:17" x14ac:dyDescent="0.4">
      <c r="A3531" s="4" t="s">
        <v>23</v>
      </c>
      <c r="B3531" s="4" t="s">
        <v>14</v>
      </c>
      <c r="C3531" s="31" t="s">
        <v>435</v>
      </c>
      <c r="D3531" s="4" t="s">
        <v>24</v>
      </c>
      <c r="E3531" s="4" t="s">
        <v>16</v>
      </c>
      <c r="F3531" s="4" t="s">
        <v>17</v>
      </c>
      <c r="G3531" s="4" t="s">
        <v>18</v>
      </c>
      <c r="H3531" s="4" t="s">
        <v>326</v>
      </c>
      <c r="I3531" s="5" t="str">
        <f t="shared" si="55"/>
        <v>2026-02</v>
      </c>
      <c r="J3531" s="4" t="s">
        <v>20</v>
      </c>
      <c r="K3531" s="5" t="s">
        <v>342</v>
      </c>
      <c r="L3531" s="2">
        <v>55500</v>
      </c>
      <c r="M3531" s="3">
        <v>2</v>
      </c>
      <c r="N3531" s="2">
        <v>111000</v>
      </c>
      <c r="O3531" s="2">
        <v>11100</v>
      </c>
      <c r="P3531" s="2">
        <v>122100</v>
      </c>
      <c r="Q3531" s="2">
        <f>P3531*8.5%</f>
        <v>10378.5</v>
      </c>
    </row>
    <row r="3532" spans="1:17" x14ac:dyDescent="0.4">
      <c r="A3532" s="4" t="s">
        <v>76</v>
      </c>
      <c r="B3532" s="4" t="s">
        <v>65</v>
      </c>
      <c r="C3532" s="32" t="s">
        <v>436</v>
      </c>
      <c r="D3532" s="4" t="s">
        <v>27</v>
      </c>
      <c r="E3532" s="4" t="s">
        <v>28</v>
      </c>
      <c r="F3532" s="4" t="s">
        <v>17</v>
      </c>
      <c r="G3532" s="4" t="s">
        <v>18</v>
      </c>
      <c r="H3532" s="4" t="s">
        <v>326</v>
      </c>
      <c r="I3532" s="5" t="str">
        <f t="shared" si="55"/>
        <v>2026-02</v>
      </c>
      <c r="J3532" s="4" t="s">
        <v>20</v>
      </c>
      <c r="K3532" s="5" t="s">
        <v>342</v>
      </c>
      <c r="L3532" s="2">
        <v>17338</v>
      </c>
      <c r="M3532" s="3">
        <v>1</v>
      </c>
      <c r="N3532" s="2">
        <v>17338</v>
      </c>
      <c r="O3532" s="2">
        <v>1734</v>
      </c>
      <c r="P3532" s="2">
        <v>19072</v>
      </c>
      <c r="Q3532" s="2">
        <f>P3532*8.5%</f>
        <v>1621.1200000000001</v>
      </c>
    </row>
    <row r="3533" spans="1:17" x14ac:dyDescent="0.4">
      <c r="A3533" s="4" t="s">
        <v>29</v>
      </c>
      <c r="B3533" s="4" t="s">
        <v>26</v>
      </c>
      <c r="C3533" s="32" t="s">
        <v>436</v>
      </c>
      <c r="D3533" s="4" t="s">
        <v>30</v>
      </c>
      <c r="E3533" s="4" t="s">
        <v>28</v>
      </c>
      <c r="F3533" s="4" t="s">
        <v>31</v>
      </c>
      <c r="G3533" s="4" t="s">
        <v>18</v>
      </c>
      <c r="H3533" s="4" t="s">
        <v>326</v>
      </c>
      <c r="I3533" s="5" t="str">
        <f t="shared" si="55"/>
        <v>2026-02</v>
      </c>
      <c r="J3533" s="4" t="s">
        <v>20</v>
      </c>
      <c r="K3533" s="5" t="s">
        <v>342</v>
      </c>
      <c r="L3533" s="2">
        <v>3719</v>
      </c>
      <c r="M3533" s="3">
        <v>1</v>
      </c>
      <c r="N3533" s="2">
        <v>3719</v>
      </c>
      <c r="O3533" s="2">
        <v>0</v>
      </c>
      <c r="P3533" s="2">
        <v>3719</v>
      </c>
      <c r="Q3533" s="2">
        <f>P3533*8.5%</f>
        <v>316.11500000000001</v>
      </c>
    </row>
    <row r="3534" spans="1:17" hidden="1" x14ac:dyDescent="0.4">
      <c r="A3534" s="4" t="s">
        <v>32</v>
      </c>
      <c r="B3534" s="4" t="s">
        <v>14</v>
      </c>
      <c r="C3534" s="31" t="s">
        <v>435</v>
      </c>
      <c r="D3534" s="4" t="s">
        <v>33</v>
      </c>
      <c r="E3534" s="4" t="s">
        <v>16</v>
      </c>
      <c r="F3534" s="4" t="s">
        <v>17</v>
      </c>
      <c r="G3534" s="4" t="s">
        <v>18</v>
      </c>
      <c r="H3534" s="4" t="s">
        <v>326</v>
      </c>
      <c r="I3534" s="5" t="str">
        <f t="shared" si="55"/>
        <v>2026-02</v>
      </c>
      <c r="J3534" s="4" t="s">
        <v>34</v>
      </c>
      <c r="K3534" s="5" t="s">
        <v>342</v>
      </c>
      <c r="L3534" s="2">
        <v>44000</v>
      </c>
      <c r="M3534" s="3">
        <v>2</v>
      </c>
      <c r="N3534" s="2">
        <v>88000</v>
      </c>
      <c r="O3534" s="2">
        <v>8800</v>
      </c>
      <c r="P3534" s="2">
        <v>96800</v>
      </c>
      <c r="Q3534" s="2">
        <f>P3534*8.5%</f>
        <v>8228</v>
      </c>
    </row>
    <row r="3535" spans="1:17" hidden="1" x14ac:dyDescent="0.4">
      <c r="A3535" s="4" t="s">
        <v>58</v>
      </c>
      <c r="B3535" s="4" t="s">
        <v>14</v>
      </c>
      <c r="C3535" s="30" t="s">
        <v>434</v>
      </c>
      <c r="D3535" s="4" t="s">
        <v>36</v>
      </c>
      <c r="E3535" s="4" t="s">
        <v>16</v>
      </c>
      <c r="F3535" s="4" t="s">
        <v>17</v>
      </c>
      <c r="G3535" s="4" t="s">
        <v>18</v>
      </c>
      <c r="H3535" s="4" t="s">
        <v>326</v>
      </c>
      <c r="I3535" s="5" t="str">
        <f t="shared" si="55"/>
        <v>2026-02</v>
      </c>
      <c r="J3535" s="4" t="s">
        <v>34</v>
      </c>
      <c r="K3535" s="5" t="s">
        <v>342</v>
      </c>
      <c r="L3535" s="2">
        <v>120880</v>
      </c>
      <c r="M3535" s="3">
        <v>2</v>
      </c>
      <c r="N3535" s="2">
        <v>241760</v>
      </c>
      <c r="O3535" s="2">
        <v>24176</v>
      </c>
      <c r="P3535" s="2">
        <v>265936</v>
      </c>
      <c r="Q3535" s="2">
        <f>P3535*8.5%</f>
        <v>22604.560000000001</v>
      </c>
    </row>
    <row r="3536" spans="1:17" hidden="1" x14ac:dyDescent="0.4">
      <c r="A3536" s="4" t="s">
        <v>13</v>
      </c>
      <c r="B3536" s="4" t="s">
        <v>14</v>
      </c>
      <c r="C3536" s="30" t="s">
        <v>434</v>
      </c>
      <c r="D3536" s="4" t="s">
        <v>15</v>
      </c>
      <c r="E3536" s="4" t="s">
        <v>16</v>
      </c>
      <c r="F3536" s="4" t="s">
        <v>17</v>
      </c>
      <c r="G3536" s="4" t="s">
        <v>18</v>
      </c>
      <c r="H3536" s="4" t="s">
        <v>326</v>
      </c>
      <c r="I3536" s="5" t="str">
        <f t="shared" si="55"/>
        <v>2026-02</v>
      </c>
      <c r="J3536" s="4" t="s">
        <v>34</v>
      </c>
      <c r="K3536" s="5" t="s">
        <v>342</v>
      </c>
      <c r="L3536" s="2">
        <v>42000</v>
      </c>
      <c r="M3536" s="3">
        <v>3</v>
      </c>
      <c r="N3536" s="2">
        <v>126000</v>
      </c>
      <c r="O3536" s="2">
        <v>12600</v>
      </c>
      <c r="P3536" s="2">
        <v>138600</v>
      </c>
      <c r="Q3536" s="2">
        <f>P3536*8.5%</f>
        <v>11781</v>
      </c>
    </row>
    <row r="3537" spans="1:17" hidden="1" x14ac:dyDescent="0.4">
      <c r="A3537" s="4" t="s">
        <v>21</v>
      </c>
      <c r="B3537" s="4" t="s">
        <v>14</v>
      </c>
      <c r="C3537" s="31" t="s">
        <v>435</v>
      </c>
      <c r="D3537" s="4" t="s">
        <v>22</v>
      </c>
      <c r="E3537" s="4" t="s">
        <v>16</v>
      </c>
      <c r="F3537" s="4" t="s">
        <v>17</v>
      </c>
      <c r="G3537" s="4" t="s">
        <v>18</v>
      </c>
      <c r="H3537" s="4" t="s">
        <v>326</v>
      </c>
      <c r="I3537" s="5" t="str">
        <f t="shared" si="55"/>
        <v>2026-02</v>
      </c>
      <c r="J3537" s="4" t="s">
        <v>34</v>
      </c>
      <c r="K3537" s="5" t="s">
        <v>342</v>
      </c>
      <c r="L3537" s="2">
        <v>55500</v>
      </c>
      <c r="M3537" s="3">
        <v>1</v>
      </c>
      <c r="N3537" s="2">
        <v>55500</v>
      </c>
      <c r="O3537" s="2">
        <v>5550</v>
      </c>
      <c r="P3537" s="2">
        <v>61050</v>
      </c>
      <c r="Q3537" s="2">
        <f>P3537*8.5%</f>
        <v>5189.25</v>
      </c>
    </row>
    <row r="3538" spans="1:17" hidden="1" x14ac:dyDescent="0.4">
      <c r="A3538" s="4" t="s">
        <v>23</v>
      </c>
      <c r="B3538" s="4" t="s">
        <v>14</v>
      </c>
      <c r="C3538" s="31" t="s">
        <v>435</v>
      </c>
      <c r="D3538" s="4" t="s">
        <v>24</v>
      </c>
      <c r="E3538" s="4" t="s">
        <v>16</v>
      </c>
      <c r="F3538" s="4" t="s">
        <v>17</v>
      </c>
      <c r="G3538" s="4" t="s">
        <v>18</v>
      </c>
      <c r="H3538" s="4" t="s">
        <v>326</v>
      </c>
      <c r="I3538" s="5" t="str">
        <f t="shared" si="55"/>
        <v>2026-02</v>
      </c>
      <c r="J3538" s="4" t="s">
        <v>34</v>
      </c>
      <c r="K3538" s="5" t="s">
        <v>342</v>
      </c>
      <c r="L3538" s="2">
        <v>55500</v>
      </c>
      <c r="M3538" s="3">
        <v>4</v>
      </c>
      <c r="N3538" s="2">
        <v>222000</v>
      </c>
      <c r="O3538" s="2">
        <v>22200</v>
      </c>
      <c r="P3538" s="2">
        <v>244200</v>
      </c>
      <c r="Q3538" s="2">
        <f>P3538*8.5%</f>
        <v>20757</v>
      </c>
    </row>
    <row r="3539" spans="1:17" hidden="1" x14ac:dyDescent="0.4">
      <c r="A3539" s="4" t="s">
        <v>51</v>
      </c>
      <c r="B3539" s="4" t="s">
        <v>14</v>
      </c>
      <c r="C3539" s="30" t="s">
        <v>434</v>
      </c>
      <c r="D3539" s="4" t="s">
        <v>52</v>
      </c>
      <c r="E3539" s="4" t="s">
        <v>16</v>
      </c>
      <c r="F3539" s="4" t="s">
        <v>17</v>
      </c>
      <c r="G3539" s="4" t="s">
        <v>18</v>
      </c>
      <c r="H3539" s="4" t="s">
        <v>326</v>
      </c>
      <c r="I3539" s="5" t="str">
        <f t="shared" si="55"/>
        <v>2026-02</v>
      </c>
      <c r="J3539" s="4" t="s">
        <v>34</v>
      </c>
      <c r="K3539" s="5" t="s">
        <v>342</v>
      </c>
      <c r="L3539" s="2">
        <v>73000</v>
      </c>
      <c r="M3539" s="3">
        <v>1</v>
      </c>
      <c r="N3539" s="2">
        <v>73000</v>
      </c>
      <c r="O3539" s="2">
        <v>7300</v>
      </c>
      <c r="P3539" s="2">
        <v>80300</v>
      </c>
      <c r="Q3539" s="2">
        <f>P3539*8.5%</f>
        <v>6825.5000000000009</v>
      </c>
    </row>
    <row r="3540" spans="1:17" hidden="1" x14ac:dyDescent="0.4">
      <c r="A3540" s="4" t="s">
        <v>246</v>
      </c>
      <c r="B3540" s="4" t="s">
        <v>26</v>
      </c>
      <c r="C3540" s="32" t="s">
        <v>436</v>
      </c>
      <c r="D3540" s="4" t="s">
        <v>247</v>
      </c>
      <c r="E3540" s="4" t="s">
        <v>28</v>
      </c>
      <c r="F3540" s="4" t="s">
        <v>17</v>
      </c>
      <c r="G3540" s="4" t="s">
        <v>18</v>
      </c>
      <c r="H3540" s="4" t="s">
        <v>326</v>
      </c>
      <c r="I3540" s="5" t="str">
        <f t="shared" si="55"/>
        <v>2026-02</v>
      </c>
      <c r="J3540" s="4" t="s">
        <v>34</v>
      </c>
      <c r="K3540" s="5" t="s">
        <v>342</v>
      </c>
      <c r="L3540" s="2">
        <v>777</v>
      </c>
      <c r="M3540" s="3">
        <v>10</v>
      </c>
      <c r="N3540" s="2">
        <v>7770</v>
      </c>
      <c r="O3540" s="2">
        <v>777</v>
      </c>
      <c r="P3540" s="2">
        <v>8547</v>
      </c>
      <c r="Q3540" s="2">
        <f>P3540*8.5%</f>
        <v>726.495</v>
      </c>
    </row>
    <row r="3541" spans="1:17" hidden="1" x14ac:dyDescent="0.4">
      <c r="A3541" s="4" t="s">
        <v>42</v>
      </c>
      <c r="B3541" s="4" t="s">
        <v>14</v>
      </c>
      <c r="C3541" s="30" t="s">
        <v>434</v>
      </c>
      <c r="D3541" s="4" t="s">
        <v>43</v>
      </c>
      <c r="E3541" s="4" t="s">
        <v>44</v>
      </c>
      <c r="F3541" s="4" t="s">
        <v>31</v>
      </c>
      <c r="G3541" s="4" t="s">
        <v>18</v>
      </c>
      <c r="H3541" s="4" t="s">
        <v>326</v>
      </c>
      <c r="I3541" s="5" t="str">
        <f t="shared" si="55"/>
        <v>2026-02</v>
      </c>
      <c r="J3541" s="4" t="s">
        <v>34</v>
      </c>
      <c r="K3541" s="5" t="s">
        <v>342</v>
      </c>
      <c r="L3541" s="2">
        <v>7300</v>
      </c>
      <c r="M3541" s="3">
        <v>32.299999999999997</v>
      </c>
      <c r="N3541" s="2">
        <v>235790</v>
      </c>
      <c r="O3541" s="2">
        <v>0</v>
      </c>
      <c r="P3541" s="2">
        <v>235790</v>
      </c>
      <c r="Q3541" s="2">
        <f>P3541*8.5%</f>
        <v>20042.150000000001</v>
      </c>
    </row>
    <row r="3542" spans="1:17" hidden="1" x14ac:dyDescent="0.4">
      <c r="A3542" s="4" t="s">
        <v>32</v>
      </c>
      <c r="B3542" s="4" t="s">
        <v>14</v>
      </c>
      <c r="C3542" s="31" t="s">
        <v>435</v>
      </c>
      <c r="D3542" s="4" t="s">
        <v>33</v>
      </c>
      <c r="E3542" s="4" t="s">
        <v>16</v>
      </c>
      <c r="F3542" s="4" t="s">
        <v>17</v>
      </c>
      <c r="G3542" s="4" t="s">
        <v>18</v>
      </c>
      <c r="H3542" s="4" t="s">
        <v>326</v>
      </c>
      <c r="I3542" s="5" t="str">
        <f t="shared" si="55"/>
        <v>2026-02</v>
      </c>
      <c r="J3542" s="4" t="s">
        <v>49</v>
      </c>
      <c r="K3542" s="5" t="s">
        <v>343</v>
      </c>
      <c r="L3542" s="2">
        <v>44000</v>
      </c>
      <c r="M3542" s="3">
        <v>5</v>
      </c>
      <c r="N3542" s="2">
        <v>220000</v>
      </c>
      <c r="O3542" s="2">
        <v>22000</v>
      </c>
      <c r="P3542" s="2">
        <v>242000</v>
      </c>
      <c r="Q3542" s="2">
        <f>P3542*12%</f>
        <v>29040</v>
      </c>
    </row>
    <row r="3543" spans="1:17" hidden="1" x14ac:dyDescent="0.4">
      <c r="A3543" s="4" t="s">
        <v>13</v>
      </c>
      <c r="B3543" s="4" t="s">
        <v>14</v>
      </c>
      <c r="C3543" s="30" t="s">
        <v>434</v>
      </c>
      <c r="D3543" s="4" t="s">
        <v>15</v>
      </c>
      <c r="E3543" s="4" t="s">
        <v>16</v>
      </c>
      <c r="F3543" s="4" t="s">
        <v>17</v>
      </c>
      <c r="G3543" s="4" t="s">
        <v>18</v>
      </c>
      <c r="H3543" s="4" t="s">
        <v>326</v>
      </c>
      <c r="I3543" s="5" t="str">
        <f t="shared" si="55"/>
        <v>2026-02</v>
      </c>
      <c r="J3543" s="4" t="s">
        <v>49</v>
      </c>
      <c r="K3543" s="5" t="s">
        <v>343</v>
      </c>
      <c r="L3543" s="2">
        <v>42000</v>
      </c>
      <c r="M3543" s="3">
        <v>4</v>
      </c>
      <c r="N3543" s="2">
        <v>168000</v>
      </c>
      <c r="O3543" s="2">
        <v>16800</v>
      </c>
      <c r="P3543" s="2">
        <v>184800</v>
      </c>
      <c r="Q3543" s="2">
        <f>P3543*12%</f>
        <v>22176</v>
      </c>
    </row>
    <row r="3544" spans="1:17" hidden="1" x14ac:dyDescent="0.4">
      <c r="A3544" s="4" t="s">
        <v>35</v>
      </c>
      <c r="B3544" s="4" t="s">
        <v>14</v>
      </c>
      <c r="C3544" s="30" t="s">
        <v>434</v>
      </c>
      <c r="D3544" s="4" t="s">
        <v>36</v>
      </c>
      <c r="E3544" s="4" t="s">
        <v>16</v>
      </c>
      <c r="F3544" s="4" t="s">
        <v>17</v>
      </c>
      <c r="G3544" s="4" t="s">
        <v>18</v>
      </c>
      <c r="H3544" s="4" t="s">
        <v>326</v>
      </c>
      <c r="I3544" s="5" t="str">
        <f t="shared" si="55"/>
        <v>2026-02</v>
      </c>
      <c r="J3544" s="4" t="s">
        <v>49</v>
      </c>
      <c r="K3544" s="5" t="s">
        <v>343</v>
      </c>
      <c r="L3544" s="2">
        <v>116220</v>
      </c>
      <c r="M3544" s="3">
        <v>1</v>
      </c>
      <c r="N3544" s="2">
        <v>116220</v>
      </c>
      <c r="O3544" s="2">
        <v>11622</v>
      </c>
      <c r="P3544" s="2">
        <v>127842</v>
      </c>
      <c r="Q3544" s="2">
        <f>P3544*12%</f>
        <v>15341.039999999999</v>
      </c>
    </row>
    <row r="3545" spans="1:17" hidden="1" x14ac:dyDescent="0.4">
      <c r="A3545" s="4" t="s">
        <v>23</v>
      </c>
      <c r="B3545" s="4" t="s">
        <v>14</v>
      </c>
      <c r="C3545" s="31" t="s">
        <v>435</v>
      </c>
      <c r="D3545" s="4" t="s">
        <v>24</v>
      </c>
      <c r="E3545" s="4" t="s">
        <v>16</v>
      </c>
      <c r="F3545" s="4" t="s">
        <v>17</v>
      </c>
      <c r="G3545" s="4" t="s">
        <v>18</v>
      </c>
      <c r="H3545" s="4" t="s">
        <v>326</v>
      </c>
      <c r="I3545" s="5" t="str">
        <f t="shared" si="55"/>
        <v>2026-02</v>
      </c>
      <c r="J3545" s="4" t="s">
        <v>49</v>
      </c>
      <c r="K3545" s="5" t="s">
        <v>343</v>
      </c>
      <c r="L3545" s="2">
        <v>55500</v>
      </c>
      <c r="M3545" s="3">
        <v>3</v>
      </c>
      <c r="N3545" s="2">
        <v>166500</v>
      </c>
      <c r="O3545" s="2">
        <v>16650</v>
      </c>
      <c r="P3545" s="2">
        <v>183150</v>
      </c>
      <c r="Q3545" s="2">
        <f>P3545*12%</f>
        <v>21978</v>
      </c>
    </row>
    <row r="3546" spans="1:17" hidden="1" x14ac:dyDescent="0.4">
      <c r="A3546" s="4" t="s">
        <v>32</v>
      </c>
      <c r="B3546" s="4" t="s">
        <v>14</v>
      </c>
      <c r="C3546" s="31" t="s">
        <v>435</v>
      </c>
      <c r="D3546" s="4" t="s">
        <v>33</v>
      </c>
      <c r="E3546" s="4" t="s">
        <v>16</v>
      </c>
      <c r="F3546" s="4" t="s">
        <v>17</v>
      </c>
      <c r="G3546" s="4" t="s">
        <v>18</v>
      </c>
      <c r="H3546" s="4" t="s">
        <v>326</v>
      </c>
      <c r="I3546" s="5" t="str">
        <f t="shared" si="55"/>
        <v>2026-02</v>
      </c>
      <c r="J3546" s="4" t="s">
        <v>50</v>
      </c>
      <c r="K3546" s="5" t="s">
        <v>343</v>
      </c>
      <c r="L3546" s="2">
        <v>44000</v>
      </c>
      <c r="M3546" s="3">
        <v>8</v>
      </c>
      <c r="N3546" s="2">
        <v>352000</v>
      </c>
      <c r="O3546" s="2">
        <v>35200</v>
      </c>
      <c r="P3546" s="2">
        <v>387200</v>
      </c>
      <c r="Q3546" s="2">
        <f>P3546*12%</f>
        <v>46464</v>
      </c>
    </row>
    <row r="3547" spans="1:17" x14ac:dyDescent="0.4">
      <c r="A3547" s="4" t="s">
        <v>13</v>
      </c>
      <c r="B3547" s="4" t="s">
        <v>14</v>
      </c>
      <c r="C3547" s="30" t="s">
        <v>434</v>
      </c>
      <c r="D3547" s="4" t="s">
        <v>15</v>
      </c>
      <c r="E3547" s="4" t="s">
        <v>16</v>
      </c>
      <c r="F3547" s="4" t="s">
        <v>17</v>
      </c>
      <c r="G3547" s="4" t="s">
        <v>18</v>
      </c>
      <c r="H3547" s="4" t="s">
        <v>327</v>
      </c>
      <c r="I3547" s="5" t="str">
        <f t="shared" si="55"/>
        <v>2026-02</v>
      </c>
      <c r="J3547" s="4" t="s">
        <v>20</v>
      </c>
      <c r="K3547" s="5" t="s">
        <v>342</v>
      </c>
      <c r="L3547" s="2">
        <v>42000</v>
      </c>
      <c r="M3547" s="3">
        <v>1</v>
      </c>
      <c r="N3547" s="2">
        <v>42000</v>
      </c>
      <c r="O3547" s="2">
        <v>4200</v>
      </c>
      <c r="P3547" s="2">
        <v>46200</v>
      </c>
      <c r="Q3547" s="2">
        <f>P3547*8.5%</f>
        <v>3927.0000000000005</v>
      </c>
    </row>
    <row r="3548" spans="1:17" x14ac:dyDescent="0.4">
      <c r="A3548" s="4" t="s">
        <v>21</v>
      </c>
      <c r="B3548" s="4" t="s">
        <v>14</v>
      </c>
      <c r="C3548" s="31" t="s">
        <v>435</v>
      </c>
      <c r="D3548" s="4" t="s">
        <v>22</v>
      </c>
      <c r="E3548" s="4" t="s">
        <v>16</v>
      </c>
      <c r="F3548" s="4" t="s">
        <v>17</v>
      </c>
      <c r="G3548" s="4" t="s">
        <v>18</v>
      </c>
      <c r="H3548" s="4" t="s">
        <v>327</v>
      </c>
      <c r="I3548" s="5" t="str">
        <f t="shared" si="55"/>
        <v>2026-02</v>
      </c>
      <c r="J3548" s="4" t="s">
        <v>20</v>
      </c>
      <c r="K3548" s="5" t="s">
        <v>342</v>
      </c>
      <c r="L3548" s="2">
        <v>55500</v>
      </c>
      <c r="M3548" s="3">
        <v>1</v>
      </c>
      <c r="N3548" s="2">
        <v>55500</v>
      </c>
      <c r="O3548" s="2">
        <v>5550</v>
      </c>
      <c r="P3548" s="2">
        <v>61050</v>
      </c>
      <c r="Q3548" s="2">
        <f>P3548*8.5%</f>
        <v>5189.25</v>
      </c>
    </row>
    <row r="3549" spans="1:17" x14ac:dyDescent="0.4">
      <c r="A3549" s="4" t="s">
        <v>23</v>
      </c>
      <c r="B3549" s="4" t="s">
        <v>14</v>
      </c>
      <c r="C3549" s="31" t="s">
        <v>435</v>
      </c>
      <c r="D3549" s="4" t="s">
        <v>24</v>
      </c>
      <c r="E3549" s="4" t="s">
        <v>16</v>
      </c>
      <c r="F3549" s="4" t="s">
        <v>17</v>
      </c>
      <c r="G3549" s="4" t="s">
        <v>18</v>
      </c>
      <c r="H3549" s="4" t="s">
        <v>327</v>
      </c>
      <c r="I3549" s="5" t="str">
        <f t="shared" si="55"/>
        <v>2026-02</v>
      </c>
      <c r="J3549" s="4" t="s">
        <v>20</v>
      </c>
      <c r="K3549" s="5" t="s">
        <v>342</v>
      </c>
      <c r="L3549" s="2">
        <v>55500</v>
      </c>
      <c r="M3549" s="3">
        <v>2</v>
      </c>
      <c r="N3549" s="2">
        <v>111000</v>
      </c>
      <c r="O3549" s="2">
        <v>11100</v>
      </c>
      <c r="P3549" s="2">
        <v>122100</v>
      </c>
      <c r="Q3549" s="2">
        <f>P3549*8.5%</f>
        <v>10378.5</v>
      </c>
    </row>
    <row r="3550" spans="1:17" x14ac:dyDescent="0.4">
      <c r="A3550" s="4" t="s">
        <v>56</v>
      </c>
      <c r="B3550" s="4" t="s">
        <v>26</v>
      </c>
      <c r="C3550" s="32" t="s">
        <v>436</v>
      </c>
      <c r="D3550" s="4" t="s">
        <v>57</v>
      </c>
      <c r="E3550" s="4" t="s">
        <v>44</v>
      </c>
      <c r="F3550" s="4" t="s">
        <v>31</v>
      </c>
      <c r="G3550" s="4" t="s">
        <v>18</v>
      </c>
      <c r="H3550" s="4" t="s">
        <v>327</v>
      </c>
      <c r="I3550" s="5" t="str">
        <f t="shared" si="55"/>
        <v>2026-02</v>
      </c>
      <c r="J3550" s="4" t="s">
        <v>20</v>
      </c>
      <c r="K3550" s="5" t="s">
        <v>342</v>
      </c>
      <c r="L3550" s="2">
        <v>2368</v>
      </c>
      <c r="M3550" s="3">
        <v>15</v>
      </c>
      <c r="N3550" s="2">
        <v>35520</v>
      </c>
      <c r="O3550" s="2">
        <v>0</v>
      </c>
      <c r="P3550" s="2">
        <v>35520</v>
      </c>
      <c r="Q3550" s="2">
        <f>P3550*8.5%</f>
        <v>3019.2000000000003</v>
      </c>
    </row>
    <row r="3551" spans="1:17" hidden="1" x14ac:dyDescent="0.4">
      <c r="A3551" s="4" t="s">
        <v>64</v>
      </c>
      <c r="B3551" s="4" t="s">
        <v>65</v>
      </c>
      <c r="C3551" s="32" t="s">
        <v>436</v>
      </c>
      <c r="D3551" s="4" t="s">
        <v>66</v>
      </c>
      <c r="E3551" s="4" t="s">
        <v>16</v>
      </c>
      <c r="F3551" s="4" t="s">
        <v>17</v>
      </c>
      <c r="G3551" s="4" t="s">
        <v>18</v>
      </c>
      <c r="H3551" s="4" t="s">
        <v>327</v>
      </c>
      <c r="I3551" s="5" t="str">
        <f t="shared" si="55"/>
        <v>2026-02</v>
      </c>
      <c r="J3551" s="4" t="s">
        <v>34</v>
      </c>
      <c r="K3551" s="5" t="s">
        <v>342</v>
      </c>
      <c r="L3551" s="2">
        <v>10283</v>
      </c>
      <c r="M3551" s="3">
        <v>1</v>
      </c>
      <c r="N3551" s="2">
        <v>10283</v>
      </c>
      <c r="O3551" s="2">
        <v>1028</v>
      </c>
      <c r="P3551" s="2">
        <v>11311</v>
      </c>
      <c r="Q3551" s="2">
        <f>P3551*8.5%</f>
        <v>961.43500000000006</v>
      </c>
    </row>
    <row r="3552" spans="1:17" hidden="1" x14ac:dyDescent="0.4">
      <c r="A3552" s="4" t="s">
        <v>13</v>
      </c>
      <c r="B3552" s="4" t="s">
        <v>14</v>
      </c>
      <c r="C3552" s="30" t="s">
        <v>434</v>
      </c>
      <c r="D3552" s="4" t="s">
        <v>15</v>
      </c>
      <c r="E3552" s="4" t="s">
        <v>16</v>
      </c>
      <c r="F3552" s="4" t="s">
        <v>17</v>
      </c>
      <c r="G3552" s="4" t="s">
        <v>18</v>
      </c>
      <c r="H3552" s="4" t="s">
        <v>327</v>
      </c>
      <c r="I3552" s="5" t="str">
        <f t="shared" si="55"/>
        <v>2026-02</v>
      </c>
      <c r="J3552" s="4" t="s">
        <v>34</v>
      </c>
      <c r="K3552" s="5" t="s">
        <v>342</v>
      </c>
      <c r="L3552" s="2">
        <v>42000</v>
      </c>
      <c r="M3552" s="3">
        <v>3</v>
      </c>
      <c r="N3552" s="2">
        <v>126000</v>
      </c>
      <c r="O3552" s="2">
        <v>12600</v>
      </c>
      <c r="P3552" s="2">
        <v>138600</v>
      </c>
      <c r="Q3552" s="2">
        <f>P3552*8.5%</f>
        <v>11781</v>
      </c>
    </row>
    <row r="3553" spans="1:17" hidden="1" x14ac:dyDescent="0.4">
      <c r="A3553" s="4" t="s">
        <v>21</v>
      </c>
      <c r="B3553" s="4" t="s">
        <v>14</v>
      </c>
      <c r="C3553" s="31" t="s">
        <v>435</v>
      </c>
      <c r="D3553" s="4" t="s">
        <v>22</v>
      </c>
      <c r="E3553" s="4" t="s">
        <v>16</v>
      </c>
      <c r="F3553" s="4" t="s">
        <v>17</v>
      </c>
      <c r="G3553" s="4" t="s">
        <v>18</v>
      </c>
      <c r="H3553" s="4" t="s">
        <v>327</v>
      </c>
      <c r="I3553" s="5" t="str">
        <f t="shared" si="55"/>
        <v>2026-02</v>
      </c>
      <c r="J3553" s="4" t="s">
        <v>34</v>
      </c>
      <c r="K3553" s="5" t="s">
        <v>342</v>
      </c>
      <c r="L3553" s="2">
        <v>55500</v>
      </c>
      <c r="M3553" s="3">
        <v>1</v>
      </c>
      <c r="N3553" s="2">
        <v>55500</v>
      </c>
      <c r="O3553" s="2">
        <v>5550</v>
      </c>
      <c r="P3553" s="2">
        <v>61050</v>
      </c>
      <c r="Q3553" s="2">
        <f>P3553*8.5%</f>
        <v>5189.25</v>
      </c>
    </row>
    <row r="3554" spans="1:17" hidden="1" x14ac:dyDescent="0.4">
      <c r="A3554" s="4" t="s">
        <v>35</v>
      </c>
      <c r="B3554" s="4" t="s">
        <v>14</v>
      </c>
      <c r="C3554" s="30" t="s">
        <v>434</v>
      </c>
      <c r="D3554" s="4" t="s">
        <v>36</v>
      </c>
      <c r="E3554" s="4" t="s">
        <v>16</v>
      </c>
      <c r="F3554" s="4" t="s">
        <v>17</v>
      </c>
      <c r="G3554" s="4" t="s">
        <v>18</v>
      </c>
      <c r="H3554" s="4" t="s">
        <v>327</v>
      </c>
      <c r="I3554" s="5" t="str">
        <f t="shared" si="55"/>
        <v>2026-02</v>
      </c>
      <c r="J3554" s="4" t="s">
        <v>34</v>
      </c>
      <c r="K3554" s="5" t="s">
        <v>342</v>
      </c>
      <c r="L3554" s="2">
        <v>116220</v>
      </c>
      <c r="M3554" s="3">
        <v>1</v>
      </c>
      <c r="N3554" s="2">
        <v>116220</v>
      </c>
      <c r="O3554" s="2">
        <v>11622</v>
      </c>
      <c r="P3554" s="2">
        <v>127842</v>
      </c>
      <c r="Q3554" s="2">
        <f>P3554*8.5%</f>
        <v>10866.570000000002</v>
      </c>
    </row>
    <row r="3555" spans="1:17" hidden="1" x14ac:dyDescent="0.4">
      <c r="A3555" s="4" t="s">
        <v>23</v>
      </c>
      <c r="B3555" s="4" t="s">
        <v>14</v>
      </c>
      <c r="C3555" s="31" t="s">
        <v>435</v>
      </c>
      <c r="D3555" s="4" t="s">
        <v>24</v>
      </c>
      <c r="E3555" s="4" t="s">
        <v>16</v>
      </c>
      <c r="F3555" s="4" t="s">
        <v>17</v>
      </c>
      <c r="G3555" s="4" t="s">
        <v>18</v>
      </c>
      <c r="H3555" s="4" t="s">
        <v>327</v>
      </c>
      <c r="I3555" s="5" t="str">
        <f t="shared" si="55"/>
        <v>2026-02</v>
      </c>
      <c r="J3555" s="4" t="s">
        <v>34</v>
      </c>
      <c r="K3555" s="5" t="s">
        <v>342</v>
      </c>
      <c r="L3555" s="2">
        <v>55500</v>
      </c>
      <c r="M3555" s="3">
        <v>1</v>
      </c>
      <c r="N3555" s="2">
        <v>55500</v>
      </c>
      <c r="O3555" s="2">
        <v>5550</v>
      </c>
      <c r="P3555" s="2">
        <v>61050</v>
      </c>
      <c r="Q3555" s="2">
        <f>P3555*8.5%</f>
        <v>5189.25</v>
      </c>
    </row>
    <row r="3556" spans="1:17" hidden="1" x14ac:dyDescent="0.4">
      <c r="A3556" s="4" t="s">
        <v>84</v>
      </c>
      <c r="B3556" s="4" t="s">
        <v>26</v>
      </c>
      <c r="C3556" s="32" t="s">
        <v>436</v>
      </c>
      <c r="D3556" s="4" t="s">
        <v>85</v>
      </c>
      <c r="E3556" s="4" t="s">
        <v>28</v>
      </c>
      <c r="F3556" s="4" t="s">
        <v>17</v>
      </c>
      <c r="G3556" s="4" t="s">
        <v>18</v>
      </c>
      <c r="H3556" s="4" t="s">
        <v>327</v>
      </c>
      <c r="I3556" s="5" t="str">
        <f t="shared" si="55"/>
        <v>2026-02</v>
      </c>
      <c r="J3556" s="4" t="s">
        <v>34</v>
      </c>
      <c r="K3556" s="5" t="s">
        <v>342</v>
      </c>
      <c r="L3556" s="2">
        <v>5032</v>
      </c>
      <c r="M3556" s="3">
        <v>1</v>
      </c>
      <c r="N3556" s="2">
        <v>5032</v>
      </c>
      <c r="O3556" s="2">
        <v>503</v>
      </c>
      <c r="P3556" s="2">
        <v>5535</v>
      </c>
      <c r="Q3556" s="2">
        <f>P3556*8.5%</f>
        <v>470.47500000000002</v>
      </c>
    </row>
    <row r="3557" spans="1:17" hidden="1" x14ac:dyDescent="0.4">
      <c r="A3557" s="4" t="s">
        <v>42</v>
      </c>
      <c r="B3557" s="4" t="s">
        <v>14</v>
      </c>
      <c r="C3557" s="30" t="s">
        <v>434</v>
      </c>
      <c r="D3557" s="4" t="s">
        <v>43</v>
      </c>
      <c r="E3557" s="4" t="s">
        <v>44</v>
      </c>
      <c r="F3557" s="4" t="s">
        <v>31</v>
      </c>
      <c r="G3557" s="4" t="s">
        <v>18</v>
      </c>
      <c r="H3557" s="4" t="s">
        <v>327</v>
      </c>
      <c r="I3557" s="5" t="str">
        <f t="shared" si="55"/>
        <v>2026-02</v>
      </c>
      <c r="J3557" s="4" t="s">
        <v>34</v>
      </c>
      <c r="K3557" s="5" t="s">
        <v>342</v>
      </c>
      <c r="L3557" s="2">
        <v>7300</v>
      </c>
      <c r="M3557" s="3">
        <v>65</v>
      </c>
      <c r="N3557" s="2">
        <v>474500</v>
      </c>
      <c r="O3557" s="2">
        <v>0</v>
      </c>
      <c r="P3557" s="2">
        <v>474500</v>
      </c>
      <c r="Q3557" s="2">
        <f>P3557*8.5%</f>
        <v>40332.5</v>
      </c>
    </row>
    <row r="3558" spans="1:17" hidden="1" x14ac:dyDescent="0.4">
      <c r="A3558" s="4" t="s">
        <v>32</v>
      </c>
      <c r="B3558" s="4" t="s">
        <v>14</v>
      </c>
      <c r="C3558" s="31" t="s">
        <v>435</v>
      </c>
      <c r="D3558" s="4" t="s">
        <v>33</v>
      </c>
      <c r="E3558" s="4" t="s">
        <v>16</v>
      </c>
      <c r="F3558" s="4" t="s">
        <v>17</v>
      </c>
      <c r="G3558" s="4" t="s">
        <v>18</v>
      </c>
      <c r="H3558" s="4" t="s">
        <v>327</v>
      </c>
      <c r="I3558" s="5" t="str">
        <f t="shared" si="55"/>
        <v>2026-02</v>
      </c>
      <c r="J3558" s="4" t="s">
        <v>50</v>
      </c>
      <c r="K3558" s="5" t="s">
        <v>343</v>
      </c>
      <c r="L3558" s="2">
        <v>44000</v>
      </c>
      <c r="M3558" s="3">
        <v>1</v>
      </c>
      <c r="N3558" s="2">
        <v>44000</v>
      </c>
      <c r="O3558" s="2">
        <v>4400</v>
      </c>
      <c r="P3558" s="2">
        <v>48400</v>
      </c>
      <c r="Q3558" s="2">
        <f>P3558*12%</f>
        <v>5808</v>
      </c>
    </row>
    <row r="3559" spans="1:17" hidden="1" x14ac:dyDescent="0.4">
      <c r="A3559" s="4" t="s">
        <v>13</v>
      </c>
      <c r="B3559" s="4" t="s">
        <v>14</v>
      </c>
      <c r="C3559" s="30" t="s">
        <v>434</v>
      </c>
      <c r="D3559" s="4" t="s">
        <v>15</v>
      </c>
      <c r="E3559" s="4" t="s">
        <v>16</v>
      </c>
      <c r="F3559" s="4" t="s">
        <v>17</v>
      </c>
      <c r="G3559" s="4" t="s">
        <v>18</v>
      </c>
      <c r="H3559" s="4" t="s">
        <v>327</v>
      </c>
      <c r="I3559" s="5" t="str">
        <f t="shared" si="55"/>
        <v>2026-02</v>
      </c>
      <c r="J3559" s="4" t="s">
        <v>50</v>
      </c>
      <c r="K3559" s="5" t="s">
        <v>343</v>
      </c>
      <c r="L3559" s="2">
        <v>42000</v>
      </c>
      <c r="M3559" s="3">
        <v>12</v>
      </c>
      <c r="N3559" s="2">
        <v>504000</v>
      </c>
      <c r="O3559" s="2">
        <v>50400</v>
      </c>
      <c r="P3559" s="2">
        <v>554400</v>
      </c>
      <c r="Q3559" s="2">
        <f>P3559*12%</f>
        <v>66528</v>
      </c>
    </row>
    <row r="3560" spans="1:17" hidden="1" x14ac:dyDescent="0.4">
      <c r="A3560" s="4" t="s">
        <v>23</v>
      </c>
      <c r="B3560" s="4" t="s">
        <v>14</v>
      </c>
      <c r="C3560" s="31" t="s">
        <v>435</v>
      </c>
      <c r="D3560" s="4" t="s">
        <v>24</v>
      </c>
      <c r="E3560" s="4" t="s">
        <v>16</v>
      </c>
      <c r="F3560" s="4" t="s">
        <v>17</v>
      </c>
      <c r="G3560" s="4" t="s">
        <v>18</v>
      </c>
      <c r="H3560" s="4" t="s">
        <v>327</v>
      </c>
      <c r="I3560" s="5" t="str">
        <f t="shared" si="55"/>
        <v>2026-02</v>
      </c>
      <c r="J3560" s="4" t="s">
        <v>50</v>
      </c>
      <c r="K3560" s="5" t="s">
        <v>343</v>
      </c>
      <c r="L3560" s="2">
        <v>55500</v>
      </c>
      <c r="M3560" s="3">
        <v>7</v>
      </c>
      <c r="N3560" s="2">
        <v>388500</v>
      </c>
      <c r="O3560" s="2">
        <v>38850</v>
      </c>
      <c r="P3560" s="2">
        <v>427350</v>
      </c>
      <c r="Q3560" s="2">
        <f>P3560*12%</f>
        <v>51282</v>
      </c>
    </row>
    <row r="3561" spans="1:17" hidden="1" x14ac:dyDescent="0.4">
      <c r="A3561" s="4" t="s">
        <v>51</v>
      </c>
      <c r="B3561" s="4" t="s">
        <v>14</v>
      </c>
      <c r="C3561" s="30" t="s">
        <v>434</v>
      </c>
      <c r="D3561" s="4" t="s">
        <v>52</v>
      </c>
      <c r="E3561" s="4" t="s">
        <v>16</v>
      </c>
      <c r="F3561" s="4" t="s">
        <v>17</v>
      </c>
      <c r="G3561" s="4" t="s">
        <v>18</v>
      </c>
      <c r="H3561" s="4" t="s">
        <v>327</v>
      </c>
      <c r="I3561" s="5" t="str">
        <f t="shared" si="55"/>
        <v>2026-02</v>
      </c>
      <c r="J3561" s="4" t="s">
        <v>50</v>
      </c>
      <c r="K3561" s="5" t="s">
        <v>343</v>
      </c>
      <c r="L3561" s="2">
        <v>73000</v>
      </c>
      <c r="M3561" s="3">
        <v>2</v>
      </c>
      <c r="N3561" s="2">
        <v>146000</v>
      </c>
      <c r="O3561" s="2">
        <v>14600</v>
      </c>
      <c r="P3561" s="2">
        <v>160600</v>
      </c>
      <c r="Q3561" s="2">
        <f>P3561*12%</f>
        <v>19272</v>
      </c>
    </row>
    <row r="3562" spans="1:17" x14ac:dyDescent="0.4">
      <c r="A3562" s="4" t="s">
        <v>13</v>
      </c>
      <c r="B3562" s="4" t="s">
        <v>14</v>
      </c>
      <c r="C3562" s="30" t="s">
        <v>434</v>
      </c>
      <c r="D3562" s="4" t="s">
        <v>15</v>
      </c>
      <c r="E3562" s="4" t="s">
        <v>16</v>
      </c>
      <c r="F3562" s="4" t="s">
        <v>17</v>
      </c>
      <c r="G3562" s="4" t="s">
        <v>18</v>
      </c>
      <c r="H3562" s="4" t="s">
        <v>328</v>
      </c>
      <c r="I3562" s="5" t="str">
        <f t="shared" si="55"/>
        <v>2026-02</v>
      </c>
      <c r="J3562" s="4" t="s">
        <v>20</v>
      </c>
      <c r="K3562" s="5" t="s">
        <v>342</v>
      </c>
      <c r="L3562" s="2">
        <v>42000</v>
      </c>
      <c r="M3562" s="3">
        <v>1</v>
      </c>
      <c r="N3562" s="2">
        <v>42000</v>
      </c>
      <c r="O3562" s="2">
        <v>4200</v>
      </c>
      <c r="P3562" s="2">
        <v>46200</v>
      </c>
      <c r="Q3562" s="2">
        <f>P3562*8.5%</f>
        <v>3927.0000000000005</v>
      </c>
    </row>
    <row r="3563" spans="1:17" x14ac:dyDescent="0.4">
      <c r="A3563" s="4" t="s">
        <v>21</v>
      </c>
      <c r="B3563" s="4" t="s">
        <v>14</v>
      </c>
      <c r="C3563" s="31" t="s">
        <v>435</v>
      </c>
      <c r="D3563" s="4" t="s">
        <v>22</v>
      </c>
      <c r="E3563" s="4" t="s">
        <v>16</v>
      </c>
      <c r="F3563" s="4" t="s">
        <v>17</v>
      </c>
      <c r="G3563" s="4" t="s">
        <v>18</v>
      </c>
      <c r="H3563" s="4" t="s">
        <v>328</v>
      </c>
      <c r="I3563" s="5" t="str">
        <f t="shared" si="55"/>
        <v>2026-02</v>
      </c>
      <c r="J3563" s="4" t="s">
        <v>20</v>
      </c>
      <c r="K3563" s="5" t="s">
        <v>342</v>
      </c>
      <c r="L3563" s="2">
        <v>55500</v>
      </c>
      <c r="M3563" s="3">
        <v>2</v>
      </c>
      <c r="N3563" s="2">
        <v>111000</v>
      </c>
      <c r="O3563" s="2">
        <v>11100</v>
      </c>
      <c r="P3563" s="2">
        <v>122100</v>
      </c>
      <c r="Q3563" s="2">
        <f>P3563*8.5%</f>
        <v>10378.5</v>
      </c>
    </row>
    <row r="3564" spans="1:17" x14ac:dyDescent="0.4">
      <c r="A3564" s="4" t="s">
        <v>23</v>
      </c>
      <c r="B3564" s="4" t="s">
        <v>14</v>
      </c>
      <c r="C3564" s="31" t="s">
        <v>435</v>
      </c>
      <c r="D3564" s="4" t="s">
        <v>24</v>
      </c>
      <c r="E3564" s="4" t="s">
        <v>16</v>
      </c>
      <c r="F3564" s="4" t="s">
        <v>17</v>
      </c>
      <c r="G3564" s="4" t="s">
        <v>18</v>
      </c>
      <c r="H3564" s="4" t="s">
        <v>328</v>
      </c>
      <c r="I3564" s="5" t="str">
        <f t="shared" si="55"/>
        <v>2026-02</v>
      </c>
      <c r="J3564" s="4" t="s">
        <v>20</v>
      </c>
      <c r="K3564" s="5" t="s">
        <v>342</v>
      </c>
      <c r="L3564" s="2">
        <v>55500</v>
      </c>
      <c r="M3564" s="3">
        <v>2</v>
      </c>
      <c r="N3564" s="2">
        <v>111000</v>
      </c>
      <c r="O3564" s="2">
        <v>11100</v>
      </c>
      <c r="P3564" s="2">
        <v>122100</v>
      </c>
      <c r="Q3564" s="2">
        <f>P3564*8.5%</f>
        <v>10378.5</v>
      </c>
    </row>
    <row r="3565" spans="1:17" x14ac:dyDescent="0.4">
      <c r="A3565" s="4" t="s">
        <v>307</v>
      </c>
      <c r="B3565" s="4" t="s">
        <v>26</v>
      </c>
      <c r="C3565" s="32" t="s">
        <v>436</v>
      </c>
      <c r="D3565" s="4" t="s">
        <v>55</v>
      </c>
      <c r="E3565" s="4" t="s">
        <v>28</v>
      </c>
      <c r="F3565" s="4" t="s">
        <v>17</v>
      </c>
      <c r="G3565" s="4" t="s">
        <v>18</v>
      </c>
      <c r="H3565" s="4" t="s">
        <v>328</v>
      </c>
      <c r="I3565" s="5" t="str">
        <f t="shared" si="55"/>
        <v>2026-02</v>
      </c>
      <c r="J3565" s="4" t="s">
        <v>20</v>
      </c>
      <c r="K3565" s="5" t="s">
        <v>342</v>
      </c>
      <c r="L3565" s="2">
        <v>5919</v>
      </c>
      <c r="M3565" s="3">
        <v>1</v>
      </c>
      <c r="N3565" s="2">
        <v>5919</v>
      </c>
      <c r="O3565" s="2">
        <v>592</v>
      </c>
      <c r="P3565" s="2">
        <v>6511</v>
      </c>
      <c r="Q3565" s="2">
        <f>P3565*8.5%</f>
        <v>553.43500000000006</v>
      </c>
    </row>
    <row r="3566" spans="1:17" x14ac:dyDescent="0.4">
      <c r="A3566" s="4" t="s">
        <v>56</v>
      </c>
      <c r="B3566" s="4" t="s">
        <v>26</v>
      </c>
      <c r="C3566" s="32" t="s">
        <v>436</v>
      </c>
      <c r="D3566" s="4" t="s">
        <v>57</v>
      </c>
      <c r="E3566" s="4" t="s">
        <v>44</v>
      </c>
      <c r="F3566" s="4" t="s">
        <v>31</v>
      </c>
      <c r="G3566" s="4" t="s">
        <v>18</v>
      </c>
      <c r="H3566" s="4" t="s">
        <v>328</v>
      </c>
      <c r="I3566" s="5" t="str">
        <f t="shared" si="55"/>
        <v>2026-02</v>
      </c>
      <c r="J3566" s="4" t="s">
        <v>20</v>
      </c>
      <c r="K3566" s="5" t="s">
        <v>342</v>
      </c>
      <c r="L3566" s="2">
        <v>2368</v>
      </c>
      <c r="M3566" s="3">
        <v>25</v>
      </c>
      <c r="N3566" s="2">
        <v>59200</v>
      </c>
      <c r="O3566" s="2">
        <v>0</v>
      </c>
      <c r="P3566" s="2">
        <v>59200</v>
      </c>
      <c r="Q3566" s="2">
        <f>P3566*8.5%</f>
        <v>5032</v>
      </c>
    </row>
    <row r="3567" spans="1:17" hidden="1" x14ac:dyDescent="0.4">
      <c r="A3567" s="4" t="s">
        <v>32</v>
      </c>
      <c r="B3567" s="4" t="s">
        <v>14</v>
      </c>
      <c r="C3567" s="31" t="s">
        <v>435</v>
      </c>
      <c r="D3567" s="4" t="s">
        <v>33</v>
      </c>
      <c r="E3567" s="4" t="s">
        <v>16</v>
      </c>
      <c r="F3567" s="4" t="s">
        <v>17</v>
      </c>
      <c r="G3567" s="4" t="s">
        <v>18</v>
      </c>
      <c r="H3567" s="4" t="s">
        <v>328</v>
      </c>
      <c r="I3567" s="5" t="str">
        <f t="shared" si="55"/>
        <v>2026-02</v>
      </c>
      <c r="J3567" s="4" t="s">
        <v>34</v>
      </c>
      <c r="K3567" s="5" t="s">
        <v>342</v>
      </c>
      <c r="L3567" s="2">
        <v>44000</v>
      </c>
      <c r="M3567" s="3">
        <v>3</v>
      </c>
      <c r="N3567" s="2">
        <v>132000</v>
      </c>
      <c r="O3567" s="2">
        <v>13200</v>
      </c>
      <c r="P3567" s="2">
        <v>145200</v>
      </c>
      <c r="Q3567" s="2">
        <f>P3567*8.5%</f>
        <v>12342</v>
      </c>
    </row>
    <row r="3568" spans="1:17" hidden="1" x14ac:dyDescent="0.4">
      <c r="A3568" s="4" t="s">
        <v>13</v>
      </c>
      <c r="B3568" s="4" t="s">
        <v>14</v>
      </c>
      <c r="C3568" s="30" t="s">
        <v>434</v>
      </c>
      <c r="D3568" s="4" t="s">
        <v>15</v>
      </c>
      <c r="E3568" s="4" t="s">
        <v>16</v>
      </c>
      <c r="F3568" s="4" t="s">
        <v>17</v>
      </c>
      <c r="G3568" s="4" t="s">
        <v>18</v>
      </c>
      <c r="H3568" s="4" t="s">
        <v>328</v>
      </c>
      <c r="I3568" s="5" t="str">
        <f t="shared" si="55"/>
        <v>2026-02</v>
      </c>
      <c r="J3568" s="4" t="s">
        <v>34</v>
      </c>
      <c r="K3568" s="5" t="s">
        <v>342</v>
      </c>
      <c r="L3568" s="2">
        <v>42000</v>
      </c>
      <c r="M3568" s="3">
        <v>3</v>
      </c>
      <c r="N3568" s="2">
        <v>126000</v>
      </c>
      <c r="O3568" s="2">
        <v>12600</v>
      </c>
      <c r="P3568" s="2">
        <v>138600</v>
      </c>
      <c r="Q3568" s="2">
        <f>P3568*8.5%</f>
        <v>11781</v>
      </c>
    </row>
    <row r="3569" spans="1:17" hidden="1" x14ac:dyDescent="0.4">
      <c r="A3569" s="4" t="s">
        <v>21</v>
      </c>
      <c r="B3569" s="4" t="s">
        <v>14</v>
      </c>
      <c r="C3569" s="31" t="s">
        <v>435</v>
      </c>
      <c r="D3569" s="4" t="s">
        <v>22</v>
      </c>
      <c r="E3569" s="4" t="s">
        <v>16</v>
      </c>
      <c r="F3569" s="4" t="s">
        <v>17</v>
      </c>
      <c r="G3569" s="4" t="s">
        <v>18</v>
      </c>
      <c r="H3569" s="4" t="s">
        <v>328</v>
      </c>
      <c r="I3569" s="5" t="str">
        <f t="shared" si="55"/>
        <v>2026-02</v>
      </c>
      <c r="J3569" s="4" t="s">
        <v>34</v>
      </c>
      <c r="K3569" s="5" t="s">
        <v>342</v>
      </c>
      <c r="L3569" s="2">
        <v>55500</v>
      </c>
      <c r="M3569" s="3">
        <v>1</v>
      </c>
      <c r="N3569" s="2">
        <v>55500</v>
      </c>
      <c r="O3569" s="2">
        <v>5550</v>
      </c>
      <c r="P3569" s="2">
        <v>61050</v>
      </c>
      <c r="Q3569" s="2">
        <f>P3569*8.5%</f>
        <v>5189.25</v>
      </c>
    </row>
    <row r="3570" spans="1:17" hidden="1" x14ac:dyDescent="0.4">
      <c r="A3570" s="4" t="s">
        <v>23</v>
      </c>
      <c r="B3570" s="4" t="s">
        <v>14</v>
      </c>
      <c r="C3570" s="31" t="s">
        <v>435</v>
      </c>
      <c r="D3570" s="4" t="s">
        <v>24</v>
      </c>
      <c r="E3570" s="4" t="s">
        <v>16</v>
      </c>
      <c r="F3570" s="4" t="s">
        <v>17</v>
      </c>
      <c r="G3570" s="4" t="s">
        <v>18</v>
      </c>
      <c r="H3570" s="4" t="s">
        <v>328</v>
      </c>
      <c r="I3570" s="5" t="str">
        <f t="shared" si="55"/>
        <v>2026-02</v>
      </c>
      <c r="J3570" s="4" t="s">
        <v>34</v>
      </c>
      <c r="K3570" s="5" t="s">
        <v>342</v>
      </c>
      <c r="L3570" s="2">
        <v>55500</v>
      </c>
      <c r="M3570" s="3">
        <v>4</v>
      </c>
      <c r="N3570" s="2">
        <v>222000</v>
      </c>
      <c r="O3570" s="2">
        <v>22200</v>
      </c>
      <c r="P3570" s="2">
        <v>244200</v>
      </c>
      <c r="Q3570" s="2">
        <f>P3570*8.5%</f>
        <v>20757</v>
      </c>
    </row>
    <row r="3571" spans="1:17" hidden="1" x14ac:dyDescent="0.4">
      <c r="A3571" s="4" t="s">
        <v>40</v>
      </c>
      <c r="B3571" s="4" t="s">
        <v>26</v>
      </c>
      <c r="C3571" s="32" t="s">
        <v>436</v>
      </c>
      <c r="D3571" s="4" t="s">
        <v>41</v>
      </c>
      <c r="E3571" s="4" t="s">
        <v>28</v>
      </c>
      <c r="F3571" s="4" t="s">
        <v>17</v>
      </c>
      <c r="G3571" s="4" t="s">
        <v>18</v>
      </c>
      <c r="H3571" s="4" t="s">
        <v>328</v>
      </c>
      <c r="I3571" s="5" t="str">
        <f t="shared" si="55"/>
        <v>2026-02</v>
      </c>
      <c r="J3571" s="4" t="s">
        <v>34</v>
      </c>
      <c r="K3571" s="5" t="s">
        <v>342</v>
      </c>
      <c r="L3571" s="2">
        <v>17936</v>
      </c>
      <c r="M3571" s="3">
        <v>2</v>
      </c>
      <c r="N3571" s="2">
        <v>35872</v>
      </c>
      <c r="O3571" s="2">
        <v>3587</v>
      </c>
      <c r="P3571" s="2">
        <v>39459</v>
      </c>
      <c r="Q3571" s="2">
        <f>P3571*8.5%</f>
        <v>3354.0150000000003</v>
      </c>
    </row>
    <row r="3572" spans="1:17" hidden="1" x14ac:dyDescent="0.4">
      <c r="A3572" s="4" t="s">
        <v>42</v>
      </c>
      <c r="B3572" s="4" t="s">
        <v>14</v>
      </c>
      <c r="C3572" s="30" t="s">
        <v>434</v>
      </c>
      <c r="D3572" s="4" t="s">
        <v>43</v>
      </c>
      <c r="E3572" s="4" t="s">
        <v>44</v>
      </c>
      <c r="F3572" s="4" t="s">
        <v>31</v>
      </c>
      <c r="G3572" s="4" t="s">
        <v>18</v>
      </c>
      <c r="H3572" s="4" t="s">
        <v>328</v>
      </c>
      <c r="I3572" s="5" t="str">
        <f t="shared" si="55"/>
        <v>2026-02</v>
      </c>
      <c r="J3572" s="4" t="s">
        <v>34</v>
      </c>
      <c r="K3572" s="5" t="s">
        <v>342</v>
      </c>
      <c r="L3572" s="2">
        <v>7300</v>
      </c>
      <c r="M3572" s="3">
        <v>49.8</v>
      </c>
      <c r="N3572" s="2">
        <v>363540</v>
      </c>
      <c r="O3572" s="2">
        <v>0</v>
      </c>
      <c r="P3572" s="2">
        <v>363540</v>
      </c>
      <c r="Q3572" s="2">
        <f>P3572*8.5%</f>
        <v>30900.9</v>
      </c>
    </row>
    <row r="3573" spans="1:17" x14ac:dyDescent="0.4">
      <c r="A3573" s="4" t="s">
        <v>13</v>
      </c>
      <c r="B3573" s="4" t="s">
        <v>14</v>
      </c>
      <c r="C3573" s="30" t="s">
        <v>434</v>
      </c>
      <c r="D3573" s="4" t="s">
        <v>15</v>
      </c>
      <c r="E3573" s="4" t="s">
        <v>16</v>
      </c>
      <c r="F3573" s="4" t="s">
        <v>17</v>
      </c>
      <c r="G3573" s="4" t="s">
        <v>18</v>
      </c>
      <c r="H3573" s="4" t="s">
        <v>329</v>
      </c>
      <c r="I3573" s="5" t="str">
        <f t="shared" si="55"/>
        <v>2026-02</v>
      </c>
      <c r="J3573" s="4" t="s">
        <v>20</v>
      </c>
      <c r="K3573" s="5" t="s">
        <v>342</v>
      </c>
      <c r="L3573" s="2">
        <v>42000</v>
      </c>
      <c r="M3573" s="3">
        <v>1</v>
      </c>
      <c r="N3573" s="2">
        <v>42000</v>
      </c>
      <c r="O3573" s="2">
        <v>4200</v>
      </c>
      <c r="P3573" s="2">
        <v>46200</v>
      </c>
      <c r="Q3573" s="2">
        <f>P3573*8.5%</f>
        <v>3927.0000000000005</v>
      </c>
    </row>
    <row r="3574" spans="1:17" x14ac:dyDescent="0.4">
      <c r="A3574" s="4" t="s">
        <v>21</v>
      </c>
      <c r="B3574" s="4" t="s">
        <v>14</v>
      </c>
      <c r="C3574" s="31" t="s">
        <v>435</v>
      </c>
      <c r="D3574" s="4" t="s">
        <v>22</v>
      </c>
      <c r="E3574" s="4" t="s">
        <v>16</v>
      </c>
      <c r="F3574" s="4" t="s">
        <v>17</v>
      </c>
      <c r="G3574" s="4" t="s">
        <v>18</v>
      </c>
      <c r="H3574" s="4" t="s">
        <v>329</v>
      </c>
      <c r="I3574" s="5" t="str">
        <f t="shared" si="55"/>
        <v>2026-02</v>
      </c>
      <c r="J3574" s="4" t="s">
        <v>20</v>
      </c>
      <c r="K3574" s="5" t="s">
        <v>342</v>
      </c>
      <c r="L3574" s="2">
        <v>55500</v>
      </c>
      <c r="M3574" s="3">
        <v>2</v>
      </c>
      <c r="N3574" s="2">
        <v>111000</v>
      </c>
      <c r="O3574" s="2">
        <v>11100</v>
      </c>
      <c r="P3574" s="2">
        <v>122100</v>
      </c>
      <c r="Q3574" s="2">
        <f>P3574*8.5%</f>
        <v>10378.5</v>
      </c>
    </row>
    <row r="3575" spans="1:17" x14ac:dyDescent="0.4">
      <c r="A3575" s="4" t="s">
        <v>23</v>
      </c>
      <c r="B3575" s="4" t="s">
        <v>14</v>
      </c>
      <c r="C3575" s="31" t="s">
        <v>435</v>
      </c>
      <c r="D3575" s="4" t="s">
        <v>24</v>
      </c>
      <c r="E3575" s="4" t="s">
        <v>16</v>
      </c>
      <c r="F3575" s="4" t="s">
        <v>17</v>
      </c>
      <c r="G3575" s="4" t="s">
        <v>18</v>
      </c>
      <c r="H3575" s="4" t="s">
        <v>329</v>
      </c>
      <c r="I3575" s="5" t="str">
        <f t="shared" si="55"/>
        <v>2026-02</v>
      </c>
      <c r="J3575" s="4" t="s">
        <v>20</v>
      </c>
      <c r="K3575" s="5" t="s">
        <v>342</v>
      </c>
      <c r="L3575" s="2">
        <v>55500</v>
      </c>
      <c r="M3575" s="3">
        <v>3</v>
      </c>
      <c r="N3575" s="2">
        <v>166500</v>
      </c>
      <c r="O3575" s="2">
        <v>16650</v>
      </c>
      <c r="P3575" s="2">
        <v>183150</v>
      </c>
      <c r="Q3575" s="2">
        <f>P3575*8.5%</f>
        <v>15567.750000000002</v>
      </c>
    </row>
    <row r="3576" spans="1:17" hidden="1" x14ac:dyDescent="0.4">
      <c r="A3576" s="4" t="s">
        <v>32</v>
      </c>
      <c r="B3576" s="4" t="s">
        <v>14</v>
      </c>
      <c r="C3576" s="31" t="s">
        <v>435</v>
      </c>
      <c r="D3576" s="4" t="s">
        <v>33</v>
      </c>
      <c r="E3576" s="4" t="s">
        <v>16</v>
      </c>
      <c r="F3576" s="4" t="s">
        <v>17</v>
      </c>
      <c r="G3576" s="4" t="s">
        <v>18</v>
      </c>
      <c r="H3576" s="4" t="s">
        <v>329</v>
      </c>
      <c r="I3576" s="5" t="str">
        <f t="shared" si="55"/>
        <v>2026-02</v>
      </c>
      <c r="J3576" s="4" t="s">
        <v>34</v>
      </c>
      <c r="K3576" s="5" t="s">
        <v>342</v>
      </c>
      <c r="L3576" s="2">
        <v>44000</v>
      </c>
      <c r="M3576" s="3">
        <v>2</v>
      </c>
      <c r="N3576" s="2">
        <v>88000</v>
      </c>
      <c r="O3576" s="2">
        <v>8800</v>
      </c>
      <c r="P3576" s="2">
        <v>96800</v>
      </c>
      <c r="Q3576" s="2">
        <f>P3576*8.5%</f>
        <v>8228</v>
      </c>
    </row>
    <row r="3577" spans="1:17" hidden="1" x14ac:dyDescent="0.4">
      <c r="A3577" s="4" t="s">
        <v>21</v>
      </c>
      <c r="B3577" s="4" t="s">
        <v>14</v>
      </c>
      <c r="C3577" s="31" t="s">
        <v>435</v>
      </c>
      <c r="D3577" s="4" t="s">
        <v>22</v>
      </c>
      <c r="E3577" s="4" t="s">
        <v>16</v>
      </c>
      <c r="F3577" s="4" t="s">
        <v>17</v>
      </c>
      <c r="G3577" s="4" t="s">
        <v>18</v>
      </c>
      <c r="H3577" s="4" t="s">
        <v>329</v>
      </c>
      <c r="I3577" s="5" t="str">
        <f t="shared" si="55"/>
        <v>2026-02</v>
      </c>
      <c r="J3577" s="4" t="s">
        <v>34</v>
      </c>
      <c r="K3577" s="5" t="s">
        <v>342</v>
      </c>
      <c r="L3577" s="2">
        <v>55500</v>
      </c>
      <c r="M3577" s="3">
        <v>1</v>
      </c>
      <c r="N3577" s="2">
        <v>55500</v>
      </c>
      <c r="O3577" s="2">
        <v>5550</v>
      </c>
      <c r="P3577" s="2">
        <v>61050</v>
      </c>
      <c r="Q3577" s="2">
        <f>P3577*8.5%</f>
        <v>5189.25</v>
      </c>
    </row>
    <row r="3578" spans="1:17" hidden="1" x14ac:dyDescent="0.4">
      <c r="A3578" s="4" t="s">
        <v>23</v>
      </c>
      <c r="B3578" s="4" t="s">
        <v>14</v>
      </c>
      <c r="C3578" s="31" t="s">
        <v>435</v>
      </c>
      <c r="D3578" s="4" t="s">
        <v>24</v>
      </c>
      <c r="E3578" s="4" t="s">
        <v>16</v>
      </c>
      <c r="F3578" s="4" t="s">
        <v>17</v>
      </c>
      <c r="G3578" s="4" t="s">
        <v>18</v>
      </c>
      <c r="H3578" s="4" t="s">
        <v>329</v>
      </c>
      <c r="I3578" s="5" t="str">
        <f t="shared" si="55"/>
        <v>2026-02</v>
      </c>
      <c r="J3578" s="4" t="s">
        <v>34</v>
      </c>
      <c r="K3578" s="5" t="s">
        <v>342</v>
      </c>
      <c r="L3578" s="2">
        <v>55500</v>
      </c>
      <c r="M3578" s="3">
        <v>3</v>
      </c>
      <c r="N3578" s="2">
        <v>166500</v>
      </c>
      <c r="O3578" s="2">
        <v>16650</v>
      </c>
      <c r="P3578" s="2">
        <v>183150</v>
      </c>
      <c r="Q3578" s="2">
        <f>P3578*8.5%</f>
        <v>15567.750000000002</v>
      </c>
    </row>
    <row r="3579" spans="1:17" hidden="1" x14ac:dyDescent="0.4">
      <c r="A3579" s="4" t="s">
        <v>51</v>
      </c>
      <c r="B3579" s="4" t="s">
        <v>14</v>
      </c>
      <c r="C3579" s="30" t="s">
        <v>434</v>
      </c>
      <c r="D3579" s="4" t="s">
        <v>52</v>
      </c>
      <c r="E3579" s="4" t="s">
        <v>16</v>
      </c>
      <c r="F3579" s="4" t="s">
        <v>17</v>
      </c>
      <c r="G3579" s="4" t="s">
        <v>18</v>
      </c>
      <c r="H3579" s="4" t="s">
        <v>329</v>
      </c>
      <c r="I3579" s="5" t="str">
        <f t="shared" si="55"/>
        <v>2026-02</v>
      </c>
      <c r="J3579" s="4" t="s">
        <v>34</v>
      </c>
      <c r="K3579" s="5" t="s">
        <v>342</v>
      </c>
      <c r="L3579" s="2">
        <v>73000</v>
      </c>
      <c r="M3579" s="3">
        <v>1</v>
      </c>
      <c r="N3579" s="2">
        <v>73000</v>
      </c>
      <c r="O3579" s="2">
        <v>7300</v>
      </c>
      <c r="P3579" s="2">
        <v>80300</v>
      </c>
      <c r="Q3579" s="2">
        <f>P3579*8.5%</f>
        <v>6825.5000000000009</v>
      </c>
    </row>
    <row r="3580" spans="1:17" hidden="1" x14ac:dyDescent="0.4">
      <c r="A3580" s="4" t="s">
        <v>324</v>
      </c>
      <c r="B3580" s="4" t="s">
        <v>26</v>
      </c>
      <c r="C3580" s="32" t="s">
        <v>436</v>
      </c>
      <c r="D3580" s="4" t="s">
        <v>71</v>
      </c>
      <c r="E3580" s="4" t="s">
        <v>28</v>
      </c>
      <c r="F3580" s="4" t="s">
        <v>31</v>
      </c>
      <c r="G3580" s="4" t="s">
        <v>18</v>
      </c>
      <c r="H3580" s="4" t="s">
        <v>329</v>
      </c>
      <c r="I3580" s="5" t="str">
        <f t="shared" si="55"/>
        <v>2026-02</v>
      </c>
      <c r="J3580" s="4" t="s">
        <v>34</v>
      </c>
      <c r="K3580" s="5" t="s">
        <v>342</v>
      </c>
      <c r="L3580" s="2">
        <v>6624</v>
      </c>
      <c r="M3580" s="3">
        <v>2</v>
      </c>
      <c r="N3580" s="2">
        <v>13248</v>
      </c>
      <c r="O3580" s="2">
        <v>0</v>
      </c>
      <c r="P3580" s="2">
        <v>13248</v>
      </c>
      <c r="Q3580" s="2">
        <f>P3580*8.5%</f>
        <v>1126.0800000000002</v>
      </c>
    </row>
    <row r="3581" spans="1:17" hidden="1" x14ac:dyDescent="0.4">
      <c r="A3581" s="4" t="s">
        <v>42</v>
      </c>
      <c r="B3581" s="4" t="s">
        <v>14</v>
      </c>
      <c r="C3581" s="30" t="s">
        <v>434</v>
      </c>
      <c r="D3581" s="4" t="s">
        <v>43</v>
      </c>
      <c r="E3581" s="4" t="s">
        <v>44</v>
      </c>
      <c r="F3581" s="4" t="s">
        <v>31</v>
      </c>
      <c r="G3581" s="4" t="s">
        <v>18</v>
      </c>
      <c r="H3581" s="4" t="s">
        <v>329</v>
      </c>
      <c r="I3581" s="5" t="str">
        <f t="shared" si="55"/>
        <v>2026-02</v>
      </c>
      <c r="J3581" s="4" t="s">
        <v>34</v>
      </c>
      <c r="K3581" s="5" t="s">
        <v>342</v>
      </c>
      <c r="L3581" s="2">
        <v>7300</v>
      </c>
      <c r="M3581" s="3">
        <v>30.1</v>
      </c>
      <c r="N3581" s="2">
        <v>219730</v>
      </c>
      <c r="O3581" s="2">
        <v>0</v>
      </c>
      <c r="P3581" s="2">
        <v>219730</v>
      </c>
      <c r="Q3581" s="2">
        <f>P3581*8.5%</f>
        <v>18677.050000000003</v>
      </c>
    </row>
    <row r="3582" spans="1:17" hidden="1" x14ac:dyDescent="0.4">
      <c r="A3582" s="4" t="s">
        <v>32</v>
      </c>
      <c r="B3582" s="4" t="s">
        <v>14</v>
      </c>
      <c r="C3582" s="31" t="s">
        <v>435</v>
      </c>
      <c r="D3582" s="4" t="s">
        <v>33</v>
      </c>
      <c r="E3582" s="4" t="s">
        <v>16</v>
      </c>
      <c r="F3582" s="4" t="s">
        <v>17</v>
      </c>
      <c r="G3582" s="4" t="s">
        <v>18</v>
      </c>
      <c r="H3582" s="4" t="s">
        <v>329</v>
      </c>
      <c r="I3582" s="5" t="str">
        <f t="shared" si="55"/>
        <v>2026-02</v>
      </c>
      <c r="J3582" s="4" t="s">
        <v>49</v>
      </c>
      <c r="K3582" s="5" t="s">
        <v>343</v>
      </c>
      <c r="L3582" s="2">
        <v>44000</v>
      </c>
      <c r="M3582" s="3">
        <v>5</v>
      </c>
      <c r="N3582" s="2">
        <v>220000</v>
      </c>
      <c r="O3582" s="2">
        <v>22000</v>
      </c>
      <c r="P3582" s="2">
        <v>242000</v>
      </c>
      <c r="Q3582" s="2">
        <f>P3582*12%</f>
        <v>29040</v>
      </c>
    </row>
    <row r="3583" spans="1:17" hidden="1" x14ac:dyDescent="0.4">
      <c r="A3583" s="4" t="s">
        <v>13</v>
      </c>
      <c r="B3583" s="4" t="s">
        <v>14</v>
      </c>
      <c r="C3583" s="30" t="s">
        <v>434</v>
      </c>
      <c r="D3583" s="4" t="s">
        <v>15</v>
      </c>
      <c r="E3583" s="4" t="s">
        <v>16</v>
      </c>
      <c r="F3583" s="4" t="s">
        <v>17</v>
      </c>
      <c r="G3583" s="4" t="s">
        <v>18</v>
      </c>
      <c r="H3583" s="4" t="s">
        <v>329</v>
      </c>
      <c r="I3583" s="5" t="str">
        <f t="shared" si="55"/>
        <v>2026-02</v>
      </c>
      <c r="J3583" s="4" t="s">
        <v>49</v>
      </c>
      <c r="K3583" s="5" t="s">
        <v>343</v>
      </c>
      <c r="L3583" s="2">
        <v>42000</v>
      </c>
      <c r="M3583" s="3">
        <v>5</v>
      </c>
      <c r="N3583" s="2">
        <v>210000</v>
      </c>
      <c r="O3583" s="2">
        <v>21000</v>
      </c>
      <c r="P3583" s="2">
        <v>231000</v>
      </c>
      <c r="Q3583" s="2">
        <f>P3583*12%</f>
        <v>27720</v>
      </c>
    </row>
    <row r="3584" spans="1:17" hidden="1" x14ac:dyDescent="0.4">
      <c r="A3584" s="4" t="s">
        <v>35</v>
      </c>
      <c r="B3584" s="4" t="s">
        <v>14</v>
      </c>
      <c r="C3584" s="30" t="s">
        <v>434</v>
      </c>
      <c r="D3584" s="4" t="s">
        <v>36</v>
      </c>
      <c r="E3584" s="4" t="s">
        <v>16</v>
      </c>
      <c r="F3584" s="4" t="s">
        <v>17</v>
      </c>
      <c r="G3584" s="4" t="s">
        <v>18</v>
      </c>
      <c r="H3584" s="4" t="s">
        <v>329</v>
      </c>
      <c r="I3584" s="5" t="str">
        <f t="shared" si="55"/>
        <v>2026-02</v>
      </c>
      <c r="J3584" s="4" t="s">
        <v>49</v>
      </c>
      <c r="K3584" s="5" t="s">
        <v>343</v>
      </c>
      <c r="L3584" s="2">
        <v>116220</v>
      </c>
      <c r="M3584" s="3">
        <v>1</v>
      </c>
      <c r="N3584" s="2">
        <v>116220</v>
      </c>
      <c r="O3584" s="2">
        <v>11622</v>
      </c>
      <c r="P3584" s="2">
        <v>127842</v>
      </c>
      <c r="Q3584" s="2">
        <f>P3584*12%</f>
        <v>15341.039999999999</v>
      </c>
    </row>
    <row r="3585" spans="1:17" hidden="1" x14ac:dyDescent="0.4">
      <c r="A3585" s="4" t="s">
        <v>23</v>
      </c>
      <c r="B3585" s="4" t="s">
        <v>14</v>
      </c>
      <c r="C3585" s="31" t="s">
        <v>435</v>
      </c>
      <c r="D3585" s="4" t="s">
        <v>24</v>
      </c>
      <c r="E3585" s="4" t="s">
        <v>16</v>
      </c>
      <c r="F3585" s="4" t="s">
        <v>17</v>
      </c>
      <c r="G3585" s="4" t="s">
        <v>18</v>
      </c>
      <c r="H3585" s="4" t="s">
        <v>329</v>
      </c>
      <c r="I3585" s="5" t="str">
        <f t="shared" si="55"/>
        <v>2026-02</v>
      </c>
      <c r="J3585" s="4" t="s">
        <v>49</v>
      </c>
      <c r="K3585" s="5" t="s">
        <v>343</v>
      </c>
      <c r="L3585" s="2">
        <v>55500</v>
      </c>
      <c r="M3585" s="3">
        <v>3</v>
      </c>
      <c r="N3585" s="2">
        <v>166500</v>
      </c>
      <c r="O3585" s="2">
        <v>16650</v>
      </c>
      <c r="P3585" s="2">
        <v>183150</v>
      </c>
      <c r="Q3585" s="2">
        <f>P3585*12%</f>
        <v>21978</v>
      </c>
    </row>
    <row r="3586" spans="1:17" hidden="1" x14ac:dyDescent="0.4">
      <c r="A3586" s="4" t="s">
        <v>23</v>
      </c>
      <c r="B3586" s="4" t="s">
        <v>14</v>
      </c>
      <c r="C3586" s="31" t="s">
        <v>435</v>
      </c>
      <c r="D3586" s="4" t="s">
        <v>24</v>
      </c>
      <c r="E3586" s="4" t="s">
        <v>16</v>
      </c>
      <c r="F3586" s="4" t="s">
        <v>17</v>
      </c>
      <c r="G3586" s="4" t="s">
        <v>18</v>
      </c>
      <c r="H3586" s="4" t="s">
        <v>330</v>
      </c>
      <c r="I3586" s="5" t="str">
        <f t="shared" ref="I3586:I3649" si="56">TEXT(H3586,"yyyy-mm")</f>
        <v>2026-02</v>
      </c>
      <c r="J3586" s="4" t="s">
        <v>60</v>
      </c>
      <c r="K3586" s="5" t="s">
        <v>343</v>
      </c>
      <c r="L3586" s="2">
        <v>55500</v>
      </c>
      <c r="M3586" s="3">
        <v>7</v>
      </c>
      <c r="N3586" s="2">
        <v>388500</v>
      </c>
      <c r="O3586" s="2">
        <v>38850</v>
      </c>
      <c r="P3586" s="2">
        <v>427350</v>
      </c>
      <c r="Q3586" s="2">
        <f>P3586*12%</f>
        <v>51282</v>
      </c>
    </row>
    <row r="3587" spans="1:17" hidden="1" x14ac:dyDescent="0.4">
      <c r="A3587" s="4" t="s">
        <v>13</v>
      </c>
      <c r="B3587" s="4" t="s">
        <v>14</v>
      </c>
      <c r="C3587" s="30" t="s">
        <v>434</v>
      </c>
      <c r="D3587" s="4" t="s">
        <v>15</v>
      </c>
      <c r="E3587" s="4" t="s">
        <v>16</v>
      </c>
      <c r="F3587" s="4" t="s">
        <v>17</v>
      </c>
      <c r="G3587" s="4" t="s">
        <v>18</v>
      </c>
      <c r="H3587" s="4" t="s">
        <v>331</v>
      </c>
      <c r="I3587" s="5" t="str">
        <f t="shared" si="56"/>
        <v>2026-02</v>
      </c>
      <c r="J3587" s="4" t="s">
        <v>34</v>
      </c>
      <c r="K3587" s="5" t="s">
        <v>342</v>
      </c>
      <c r="L3587" s="2">
        <v>42000</v>
      </c>
      <c r="M3587" s="3">
        <v>5</v>
      </c>
      <c r="N3587" s="2">
        <v>210000</v>
      </c>
      <c r="O3587" s="2">
        <v>21000</v>
      </c>
      <c r="P3587" s="2">
        <v>231000</v>
      </c>
      <c r="Q3587" s="2">
        <f>P3587*8.5%</f>
        <v>19635</v>
      </c>
    </row>
    <row r="3588" spans="1:17" hidden="1" x14ac:dyDescent="0.4">
      <c r="A3588" s="4" t="s">
        <v>23</v>
      </c>
      <c r="B3588" s="4" t="s">
        <v>14</v>
      </c>
      <c r="C3588" s="31" t="s">
        <v>435</v>
      </c>
      <c r="D3588" s="4" t="s">
        <v>24</v>
      </c>
      <c r="E3588" s="4" t="s">
        <v>16</v>
      </c>
      <c r="F3588" s="4" t="s">
        <v>17</v>
      </c>
      <c r="G3588" s="4" t="s">
        <v>18</v>
      </c>
      <c r="H3588" s="4" t="s">
        <v>331</v>
      </c>
      <c r="I3588" s="5" t="str">
        <f t="shared" si="56"/>
        <v>2026-02</v>
      </c>
      <c r="J3588" s="4" t="s">
        <v>34</v>
      </c>
      <c r="K3588" s="5" t="s">
        <v>342</v>
      </c>
      <c r="L3588" s="2">
        <v>55500</v>
      </c>
      <c r="M3588" s="3">
        <v>3</v>
      </c>
      <c r="N3588" s="2">
        <v>166500</v>
      </c>
      <c r="O3588" s="2">
        <v>16650</v>
      </c>
      <c r="P3588" s="2">
        <v>183150</v>
      </c>
      <c r="Q3588" s="2">
        <f>P3588*8.5%</f>
        <v>15567.750000000002</v>
      </c>
    </row>
    <row r="3589" spans="1:17" hidden="1" x14ac:dyDescent="0.4">
      <c r="A3589" s="4" t="s">
        <v>42</v>
      </c>
      <c r="B3589" s="4" t="s">
        <v>14</v>
      </c>
      <c r="C3589" s="30" t="s">
        <v>434</v>
      </c>
      <c r="D3589" s="4" t="s">
        <v>43</v>
      </c>
      <c r="E3589" s="4" t="s">
        <v>44</v>
      </c>
      <c r="F3589" s="4" t="s">
        <v>31</v>
      </c>
      <c r="G3589" s="4" t="s">
        <v>18</v>
      </c>
      <c r="H3589" s="4" t="s">
        <v>331</v>
      </c>
      <c r="I3589" s="5" t="str">
        <f t="shared" si="56"/>
        <v>2026-02</v>
      </c>
      <c r="J3589" s="4" t="s">
        <v>34</v>
      </c>
      <c r="K3589" s="5" t="s">
        <v>342</v>
      </c>
      <c r="L3589" s="2">
        <v>7300</v>
      </c>
      <c r="M3589" s="3">
        <v>50.7</v>
      </c>
      <c r="N3589" s="2">
        <v>370110</v>
      </c>
      <c r="O3589" s="2">
        <v>0</v>
      </c>
      <c r="P3589" s="2">
        <v>370110</v>
      </c>
      <c r="Q3589" s="2">
        <f>P3589*8.5%</f>
        <v>31459.350000000002</v>
      </c>
    </row>
    <row r="3590" spans="1:17" x14ac:dyDescent="0.4">
      <c r="A3590" s="4" t="s">
        <v>58</v>
      </c>
      <c r="B3590" s="4" t="s">
        <v>14</v>
      </c>
      <c r="C3590" s="30" t="s">
        <v>434</v>
      </c>
      <c r="D3590" s="4" t="s">
        <v>36</v>
      </c>
      <c r="E3590" s="4" t="s">
        <v>16</v>
      </c>
      <c r="F3590" s="4" t="s">
        <v>17</v>
      </c>
      <c r="G3590" s="4" t="s">
        <v>18</v>
      </c>
      <c r="H3590" s="4" t="s">
        <v>332</v>
      </c>
      <c r="I3590" s="5" t="str">
        <f t="shared" si="56"/>
        <v>2026-02</v>
      </c>
      <c r="J3590" s="4" t="s">
        <v>20</v>
      </c>
      <c r="K3590" s="5" t="s">
        <v>342</v>
      </c>
      <c r="L3590" s="2">
        <v>120880</v>
      </c>
      <c r="M3590" s="3">
        <v>1</v>
      </c>
      <c r="N3590" s="2">
        <v>120880</v>
      </c>
      <c r="O3590" s="2">
        <v>12088</v>
      </c>
      <c r="P3590" s="2">
        <v>132968</v>
      </c>
      <c r="Q3590" s="2">
        <f>P3590*8.5%</f>
        <v>11302.28</v>
      </c>
    </row>
    <row r="3591" spans="1:17" x14ac:dyDescent="0.4">
      <c r="A3591" s="4" t="s">
        <v>21</v>
      </c>
      <c r="B3591" s="4" t="s">
        <v>14</v>
      </c>
      <c r="C3591" s="31" t="s">
        <v>435</v>
      </c>
      <c r="D3591" s="4" t="s">
        <v>22</v>
      </c>
      <c r="E3591" s="4" t="s">
        <v>16</v>
      </c>
      <c r="F3591" s="4" t="s">
        <v>17</v>
      </c>
      <c r="G3591" s="4" t="s">
        <v>18</v>
      </c>
      <c r="H3591" s="4" t="s">
        <v>332</v>
      </c>
      <c r="I3591" s="5" t="str">
        <f t="shared" si="56"/>
        <v>2026-02</v>
      </c>
      <c r="J3591" s="4" t="s">
        <v>20</v>
      </c>
      <c r="K3591" s="5" t="s">
        <v>342</v>
      </c>
      <c r="L3591" s="2">
        <v>55500</v>
      </c>
      <c r="M3591" s="3">
        <v>1</v>
      </c>
      <c r="N3591" s="2">
        <v>55500</v>
      </c>
      <c r="O3591" s="2">
        <v>5550</v>
      </c>
      <c r="P3591" s="2">
        <v>61050</v>
      </c>
      <c r="Q3591" s="2">
        <f>P3591*8.5%</f>
        <v>5189.25</v>
      </c>
    </row>
    <row r="3592" spans="1:17" x14ac:dyDescent="0.4">
      <c r="A3592" s="4" t="s">
        <v>23</v>
      </c>
      <c r="B3592" s="4" t="s">
        <v>14</v>
      </c>
      <c r="C3592" s="31" t="s">
        <v>435</v>
      </c>
      <c r="D3592" s="4" t="s">
        <v>24</v>
      </c>
      <c r="E3592" s="4" t="s">
        <v>16</v>
      </c>
      <c r="F3592" s="4" t="s">
        <v>17</v>
      </c>
      <c r="G3592" s="4" t="s">
        <v>18</v>
      </c>
      <c r="H3592" s="4" t="s">
        <v>332</v>
      </c>
      <c r="I3592" s="5" t="str">
        <f t="shared" si="56"/>
        <v>2026-02</v>
      </c>
      <c r="J3592" s="4" t="s">
        <v>20</v>
      </c>
      <c r="K3592" s="5" t="s">
        <v>342</v>
      </c>
      <c r="L3592" s="2">
        <v>55500</v>
      </c>
      <c r="M3592" s="3">
        <v>2</v>
      </c>
      <c r="N3592" s="2">
        <v>111000</v>
      </c>
      <c r="O3592" s="2">
        <v>11100</v>
      </c>
      <c r="P3592" s="2">
        <v>122100</v>
      </c>
      <c r="Q3592" s="2">
        <f>P3592*8.5%</f>
        <v>10378.5</v>
      </c>
    </row>
    <row r="3593" spans="1:17" x14ac:dyDescent="0.4">
      <c r="A3593" s="4" t="s">
        <v>56</v>
      </c>
      <c r="B3593" s="4" t="s">
        <v>26</v>
      </c>
      <c r="C3593" s="32" t="s">
        <v>436</v>
      </c>
      <c r="D3593" s="4" t="s">
        <v>57</v>
      </c>
      <c r="E3593" s="4" t="s">
        <v>44</v>
      </c>
      <c r="F3593" s="4" t="s">
        <v>31</v>
      </c>
      <c r="G3593" s="4" t="s">
        <v>18</v>
      </c>
      <c r="H3593" s="4" t="s">
        <v>332</v>
      </c>
      <c r="I3593" s="5" t="str">
        <f t="shared" si="56"/>
        <v>2026-02</v>
      </c>
      <c r="J3593" s="4" t="s">
        <v>20</v>
      </c>
      <c r="K3593" s="5" t="s">
        <v>342</v>
      </c>
      <c r="L3593" s="2">
        <v>2368</v>
      </c>
      <c r="M3593" s="3">
        <v>15</v>
      </c>
      <c r="N3593" s="2">
        <v>35520</v>
      </c>
      <c r="O3593" s="2">
        <v>0</v>
      </c>
      <c r="P3593" s="2">
        <v>35520</v>
      </c>
      <c r="Q3593" s="2">
        <f>P3593*8.5%</f>
        <v>3019.2000000000003</v>
      </c>
    </row>
    <row r="3594" spans="1:17" hidden="1" x14ac:dyDescent="0.4">
      <c r="A3594" s="4" t="s">
        <v>32</v>
      </c>
      <c r="B3594" s="4" t="s">
        <v>14</v>
      </c>
      <c r="C3594" s="31" t="s">
        <v>435</v>
      </c>
      <c r="D3594" s="4" t="s">
        <v>33</v>
      </c>
      <c r="E3594" s="4" t="s">
        <v>16</v>
      </c>
      <c r="F3594" s="4" t="s">
        <v>17</v>
      </c>
      <c r="G3594" s="4" t="s">
        <v>18</v>
      </c>
      <c r="H3594" s="4" t="s">
        <v>332</v>
      </c>
      <c r="I3594" s="5" t="str">
        <f t="shared" si="56"/>
        <v>2026-02</v>
      </c>
      <c r="J3594" s="4" t="s">
        <v>49</v>
      </c>
      <c r="K3594" s="5" t="s">
        <v>343</v>
      </c>
      <c r="L3594" s="2">
        <v>44000</v>
      </c>
      <c r="M3594" s="3">
        <v>4</v>
      </c>
      <c r="N3594" s="2">
        <v>176000</v>
      </c>
      <c r="O3594" s="2">
        <v>17600</v>
      </c>
      <c r="P3594" s="2">
        <v>193600</v>
      </c>
      <c r="Q3594" s="2">
        <f>P3594*12%</f>
        <v>23232</v>
      </c>
    </row>
    <row r="3595" spans="1:17" hidden="1" x14ac:dyDescent="0.4">
      <c r="A3595" s="4" t="s">
        <v>35</v>
      </c>
      <c r="B3595" s="4" t="s">
        <v>14</v>
      </c>
      <c r="C3595" s="30" t="s">
        <v>434</v>
      </c>
      <c r="D3595" s="4" t="s">
        <v>36</v>
      </c>
      <c r="E3595" s="4" t="s">
        <v>16</v>
      </c>
      <c r="F3595" s="4" t="s">
        <v>17</v>
      </c>
      <c r="G3595" s="4" t="s">
        <v>18</v>
      </c>
      <c r="H3595" s="4" t="s">
        <v>332</v>
      </c>
      <c r="I3595" s="5" t="str">
        <f t="shared" si="56"/>
        <v>2026-02</v>
      </c>
      <c r="J3595" s="4" t="s">
        <v>49</v>
      </c>
      <c r="K3595" s="5" t="s">
        <v>343</v>
      </c>
      <c r="L3595" s="2">
        <v>116220</v>
      </c>
      <c r="M3595" s="3">
        <v>1</v>
      </c>
      <c r="N3595" s="2">
        <v>116220</v>
      </c>
      <c r="O3595" s="2">
        <v>11622</v>
      </c>
      <c r="P3595" s="2">
        <v>127842</v>
      </c>
      <c r="Q3595" s="2">
        <f>P3595*12%</f>
        <v>15341.039999999999</v>
      </c>
    </row>
    <row r="3596" spans="1:17" hidden="1" x14ac:dyDescent="0.4">
      <c r="A3596" s="4" t="s">
        <v>23</v>
      </c>
      <c r="B3596" s="4" t="s">
        <v>14</v>
      </c>
      <c r="C3596" s="31" t="s">
        <v>435</v>
      </c>
      <c r="D3596" s="4" t="s">
        <v>24</v>
      </c>
      <c r="E3596" s="4" t="s">
        <v>16</v>
      </c>
      <c r="F3596" s="4" t="s">
        <v>17</v>
      </c>
      <c r="G3596" s="4" t="s">
        <v>18</v>
      </c>
      <c r="H3596" s="4" t="s">
        <v>332</v>
      </c>
      <c r="I3596" s="5" t="str">
        <f t="shared" si="56"/>
        <v>2026-02</v>
      </c>
      <c r="J3596" s="4" t="s">
        <v>49</v>
      </c>
      <c r="K3596" s="5" t="s">
        <v>343</v>
      </c>
      <c r="L3596" s="2">
        <v>55500</v>
      </c>
      <c r="M3596" s="3">
        <v>1</v>
      </c>
      <c r="N3596" s="2">
        <v>55500</v>
      </c>
      <c r="O3596" s="2">
        <v>5550</v>
      </c>
      <c r="P3596" s="2">
        <v>61050</v>
      </c>
      <c r="Q3596" s="2">
        <f>P3596*12%</f>
        <v>7326</v>
      </c>
    </row>
    <row r="3597" spans="1:17" hidden="1" x14ac:dyDescent="0.4">
      <c r="A3597" s="4" t="s">
        <v>51</v>
      </c>
      <c r="B3597" s="4" t="s">
        <v>14</v>
      </c>
      <c r="C3597" s="30" t="s">
        <v>434</v>
      </c>
      <c r="D3597" s="4" t="s">
        <v>52</v>
      </c>
      <c r="E3597" s="4" t="s">
        <v>16</v>
      </c>
      <c r="F3597" s="4" t="s">
        <v>17</v>
      </c>
      <c r="G3597" s="4" t="s">
        <v>18</v>
      </c>
      <c r="H3597" s="4" t="s">
        <v>332</v>
      </c>
      <c r="I3597" s="5" t="str">
        <f t="shared" si="56"/>
        <v>2026-02</v>
      </c>
      <c r="J3597" s="4" t="s">
        <v>49</v>
      </c>
      <c r="K3597" s="5" t="s">
        <v>343</v>
      </c>
      <c r="L3597" s="2">
        <v>73000</v>
      </c>
      <c r="M3597" s="3">
        <v>1</v>
      </c>
      <c r="N3597" s="2">
        <v>73000</v>
      </c>
      <c r="O3597" s="2">
        <v>7300</v>
      </c>
      <c r="P3597" s="2">
        <v>80300</v>
      </c>
      <c r="Q3597" s="2">
        <f>P3597*12%</f>
        <v>9636</v>
      </c>
    </row>
    <row r="3598" spans="1:17" x14ac:dyDescent="0.4">
      <c r="A3598" s="4" t="s">
        <v>13</v>
      </c>
      <c r="B3598" s="4" t="s">
        <v>14</v>
      </c>
      <c r="C3598" s="30" t="s">
        <v>434</v>
      </c>
      <c r="D3598" s="4" t="s">
        <v>15</v>
      </c>
      <c r="E3598" s="4" t="s">
        <v>16</v>
      </c>
      <c r="F3598" s="4" t="s">
        <v>17</v>
      </c>
      <c r="G3598" s="4" t="s">
        <v>18</v>
      </c>
      <c r="H3598" s="4" t="s">
        <v>333</v>
      </c>
      <c r="I3598" s="5" t="str">
        <f t="shared" si="56"/>
        <v>2026-02</v>
      </c>
      <c r="J3598" s="4" t="s">
        <v>20</v>
      </c>
      <c r="K3598" s="5" t="s">
        <v>342</v>
      </c>
      <c r="L3598" s="2">
        <v>42000</v>
      </c>
      <c r="M3598" s="3">
        <v>1</v>
      </c>
      <c r="N3598" s="2">
        <v>42000</v>
      </c>
      <c r="O3598" s="2">
        <v>4200</v>
      </c>
      <c r="P3598" s="2">
        <v>46200</v>
      </c>
      <c r="Q3598" s="2">
        <f>P3598*8.5%</f>
        <v>3927.0000000000005</v>
      </c>
    </row>
    <row r="3599" spans="1:17" x14ac:dyDescent="0.4">
      <c r="A3599" s="4" t="s">
        <v>21</v>
      </c>
      <c r="B3599" s="4" t="s">
        <v>14</v>
      </c>
      <c r="C3599" s="31" t="s">
        <v>435</v>
      </c>
      <c r="D3599" s="4" t="s">
        <v>22</v>
      </c>
      <c r="E3599" s="4" t="s">
        <v>16</v>
      </c>
      <c r="F3599" s="4" t="s">
        <v>17</v>
      </c>
      <c r="G3599" s="4" t="s">
        <v>18</v>
      </c>
      <c r="H3599" s="4" t="s">
        <v>333</v>
      </c>
      <c r="I3599" s="5" t="str">
        <f t="shared" si="56"/>
        <v>2026-02</v>
      </c>
      <c r="J3599" s="4" t="s">
        <v>20</v>
      </c>
      <c r="K3599" s="5" t="s">
        <v>342</v>
      </c>
      <c r="L3599" s="2">
        <v>55500</v>
      </c>
      <c r="M3599" s="3">
        <v>1</v>
      </c>
      <c r="N3599" s="2">
        <v>55500</v>
      </c>
      <c r="O3599" s="2">
        <v>5550</v>
      </c>
      <c r="P3599" s="2">
        <v>61050</v>
      </c>
      <c r="Q3599" s="2">
        <f>P3599*8.5%</f>
        <v>5189.25</v>
      </c>
    </row>
    <row r="3600" spans="1:17" x14ac:dyDescent="0.4">
      <c r="A3600" s="4" t="s">
        <v>23</v>
      </c>
      <c r="B3600" s="4" t="s">
        <v>14</v>
      </c>
      <c r="C3600" s="31" t="s">
        <v>435</v>
      </c>
      <c r="D3600" s="4" t="s">
        <v>24</v>
      </c>
      <c r="E3600" s="4" t="s">
        <v>16</v>
      </c>
      <c r="F3600" s="4" t="s">
        <v>17</v>
      </c>
      <c r="G3600" s="4" t="s">
        <v>18</v>
      </c>
      <c r="H3600" s="4" t="s">
        <v>333</v>
      </c>
      <c r="I3600" s="5" t="str">
        <f t="shared" si="56"/>
        <v>2026-02</v>
      </c>
      <c r="J3600" s="4" t="s">
        <v>20</v>
      </c>
      <c r="K3600" s="5" t="s">
        <v>342</v>
      </c>
      <c r="L3600" s="2">
        <v>55500</v>
      </c>
      <c r="M3600" s="3">
        <v>2</v>
      </c>
      <c r="N3600" s="2">
        <v>111000</v>
      </c>
      <c r="O3600" s="2">
        <v>11100</v>
      </c>
      <c r="P3600" s="2">
        <v>122100</v>
      </c>
      <c r="Q3600" s="2">
        <f>P3600*8.5%</f>
        <v>10378.5</v>
      </c>
    </row>
    <row r="3601" spans="1:17" x14ac:dyDescent="0.4">
      <c r="A3601" s="4" t="s">
        <v>56</v>
      </c>
      <c r="B3601" s="4" t="s">
        <v>26</v>
      </c>
      <c r="C3601" s="32" t="s">
        <v>436</v>
      </c>
      <c r="D3601" s="4" t="s">
        <v>57</v>
      </c>
      <c r="E3601" s="4" t="s">
        <v>44</v>
      </c>
      <c r="F3601" s="4" t="s">
        <v>31</v>
      </c>
      <c r="G3601" s="4" t="s">
        <v>18</v>
      </c>
      <c r="H3601" s="4" t="s">
        <v>333</v>
      </c>
      <c r="I3601" s="5" t="str">
        <f t="shared" si="56"/>
        <v>2026-02</v>
      </c>
      <c r="J3601" s="4" t="s">
        <v>20</v>
      </c>
      <c r="K3601" s="5" t="s">
        <v>342</v>
      </c>
      <c r="L3601" s="2">
        <v>2368</v>
      </c>
      <c r="M3601" s="3">
        <v>15</v>
      </c>
      <c r="N3601" s="2">
        <v>35520</v>
      </c>
      <c r="O3601" s="2">
        <v>0</v>
      </c>
      <c r="P3601" s="2">
        <v>35520</v>
      </c>
      <c r="Q3601" s="2">
        <f>P3601*8.5%</f>
        <v>3019.2000000000003</v>
      </c>
    </row>
    <row r="3602" spans="1:17" hidden="1" x14ac:dyDescent="0.4">
      <c r="A3602" s="4" t="s">
        <v>64</v>
      </c>
      <c r="B3602" s="4" t="s">
        <v>65</v>
      </c>
      <c r="C3602" s="32" t="s">
        <v>436</v>
      </c>
      <c r="D3602" s="4" t="s">
        <v>66</v>
      </c>
      <c r="E3602" s="4" t="s">
        <v>16</v>
      </c>
      <c r="F3602" s="4" t="s">
        <v>17</v>
      </c>
      <c r="G3602" s="4" t="s">
        <v>18</v>
      </c>
      <c r="H3602" s="4" t="s">
        <v>333</v>
      </c>
      <c r="I3602" s="5" t="str">
        <f t="shared" si="56"/>
        <v>2026-02</v>
      </c>
      <c r="J3602" s="4" t="s">
        <v>34</v>
      </c>
      <c r="K3602" s="5" t="s">
        <v>342</v>
      </c>
      <c r="L3602" s="2">
        <v>10283</v>
      </c>
      <c r="M3602" s="3">
        <v>1</v>
      </c>
      <c r="N3602" s="2">
        <v>10283</v>
      </c>
      <c r="O3602" s="2">
        <v>1028</v>
      </c>
      <c r="P3602" s="2">
        <v>11311</v>
      </c>
      <c r="Q3602" s="2">
        <f>P3602*8.5%</f>
        <v>961.43500000000006</v>
      </c>
    </row>
    <row r="3603" spans="1:17" hidden="1" x14ac:dyDescent="0.4">
      <c r="A3603" s="4" t="s">
        <v>32</v>
      </c>
      <c r="B3603" s="4" t="s">
        <v>14</v>
      </c>
      <c r="C3603" s="31" t="s">
        <v>435</v>
      </c>
      <c r="D3603" s="4" t="s">
        <v>33</v>
      </c>
      <c r="E3603" s="4" t="s">
        <v>16</v>
      </c>
      <c r="F3603" s="4" t="s">
        <v>17</v>
      </c>
      <c r="G3603" s="4" t="s">
        <v>18</v>
      </c>
      <c r="H3603" s="4" t="s">
        <v>333</v>
      </c>
      <c r="I3603" s="5" t="str">
        <f t="shared" si="56"/>
        <v>2026-02</v>
      </c>
      <c r="J3603" s="4" t="s">
        <v>34</v>
      </c>
      <c r="K3603" s="5" t="s">
        <v>342</v>
      </c>
      <c r="L3603" s="2">
        <v>44000</v>
      </c>
      <c r="M3603" s="3">
        <v>3</v>
      </c>
      <c r="N3603" s="2">
        <v>132000</v>
      </c>
      <c r="O3603" s="2">
        <v>13200</v>
      </c>
      <c r="P3603" s="2">
        <v>145200</v>
      </c>
      <c r="Q3603" s="2">
        <f>P3603*8.5%</f>
        <v>12342</v>
      </c>
    </row>
    <row r="3604" spans="1:17" hidden="1" x14ac:dyDescent="0.4">
      <c r="A3604" s="4" t="s">
        <v>13</v>
      </c>
      <c r="B3604" s="4" t="s">
        <v>14</v>
      </c>
      <c r="C3604" s="30" t="s">
        <v>434</v>
      </c>
      <c r="D3604" s="4" t="s">
        <v>15</v>
      </c>
      <c r="E3604" s="4" t="s">
        <v>16</v>
      </c>
      <c r="F3604" s="4" t="s">
        <v>17</v>
      </c>
      <c r="G3604" s="4" t="s">
        <v>18</v>
      </c>
      <c r="H3604" s="4" t="s">
        <v>333</v>
      </c>
      <c r="I3604" s="5" t="str">
        <f t="shared" si="56"/>
        <v>2026-02</v>
      </c>
      <c r="J3604" s="4" t="s">
        <v>34</v>
      </c>
      <c r="K3604" s="5" t="s">
        <v>342</v>
      </c>
      <c r="L3604" s="2">
        <v>42000</v>
      </c>
      <c r="M3604" s="3">
        <v>3</v>
      </c>
      <c r="N3604" s="2">
        <v>126000</v>
      </c>
      <c r="O3604" s="2">
        <v>12600</v>
      </c>
      <c r="P3604" s="2">
        <v>138600</v>
      </c>
      <c r="Q3604" s="2">
        <f>P3604*8.5%</f>
        <v>11781</v>
      </c>
    </row>
    <row r="3605" spans="1:17" hidden="1" x14ac:dyDescent="0.4">
      <c r="A3605" s="4" t="s">
        <v>21</v>
      </c>
      <c r="B3605" s="4" t="s">
        <v>14</v>
      </c>
      <c r="C3605" s="31" t="s">
        <v>435</v>
      </c>
      <c r="D3605" s="4" t="s">
        <v>22</v>
      </c>
      <c r="E3605" s="4" t="s">
        <v>16</v>
      </c>
      <c r="F3605" s="4" t="s">
        <v>17</v>
      </c>
      <c r="G3605" s="4" t="s">
        <v>18</v>
      </c>
      <c r="H3605" s="4" t="s">
        <v>333</v>
      </c>
      <c r="I3605" s="5" t="str">
        <f t="shared" si="56"/>
        <v>2026-02</v>
      </c>
      <c r="J3605" s="4" t="s">
        <v>34</v>
      </c>
      <c r="K3605" s="5" t="s">
        <v>342</v>
      </c>
      <c r="L3605" s="2">
        <v>55500</v>
      </c>
      <c r="M3605" s="3">
        <v>1</v>
      </c>
      <c r="N3605" s="2">
        <v>55500</v>
      </c>
      <c r="O3605" s="2">
        <v>5550</v>
      </c>
      <c r="P3605" s="2">
        <v>61050</v>
      </c>
      <c r="Q3605" s="2">
        <f>P3605*8.5%</f>
        <v>5189.25</v>
      </c>
    </row>
    <row r="3606" spans="1:17" hidden="1" x14ac:dyDescent="0.4">
      <c r="A3606" s="4" t="s">
        <v>23</v>
      </c>
      <c r="B3606" s="4" t="s">
        <v>14</v>
      </c>
      <c r="C3606" s="31" t="s">
        <v>435</v>
      </c>
      <c r="D3606" s="4" t="s">
        <v>24</v>
      </c>
      <c r="E3606" s="4" t="s">
        <v>16</v>
      </c>
      <c r="F3606" s="4" t="s">
        <v>17</v>
      </c>
      <c r="G3606" s="4" t="s">
        <v>18</v>
      </c>
      <c r="H3606" s="4" t="s">
        <v>333</v>
      </c>
      <c r="I3606" s="5" t="str">
        <f t="shared" si="56"/>
        <v>2026-02</v>
      </c>
      <c r="J3606" s="4" t="s">
        <v>34</v>
      </c>
      <c r="K3606" s="5" t="s">
        <v>342</v>
      </c>
      <c r="L3606" s="2">
        <v>55500</v>
      </c>
      <c r="M3606" s="3">
        <v>3</v>
      </c>
      <c r="N3606" s="2">
        <v>166500</v>
      </c>
      <c r="O3606" s="2">
        <v>16650</v>
      </c>
      <c r="P3606" s="2">
        <v>183150</v>
      </c>
      <c r="Q3606" s="2">
        <f>P3606*8.5%</f>
        <v>15567.750000000002</v>
      </c>
    </row>
    <row r="3607" spans="1:17" hidden="1" x14ac:dyDescent="0.4">
      <c r="A3607" s="4" t="s">
        <v>42</v>
      </c>
      <c r="B3607" s="4" t="s">
        <v>14</v>
      </c>
      <c r="C3607" s="30" t="s">
        <v>434</v>
      </c>
      <c r="D3607" s="4" t="s">
        <v>43</v>
      </c>
      <c r="E3607" s="4" t="s">
        <v>44</v>
      </c>
      <c r="F3607" s="4" t="s">
        <v>31</v>
      </c>
      <c r="G3607" s="4" t="s">
        <v>18</v>
      </c>
      <c r="H3607" s="4" t="s">
        <v>333</v>
      </c>
      <c r="I3607" s="5" t="str">
        <f t="shared" si="56"/>
        <v>2026-02</v>
      </c>
      <c r="J3607" s="4" t="s">
        <v>34</v>
      </c>
      <c r="K3607" s="5" t="s">
        <v>342</v>
      </c>
      <c r="L3607" s="2">
        <v>7300</v>
      </c>
      <c r="M3607" s="3">
        <v>65.099999999999994</v>
      </c>
      <c r="N3607" s="2">
        <v>475230</v>
      </c>
      <c r="O3607" s="2">
        <v>0</v>
      </c>
      <c r="P3607" s="2">
        <v>475230</v>
      </c>
      <c r="Q3607" s="2">
        <f>P3607*8.5%</f>
        <v>40394.550000000003</v>
      </c>
    </row>
    <row r="3608" spans="1:17" hidden="1" x14ac:dyDescent="0.4">
      <c r="A3608" s="4" t="s">
        <v>202</v>
      </c>
      <c r="B3608" s="4" t="s">
        <v>26</v>
      </c>
      <c r="C3608" s="32" t="s">
        <v>436</v>
      </c>
      <c r="D3608" s="4" t="s">
        <v>203</v>
      </c>
      <c r="E3608" s="4" t="s">
        <v>47</v>
      </c>
      <c r="F3608" s="4" t="s">
        <v>17</v>
      </c>
      <c r="G3608" s="4" t="s">
        <v>18</v>
      </c>
      <c r="H3608" s="4" t="s">
        <v>333</v>
      </c>
      <c r="I3608" s="5" t="str">
        <f t="shared" si="56"/>
        <v>2026-02</v>
      </c>
      <c r="J3608" s="4" t="s">
        <v>34</v>
      </c>
      <c r="K3608" s="5" t="s">
        <v>342</v>
      </c>
      <c r="L3608" s="2">
        <v>13153</v>
      </c>
      <c r="M3608" s="3">
        <v>2</v>
      </c>
      <c r="N3608" s="2">
        <v>26306</v>
      </c>
      <c r="O3608" s="2">
        <v>2631</v>
      </c>
      <c r="P3608" s="2">
        <v>28937</v>
      </c>
      <c r="Q3608" s="2">
        <f>P3608*8.5%</f>
        <v>2459.645</v>
      </c>
    </row>
    <row r="3609" spans="1:17" hidden="1" x14ac:dyDescent="0.4">
      <c r="A3609" s="4" t="s">
        <v>32</v>
      </c>
      <c r="B3609" s="4" t="s">
        <v>14</v>
      </c>
      <c r="C3609" s="31" t="s">
        <v>435</v>
      </c>
      <c r="D3609" s="4" t="s">
        <v>33</v>
      </c>
      <c r="E3609" s="4" t="s">
        <v>16</v>
      </c>
      <c r="F3609" s="4" t="s">
        <v>17</v>
      </c>
      <c r="G3609" s="4" t="s">
        <v>18</v>
      </c>
      <c r="H3609" s="4" t="s">
        <v>333</v>
      </c>
      <c r="I3609" s="5" t="str">
        <f t="shared" si="56"/>
        <v>2026-02</v>
      </c>
      <c r="J3609" s="4" t="s">
        <v>49</v>
      </c>
      <c r="K3609" s="5" t="s">
        <v>343</v>
      </c>
      <c r="L3609" s="2">
        <v>44000</v>
      </c>
      <c r="M3609" s="3">
        <v>2</v>
      </c>
      <c r="N3609" s="2">
        <v>88000</v>
      </c>
      <c r="O3609" s="2">
        <v>8800</v>
      </c>
      <c r="P3609" s="2">
        <v>96800</v>
      </c>
      <c r="Q3609" s="2">
        <f>P3609*12%</f>
        <v>11616</v>
      </c>
    </row>
    <row r="3610" spans="1:17" hidden="1" x14ac:dyDescent="0.4">
      <c r="A3610" s="4" t="s">
        <v>13</v>
      </c>
      <c r="B3610" s="4" t="s">
        <v>14</v>
      </c>
      <c r="C3610" s="30" t="s">
        <v>434</v>
      </c>
      <c r="D3610" s="4" t="s">
        <v>15</v>
      </c>
      <c r="E3610" s="4" t="s">
        <v>16</v>
      </c>
      <c r="F3610" s="4" t="s">
        <v>17</v>
      </c>
      <c r="G3610" s="4" t="s">
        <v>18</v>
      </c>
      <c r="H3610" s="4" t="s">
        <v>333</v>
      </c>
      <c r="I3610" s="5" t="str">
        <f t="shared" si="56"/>
        <v>2026-02</v>
      </c>
      <c r="J3610" s="4" t="s">
        <v>49</v>
      </c>
      <c r="K3610" s="5" t="s">
        <v>343</v>
      </c>
      <c r="L3610" s="2">
        <v>42000</v>
      </c>
      <c r="M3610" s="3">
        <v>5</v>
      </c>
      <c r="N3610" s="2">
        <v>210000</v>
      </c>
      <c r="O3610" s="2">
        <v>21000</v>
      </c>
      <c r="P3610" s="2">
        <v>231000</v>
      </c>
      <c r="Q3610" s="2">
        <f>P3610*12%</f>
        <v>27720</v>
      </c>
    </row>
    <row r="3611" spans="1:17" hidden="1" x14ac:dyDescent="0.4">
      <c r="A3611" s="4" t="s">
        <v>35</v>
      </c>
      <c r="B3611" s="4" t="s">
        <v>14</v>
      </c>
      <c r="C3611" s="30" t="s">
        <v>434</v>
      </c>
      <c r="D3611" s="4" t="s">
        <v>36</v>
      </c>
      <c r="E3611" s="4" t="s">
        <v>16</v>
      </c>
      <c r="F3611" s="4" t="s">
        <v>17</v>
      </c>
      <c r="G3611" s="4" t="s">
        <v>18</v>
      </c>
      <c r="H3611" s="4" t="s">
        <v>333</v>
      </c>
      <c r="I3611" s="5" t="str">
        <f t="shared" si="56"/>
        <v>2026-02</v>
      </c>
      <c r="J3611" s="4" t="s">
        <v>49</v>
      </c>
      <c r="K3611" s="5" t="s">
        <v>343</v>
      </c>
      <c r="L3611" s="2">
        <v>116220</v>
      </c>
      <c r="M3611" s="3">
        <v>1</v>
      </c>
      <c r="N3611" s="2">
        <v>116220</v>
      </c>
      <c r="O3611" s="2">
        <v>11622</v>
      </c>
      <c r="P3611" s="2">
        <v>127842</v>
      </c>
      <c r="Q3611" s="2">
        <f>P3611*12%</f>
        <v>15341.039999999999</v>
      </c>
    </row>
    <row r="3612" spans="1:17" hidden="1" x14ac:dyDescent="0.4">
      <c r="A3612" s="4" t="s">
        <v>23</v>
      </c>
      <c r="B3612" s="4" t="s">
        <v>14</v>
      </c>
      <c r="C3612" s="31" t="s">
        <v>435</v>
      </c>
      <c r="D3612" s="4" t="s">
        <v>24</v>
      </c>
      <c r="E3612" s="4" t="s">
        <v>16</v>
      </c>
      <c r="F3612" s="4" t="s">
        <v>17</v>
      </c>
      <c r="G3612" s="4" t="s">
        <v>18</v>
      </c>
      <c r="H3612" s="4" t="s">
        <v>333</v>
      </c>
      <c r="I3612" s="5" t="str">
        <f t="shared" si="56"/>
        <v>2026-02</v>
      </c>
      <c r="J3612" s="4" t="s">
        <v>49</v>
      </c>
      <c r="K3612" s="5" t="s">
        <v>343</v>
      </c>
      <c r="L3612" s="2">
        <v>55500</v>
      </c>
      <c r="M3612" s="3">
        <v>1</v>
      </c>
      <c r="N3612" s="2">
        <v>55500</v>
      </c>
      <c r="O3612" s="2">
        <v>5550</v>
      </c>
      <c r="P3612" s="2">
        <v>61050</v>
      </c>
      <c r="Q3612" s="2">
        <f>P3612*12%</f>
        <v>7326</v>
      </c>
    </row>
    <row r="3613" spans="1:17" hidden="1" x14ac:dyDescent="0.4">
      <c r="A3613" s="4" t="s">
        <v>32</v>
      </c>
      <c r="B3613" s="4" t="s">
        <v>14</v>
      </c>
      <c r="C3613" s="31" t="s">
        <v>435</v>
      </c>
      <c r="D3613" s="4" t="s">
        <v>33</v>
      </c>
      <c r="E3613" s="4" t="s">
        <v>16</v>
      </c>
      <c r="F3613" s="4" t="s">
        <v>17</v>
      </c>
      <c r="G3613" s="4" t="s">
        <v>18</v>
      </c>
      <c r="H3613" s="4" t="s">
        <v>333</v>
      </c>
      <c r="I3613" s="5" t="str">
        <f t="shared" si="56"/>
        <v>2026-02</v>
      </c>
      <c r="J3613" s="4" t="s">
        <v>50</v>
      </c>
      <c r="K3613" s="5" t="s">
        <v>343</v>
      </c>
      <c r="L3613" s="2">
        <v>44000</v>
      </c>
      <c r="M3613" s="3">
        <v>1</v>
      </c>
      <c r="N3613" s="2">
        <v>44000</v>
      </c>
      <c r="O3613" s="2">
        <v>4400</v>
      </c>
      <c r="P3613" s="2">
        <v>48400</v>
      </c>
      <c r="Q3613" s="2">
        <f>P3613*12%</f>
        <v>5808</v>
      </c>
    </row>
    <row r="3614" spans="1:17" hidden="1" x14ac:dyDescent="0.4">
      <c r="A3614" s="4" t="s">
        <v>13</v>
      </c>
      <c r="B3614" s="4" t="s">
        <v>14</v>
      </c>
      <c r="C3614" s="30" t="s">
        <v>434</v>
      </c>
      <c r="D3614" s="4" t="s">
        <v>15</v>
      </c>
      <c r="E3614" s="4" t="s">
        <v>16</v>
      </c>
      <c r="F3614" s="4" t="s">
        <v>17</v>
      </c>
      <c r="G3614" s="4" t="s">
        <v>18</v>
      </c>
      <c r="H3614" s="4" t="s">
        <v>333</v>
      </c>
      <c r="I3614" s="5" t="str">
        <f t="shared" si="56"/>
        <v>2026-02</v>
      </c>
      <c r="J3614" s="4" t="s">
        <v>50</v>
      </c>
      <c r="K3614" s="5" t="s">
        <v>343</v>
      </c>
      <c r="L3614" s="2">
        <v>42000</v>
      </c>
      <c r="M3614" s="3">
        <v>12</v>
      </c>
      <c r="N3614" s="2">
        <v>504000</v>
      </c>
      <c r="O3614" s="2">
        <v>50400</v>
      </c>
      <c r="P3614" s="2">
        <v>554400</v>
      </c>
      <c r="Q3614" s="2">
        <f>P3614*12%</f>
        <v>66528</v>
      </c>
    </row>
    <row r="3615" spans="1:17" hidden="1" x14ac:dyDescent="0.4">
      <c r="A3615" s="4" t="s">
        <v>23</v>
      </c>
      <c r="B3615" s="4" t="s">
        <v>14</v>
      </c>
      <c r="C3615" s="31" t="s">
        <v>435</v>
      </c>
      <c r="D3615" s="4" t="s">
        <v>24</v>
      </c>
      <c r="E3615" s="4" t="s">
        <v>16</v>
      </c>
      <c r="F3615" s="4" t="s">
        <v>17</v>
      </c>
      <c r="G3615" s="4" t="s">
        <v>18</v>
      </c>
      <c r="H3615" s="4" t="s">
        <v>333</v>
      </c>
      <c r="I3615" s="5" t="str">
        <f t="shared" si="56"/>
        <v>2026-02</v>
      </c>
      <c r="J3615" s="4" t="s">
        <v>50</v>
      </c>
      <c r="K3615" s="5" t="s">
        <v>343</v>
      </c>
      <c r="L3615" s="2">
        <v>55500</v>
      </c>
      <c r="M3615" s="3">
        <v>3</v>
      </c>
      <c r="N3615" s="2">
        <v>166500</v>
      </c>
      <c r="O3615" s="2">
        <v>16650</v>
      </c>
      <c r="P3615" s="2">
        <v>183150</v>
      </c>
      <c r="Q3615" s="2">
        <f>P3615*12%</f>
        <v>21978</v>
      </c>
    </row>
    <row r="3616" spans="1:17" hidden="1" x14ac:dyDescent="0.4">
      <c r="A3616" s="4" t="s">
        <v>51</v>
      </c>
      <c r="B3616" s="4" t="s">
        <v>14</v>
      </c>
      <c r="C3616" s="30" t="s">
        <v>434</v>
      </c>
      <c r="D3616" s="4" t="s">
        <v>52</v>
      </c>
      <c r="E3616" s="4" t="s">
        <v>16</v>
      </c>
      <c r="F3616" s="4" t="s">
        <v>17</v>
      </c>
      <c r="G3616" s="4" t="s">
        <v>18</v>
      </c>
      <c r="H3616" s="4" t="s">
        <v>333</v>
      </c>
      <c r="I3616" s="5" t="str">
        <f t="shared" si="56"/>
        <v>2026-02</v>
      </c>
      <c r="J3616" s="4" t="s">
        <v>50</v>
      </c>
      <c r="K3616" s="5" t="s">
        <v>343</v>
      </c>
      <c r="L3616" s="2">
        <v>73000</v>
      </c>
      <c r="M3616" s="3">
        <v>1</v>
      </c>
      <c r="N3616" s="2">
        <v>73000</v>
      </c>
      <c r="O3616" s="2">
        <v>7300</v>
      </c>
      <c r="P3616" s="2">
        <v>80300</v>
      </c>
      <c r="Q3616" s="2">
        <f>P3616*12%</f>
        <v>9636</v>
      </c>
    </row>
    <row r="3617" spans="1:17" x14ac:dyDescent="0.4">
      <c r="A3617" s="4" t="s">
        <v>13</v>
      </c>
      <c r="B3617" s="4" t="s">
        <v>14</v>
      </c>
      <c r="C3617" s="30" t="s">
        <v>434</v>
      </c>
      <c r="D3617" s="4" t="s">
        <v>15</v>
      </c>
      <c r="E3617" s="4" t="s">
        <v>16</v>
      </c>
      <c r="F3617" s="4" t="s">
        <v>17</v>
      </c>
      <c r="G3617" s="4" t="s">
        <v>18</v>
      </c>
      <c r="H3617" s="4" t="s">
        <v>334</v>
      </c>
      <c r="I3617" s="5" t="str">
        <f t="shared" si="56"/>
        <v>2026-02</v>
      </c>
      <c r="J3617" s="4" t="s">
        <v>20</v>
      </c>
      <c r="K3617" s="5" t="s">
        <v>342</v>
      </c>
      <c r="L3617" s="2">
        <v>42000</v>
      </c>
      <c r="M3617" s="3">
        <v>1</v>
      </c>
      <c r="N3617" s="2">
        <v>42000</v>
      </c>
      <c r="O3617" s="2">
        <v>4200</v>
      </c>
      <c r="P3617" s="2">
        <v>46200</v>
      </c>
      <c r="Q3617" s="2">
        <f>P3617*8.5%</f>
        <v>3927.0000000000005</v>
      </c>
    </row>
    <row r="3618" spans="1:17" x14ac:dyDescent="0.4">
      <c r="A3618" s="4" t="s">
        <v>21</v>
      </c>
      <c r="B3618" s="4" t="s">
        <v>14</v>
      </c>
      <c r="C3618" s="31" t="s">
        <v>435</v>
      </c>
      <c r="D3618" s="4" t="s">
        <v>22</v>
      </c>
      <c r="E3618" s="4" t="s">
        <v>16</v>
      </c>
      <c r="F3618" s="4" t="s">
        <v>17</v>
      </c>
      <c r="G3618" s="4" t="s">
        <v>18</v>
      </c>
      <c r="H3618" s="4" t="s">
        <v>334</v>
      </c>
      <c r="I3618" s="5" t="str">
        <f t="shared" si="56"/>
        <v>2026-02</v>
      </c>
      <c r="J3618" s="4" t="s">
        <v>20</v>
      </c>
      <c r="K3618" s="5" t="s">
        <v>342</v>
      </c>
      <c r="L3618" s="2">
        <v>55500</v>
      </c>
      <c r="M3618" s="3">
        <v>2</v>
      </c>
      <c r="N3618" s="2">
        <v>111000</v>
      </c>
      <c r="O3618" s="2">
        <v>11100</v>
      </c>
      <c r="P3618" s="2">
        <v>122100</v>
      </c>
      <c r="Q3618" s="2">
        <f>P3618*8.5%</f>
        <v>10378.5</v>
      </c>
    </row>
    <row r="3619" spans="1:17" x14ac:dyDescent="0.4">
      <c r="A3619" s="4" t="s">
        <v>23</v>
      </c>
      <c r="B3619" s="4" t="s">
        <v>14</v>
      </c>
      <c r="C3619" s="31" t="s">
        <v>435</v>
      </c>
      <c r="D3619" s="4" t="s">
        <v>24</v>
      </c>
      <c r="E3619" s="4" t="s">
        <v>16</v>
      </c>
      <c r="F3619" s="4" t="s">
        <v>17</v>
      </c>
      <c r="G3619" s="4" t="s">
        <v>18</v>
      </c>
      <c r="H3619" s="4" t="s">
        <v>334</v>
      </c>
      <c r="I3619" s="5" t="str">
        <f t="shared" si="56"/>
        <v>2026-02</v>
      </c>
      <c r="J3619" s="4" t="s">
        <v>20</v>
      </c>
      <c r="K3619" s="5" t="s">
        <v>342</v>
      </c>
      <c r="L3619" s="2">
        <v>55500</v>
      </c>
      <c r="M3619" s="3">
        <v>3</v>
      </c>
      <c r="N3619" s="2">
        <v>166500</v>
      </c>
      <c r="O3619" s="2">
        <v>16650</v>
      </c>
      <c r="P3619" s="2">
        <v>183150</v>
      </c>
      <c r="Q3619" s="2">
        <f>P3619*8.5%</f>
        <v>15567.750000000002</v>
      </c>
    </row>
    <row r="3620" spans="1:17" x14ac:dyDescent="0.4">
      <c r="A3620" s="4" t="s">
        <v>127</v>
      </c>
      <c r="B3620" s="4" t="s">
        <v>26</v>
      </c>
      <c r="C3620" s="32" t="s">
        <v>436</v>
      </c>
      <c r="D3620" s="4" t="s">
        <v>128</v>
      </c>
      <c r="E3620" s="4" t="s">
        <v>28</v>
      </c>
      <c r="F3620" s="4" t="s">
        <v>17</v>
      </c>
      <c r="G3620" s="4" t="s">
        <v>18</v>
      </c>
      <c r="H3620" s="4" t="s">
        <v>334</v>
      </c>
      <c r="I3620" s="5" t="str">
        <f t="shared" si="56"/>
        <v>2026-02</v>
      </c>
      <c r="J3620" s="4" t="s">
        <v>20</v>
      </c>
      <c r="K3620" s="5" t="s">
        <v>342</v>
      </c>
      <c r="L3620" s="2">
        <v>2870</v>
      </c>
      <c r="M3620" s="3">
        <v>3</v>
      </c>
      <c r="N3620" s="2">
        <v>8610</v>
      </c>
      <c r="O3620" s="2">
        <v>861</v>
      </c>
      <c r="P3620" s="2">
        <v>9471</v>
      </c>
      <c r="Q3620" s="2">
        <f>P3620*8.5%</f>
        <v>805.03500000000008</v>
      </c>
    </row>
    <row r="3621" spans="1:17" x14ac:dyDescent="0.4">
      <c r="A3621" s="4" t="s">
        <v>56</v>
      </c>
      <c r="B3621" s="4" t="s">
        <v>26</v>
      </c>
      <c r="C3621" s="32" t="s">
        <v>436</v>
      </c>
      <c r="D3621" s="4" t="s">
        <v>57</v>
      </c>
      <c r="E3621" s="4" t="s">
        <v>44</v>
      </c>
      <c r="F3621" s="4" t="s">
        <v>31</v>
      </c>
      <c r="G3621" s="4" t="s">
        <v>18</v>
      </c>
      <c r="H3621" s="4" t="s">
        <v>334</v>
      </c>
      <c r="I3621" s="5" t="str">
        <f t="shared" si="56"/>
        <v>2026-02</v>
      </c>
      <c r="J3621" s="4" t="s">
        <v>20</v>
      </c>
      <c r="K3621" s="5" t="s">
        <v>342</v>
      </c>
      <c r="L3621" s="2">
        <v>2368</v>
      </c>
      <c r="M3621" s="3">
        <v>25</v>
      </c>
      <c r="N3621" s="2">
        <v>59200</v>
      </c>
      <c r="O3621" s="2">
        <v>0</v>
      </c>
      <c r="P3621" s="2">
        <v>59200</v>
      </c>
      <c r="Q3621" s="2">
        <f>P3621*8.5%</f>
        <v>5032</v>
      </c>
    </row>
    <row r="3622" spans="1:17" hidden="1" x14ac:dyDescent="0.4">
      <c r="A3622" s="4" t="s">
        <v>32</v>
      </c>
      <c r="B3622" s="4" t="s">
        <v>14</v>
      </c>
      <c r="C3622" s="31" t="s">
        <v>435</v>
      </c>
      <c r="D3622" s="4" t="s">
        <v>33</v>
      </c>
      <c r="E3622" s="4" t="s">
        <v>16</v>
      </c>
      <c r="F3622" s="4" t="s">
        <v>17</v>
      </c>
      <c r="G3622" s="4" t="s">
        <v>18</v>
      </c>
      <c r="H3622" s="4" t="s">
        <v>334</v>
      </c>
      <c r="I3622" s="5" t="str">
        <f t="shared" si="56"/>
        <v>2026-02</v>
      </c>
      <c r="J3622" s="4" t="s">
        <v>118</v>
      </c>
      <c r="K3622" s="5" t="s">
        <v>342</v>
      </c>
      <c r="L3622" s="2">
        <v>44000</v>
      </c>
      <c r="M3622" s="3">
        <v>8</v>
      </c>
      <c r="N3622" s="2">
        <v>352000</v>
      </c>
      <c r="O3622" s="2">
        <v>35200</v>
      </c>
      <c r="P3622" s="2">
        <v>387200</v>
      </c>
      <c r="Q3622" s="2">
        <f>P3622*8.5%</f>
        <v>32912</v>
      </c>
    </row>
    <row r="3623" spans="1:17" hidden="1" x14ac:dyDescent="0.4">
      <c r="A3623" s="4" t="s">
        <v>13</v>
      </c>
      <c r="B3623" s="4" t="s">
        <v>14</v>
      </c>
      <c r="C3623" s="30" t="s">
        <v>434</v>
      </c>
      <c r="D3623" s="4" t="s">
        <v>15</v>
      </c>
      <c r="E3623" s="4" t="s">
        <v>16</v>
      </c>
      <c r="F3623" s="4" t="s">
        <v>17</v>
      </c>
      <c r="G3623" s="4" t="s">
        <v>18</v>
      </c>
      <c r="H3623" s="4" t="s">
        <v>334</v>
      </c>
      <c r="I3623" s="5" t="str">
        <f t="shared" si="56"/>
        <v>2026-02</v>
      </c>
      <c r="J3623" s="4" t="s">
        <v>118</v>
      </c>
      <c r="K3623" s="5" t="s">
        <v>342</v>
      </c>
      <c r="L3623" s="2">
        <v>42000</v>
      </c>
      <c r="M3623" s="3">
        <v>5</v>
      </c>
      <c r="N3623" s="2">
        <v>210000</v>
      </c>
      <c r="O3623" s="2">
        <v>21000</v>
      </c>
      <c r="P3623" s="2">
        <v>231000</v>
      </c>
      <c r="Q3623" s="2">
        <f>P3623*8.5%</f>
        <v>19635</v>
      </c>
    </row>
    <row r="3624" spans="1:17" hidden="1" x14ac:dyDescent="0.4">
      <c r="A3624" s="4" t="s">
        <v>35</v>
      </c>
      <c r="B3624" s="4" t="s">
        <v>14</v>
      </c>
      <c r="C3624" s="30" t="s">
        <v>434</v>
      </c>
      <c r="D3624" s="4" t="s">
        <v>36</v>
      </c>
      <c r="E3624" s="4" t="s">
        <v>16</v>
      </c>
      <c r="F3624" s="4" t="s">
        <v>17</v>
      </c>
      <c r="G3624" s="4" t="s">
        <v>18</v>
      </c>
      <c r="H3624" s="4" t="s">
        <v>334</v>
      </c>
      <c r="I3624" s="5" t="str">
        <f t="shared" si="56"/>
        <v>2026-02</v>
      </c>
      <c r="J3624" s="4" t="s">
        <v>118</v>
      </c>
      <c r="K3624" s="5" t="s">
        <v>342</v>
      </c>
      <c r="L3624" s="2">
        <v>116220</v>
      </c>
      <c r="M3624" s="3">
        <v>1</v>
      </c>
      <c r="N3624" s="2">
        <v>116220</v>
      </c>
      <c r="O3624" s="2">
        <v>11622</v>
      </c>
      <c r="P3624" s="2">
        <v>127842</v>
      </c>
      <c r="Q3624" s="2">
        <f>P3624*8.5%</f>
        <v>10866.570000000002</v>
      </c>
    </row>
    <row r="3625" spans="1:17" hidden="1" x14ac:dyDescent="0.4">
      <c r="A3625" s="4" t="s">
        <v>23</v>
      </c>
      <c r="B3625" s="4" t="s">
        <v>14</v>
      </c>
      <c r="C3625" s="31" t="s">
        <v>435</v>
      </c>
      <c r="D3625" s="4" t="s">
        <v>24</v>
      </c>
      <c r="E3625" s="4" t="s">
        <v>16</v>
      </c>
      <c r="F3625" s="4" t="s">
        <v>17</v>
      </c>
      <c r="G3625" s="4" t="s">
        <v>18</v>
      </c>
      <c r="H3625" s="4" t="s">
        <v>334</v>
      </c>
      <c r="I3625" s="5" t="str">
        <f t="shared" si="56"/>
        <v>2026-02</v>
      </c>
      <c r="J3625" s="4" t="s">
        <v>118</v>
      </c>
      <c r="K3625" s="5" t="s">
        <v>342</v>
      </c>
      <c r="L3625" s="2">
        <v>55500</v>
      </c>
      <c r="M3625" s="3">
        <v>3</v>
      </c>
      <c r="N3625" s="2">
        <v>166500</v>
      </c>
      <c r="O3625" s="2">
        <v>16650</v>
      </c>
      <c r="P3625" s="2">
        <v>183150</v>
      </c>
      <c r="Q3625" s="2">
        <f>P3625*8.5%</f>
        <v>15567.750000000002</v>
      </c>
    </row>
    <row r="3626" spans="1:17" hidden="1" x14ac:dyDescent="0.4">
      <c r="A3626" s="4" t="s">
        <v>51</v>
      </c>
      <c r="B3626" s="4" t="s">
        <v>14</v>
      </c>
      <c r="C3626" s="30" t="s">
        <v>434</v>
      </c>
      <c r="D3626" s="4" t="s">
        <v>52</v>
      </c>
      <c r="E3626" s="4" t="s">
        <v>16</v>
      </c>
      <c r="F3626" s="4" t="s">
        <v>17</v>
      </c>
      <c r="G3626" s="4" t="s">
        <v>18</v>
      </c>
      <c r="H3626" s="4" t="s">
        <v>334</v>
      </c>
      <c r="I3626" s="5" t="str">
        <f t="shared" si="56"/>
        <v>2026-02</v>
      </c>
      <c r="J3626" s="4" t="s">
        <v>118</v>
      </c>
      <c r="K3626" s="5" t="s">
        <v>342</v>
      </c>
      <c r="L3626" s="2">
        <v>73000</v>
      </c>
      <c r="M3626" s="3">
        <v>2</v>
      </c>
      <c r="N3626" s="2">
        <v>146000</v>
      </c>
      <c r="O3626" s="2">
        <v>14600</v>
      </c>
      <c r="P3626" s="2">
        <v>160600</v>
      </c>
      <c r="Q3626" s="2">
        <f>P3626*8.5%</f>
        <v>13651.000000000002</v>
      </c>
    </row>
    <row r="3627" spans="1:17" hidden="1" x14ac:dyDescent="0.4">
      <c r="A3627" s="4" t="s">
        <v>32</v>
      </c>
      <c r="B3627" s="4" t="s">
        <v>14</v>
      </c>
      <c r="C3627" s="31" t="s">
        <v>435</v>
      </c>
      <c r="D3627" s="4" t="s">
        <v>33</v>
      </c>
      <c r="E3627" s="4" t="s">
        <v>16</v>
      </c>
      <c r="F3627" s="4" t="s">
        <v>17</v>
      </c>
      <c r="G3627" s="4" t="s">
        <v>18</v>
      </c>
      <c r="H3627" s="4" t="s">
        <v>334</v>
      </c>
      <c r="I3627" s="5" t="str">
        <f t="shared" si="56"/>
        <v>2026-02</v>
      </c>
      <c r="J3627" s="4" t="s">
        <v>34</v>
      </c>
      <c r="K3627" s="5" t="s">
        <v>342</v>
      </c>
      <c r="L3627" s="2">
        <v>44000</v>
      </c>
      <c r="M3627" s="3">
        <v>2</v>
      </c>
      <c r="N3627" s="2">
        <v>88000</v>
      </c>
      <c r="O3627" s="2">
        <v>8800</v>
      </c>
      <c r="P3627" s="2">
        <v>96800</v>
      </c>
      <c r="Q3627" s="2">
        <f>P3627*8.5%</f>
        <v>8228</v>
      </c>
    </row>
    <row r="3628" spans="1:17" hidden="1" x14ac:dyDescent="0.4">
      <c r="A3628" s="4" t="s">
        <v>13</v>
      </c>
      <c r="B3628" s="4" t="s">
        <v>14</v>
      </c>
      <c r="C3628" s="30" t="s">
        <v>434</v>
      </c>
      <c r="D3628" s="4" t="s">
        <v>15</v>
      </c>
      <c r="E3628" s="4" t="s">
        <v>16</v>
      </c>
      <c r="F3628" s="4" t="s">
        <v>17</v>
      </c>
      <c r="G3628" s="4" t="s">
        <v>18</v>
      </c>
      <c r="H3628" s="4" t="s">
        <v>334</v>
      </c>
      <c r="I3628" s="5" t="str">
        <f t="shared" si="56"/>
        <v>2026-02</v>
      </c>
      <c r="J3628" s="4" t="s">
        <v>34</v>
      </c>
      <c r="K3628" s="5" t="s">
        <v>342</v>
      </c>
      <c r="L3628" s="2">
        <v>42000</v>
      </c>
      <c r="M3628" s="3">
        <v>2</v>
      </c>
      <c r="N3628" s="2">
        <v>84000</v>
      </c>
      <c r="O3628" s="2">
        <v>8400</v>
      </c>
      <c r="P3628" s="2">
        <v>92400</v>
      </c>
      <c r="Q3628" s="2">
        <f>P3628*8.5%</f>
        <v>7854.0000000000009</v>
      </c>
    </row>
    <row r="3629" spans="1:17" hidden="1" x14ac:dyDescent="0.4">
      <c r="A3629" s="4" t="s">
        <v>35</v>
      </c>
      <c r="B3629" s="4" t="s">
        <v>14</v>
      </c>
      <c r="C3629" s="30" t="s">
        <v>434</v>
      </c>
      <c r="D3629" s="4" t="s">
        <v>36</v>
      </c>
      <c r="E3629" s="4" t="s">
        <v>16</v>
      </c>
      <c r="F3629" s="4" t="s">
        <v>17</v>
      </c>
      <c r="G3629" s="4" t="s">
        <v>18</v>
      </c>
      <c r="H3629" s="4" t="s">
        <v>334</v>
      </c>
      <c r="I3629" s="5" t="str">
        <f t="shared" si="56"/>
        <v>2026-02</v>
      </c>
      <c r="J3629" s="4" t="s">
        <v>34</v>
      </c>
      <c r="K3629" s="5" t="s">
        <v>342</v>
      </c>
      <c r="L3629" s="2">
        <v>116220</v>
      </c>
      <c r="M3629" s="3">
        <v>2</v>
      </c>
      <c r="N3629" s="2">
        <v>232440</v>
      </c>
      <c r="O3629" s="2">
        <v>23244</v>
      </c>
      <c r="P3629" s="2">
        <v>255684</v>
      </c>
      <c r="Q3629" s="2">
        <f>P3629*8.5%</f>
        <v>21733.140000000003</v>
      </c>
    </row>
    <row r="3630" spans="1:17" hidden="1" x14ac:dyDescent="0.4">
      <c r="A3630" s="4" t="s">
        <v>23</v>
      </c>
      <c r="B3630" s="4" t="s">
        <v>14</v>
      </c>
      <c r="C3630" s="31" t="s">
        <v>435</v>
      </c>
      <c r="D3630" s="4" t="s">
        <v>24</v>
      </c>
      <c r="E3630" s="4" t="s">
        <v>16</v>
      </c>
      <c r="F3630" s="4" t="s">
        <v>17</v>
      </c>
      <c r="G3630" s="4" t="s">
        <v>18</v>
      </c>
      <c r="H3630" s="4" t="s">
        <v>334</v>
      </c>
      <c r="I3630" s="5" t="str">
        <f t="shared" si="56"/>
        <v>2026-02</v>
      </c>
      <c r="J3630" s="4" t="s">
        <v>34</v>
      </c>
      <c r="K3630" s="5" t="s">
        <v>342</v>
      </c>
      <c r="L3630" s="2">
        <v>55500</v>
      </c>
      <c r="M3630" s="3">
        <v>2</v>
      </c>
      <c r="N3630" s="2">
        <v>111000</v>
      </c>
      <c r="O3630" s="2">
        <v>11100</v>
      </c>
      <c r="P3630" s="2">
        <v>122100</v>
      </c>
      <c r="Q3630" s="2">
        <f>P3630*8.5%</f>
        <v>10378.5</v>
      </c>
    </row>
    <row r="3631" spans="1:17" hidden="1" x14ac:dyDescent="0.4">
      <c r="A3631" s="4" t="s">
        <v>51</v>
      </c>
      <c r="B3631" s="4" t="s">
        <v>14</v>
      </c>
      <c r="C3631" s="30" t="s">
        <v>434</v>
      </c>
      <c r="D3631" s="4" t="s">
        <v>52</v>
      </c>
      <c r="E3631" s="4" t="s">
        <v>16</v>
      </c>
      <c r="F3631" s="4" t="s">
        <v>17</v>
      </c>
      <c r="G3631" s="4" t="s">
        <v>18</v>
      </c>
      <c r="H3631" s="4" t="s">
        <v>334</v>
      </c>
      <c r="I3631" s="5" t="str">
        <f t="shared" si="56"/>
        <v>2026-02</v>
      </c>
      <c r="J3631" s="4" t="s">
        <v>34</v>
      </c>
      <c r="K3631" s="5" t="s">
        <v>342</v>
      </c>
      <c r="L3631" s="2">
        <v>73000</v>
      </c>
      <c r="M3631" s="3">
        <v>1</v>
      </c>
      <c r="N3631" s="2">
        <v>73000</v>
      </c>
      <c r="O3631" s="2">
        <v>7300</v>
      </c>
      <c r="P3631" s="2">
        <v>80300</v>
      </c>
      <c r="Q3631" s="2">
        <f>P3631*8.5%</f>
        <v>6825.5000000000009</v>
      </c>
    </row>
    <row r="3632" spans="1:17" hidden="1" x14ac:dyDescent="0.4">
      <c r="A3632" s="4" t="s">
        <v>335</v>
      </c>
      <c r="B3632" s="4" t="s">
        <v>26</v>
      </c>
      <c r="C3632" s="32" t="s">
        <v>436</v>
      </c>
      <c r="D3632" s="4" t="s">
        <v>336</v>
      </c>
      <c r="E3632" s="4" t="s">
        <v>28</v>
      </c>
      <c r="F3632" s="4" t="s">
        <v>17</v>
      </c>
      <c r="G3632" s="4" t="s">
        <v>18</v>
      </c>
      <c r="H3632" s="4" t="s">
        <v>334</v>
      </c>
      <c r="I3632" s="5" t="str">
        <f t="shared" si="56"/>
        <v>2026-02</v>
      </c>
      <c r="J3632" s="4" t="s">
        <v>34</v>
      </c>
      <c r="K3632" s="5" t="s">
        <v>342</v>
      </c>
      <c r="L3632" s="2">
        <v>5823</v>
      </c>
      <c r="M3632" s="3">
        <v>1</v>
      </c>
      <c r="N3632" s="2">
        <v>5823</v>
      </c>
      <c r="O3632" s="2">
        <v>582</v>
      </c>
      <c r="P3632" s="2">
        <v>6405</v>
      </c>
      <c r="Q3632" s="2">
        <f>P3632*8.5%</f>
        <v>544.42500000000007</v>
      </c>
    </row>
    <row r="3633" spans="1:17" hidden="1" x14ac:dyDescent="0.4">
      <c r="A3633" s="4" t="s">
        <v>73</v>
      </c>
      <c r="B3633" s="4" t="s">
        <v>26</v>
      </c>
      <c r="C3633" s="32" t="s">
        <v>436</v>
      </c>
      <c r="D3633" s="4" t="s">
        <v>57</v>
      </c>
      <c r="E3633" s="4" t="s">
        <v>28</v>
      </c>
      <c r="F3633" s="4" t="s">
        <v>17</v>
      </c>
      <c r="G3633" s="4" t="s">
        <v>18</v>
      </c>
      <c r="H3633" s="4" t="s">
        <v>334</v>
      </c>
      <c r="I3633" s="5" t="str">
        <f t="shared" si="56"/>
        <v>2026-02</v>
      </c>
      <c r="J3633" s="4" t="s">
        <v>34</v>
      </c>
      <c r="K3633" s="5" t="s">
        <v>342</v>
      </c>
      <c r="L3633" s="2">
        <v>7832</v>
      </c>
      <c r="M3633" s="3">
        <v>1</v>
      </c>
      <c r="N3633" s="2">
        <v>7832</v>
      </c>
      <c r="O3633" s="2">
        <v>783</v>
      </c>
      <c r="P3633" s="2">
        <v>8615</v>
      </c>
      <c r="Q3633" s="2">
        <f>P3633*8.5%</f>
        <v>732.27500000000009</v>
      </c>
    </row>
    <row r="3634" spans="1:17" hidden="1" x14ac:dyDescent="0.4">
      <c r="A3634" s="4" t="s">
        <v>40</v>
      </c>
      <c r="B3634" s="4" t="s">
        <v>26</v>
      </c>
      <c r="C3634" s="32" t="s">
        <v>436</v>
      </c>
      <c r="D3634" s="4" t="s">
        <v>41</v>
      </c>
      <c r="E3634" s="4" t="s">
        <v>28</v>
      </c>
      <c r="F3634" s="4" t="s">
        <v>17</v>
      </c>
      <c r="G3634" s="4" t="s">
        <v>18</v>
      </c>
      <c r="H3634" s="4" t="s">
        <v>334</v>
      </c>
      <c r="I3634" s="5" t="str">
        <f t="shared" si="56"/>
        <v>2026-02</v>
      </c>
      <c r="J3634" s="4" t="s">
        <v>34</v>
      </c>
      <c r="K3634" s="5" t="s">
        <v>342</v>
      </c>
      <c r="L3634" s="2">
        <v>17936</v>
      </c>
      <c r="M3634" s="3">
        <v>2</v>
      </c>
      <c r="N3634" s="2">
        <v>35872</v>
      </c>
      <c r="O3634" s="2">
        <v>3587</v>
      </c>
      <c r="P3634" s="2">
        <v>39459</v>
      </c>
      <c r="Q3634" s="2">
        <f>P3634*8.5%</f>
        <v>3354.0150000000003</v>
      </c>
    </row>
    <row r="3635" spans="1:17" hidden="1" x14ac:dyDescent="0.4">
      <c r="A3635" s="4" t="s">
        <v>42</v>
      </c>
      <c r="B3635" s="4" t="s">
        <v>14</v>
      </c>
      <c r="C3635" s="30" t="s">
        <v>434</v>
      </c>
      <c r="D3635" s="4" t="s">
        <v>43</v>
      </c>
      <c r="E3635" s="4" t="s">
        <v>44</v>
      </c>
      <c r="F3635" s="4" t="s">
        <v>31</v>
      </c>
      <c r="G3635" s="4" t="s">
        <v>18</v>
      </c>
      <c r="H3635" s="4" t="s">
        <v>334</v>
      </c>
      <c r="I3635" s="5" t="str">
        <f t="shared" si="56"/>
        <v>2026-02</v>
      </c>
      <c r="J3635" s="4" t="s">
        <v>34</v>
      </c>
      <c r="K3635" s="5" t="s">
        <v>342</v>
      </c>
      <c r="L3635" s="2">
        <v>7300</v>
      </c>
      <c r="M3635" s="3">
        <v>52.7</v>
      </c>
      <c r="N3635" s="2">
        <v>384710</v>
      </c>
      <c r="O3635" s="2">
        <v>0</v>
      </c>
      <c r="P3635" s="2">
        <v>384710</v>
      </c>
      <c r="Q3635" s="2">
        <f>P3635*8.5%</f>
        <v>32700.350000000002</v>
      </c>
    </row>
    <row r="3636" spans="1:17" x14ac:dyDescent="0.4">
      <c r="A3636" s="4" t="s">
        <v>58</v>
      </c>
      <c r="B3636" s="4" t="s">
        <v>14</v>
      </c>
      <c r="C3636" s="30" t="s">
        <v>434</v>
      </c>
      <c r="D3636" s="4" t="s">
        <v>36</v>
      </c>
      <c r="E3636" s="4" t="s">
        <v>16</v>
      </c>
      <c r="F3636" s="4" t="s">
        <v>17</v>
      </c>
      <c r="G3636" s="4" t="s">
        <v>18</v>
      </c>
      <c r="H3636" s="4" t="s">
        <v>337</v>
      </c>
      <c r="I3636" s="5" t="str">
        <f t="shared" si="56"/>
        <v>2026-02</v>
      </c>
      <c r="J3636" s="4" t="s">
        <v>20</v>
      </c>
      <c r="K3636" s="5" t="s">
        <v>342</v>
      </c>
      <c r="L3636" s="2">
        <v>120880</v>
      </c>
      <c r="M3636" s="3">
        <v>1</v>
      </c>
      <c r="N3636" s="2">
        <v>120880</v>
      </c>
      <c r="O3636" s="2">
        <v>12088</v>
      </c>
      <c r="P3636" s="2">
        <v>132968</v>
      </c>
      <c r="Q3636" s="2">
        <f>P3636*8.5%</f>
        <v>11302.28</v>
      </c>
    </row>
    <row r="3637" spans="1:17" x14ac:dyDescent="0.4">
      <c r="A3637" s="4" t="s">
        <v>13</v>
      </c>
      <c r="B3637" s="4" t="s">
        <v>14</v>
      </c>
      <c r="C3637" s="30" t="s">
        <v>434</v>
      </c>
      <c r="D3637" s="4" t="s">
        <v>15</v>
      </c>
      <c r="E3637" s="4" t="s">
        <v>16</v>
      </c>
      <c r="F3637" s="4" t="s">
        <v>17</v>
      </c>
      <c r="G3637" s="4" t="s">
        <v>18</v>
      </c>
      <c r="H3637" s="4" t="s">
        <v>337</v>
      </c>
      <c r="I3637" s="5" t="str">
        <f t="shared" si="56"/>
        <v>2026-02</v>
      </c>
      <c r="J3637" s="4" t="s">
        <v>20</v>
      </c>
      <c r="K3637" s="5" t="s">
        <v>342</v>
      </c>
      <c r="L3637" s="2">
        <v>42000</v>
      </c>
      <c r="M3637" s="3">
        <v>1</v>
      </c>
      <c r="N3637" s="2">
        <v>42000</v>
      </c>
      <c r="O3637" s="2">
        <v>4200</v>
      </c>
      <c r="P3637" s="2">
        <v>46200</v>
      </c>
      <c r="Q3637" s="2">
        <f>P3637*8.5%</f>
        <v>3927.0000000000005</v>
      </c>
    </row>
    <row r="3638" spans="1:17" x14ac:dyDescent="0.4">
      <c r="A3638" s="4" t="s">
        <v>21</v>
      </c>
      <c r="B3638" s="4" t="s">
        <v>14</v>
      </c>
      <c r="C3638" s="31" t="s">
        <v>435</v>
      </c>
      <c r="D3638" s="4" t="s">
        <v>22</v>
      </c>
      <c r="E3638" s="4" t="s">
        <v>16</v>
      </c>
      <c r="F3638" s="4" t="s">
        <v>17</v>
      </c>
      <c r="G3638" s="4" t="s">
        <v>18</v>
      </c>
      <c r="H3638" s="4" t="s">
        <v>337</v>
      </c>
      <c r="I3638" s="5" t="str">
        <f t="shared" si="56"/>
        <v>2026-02</v>
      </c>
      <c r="J3638" s="4" t="s">
        <v>20</v>
      </c>
      <c r="K3638" s="5" t="s">
        <v>342</v>
      </c>
      <c r="L3638" s="2">
        <v>55500</v>
      </c>
      <c r="M3638" s="3">
        <v>1</v>
      </c>
      <c r="N3638" s="2">
        <v>55500</v>
      </c>
      <c r="O3638" s="2">
        <v>5550</v>
      </c>
      <c r="P3638" s="2">
        <v>61050</v>
      </c>
      <c r="Q3638" s="2">
        <f>P3638*8.5%</f>
        <v>5189.25</v>
      </c>
    </row>
    <row r="3639" spans="1:17" x14ac:dyDescent="0.4">
      <c r="A3639" s="4" t="s">
        <v>23</v>
      </c>
      <c r="B3639" s="4" t="s">
        <v>14</v>
      </c>
      <c r="C3639" s="31" t="s">
        <v>435</v>
      </c>
      <c r="D3639" s="4" t="s">
        <v>24</v>
      </c>
      <c r="E3639" s="4" t="s">
        <v>16</v>
      </c>
      <c r="F3639" s="4" t="s">
        <v>17</v>
      </c>
      <c r="G3639" s="4" t="s">
        <v>18</v>
      </c>
      <c r="H3639" s="4" t="s">
        <v>337</v>
      </c>
      <c r="I3639" s="5" t="str">
        <f t="shared" si="56"/>
        <v>2026-02</v>
      </c>
      <c r="J3639" s="4" t="s">
        <v>20</v>
      </c>
      <c r="K3639" s="5" t="s">
        <v>342</v>
      </c>
      <c r="L3639" s="2">
        <v>55500</v>
      </c>
      <c r="M3639" s="3">
        <v>2</v>
      </c>
      <c r="N3639" s="2">
        <v>111000</v>
      </c>
      <c r="O3639" s="2">
        <v>11100</v>
      </c>
      <c r="P3639" s="2">
        <v>122100</v>
      </c>
      <c r="Q3639" s="2">
        <f>P3639*8.5%</f>
        <v>10378.5</v>
      </c>
    </row>
    <row r="3640" spans="1:17" x14ac:dyDescent="0.4">
      <c r="A3640" s="4" t="s">
        <v>307</v>
      </c>
      <c r="B3640" s="4" t="s">
        <v>26</v>
      </c>
      <c r="C3640" s="32" t="s">
        <v>436</v>
      </c>
      <c r="D3640" s="4" t="s">
        <v>55</v>
      </c>
      <c r="E3640" s="4" t="s">
        <v>28</v>
      </c>
      <c r="F3640" s="4" t="s">
        <v>17</v>
      </c>
      <c r="G3640" s="4" t="s">
        <v>18</v>
      </c>
      <c r="H3640" s="4" t="s">
        <v>337</v>
      </c>
      <c r="I3640" s="5" t="str">
        <f t="shared" si="56"/>
        <v>2026-02</v>
      </c>
      <c r="J3640" s="4" t="s">
        <v>20</v>
      </c>
      <c r="K3640" s="5" t="s">
        <v>342</v>
      </c>
      <c r="L3640" s="2">
        <v>5919</v>
      </c>
      <c r="M3640" s="3">
        <v>1</v>
      </c>
      <c r="N3640" s="2">
        <v>5919</v>
      </c>
      <c r="O3640" s="2">
        <v>592</v>
      </c>
      <c r="P3640" s="2">
        <v>6511</v>
      </c>
      <c r="Q3640" s="2">
        <f>P3640*8.5%</f>
        <v>553.43500000000006</v>
      </c>
    </row>
    <row r="3641" spans="1:17" x14ac:dyDescent="0.4">
      <c r="A3641" s="4" t="s">
        <v>56</v>
      </c>
      <c r="B3641" s="4" t="s">
        <v>26</v>
      </c>
      <c r="C3641" s="32" t="s">
        <v>436</v>
      </c>
      <c r="D3641" s="4" t="s">
        <v>57</v>
      </c>
      <c r="E3641" s="4" t="s">
        <v>44</v>
      </c>
      <c r="F3641" s="4" t="s">
        <v>31</v>
      </c>
      <c r="G3641" s="4" t="s">
        <v>18</v>
      </c>
      <c r="H3641" s="4" t="s">
        <v>337</v>
      </c>
      <c r="I3641" s="5" t="str">
        <f t="shared" si="56"/>
        <v>2026-02</v>
      </c>
      <c r="J3641" s="4" t="s">
        <v>20</v>
      </c>
      <c r="K3641" s="5" t="s">
        <v>342</v>
      </c>
      <c r="L3641" s="2">
        <v>2368</v>
      </c>
      <c r="M3641" s="3">
        <v>8</v>
      </c>
      <c r="N3641" s="2">
        <v>18944</v>
      </c>
      <c r="O3641" s="2">
        <v>0</v>
      </c>
      <c r="P3641" s="2">
        <v>18944</v>
      </c>
      <c r="Q3641" s="2">
        <f>P3641*8.5%</f>
        <v>1610.24</v>
      </c>
    </row>
    <row r="3642" spans="1:17" hidden="1" x14ac:dyDescent="0.4">
      <c r="A3642" s="4" t="s">
        <v>82</v>
      </c>
      <c r="B3642" s="4" t="s">
        <v>26</v>
      </c>
      <c r="C3642" s="32" t="s">
        <v>436</v>
      </c>
      <c r="D3642" s="4" t="s">
        <v>81</v>
      </c>
      <c r="E3642" s="4" t="s">
        <v>16</v>
      </c>
      <c r="F3642" s="4" t="s">
        <v>17</v>
      </c>
      <c r="G3642" s="4" t="s">
        <v>18</v>
      </c>
      <c r="H3642" s="4" t="s">
        <v>337</v>
      </c>
      <c r="I3642" s="5" t="str">
        <f t="shared" si="56"/>
        <v>2026-02</v>
      </c>
      <c r="J3642" s="4" t="s">
        <v>34</v>
      </c>
      <c r="K3642" s="5" t="s">
        <v>342</v>
      </c>
      <c r="L3642" s="2">
        <v>20891</v>
      </c>
      <c r="M3642" s="3">
        <v>1</v>
      </c>
      <c r="N3642" s="2">
        <v>20891</v>
      </c>
      <c r="O3642" s="2">
        <v>2089</v>
      </c>
      <c r="P3642" s="2">
        <v>22980</v>
      </c>
      <c r="Q3642" s="2">
        <f>P3642*8.5%</f>
        <v>1953.3000000000002</v>
      </c>
    </row>
    <row r="3643" spans="1:17" hidden="1" x14ac:dyDescent="0.4">
      <c r="A3643" s="4" t="s">
        <v>32</v>
      </c>
      <c r="B3643" s="4" t="s">
        <v>14</v>
      </c>
      <c r="C3643" s="31" t="s">
        <v>435</v>
      </c>
      <c r="D3643" s="4" t="s">
        <v>33</v>
      </c>
      <c r="E3643" s="4" t="s">
        <v>16</v>
      </c>
      <c r="F3643" s="4" t="s">
        <v>17</v>
      </c>
      <c r="G3643" s="4" t="s">
        <v>18</v>
      </c>
      <c r="H3643" s="4" t="s">
        <v>337</v>
      </c>
      <c r="I3643" s="5" t="str">
        <f t="shared" si="56"/>
        <v>2026-02</v>
      </c>
      <c r="J3643" s="4" t="s">
        <v>34</v>
      </c>
      <c r="K3643" s="5" t="s">
        <v>342</v>
      </c>
      <c r="L3643" s="2">
        <v>44000</v>
      </c>
      <c r="M3643" s="3">
        <v>2</v>
      </c>
      <c r="N3643" s="2">
        <v>88000</v>
      </c>
      <c r="O3643" s="2">
        <v>8800</v>
      </c>
      <c r="P3643" s="2">
        <v>96800</v>
      </c>
      <c r="Q3643" s="2">
        <f>P3643*8.5%</f>
        <v>8228</v>
      </c>
    </row>
    <row r="3644" spans="1:17" hidden="1" x14ac:dyDescent="0.4">
      <c r="A3644" s="4" t="s">
        <v>13</v>
      </c>
      <c r="B3644" s="4" t="s">
        <v>14</v>
      </c>
      <c r="C3644" s="30" t="s">
        <v>434</v>
      </c>
      <c r="D3644" s="4" t="s">
        <v>15</v>
      </c>
      <c r="E3644" s="4" t="s">
        <v>16</v>
      </c>
      <c r="F3644" s="4" t="s">
        <v>17</v>
      </c>
      <c r="G3644" s="4" t="s">
        <v>18</v>
      </c>
      <c r="H3644" s="4" t="s">
        <v>337</v>
      </c>
      <c r="I3644" s="5" t="str">
        <f t="shared" si="56"/>
        <v>2026-02</v>
      </c>
      <c r="J3644" s="4" t="s">
        <v>34</v>
      </c>
      <c r="K3644" s="5" t="s">
        <v>342</v>
      </c>
      <c r="L3644" s="2">
        <v>42000</v>
      </c>
      <c r="M3644" s="3">
        <v>4</v>
      </c>
      <c r="N3644" s="2">
        <v>168000</v>
      </c>
      <c r="O3644" s="2">
        <v>16800</v>
      </c>
      <c r="P3644" s="2">
        <v>184800</v>
      </c>
      <c r="Q3644" s="2">
        <f>P3644*8.5%</f>
        <v>15708.000000000002</v>
      </c>
    </row>
    <row r="3645" spans="1:17" hidden="1" x14ac:dyDescent="0.4">
      <c r="A3645" s="4" t="s">
        <v>21</v>
      </c>
      <c r="B3645" s="4" t="s">
        <v>14</v>
      </c>
      <c r="C3645" s="31" t="s">
        <v>435</v>
      </c>
      <c r="D3645" s="4" t="s">
        <v>22</v>
      </c>
      <c r="E3645" s="4" t="s">
        <v>16</v>
      </c>
      <c r="F3645" s="4" t="s">
        <v>17</v>
      </c>
      <c r="G3645" s="4" t="s">
        <v>18</v>
      </c>
      <c r="H3645" s="4" t="s">
        <v>337</v>
      </c>
      <c r="I3645" s="5" t="str">
        <f t="shared" si="56"/>
        <v>2026-02</v>
      </c>
      <c r="J3645" s="4" t="s">
        <v>34</v>
      </c>
      <c r="K3645" s="5" t="s">
        <v>342</v>
      </c>
      <c r="L3645" s="2">
        <v>55500</v>
      </c>
      <c r="M3645" s="3">
        <v>1</v>
      </c>
      <c r="N3645" s="2">
        <v>55500</v>
      </c>
      <c r="O3645" s="2">
        <v>5550</v>
      </c>
      <c r="P3645" s="2">
        <v>61050</v>
      </c>
      <c r="Q3645" s="2">
        <f>P3645*8.5%</f>
        <v>5189.25</v>
      </c>
    </row>
    <row r="3646" spans="1:17" hidden="1" x14ac:dyDescent="0.4">
      <c r="A3646" s="4" t="s">
        <v>23</v>
      </c>
      <c r="B3646" s="4" t="s">
        <v>14</v>
      </c>
      <c r="C3646" s="31" t="s">
        <v>435</v>
      </c>
      <c r="D3646" s="4" t="s">
        <v>24</v>
      </c>
      <c r="E3646" s="4" t="s">
        <v>16</v>
      </c>
      <c r="F3646" s="4" t="s">
        <v>17</v>
      </c>
      <c r="G3646" s="4" t="s">
        <v>18</v>
      </c>
      <c r="H3646" s="4" t="s">
        <v>337</v>
      </c>
      <c r="I3646" s="5" t="str">
        <f t="shared" si="56"/>
        <v>2026-02</v>
      </c>
      <c r="J3646" s="4" t="s">
        <v>34</v>
      </c>
      <c r="K3646" s="5" t="s">
        <v>342</v>
      </c>
      <c r="L3646" s="2">
        <v>55500</v>
      </c>
      <c r="M3646" s="3">
        <v>3</v>
      </c>
      <c r="N3646" s="2">
        <v>166500</v>
      </c>
      <c r="O3646" s="2">
        <v>16650</v>
      </c>
      <c r="P3646" s="2">
        <v>183150</v>
      </c>
      <c r="Q3646" s="2">
        <f>P3646*8.5%</f>
        <v>15567.750000000002</v>
      </c>
    </row>
    <row r="3647" spans="1:17" hidden="1" x14ac:dyDescent="0.4">
      <c r="A3647" s="4" t="s">
        <v>84</v>
      </c>
      <c r="B3647" s="4" t="s">
        <v>26</v>
      </c>
      <c r="C3647" s="32" t="s">
        <v>436</v>
      </c>
      <c r="D3647" s="4" t="s">
        <v>85</v>
      </c>
      <c r="E3647" s="4" t="s">
        <v>28</v>
      </c>
      <c r="F3647" s="4" t="s">
        <v>17</v>
      </c>
      <c r="G3647" s="4" t="s">
        <v>18</v>
      </c>
      <c r="H3647" s="4" t="s">
        <v>337</v>
      </c>
      <c r="I3647" s="5" t="str">
        <f t="shared" si="56"/>
        <v>2026-02</v>
      </c>
      <c r="J3647" s="4" t="s">
        <v>34</v>
      </c>
      <c r="K3647" s="5" t="s">
        <v>342</v>
      </c>
      <c r="L3647" s="2">
        <v>5032</v>
      </c>
      <c r="M3647" s="3">
        <v>1</v>
      </c>
      <c r="N3647" s="2">
        <v>5032</v>
      </c>
      <c r="O3647" s="2">
        <v>503</v>
      </c>
      <c r="P3647" s="2">
        <v>5535</v>
      </c>
      <c r="Q3647" s="2">
        <f>P3647*8.5%</f>
        <v>470.47500000000002</v>
      </c>
    </row>
    <row r="3648" spans="1:17" hidden="1" x14ac:dyDescent="0.4">
      <c r="A3648" s="4" t="s">
        <v>67</v>
      </c>
      <c r="B3648" s="4" t="s">
        <v>26</v>
      </c>
      <c r="C3648" s="32" t="s">
        <v>436</v>
      </c>
      <c r="D3648" s="4" t="s">
        <v>63</v>
      </c>
      <c r="E3648" s="4" t="s">
        <v>28</v>
      </c>
      <c r="F3648" s="4" t="s">
        <v>17</v>
      </c>
      <c r="G3648" s="4" t="s">
        <v>18</v>
      </c>
      <c r="H3648" s="4" t="s">
        <v>337</v>
      </c>
      <c r="I3648" s="5" t="str">
        <f t="shared" si="56"/>
        <v>2026-02</v>
      </c>
      <c r="J3648" s="4" t="s">
        <v>34</v>
      </c>
      <c r="K3648" s="5" t="s">
        <v>342</v>
      </c>
      <c r="L3648" s="2">
        <v>7174</v>
      </c>
      <c r="M3648" s="3">
        <v>1</v>
      </c>
      <c r="N3648" s="2">
        <v>7174</v>
      </c>
      <c r="O3648" s="2">
        <v>717</v>
      </c>
      <c r="P3648" s="2">
        <v>7891</v>
      </c>
      <c r="Q3648" s="2">
        <f>P3648*8.5%</f>
        <v>670.73500000000001</v>
      </c>
    </row>
    <row r="3649" spans="1:17" hidden="1" x14ac:dyDescent="0.4">
      <c r="A3649" s="4" t="s">
        <v>73</v>
      </c>
      <c r="B3649" s="4" t="s">
        <v>26</v>
      </c>
      <c r="C3649" s="32" t="s">
        <v>436</v>
      </c>
      <c r="D3649" s="4" t="s">
        <v>57</v>
      </c>
      <c r="E3649" s="4" t="s">
        <v>28</v>
      </c>
      <c r="F3649" s="4" t="s">
        <v>17</v>
      </c>
      <c r="G3649" s="4" t="s">
        <v>18</v>
      </c>
      <c r="H3649" s="4" t="s">
        <v>337</v>
      </c>
      <c r="I3649" s="5" t="str">
        <f t="shared" si="56"/>
        <v>2026-02</v>
      </c>
      <c r="J3649" s="4" t="s">
        <v>34</v>
      </c>
      <c r="K3649" s="5" t="s">
        <v>342</v>
      </c>
      <c r="L3649" s="2">
        <v>7832</v>
      </c>
      <c r="M3649" s="3">
        <v>3</v>
      </c>
      <c r="N3649" s="2">
        <v>23496</v>
      </c>
      <c r="O3649" s="2">
        <v>2350</v>
      </c>
      <c r="P3649" s="2">
        <v>25846</v>
      </c>
      <c r="Q3649" s="2">
        <f>P3649*8.5%</f>
        <v>2196.9100000000003</v>
      </c>
    </row>
    <row r="3650" spans="1:17" hidden="1" x14ac:dyDescent="0.4">
      <c r="A3650" s="4" t="s">
        <v>123</v>
      </c>
      <c r="B3650" s="4" t="s">
        <v>26</v>
      </c>
      <c r="C3650" s="32" t="s">
        <v>436</v>
      </c>
      <c r="D3650" s="4" t="s">
        <v>124</v>
      </c>
      <c r="E3650" s="4" t="s">
        <v>28</v>
      </c>
      <c r="F3650" s="4" t="s">
        <v>17</v>
      </c>
      <c r="G3650" s="4" t="s">
        <v>18</v>
      </c>
      <c r="H3650" s="4" t="s">
        <v>337</v>
      </c>
      <c r="I3650" s="5" t="str">
        <f t="shared" ref="I3650:I3713" si="57">TEXT(H3650,"yyyy-mm")</f>
        <v>2026-02</v>
      </c>
      <c r="J3650" s="4" t="s">
        <v>34</v>
      </c>
      <c r="K3650" s="5" t="s">
        <v>342</v>
      </c>
      <c r="L3650" s="2">
        <v>454</v>
      </c>
      <c r="M3650" s="3">
        <v>10</v>
      </c>
      <c r="N3650" s="2">
        <v>4540</v>
      </c>
      <c r="O3650" s="2">
        <v>454</v>
      </c>
      <c r="P3650" s="2">
        <v>4994</v>
      </c>
      <c r="Q3650" s="2">
        <f>P3650*8.5%</f>
        <v>424.49</v>
      </c>
    </row>
    <row r="3651" spans="1:17" hidden="1" x14ac:dyDescent="0.4">
      <c r="A3651" s="4" t="s">
        <v>42</v>
      </c>
      <c r="B3651" s="4" t="s">
        <v>14</v>
      </c>
      <c r="C3651" s="30" t="s">
        <v>434</v>
      </c>
      <c r="D3651" s="4" t="s">
        <v>43</v>
      </c>
      <c r="E3651" s="4" t="s">
        <v>44</v>
      </c>
      <c r="F3651" s="4" t="s">
        <v>31</v>
      </c>
      <c r="G3651" s="4" t="s">
        <v>18</v>
      </c>
      <c r="H3651" s="4" t="s">
        <v>337</v>
      </c>
      <c r="I3651" s="5" t="str">
        <f t="shared" si="57"/>
        <v>2026-02</v>
      </c>
      <c r="J3651" s="4" t="s">
        <v>34</v>
      </c>
      <c r="K3651" s="5" t="s">
        <v>342</v>
      </c>
      <c r="L3651" s="2">
        <v>7300</v>
      </c>
      <c r="M3651" s="3">
        <v>34.9</v>
      </c>
      <c r="N3651" s="2">
        <v>254770</v>
      </c>
      <c r="O3651" s="2">
        <v>0</v>
      </c>
      <c r="P3651" s="2">
        <v>254770</v>
      </c>
      <c r="Q3651" s="2">
        <f>P3651*8.5%</f>
        <v>21655.45</v>
      </c>
    </row>
    <row r="3652" spans="1:17" hidden="1" x14ac:dyDescent="0.4">
      <c r="A3652" s="4" t="s">
        <v>32</v>
      </c>
      <c r="B3652" s="4" t="s">
        <v>14</v>
      </c>
      <c r="C3652" s="31" t="s">
        <v>435</v>
      </c>
      <c r="D3652" s="4" t="s">
        <v>33</v>
      </c>
      <c r="E3652" s="4" t="s">
        <v>16</v>
      </c>
      <c r="F3652" s="4" t="s">
        <v>17</v>
      </c>
      <c r="G3652" s="4" t="s">
        <v>18</v>
      </c>
      <c r="H3652" s="4" t="s">
        <v>337</v>
      </c>
      <c r="I3652" s="5" t="str">
        <f t="shared" si="57"/>
        <v>2026-02</v>
      </c>
      <c r="J3652" s="4" t="s">
        <v>59</v>
      </c>
      <c r="K3652" s="5" t="s">
        <v>343</v>
      </c>
      <c r="L3652" s="2">
        <v>44000</v>
      </c>
      <c r="M3652" s="3">
        <v>2</v>
      </c>
      <c r="N3652" s="2">
        <v>88000</v>
      </c>
      <c r="O3652" s="2">
        <v>8800</v>
      </c>
      <c r="P3652" s="2">
        <v>96800</v>
      </c>
      <c r="Q3652" s="2">
        <f>P3652*12%</f>
        <v>11616</v>
      </c>
    </row>
    <row r="3653" spans="1:17" hidden="1" x14ac:dyDescent="0.4">
      <c r="A3653" s="4" t="s">
        <v>13</v>
      </c>
      <c r="B3653" s="4" t="s">
        <v>14</v>
      </c>
      <c r="C3653" s="30" t="s">
        <v>434</v>
      </c>
      <c r="D3653" s="4" t="s">
        <v>15</v>
      </c>
      <c r="E3653" s="4" t="s">
        <v>16</v>
      </c>
      <c r="F3653" s="4" t="s">
        <v>17</v>
      </c>
      <c r="G3653" s="4" t="s">
        <v>18</v>
      </c>
      <c r="H3653" s="4" t="s">
        <v>337</v>
      </c>
      <c r="I3653" s="5" t="str">
        <f t="shared" si="57"/>
        <v>2026-02</v>
      </c>
      <c r="J3653" s="4" t="s">
        <v>59</v>
      </c>
      <c r="K3653" s="5" t="s">
        <v>343</v>
      </c>
      <c r="L3653" s="2">
        <v>42000</v>
      </c>
      <c r="M3653" s="3">
        <v>3</v>
      </c>
      <c r="N3653" s="2">
        <v>126000</v>
      </c>
      <c r="O3653" s="2">
        <v>12600</v>
      </c>
      <c r="P3653" s="2">
        <v>138600</v>
      </c>
      <c r="Q3653" s="2">
        <f>P3653*12%</f>
        <v>16632</v>
      </c>
    </row>
    <row r="3654" spans="1:17" hidden="1" x14ac:dyDescent="0.4">
      <c r="A3654" s="4" t="s">
        <v>35</v>
      </c>
      <c r="B3654" s="4" t="s">
        <v>14</v>
      </c>
      <c r="C3654" s="30" t="s">
        <v>434</v>
      </c>
      <c r="D3654" s="4" t="s">
        <v>36</v>
      </c>
      <c r="E3654" s="4" t="s">
        <v>16</v>
      </c>
      <c r="F3654" s="4" t="s">
        <v>17</v>
      </c>
      <c r="G3654" s="4" t="s">
        <v>18</v>
      </c>
      <c r="H3654" s="4" t="s">
        <v>337</v>
      </c>
      <c r="I3654" s="5" t="str">
        <f t="shared" si="57"/>
        <v>2026-02</v>
      </c>
      <c r="J3654" s="4" t="s">
        <v>59</v>
      </c>
      <c r="K3654" s="5" t="s">
        <v>343</v>
      </c>
      <c r="L3654" s="2">
        <v>116220</v>
      </c>
      <c r="M3654" s="3">
        <v>1</v>
      </c>
      <c r="N3654" s="2">
        <v>116220</v>
      </c>
      <c r="O3654" s="2">
        <v>11622</v>
      </c>
      <c r="P3654" s="2">
        <v>127842</v>
      </c>
      <c r="Q3654" s="2">
        <f>P3654*12%</f>
        <v>15341.039999999999</v>
      </c>
    </row>
    <row r="3655" spans="1:17" hidden="1" x14ac:dyDescent="0.4">
      <c r="A3655" s="4" t="s">
        <v>23</v>
      </c>
      <c r="B3655" s="4" t="s">
        <v>14</v>
      </c>
      <c r="C3655" s="31" t="s">
        <v>435</v>
      </c>
      <c r="D3655" s="4" t="s">
        <v>24</v>
      </c>
      <c r="E3655" s="4" t="s">
        <v>16</v>
      </c>
      <c r="F3655" s="4" t="s">
        <v>17</v>
      </c>
      <c r="G3655" s="4" t="s">
        <v>18</v>
      </c>
      <c r="H3655" s="4" t="s">
        <v>337</v>
      </c>
      <c r="I3655" s="5" t="str">
        <f t="shared" si="57"/>
        <v>2026-02</v>
      </c>
      <c r="J3655" s="4" t="s">
        <v>59</v>
      </c>
      <c r="K3655" s="5" t="s">
        <v>343</v>
      </c>
      <c r="L3655" s="2">
        <v>55500</v>
      </c>
      <c r="M3655" s="3">
        <v>2</v>
      </c>
      <c r="N3655" s="2">
        <v>111000</v>
      </c>
      <c r="O3655" s="2">
        <v>11100</v>
      </c>
      <c r="P3655" s="2">
        <v>122100</v>
      </c>
      <c r="Q3655" s="2">
        <f>P3655*12%</f>
        <v>14652</v>
      </c>
    </row>
    <row r="3656" spans="1:17" hidden="1" x14ac:dyDescent="0.4">
      <c r="A3656" s="4" t="s">
        <v>112</v>
      </c>
      <c r="B3656" s="4" t="s">
        <v>26</v>
      </c>
      <c r="C3656" s="32" t="s">
        <v>436</v>
      </c>
      <c r="D3656" s="4" t="s">
        <v>113</v>
      </c>
      <c r="E3656" s="4" t="s">
        <v>28</v>
      </c>
      <c r="F3656" s="4" t="s">
        <v>17</v>
      </c>
      <c r="G3656" s="4" t="s">
        <v>18</v>
      </c>
      <c r="H3656" s="4" t="s">
        <v>337</v>
      </c>
      <c r="I3656" s="5" t="str">
        <f t="shared" si="57"/>
        <v>2026-02</v>
      </c>
      <c r="J3656" s="4" t="s">
        <v>59</v>
      </c>
      <c r="K3656" s="5" t="s">
        <v>343</v>
      </c>
      <c r="L3656" s="2">
        <v>338</v>
      </c>
      <c r="M3656" s="3">
        <v>20</v>
      </c>
      <c r="N3656" s="2">
        <v>6760</v>
      </c>
      <c r="O3656" s="2">
        <v>676</v>
      </c>
      <c r="P3656" s="2">
        <v>7436</v>
      </c>
      <c r="Q3656" s="2">
        <f>P3656*12%</f>
        <v>892.31999999999994</v>
      </c>
    </row>
    <row r="3657" spans="1:17" hidden="1" x14ac:dyDescent="0.4">
      <c r="A3657" s="4" t="s">
        <v>32</v>
      </c>
      <c r="B3657" s="4" t="s">
        <v>14</v>
      </c>
      <c r="C3657" s="31" t="s">
        <v>435</v>
      </c>
      <c r="D3657" s="4" t="s">
        <v>33</v>
      </c>
      <c r="E3657" s="4" t="s">
        <v>16</v>
      </c>
      <c r="F3657" s="4" t="s">
        <v>17</v>
      </c>
      <c r="G3657" s="4" t="s">
        <v>18</v>
      </c>
      <c r="H3657" s="4" t="s">
        <v>337</v>
      </c>
      <c r="I3657" s="5" t="str">
        <f t="shared" si="57"/>
        <v>2026-02</v>
      </c>
      <c r="J3657" s="4" t="s">
        <v>49</v>
      </c>
      <c r="K3657" s="5" t="s">
        <v>343</v>
      </c>
      <c r="L3657" s="2">
        <v>44000</v>
      </c>
      <c r="M3657" s="3">
        <v>3</v>
      </c>
      <c r="N3657" s="2">
        <v>132000</v>
      </c>
      <c r="O3657" s="2">
        <v>13200</v>
      </c>
      <c r="P3657" s="2">
        <v>145200</v>
      </c>
      <c r="Q3657" s="2">
        <f>P3657*12%</f>
        <v>17424</v>
      </c>
    </row>
    <row r="3658" spans="1:17" hidden="1" x14ac:dyDescent="0.4">
      <c r="A3658" s="4" t="s">
        <v>13</v>
      </c>
      <c r="B3658" s="4" t="s">
        <v>14</v>
      </c>
      <c r="C3658" s="30" t="s">
        <v>434</v>
      </c>
      <c r="D3658" s="4" t="s">
        <v>15</v>
      </c>
      <c r="E3658" s="4" t="s">
        <v>16</v>
      </c>
      <c r="F3658" s="4" t="s">
        <v>17</v>
      </c>
      <c r="G3658" s="4" t="s">
        <v>18</v>
      </c>
      <c r="H3658" s="4" t="s">
        <v>337</v>
      </c>
      <c r="I3658" s="5" t="str">
        <f t="shared" si="57"/>
        <v>2026-02</v>
      </c>
      <c r="J3658" s="4" t="s">
        <v>49</v>
      </c>
      <c r="K3658" s="5" t="s">
        <v>343</v>
      </c>
      <c r="L3658" s="2">
        <v>42000</v>
      </c>
      <c r="M3658" s="3">
        <v>5</v>
      </c>
      <c r="N3658" s="2">
        <v>210000</v>
      </c>
      <c r="O3658" s="2">
        <v>21000</v>
      </c>
      <c r="P3658" s="2">
        <v>231000</v>
      </c>
      <c r="Q3658" s="2">
        <f>P3658*12%</f>
        <v>27720</v>
      </c>
    </row>
    <row r="3659" spans="1:17" hidden="1" x14ac:dyDescent="0.4">
      <c r="A3659" s="4" t="s">
        <v>23</v>
      </c>
      <c r="B3659" s="4" t="s">
        <v>14</v>
      </c>
      <c r="C3659" s="31" t="s">
        <v>435</v>
      </c>
      <c r="D3659" s="4" t="s">
        <v>24</v>
      </c>
      <c r="E3659" s="4" t="s">
        <v>16</v>
      </c>
      <c r="F3659" s="4" t="s">
        <v>17</v>
      </c>
      <c r="G3659" s="4" t="s">
        <v>18</v>
      </c>
      <c r="H3659" s="4" t="s">
        <v>337</v>
      </c>
      <c r="I3659" s="5" t="str">
        <f t="shared" si="57"/>
        <v>2026-02</v>
      </c>
      <c r="J3659" s="4" t="s">
        <v>49</v>
      </c>
      <c r="K3659" s="5" t="s">
        <v>343</v>
      </c>
      <c r="L3659" s="2">
        <v>55500</v>
      </c>
      <c r="M3659" s="3">
        <v>2</v>
      </c>
      <c r="N3659" s="2">
        <v>111000</v>
      </c>
      <c r="O3659" s="2">
        <v>11100</v>
      </c>
      <c r="P3659" s="2">
        <v>122100</v>
      </c>
      <c r="Q3659" s="2">
        <f>P3659*12%</f>
        <v>14652</v>
      </c>
    </row>
    <row r="3660" spans="1:17" x14ac:dyDescent="0.4">
      <c r="A3660" s="4" t="s">
        <v>338</v>
      </c>
      <c r="B3660" s="4" t="s">
        <v>26</v>
      </c>
      <c r="C3660" s="32" t="s">
        <v>436</v>
      </c>
      <c r="D3660" s="4" t="s">
        <v>30</v>
      </c>
      <c r="E3660" s="4" t="s">
        <v>28</v>
      </c>
      <c r="F3660" s="4" t="s">
        <v>17</v>
      </c>
      <c r="G3660" s="4" t="s">
        <v>304</v>
      </c>
      <c r="H3660" s="4" t="s">
        <v>339</v>
      </c>
      <c r="I3660" s="5" t="str">
        <f t="shared" si="57"/>
        <v>2026-02</v>
      </c>
      <c r="J3660" s="4" t="s">
        <v>20</v>
      </c>
      <c r="K3660" s="5" t="s">
        <v>342</v>
      </c>
      <c r="L3660" s="2">
        <v>3707</v>
      </c>
      <c r="M3660" s="3">
        <v>1</v>
      </c>
      <c r="N3660" s="2">
        <v>3707</v>
      </c>
      <c r="O3660" s="2">
        <v>371</v>
      </c>
      <c r="P3660" s="2">
        <v>4078</v>
      </c>
      <c r="Q3660" s="2">
        <f>P3660*8.5%</f>
        <v>346.63000000000005</v>
      </c>
    </row>
  </sheetData>
  <autoFilter ref="A1:Q3660" xr:uid="{00000000-0001-0000-0000-000000000000}">
    <filterColumn colId="9">
      <filters>
        <filter val="산방식당(동일옥)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CEE0-9484-434F-8A01-1BEF0D81BB04}">
  <dimension ref="A1:KY43"/>
  <sheetViews>
    <sheetView zoomScale="70" zoomScaleNormal="70" workbookViewId="0">
      <pane xSplit="3" ySplit="4" topLeftCell="EB5" activePane="bottomRight" state="frozen"/>
      <selection pane="topRight" activeCell="D1" sqref="D1"/>
      <selection pane="bottomLeft" activeCell="A5" sqref="A5"/>
      <selection pane="bottomRight" activeCell="EI13" sqref="EI13"/>
    </sheetView>
  </sheetViews>
  <sheetFormatPr defaultRowHeight="17.399999999999999" x14ac:dyDescent="0.4"/>
  <cols>
    <col min="1" max="1" width="9.19921875" customWidth="1"/>
    <col min="2" max="2" width="26.69921875" customWidth="1"/>
    <col min="3" max="3" width="36.69921875" customWidth="1"/>
    <col min="4" max="4" width="11" bestFit="1" customWidth="1"/>
    <col min="5" max="6" width="14.59765625" bestFit="1" customWidth="1"/>
    <col min="7" max="7" width="11" bestFit="1" customWidth="1"/>
    <col min="8" max="8" width="12.59765625" bestFit="1" customWidth="1"/>
    <col min="9" max="10" width="14.59765625" bestFit="1" customWidth="1"/>
    <col min="11" max="11" width="11" bestFit="1" customWidth="1"/>
    <col min="12" max="12" width="10" bestFit="1" customWidth="1"/>
    <col min="13" max="14" width="14.59765625" bestFit="1" customWidth="1"/>
    <col min="15" max="16" width="11" bestFit="1" customWidth="1"/>
    <col min="17" max="18" width="14.59765625" bestFit="1" customWidth="1"/>
    <col min="19" max="20" width="11" bestFit="1" customWidth="1"/>
    <col min="21" max="22" width="14.59765625" bestFit="1" customWidth="1"/>
    <col min="23" max="23" width="11" bestFit="1" customWidth="1"/>
    <col min="24" max="24" width="10" bestFit="1" customWidth="1"/>
    <col min="25" max="26" width="14.59765625" bestFit="1" customWidth="1"/>
    <col min="27" max="27" width="11" bestFit="1" customWidth="1"/>
    <col min="28" max="28" width="11.5" bestFit="1" customWidth="1"/>
    <col min="29" max="30" width="14.59765625" bestFit="1" customWidth="1"/>
    <col min="31" max="31" width="11" bestFit="1" customWidth="1"/>
    <col min="32" max="32" width="8.8984375" bestFit="1" customWidth="1"/>
    <col min="33" max="34" width="14.59765625" bestFit="1" customWidth="1"/>
    <col min="35" max="36" width="11" bestFit="1" customWidth="1"/>
    <col min="37" max="38" width="14.59765625" bestFit="1" customWidth="1"/>
    <col min="39" max="40" width="11" bestFit="1" customWidth="1"/>
    <col min="41" max="42" width="14.59765625" bestFit="1" customWidth="1"/>
    <col min="43" max="43" width="11" bestFit="1" customWidth="1"/>
    <col min="44" max="44" width="10" bestFit="1" customWidth="1"/>
    <col min="45" max="46" width="14.59765625" bestFit="1" customWidth="1"/>
    <col min="47" max="47" width="11" bestFit="1" customWidth="1"/>
    <col min="48" max="48" width="11.5" bestFit="1" customWidth="1"/>
    <col min="49" max="50" width="14.59765625" bestFit="1" customWidth="1"/>
    <col min="51" max="51" width="11" bestFit="1" customWidth="1"/>
    <col min="52" max="52" width="8.8984375" bestFit="1" customWidth="1"/>
    <col min="53" max="54" width="14.59765625" bestFit="1" customWidth="1"/>
    <col min="55" max="56" width="11" bestFit="1" customWidth="1"/>
    <col min="57" max="58" width="14.59765625" bestFit="1" customWidth="1"/>
    <col min="59" max="60" width="11" bestFit="1" customWidth="1"/>
    <col min="61" max="62" width="14.59765625" bestFit="1" customWidth="1"/>
    <col min="63" max="64" width="11" bestFit="1" customWidth="1"/>
    <col min="65" max="66" width="14.59765625" bestFit="1" customWidth="1"/>
    <col min="67" max="67" width="11" bestFit="1" customWidth="1"/>
    <col min="68" max="68" width="10" bestFit="1" customWidth="1"/>
    <col min="69" max="70" width="14.59765625" bestFit="1" customWidth="1"/>
    <col min="71" max="71" width="11" bestFit="1" customWidth="1"/>
    <col min="72" max="72" width="11.5" bestFit="1" customWidth="1"/>
    <col min="73" max="74" width="14.59765625" bestFit="1" customWidth="1"/>
    <col min="75" max="75" width="11" bestFit="1" customWidth="1"/>
    <col min="76" max="76" width="10" bestFit="1" customWidth="1"/>
    <col min="77" max="78" width="14.59765625" bestFit="1" customWidth="1"/>
    <col min="79" max="80" width="11" bestFit="1" customWidth="1"/>
    <col min="81" max="82" width="14.59765625" bestFit="1" customWidth="1"/>
    <col min="83" max="84" width="11" bestFit="1" customWidth="1"/>
    <col min="85" max="86" width="14.59765625" bestFit="1" customWidth="1"/>
    <col min="87" max="87" width="11" bestFit="1" customWidth="1"/>
    <col min="88" max="88" width="10" bestFit="1" customWidth="1"/>
    <col min="89" max="90" width="14.59765625" bestFit="1" customWidth="1"/>
    <col min="91" max="91" width="11" bestFit="1" customWidth="1"/>
    <col min="92" max="92" width="11.5" bestFit="1" customWidth="1"/>
    <col min="93" max="94" width="14.59765625" bestFit="1" customWidth="1"/>
    <col min="95" max="95" width="11" bestFit="1" customWidth="1"/>
    <col min="96" max="96" width="10" bestFit="1" customWidth="1"/>
    <col min="97" max="98" width="14.59765625" bestFit="1" customWidth="1"/>
    <col min="99" max="100" width="11" bestFit="1" customWidth="1"/>
    <col min="101" max="102" width="14.59765625" bestFit="1" customWidth="1"/>
    <col min="103" max="104" width="11" bestFit="1" customWidth="1"/>
    <col min="105" max="106" width="14.59765625" bestFit="1" customWidth="1"/>
    <col min="107" max="107" width="11" bestFit="1" customWidth="1"/>
    <col min="108" max="108" width="10" bestFit="1" customWidth="1"/>
    <col min="109" max="110" width="14.59765625" bestFit="1" customWidth="1"/>
    <col min="111" max="111" width="11" bestFit="1" customWidth="1"/>
    <col min="112" max="112" width="11.5" bestFit="1" customWidth="1"/>
    <col min="113" max="114" width="14.59765625" bestFit="1" customWidth="1"/>
    <col min="115" max="115" width="11" bestFit="1" customWidth="1"/>
    <col min="116" max="116" width="8.8984375" bestFit="1" customWidth="1"/>
    <col min="117" max="118" width="14.59765625" bestFit="1" customWidth="1"/>
    <col min="119" max="119" width="11" bestFit="1" customWidth="1"/>
    <col min="120" max="120" width="10" bestFit="1" customWidth="1"/>
    <col min="121" max="122" width="14.59765625" bestFit="1" customWidth="1"/>
    <col min="123" max="124" width="11" bestFit="1" customWidth="1"/>
    <col min="125" max="126" width="14.59765625" bestFit="1" customWidth="1"/>
    <col min="127" max="128" width="11" bestFit="1" customWidth="1"/>
    <col min="129" max="130" width="14.59765625" bestFit="1" customWidth="1"/>
    <col min="131" max="131" width="11" bestFit="1" customWidth="1"/>
    <col min="132" max="132" width="10" bestFit="1" customWidth="1"/>
    <col min="133" max="134" width="14.59765625" bestFit="1" customWidth="1"/>
    <col min="135" max="135" width="11" bestFit="1" customWidth="1"/>
    <col min="136" max="136" width="11.5" bestFit="1" customWidth="1"/>
    <col min="137" max="138" width="14.59765625" bestFit="1" customWidth="1"/>
    <col min="139" max="139" width="11" bestFit="1" customWidth="1"/>
    <col min="140" max="140" width="10" bestFit="1" customWidth="1"/>
    <col min="141" max="142" width="14.59765625" bestFit="1" customWidth="1"/>
    <col min="143" max="144" width="11" bestFit="1" customWidth="1"/>
    <col min="145" max="146" width="14.59765625" bestFit="1" customWidth="1"/>
    <col min="147" max="148" width="11" bestFit="1" customWidth="1"/>
    <col min="149" max="150" width="14.59765625" bestFit="1" customWidth="1"/>
    <col min="151" max="151" width="11" bestFit="1" customWidth="1"/>
    <col min="152" max="152" width="10" bestFit="1" customWidth="1"/>
    <col min="153" max="154" width="14.59765625" bestFit="1" customWidth="1"/>
    <col min="155" max="155" width="11" bestFit="1" customWidth="1"/>
    <col min="156" max="156" width="11.5" bestFit="1" customWidth="1"/>
    <col min="157" max="158" width="14.59765625" bestFit="1" customWidth="1"/>
    <col min="159" max="159" width="11" bestFit="1" customWidth="1"/>
    <col min="160" max="160" width="10" bestFit="1" customWidth="1"/>
    <col min="161" max="162" width="14.59765625" bestFit="1" customWidth="1"/>
    <col min="163" max="164" width="11" bestFit="1" customWidth="1"/>
    <col min="165" max="166" width="14.59765625" bestFit="1" customWidth="1"/>
    <col min="167" max="168" width="11" bestFit="1" customWidth="1"/>
    <col min="169" max="170" width="14.59765625" bestFit="1" customWidth="1"/>
    <col min="171" max="172" width="11" bestFit="1" customWidth="1"/>
    <col min="173" max="174" width="14.59765625" bestFit="1" customWidth="1"/>
    <col min="175" max="175" width="11" bestFit="1" customWidth="1"/>
    <col min="176" max="176" width="11.5" bestFit="1" customWidth="1"/>
    <col min="177" max="178" width="14.59765625" bestFit="1" customWidth="1"/>
    <col min="179" max="179" width="11" bestFit="1" customWidth="1"/>
    <col min="180" max="180" width="8.8984375" bestFit="1" customWidth="1"/>
    <col min="181" max="182" width="14.59765625" bestFit="1" customWidth="1"/>
    <col min="183" max="183" width="11" bestFit="1" customWidth="1"/>
    <col min="184" max="184" width="10" bestFit="1" customWidth="1"/>
    <col min="185" max="186" width="14.59765625" bestFit="1" customWidth="1"/>
    <col min="187" max="188" width="11" bestFit="1" customWidth="1"/>
    <col min="189" max="190" width="14.59765625" bestFit="1" customWidth="1"/>
    <col min="191" max="192" width="11" bestFit="1" customWidth="1"/>
    <col min="193" max="194" width="14.59765625" bestFit="1" customWidth="1"/>
    <col min="195" max="196" width="11" bestFit="1" customWidth="1"/>
    <col min="197" max="198" width="14.59765625" bestFit="1" customWidth="1"/>
    <col min="199" max="199" width="11" bestFit="1" customWidth="1"/>
    <col min="200" max="200" width="11.5" bestFit="1" customWidth="1"/>
    <col min="201" max="202" width="14.59765625" bestFit="1" customWidth="1"/>
    <col min="203" max="203" width="11" bestFit="1" customWidth="1"/>
    <col min="204" max="204" width="12.19921875" bestFit="1" customWidth="1"/>
    <col min="205" max="206" width="14.59765625" bestFit="1" customWidth="1"/>
    <col min="207" max="207" width="11" bestFit="1" customWidth="1"/>
    <col min="208" max="208" width="13.3984375" bestFit="1" customWidth="1"/>
    <col min="209" max="210" width="14.59765625" bestFit="1" customWidth="1"/>
    <col min="211" max="211" width="11" bestFit="1" customWidth="1"/>
    <col min="212" max="212" width="13.3984375" bestFit="1" customWidth="1"/>
    <col min="213" max="214" width="14.59765625" bestFit="1" customWidth="1"/>
    <col min="215" max="215" width="11" bestFit="1" customWidth="1"/>
    <col min="216" max="216" width="12.19921875" bestFit="1" customWidth="1"/>
    <col min="217" max="218" width="14.59765625" bestFit="1" customWidth="1"/>
    <col min="219" max="219" width="11" bestFit="1" customWidth="1"/>
    <col min="220" max="220" width="12.59765625" bestFit="1" customWidth="1"/>
    <col min="221" max="222" width="14.59765625" bestFit="1" customWidth="1"/>
    <col min="223" max="224" width="11" bestFit="1" customWidth="1"/>
    <col min="225" max="226" width="14.59765625" bestFit="1" customWidth="1"/>
    <col min="227" max="227" width="11" bestFit="1" customWidth="1"/>
    <col min="228" max="228" width="13.3984375" bestFit="1" customWidth="1"/>
    <col min="229" max="230" width="14.59765625" bestFit="1" customWidth="1"/>
    <col min="231" max="231" width="11" bestFit="1" customWidth="1"/>
    <col min="232" max="232" width="13.3984375" bestFit="1" customWidth="1"/>
    <col min="233" max="234" width="14.59765625" bestFit="1" customWidth="1"/>
    <col min="235" max="235" width="11" bestFit="1" customWidth="1"/>
    <col min="236" max="236" width="13.3984375" bestFit="1" customWidth="1"/>
    <col min="237" max="238" width="14.59765625" bestFit="1" customWidth="1"/>
    <col min="239" max="239" width="11" bestFit="1" customWidth="1"/>
    <col min="240" max="240" width="12.59765625" bestFit="1" customWidth="1"/>
    <col min="241" max="242" width="14.59765625" bestFit="1" customWidth="1"/>
    <col min="243" max="244" width="11" bestFit="1" customWidth="1"/>
    <col min="245" max="246" width="14.59765625" bestFit="1" customWidth="1"/>
    <col min="247" max="247" width="11" bestFit="1" customWidth="1"/>
    <col min="248" max="248" width="12.19921875" bestFit="1" customWidth="1"/>
    <col min="249" max="250" width="14.59765625" bestFit="1" customWidth="1"/>
    <col min="251" max="251" width="11" bestFit="1" customWidth="1"/>
    <col min="252" max="252" width="13.3984375" bestFit="1" customWidth="1"/>
    <col min="253" max="254" width="14.59765625" bestFit="1" customWidth="1"/>
    <col min="255" max="255" width="11" bestFit="1" customWidth="1"/>
    <col min="256" max="256" width="13.3984375" bestFit="1" customWidth="1"/>
    <col min="257" max="258" width="14.59765625" bestFit="1" customWidth="1"/>
    <col min="259" max="260" width="11" bestFit="1" customWidth="1"/>
    <col min="261" max="262" width="14.59765625" bestFit="1" customWidth="1"/>
    <col min="263" max="263" width="11" bestFit="1" customWidth="1"/>
    <col min="264" max="264" width="12.59765625" bestFit="1" customWidth="1"/>
    <col min="265" max="266" width="14.59765625" bestFit="1" customWidth="1"/>
    <col min="267" max="267" width="11" bestFit="1" customWidth="1"/>
    <col min="268" max="268" width="10" bestFit="1" customWidth="1"/>
    <col min="269" max="270" width="14.59765625" bestFit="1" customWidth="1"/>
    <col min="271" max="272" width="11" bestFit="1" customWidth="1"/>
    <col min="273" max="274" width="14.59765625" bestFit="1" customWidth="1"/>
    <col min="275" max="276" width="11" bestFit="1" customWidth="1"/>
    <col min="277" max="278" width="14.59765625" bestFit="1" customWidth="1"/>
    <col min="279" max="279" width="11" bestFit="1" customWidth="1"/>
    <col min="280" max="280" width="10" bestFit="1" customWidth="1"/>
    <col min="281" max="282" width="14.59765625" bestFit="1" customWidth="1"/>
    <col min="283" max="283" width="11" bestFit="1" customWidth="1"/>
    <col min="284" max="284" width="11.5" bestFit="1" customWidth="1"/>
    <col min="285" max="286" width="14.59765625" bestFit="1" customWidth="1"/>
    <col min="287" max="287" width="11" bestFit="1" customWidth="1"/>
    <col min="288" max="288" width="8.8984375" bestFit="1" customWidth="1"/>
    <col min="289" max="290" width="14.59765625" bestFit="1" customWidth="1"/>
    <col min="291" max="291" width="11" bestFit="1" customWidth="1"/>
    <col min="292" max="292" width="10" bestFit="1" customWidth="1"/>
    <col min="293" max="294" width="14.59765625" bestFit="1" customWidth="1"/>
    <col min="295" max="296" width="11" bestFit="1" customWidth="1"/>
    <col min="297" max="298" width="14.59765625" bestFit="1" customWidth="1"/>
    <col min="299" max="299" width="11" bestFit="1" customWidth="1"/>
    <col min="300" max="300" width="10" bestFit="1" customWidth="1"/>
    <col min="301" max="302" width="14.59765625" bestFit="1" customWidth="1"/>
    <col min="303" max="303" width="11" bestFit="1" customWidth="1"/>
    <col min="304" max="304" width="11.5" bestFit="1" customWidth="1"/>
    <col min="305" max="306" width="14.59765625" bestFit="1" customWidth="1"/>
    <col min="307" max="307" width="11" bestFit="1" customWidth="1"/>
    <col min="308" max="308" width="8" bestFit="1" customWidth="1"/>
    <col min="309" max="310" width="14.59765625" bestFit="1" customWidth="1"/>
    <col min="311" max="311" width="11" bestFit="1" customWidth="1"/>
  </cols>
  <sheetData>
    <row r="1" spans="1:311" ht="28.05" customHeight="1" x14ac:dyDescent="0.4">
      <c r="A1" s="26" t="s">
        <v>412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</row>
    <row r="2" spans="1:311" ht="19.2" x14ac:dyDescent="0.4">
      <c r="A2" s="27" t="s">
        <v>416</v>
      </c>
    </row>
    <row r="3" spans="1:311" ht="43.95" customHeight="1" x14ac:dyDescent="0.4">
      <c r="A3" s="13" t="s">
        <v>346</v>
      </c>
      <c r="B3" s="13" t="s">
        <v>7</v>
      </c>
      <c r="C3" s="13" t="s">
        <v>0</v>
      </c>
      <c r="D3" s="13" t="s">
        <v>419</v>
      </c>
      <c r="E3" s="13"/>
      <c r="F3" s="13"/>
      <c r="G3" s="13"/>
      <c r="H3" s="18" t="s">
        <v>396</v>
      </c>
      <c r="I3" s="18"/>
      <c r="J3" s="18"/>
      <c r="K3" s="18"/>
      <c r="L3" s="13" t="s">
        <v>347</v>
      </c>
      <c r="M3" s="13"/>
      <c r="N3" s="13"/>
      <c r="O3" s="13"/>
      <c r="P3" s="13" t="s">
        <v>348</v>
      </c>
      <c r="Q3" s="13"/>
      <c r="R3" s="13"/>
      <c r="S3" s="13"/>
      <c r="T3" s="13" t="s">
        <v>349</v>
      </c>
      <c r="U3" s="13"/>
      <c r="V3" s="13"/>
      <c r="W3" s="13"/>
      <c r="X3" s="13" t="s">
        <v>420</v>
      </c>
      <c r="Y3" s="13"/>
      <c r="Z3" s="13"/>
      <c r="AA3" s="13"/>
      <c r="AB3" s="18" t="s">
        <v>397</v>
      </c>
      <c r="AC3" s="18"/>
      <c r="AD3" s="18"/>
      <c r="AE3" s="18"/>
      <c r="AF3" s="13" t="s">
        <v>350</v>
      </c>
      <c r="AG3" s="13"/>
      <c r="AH3" s="13"/>
      <c r="AI3" s="13"/>
      <c r="AJ3" s="13" t="s">
        <v>351</v>
      </c>
      <c r="AK3" s="13"/>
      <c r="AL3" s="13"/>
      <c r="AM3" s="13"/>
      <c r="AN3" s="13" t="s">
        <v>352</v>
      </c>
      <c r="AO3" s="13"/>
      <c r="AP3" s="13"/>
      <c r="AQ3" s="13"/>
      <c r="AR3" s="13" t="s">
        <v>421</v>
      </c>
      <c r="AS3" s="13"/>
      <c r="AT3" s="13"/>
      <c r="AU3" s="13"/>
      <c r="AV3" s="18" t="s">
        <v>398</v>
      </c>
      <c r="AW3" s="18"/>
      <c r="AX3" s="18"/>
      <c r="AY3" s="18"/>
      <c r="AZ3" s="13" t="s">
        <v>353</v>
      </c>
      <c r="BA3" s="13"/>
      <c r="BB3" s="13"/>
      <c r="BC3" s="13"/>
      <c r="BD3" s="13" t="s">
        <v>354</v>
      </c>
      <c r="BE3" s="13"/>
      <c r="BF3" s="13"/>
      <c r="BG3" s="13"/>
      <c r="BH3" s="13" t="s">
        <v>355</v>
      </c>
      <c r="BI3" s="13"/>
      <c r="BJ3" s="13"/>
      <c r="BK3" s="13"/>
      <c r="BL3" s="13" t="s">
        <v>356</v>
      </c>
      <c r="BM3" s="13"/>
      <c r="BN3" s="13"/>
      <c r="BO3" s="13"/>
      <c r="BP3" s="13" t="s">
        <v>422</v>
      </c>
      <c r="BQ3" s="13"/>
      <c r="BR3" s="13"/>
      <c r="BS3" s="13"/>
      <c r="BT3" s="18" t="s">
        <v>399</v>
      </c>
      <c r="BU3" s="18"/>
      <c r="BV3" s="18"/>
      <c r="BW3" s="18"/>
      <c r="BX3" s="13" t="s">
        <v>357</v>
      </c>
      <c r="BY3" s="13"/>
      <c r="BZ3" s="13"/>
      <c r="CA3" s="13"/>
      <c r="CB3" s="13" t="s">
        <v>358</v>
      </c>
      <c r="CC3" s="13"/>
      <c r="CD3" s="13"/>
      <c r="CE3" s="13"/>
      <c r="CF3" s="13" t="s">
        <v>359</v>
      </c>
      <c r="CG3" s="13"/>
      <c r="CH3" s="13"/>
      <c r="CI3" s="13"/>
      <c r="CJ3" s="13" t="s">
        <v>423</v>
      </c>
      <c r="CK3" s="13"/>
      <c r="CL3" s="13"/>
      <c r="CM3" s="13"/>
      <c r="CN3" s="18" t="s">
        <v>400</v>
      </c>
      <c r="CO3" s="18"/>
      <c r="CP3" s="18"/>
      <c r="CQ3" s="18"/>
      <c r="CR3" s="13" t="s">
        <v>360</v>
      </c>
      <c r="CS3" s="13"/>
      <c r="CT3" s="13"/>
      <c r="CU3" s="13"/>
      <c r="CV3" s="13" t="s">
        <v>361</v>
      </c>
      <c r="CW3" s="13"/>
      <c r="CX3" s="13"/>
      <c r="CY3" s="13"/>
      <c r="CZ3" s="13" t="s">
        <v>362</v>
      </c>
      <c r="DA3" s="13"/>
      <c r="DB3" s="13"/>
      <c r="DC3" s="13"/>
      <c r="DD3" s="13" t="s">
        <v>424</v>
      </c>
      <c r="DE3" s="13"/>
      <c r="DF3" s="13"/>
      <c r="DG3" s="13"/>
      <c r="DH3" s="18" t="s">
        <v>401</v>
      </c>
      <c r="DI3" s="18"/>
      <c r="DJ3" s="18"/>
      <c r="DK3" s="18"/>
      <c r="DL3" s="13" t="s">
        <v>363</v>
      </c>
      <c r="DM3" s="13"/>
      <c r="DN3" s="13"/>
      <c r="DO3" s="13"/>
      <c r="DP3" s="13" t="s">
        <v>364</v>
      </c>
      <c r="DQ3" s="13"/>
      <c r="DR3" s="13"/>
      <c r="DS3" s="13"/>
      <c r="DT3" s="13" t="s">
        <v>365</v>
      </c>
      <c r="DU3" s="13"/>
      <c r="DV3" s="13"/>
      <c r="DW3" s="13"/>
      <c r="DX3" s="13" t="s">
        <v>366</v>
      </c>
      <c r="DY3" s="13"/>
      <c r="DZ3" s="13"/>
      <c r="EA3" s="13"/>
      <c r="EB3" s="13" t="s">
        <v>425</v>
      </c>
      <c r="EC3" s="13"/>
      <c r="ED3" s="13"/>
      <c r="EE3" s="13"/>
      <c r="EF3" s="18" t="s">
        <v>402</v>
      </c>
      <c r="EG3" s="18"/>
      <c r="EH3" s="18"/>
      <c r="EI3" s="18"/>
      <c r="EJ3" s="13" t="s">
        <v>367</v>
      </c>
      <c r="EK3" s="13"/>
      <c r="EL3" s="13"/>
      <c r="EM3" s="13"/>
      <c r="EN3" s="13" t="s">
        <v>368</v>
      </c>
      <c r="EO3" s="13"/>
      <c r="EP3" s="13"/>
      <c r="EQ3" s="13"/>
      <c r="ER3" s="13" t="s">
        <v>369</v>
      </c>
      <c r="ES3" s="13"/>
      <c r="ET3" s="13"/>
      <c r="EU3" s="13"/>
      <c r="EV3" s="13" t="s">
        <v>426</v>
      </c>
      <c r="EW3" s="13"/>
      <c r="EX3" s="13"/>
      <c r="EY3" s="13"/>
      <c r="EZ3" s="18" t="s">
        <v>403</v>
      </c>
      <c r="FA3" s="18"/>
      <c r="FB3" s="18"/>
      <c r="FC3" s="18"/>
      <c r="FD3" s="13" t="s">
        <v>370</v>
      </c>
      <c r="FE3" s="13"/>
      <c r="FF3" s="13"/>
      <c r="FG3" s="13"/>
      <c r="FH3" s="13" t="s">
        <v>371</v>
      </c>
      <c r="FI3" s="13"/>
      <c r="FJ3" s="13"/>
      <c r="FK3" s="13"/>
      <c r="FL3" s="13" t="s">
        <v>372</v>
      </c>
      <c r="FM3" s="13"/>
      <c r="FN3" s="13"/>
      <c r="FO3" s="13"/>
      <c r="FP3" s="13" t="s">
        <v>373</v>
      </c>
      <c r="FQ3" s="13"/>
      <c r="FR3" s="13"/>
      <c r="FS3" s="13"/>
      <c r="FT3" s="18" t="s">
        <v>404</v>
      </c>
      <c r="FU3" s="18"/>
      <c r="FV3" s="18"/>
      <c r="FW3" s="18"/>
      <c r="FX3" s="13" t="s">
        <v>374</v>
      </c>
      <c r="FY3" s="13"/>
      <c r="FZ3" s="13"/>
      <c r="GA3" s="13"/>
      <c r="GB3" s="13" t="s">
        <v>375</v>
      </c>
      <c r="GC3" s="13"/>
      <c r="GD3" s="13"/>
      <c r="GE3" s="13"/>
      <c r="GF3" s="13" t="s">
        <v>376</v>
      </c>
      <c r="GG3" s="13"/>
      <c r="GH3" s="13"/>
      <c r="GI3" s="13"/>
      <c r="GJ3" s="13" t="s">
        <v>377</v>
      </c>
      <c r="GK3" s="13"/>
      <c r="GL3" s="13"/>
      <c r="GM3" s="13"/>
      <c r="GN3" s="13" t="s">
        <v>427</v>
      </c>
      <c r="GO3" s="13"/>
      <c r="GP3" s="13"/>
      <c r="GQ3" s="13"/>
      <c r="GR3" s="18" t="s">
        <v>405</v>
      </c>
      <c r="GS3" s="18"/>
      <c r="GT3" s="18"/>
      <c r="GU3" s="18"/>
      <c r="GV3" s="13" t="s">
        <v>378</v>
      </c>
      <c r="GW3" s="13"/>
      <c r="GX3" s="13"/>
      <c r="GY3" s="13"/>
      <c r="GZ3" s="13" t="s">
        <v>379</v>
      </c>
      <c r="HA3" s="13"/>
      <c r="HB3" s="13"/>
      <c r="HC3" s="13"/>
      <c r="HD3" s="13" t="s">
        <v>380</v>
      </c>
      <c r="HE3" s="13"/>
      <c r="HF3" s="13"/>
      <c r="HG3" s="13"/>
      <c r="HH3" s="13" t="s">
        <v>428</v>
      </c>
      <c r="HI3" s="13"/>
      <c r="HJ3" s="13"/>
      <c r="HK3" s="13"/>
      <c r="HL3" s="18" t="s">
        <v>406</v>
      </c>
      <c r="HM3" s="18"/>
      <c r="HN3" s="18"/>
      <c r="HO3" s="18"/>
      <c r="HP3" s="13" t="s">
        <v>381</v>
      </c>
      <c r="HQ3" s="13"/>
      <c r="HR3" s="13"/>
      <c r="HS3" s="13"/>
      <c r="HT3" s="13" t="s">
        <v>382</v>
      </c>
      <c r="HU3" s="13"/>
      <c r="HV3" s="13"/>
      <c r="HW3" s="13"/>
      <c r="HX3" s="13" t="s">
        <v>383</v>
      </c>
      <c r="HY3" s="13"/>
      <c r="HZ3" s="13"/>
      <c r="IA3" s="13"/>
      <c r="IB3" s="13" t="s">
        <v>384</v>
      </c>
      <c r="IC3" s="13"/>
      <c r="ID3" s="13"/>
      <c r="IE3" s="13"/>
      <c r="IF3" s="18" t="s">
        <v>407</v>
      </c>
      <c r="IG3" s="18"/>
      <c r="IH3" s="18"/>
      <c r="II3" s="18"/>
      <c r="IJ3" s="13" t="s">
        <v>385</v>
      </c>
      <c r="IK3" s="13"/>
      <c r="IL3" s="13"/>
      <c r="IM3" s="13"/>
      <c r="IN3" s="13" t="s">
        <v>386</v>
      </c>
      <c r="IO3" s="13"/>
      <c r="IP3" s="13"/>
      <c r="IQ3" s="13"/>
      <c r="IR3" s="13" t="s">
        <v>387</v>
      </c>
      <c r="IS3" s="13"/>
      <c r="IT3" s="13"/>
      <c r="IU3" s="13"/>
      <c r="IV3" s="13" t="s">
        <v>388</v>
      </c>
      <c r="IW3" s="13"/>
      <c r="IX3" s="13"/>
      <c r="IY3" s="13"/>
      <c r="IZ3" s="13" t="s">
        <v>429</v>
      </c>
      <c r="JA3" s="13"/>
      <c r="JB3" s="13"/>
      <c r="JC3" s="13"/>
      <c r="JD3" s="18" t="s">
        <v>408</v>
      </c>
      <c r="JE3" s="18"/>
      <c r="JF3" s="18"/>
      <c r="JG3" s="18"/>
      <c r="JH3" s="13" t="s">
        <v>389</v>
      </c>
      <c r="JI3" s="13"/>
      <c r="JJ3" s="13"/>
      <c r="JK3" s="13"/>
      <c r="JL3" s="13" t="s">
        <v>390</v>
      </c>
      <c r="JM3" s="13"/>
      <c r="JN3" s="13"/>
      <c r="JO3" s="13"/>
      <c r="JP3" s="13" t="s">
        <v>391</v>
      </c>
      <c r="JQ3" s="13"/>
      <c r="JR3" s="13"/>
      <c r="JS3" s="13"/>
      <c r="JT3" s="13" t="s">
        <v>430</v>
      </c>
      <c r="JU3" s="13"/>
      <c r="JV3" s="13"/>
      <c r="JW3" s="13"/>
      <c r="JX3" s="18" t="s">
        <v>409</v>
      </c>
      <c r="JY3" s="18"/>
      <c r="JZ3" s="18"/>
      <c r="KA3" s="18"/>
      <c r="KB3" s="13" t="s">
        <v>392</v>
      </c>
      <c r="KC3" s="13"/>
      <c r="KD3" s="13"/>
      <c r="KE3" s="13"/>
      <c r="KF3" s="13" t="s">
        <v>393</v>
      </c>
      <c r="KG3" s="13"/>
      <c r="KH3" s="13"/>
      <c r="KI3" s="13"/>
      <c r="KJ3" s="13" t="s">
        <v>394</v>
      </c>
      <c r="KK3" s="13"/>
      <c r="KL3" s="13"/>
      <c r="KM3" s="13"/>
      <c r="KN3" s="13" t="s">
        <v>431</v>
      </c>
      <c r="KO3" s="13"/>
      <c r="KP3" s="13"/>
      <c r="KQ3" s="13"/>
      <c r="KR3" s="18" t="s">
        <v>410</v>
      </c>
      <c r="KS3" s="18"/>
      <c r="KT3" s="18"/>
      <c r="KU3" s="18"/>
      <c r="KV3" s="24" t="s">
        <v>411</v>
      </c>
      <c r="KW3" s="24"/>
      <c r="KX3" s="24"/>
      <c r="KY3" s="24"/>
    </row>
    <row r="4" spans="1:311" ht="18" customHeight="1" x14ac:dyDescent="0.4">
      <c r="A4" s="14"/>
      <c r="B4" s="14"/>
      <c r="C4" s="14"/>
      <c r="D4" s="14" t="s">
        <v>9</v>
      </c>
      <c r="E4" s="14" t="s">
        <v>413</v>
      </c>
      <c r="F4" s="14" t="s">
        <v>414</v>
      </c>
      <c r="G4" s="14" t="s">
        <v>344</v>
      </c>
      <c r="H4" s="19" t="s">
        <v>9</v>
      </c>
      <c r="I4" s="19" t="s">
        <v>413</v>
      </c>
      <c r="J4" s="19" t="s">
        <v>414</v>
      </c>
      <c r="K4" s="19" t="s">
        <v>344</v>
      </c>
      <c r="L4" s="14" t="s">
        <v>9</v>
      </c>
      <c r="M4" s="14" t="s">
        <v>413</v>
      </c>
      <c r="N4" s="14" t="s">
        <v>414</v>
      </c>
      <c r="O4" s="14" t="s">
        <v>344</v>
      </c>
      <c r="P4" s="14" t="s">
        <v>9</v>
      </c>
      <c r="Q4" s="14" t="s">
        <v>413</v>
      </c>
      <c r="R4" s="14" t="s">
        <v>414</v>
      </c>
      <c r="S4" s="14" t="s">
        <v>344</v>
      </c>
      <c r="T4" s="14" t="s">
        <v>9</v>
      </c>
      <c r="U4" s="14" t="s">
        <v>413</v>
      </c>
      <c r="V4" s="14" t="s">
        <v>414</v>
      </c>
      <c r="W4" s="14" t="s">
        <v>344</v>
      </c>
      <c r="X4" s="14" t="s">
        <v>9</v>
      </c>
      <c r="Y4" s="14" t="s">
        <v>413</v>
      </c>
      <c r="Z4" s="14" t="s">
        <v>414</v>
      </c>
      <c r="AA4" s="14" t="s">
        <v>344</v>
      </c>
      <c r="AB4" s="19" t="s">
        <v>9</v>
      </c>
      <c r="AC4" s="19" t="s">
        <v>413</v>
      </c>
      <c r="AD4" s="19" t="s">
        <v>414</v>
      </c>
      <c r="AE4" s="19" t="s">
        <v>344</v>
      </c>
      <c r="AF4" s="14" t="s">
        <v>9</v>
      </c>
      <c r="AG4" s="14" t="s">
        <v>413</v>
      </c>
      <c r="AH4" s="14" t="s">
        <v>414</v>
      </c>
      <c r="AI4" s="14" t="s">
        <v>344</v>
      </c>
      <c r="AJ4" s="14" t="s">
        <v>9</v>
      </c>
      <c r="AK4" s="14" t="s">
        <v>413</v>
      </c>
      <c r="AL4" s="14" t="s">
        <v>414</v>
      </c>
      <c r="AM4" s="14" t="s">
        <v>344</v>
      </c>
      <c r="AN4" s="14" t="s">
        <v>9</v>
      </c>
      <c r="AO4" s="14" t="s">
        <v>413</v>
      </c>
      <c r="AP4" s="14" t="s">
        <v>414</v>
      </c>
      <c r="AQ4" s="14" t="s">
        <v>344</v>
      </c>
      <c r="AR4" s="14" t="s">
        <v>9</v>
      </c>
      <c r="AS4" s="14" t="s">
        <v>413</v>
      </c>
      <c r="AT4" s="14" t="s">
        <v>414</v>
      </c>
      <c r="AU4" s="14" t="s">
        <v>344</v>
      </c>
      <c r="AV4" s="19" t="s">
        <v>9</v>
      </c>
      <c r="AW4" s="19" t="s">
        <v>413</v>
      </c>
      <c r="AX4" s="19" t="s">
        <v>414</v>
      </c>
      <c r="AY4" s="19" t="s">
        <v>344</v>
      </c>
      <c r="AZ4" s="14" t="s">
        <v>9</v>
      </c>
      <c r="BA4" s="14" t="s">
        <v>413</v>
      </c>
      <c r="BB4" s="14" t="s">
        <v>414</v>
      </c>
      <c r="BC4" s="14" t="s">
        <v>344</v>
      </c>
      <c r="BD4" s="14" t="s">
        <v>9</v>
      </c>
      <c r="BE4" s="14" t="s">
        <v>413</v>
      </c>
      <c r="BF4" s="14" t="s">
        <v>414</v>
      </c>
      <c r="BG4" s="14" t="s">
        <v>344</v>
      </c>
      <c r="BH4" s="14" t="s">
        <v>9</v>
      </c>
      <c r="BI4" s="14" t="s">
        <v>413</v>
      </c>
      <c r="BJ4" s="14" t="s">
        <v>414</v>
      </c>
      <c r="BK4" s="14" t="s">
        <v>344</v>
      </c>
      <c r="BL4" s="14" t="s">
        <v>9</v>
      </c>
      <c r="BM4" s="14" t="s">
        <v>413</v>
      </c>
      <c r="BN4" s="14" t="s">
        <v>414</v>
      </c>
      <c r="BO4" s="14" t="s">
        <v>344</v>
      </c>
      <c r="BP4" s="14" t="s">
        <v>9</v>
      </c>
      <c r="BQ4" s="14" t="s">
        <v>413</v>
      </c>
      <c r="BR4" s="14" t="s">
        <v>414</v>
      </c>
      <c r="BS4" s="14" t="s">
        <v>344</v>
      </c>
      <c r="BT4" s="19" t="s">
        <v>9</v>
      </c>
      <c r="BU4" s="19" t="s">
        <v>413</v>
      </c>
      <c r="BV4" s="19" t="s">
        <v>414</v>
      </c>
      <c r="BW4" s="19" t="s">
        <v>344</v>
      </c>
      <c r="BX4" s="14" t="s">
        <v>9</v>
      </c>
      <c r="BY4" s="14" t="s">
        <v>413</v>
      </c>
      <c r="BZ4" s="14" t="s">
        <v>414</v>
      </c>
      <c r="CA4" s="14" t="s">
        <v>344</v>
      </c>
      <c r="CB4" s="14" t="s">
        <v>9</v>
      </c>
      <c r="CC4" s="14" t="s">
        <v>413</v>
      </c>
      <c r="CD4" s="14" t="s">
        <v>414</v>
      </c>
      <c r="CE4" s="14" t="s">
        <v>344</v>
      </c>
      <c r="CF4" s="14" t="s">
        <v>9</v>
      </c>
      <c r="CG4" s="14" t="s">
        <v>413</v>
      </c>
      <c r="CH4" s="14" t="s">
        <v>414</v>
      </c>
      <c r="CI4" s="14" t="s">
        <v>344</v>
      </c>
      <c r="CJ4" s="14" t="s">
        <v>9</v>
      </c>
      <c r="CK4" s="14" t="s">
        <v>413</v>
      </c>
      <c r="CL4" s="14" t="s">
        <v>414</v>
      </c>
      <c r="CM4" s="14" t="s">
        <v>344</v>
      </c>
      <c r="CN4" s="19" t="s">
        <v>9</v>
      </c>
      <c r="CO4" s="19" t="s">
        <v>413</v>
      </c>
      <c r="CP4" s="19" t="s">
        <v>414</v>
      </c>
      <c r="CQ4" s="19" t="s">
        <v>344</v>
      </c>
      <c r="CR4" s="14" t="s">
        <v>9</v>
      </c>
      <c r="CS4" s="14" t="s">
        <v>413</v>
      </c>
      <c r="CT4" s="14" t="s">
        <v>414</v>
      </c>
      <c r="CU4" s="14" t="s">
        <v>344</v>
      </c>
      <c r="CV4" s="14" t="s">
        <v>9</v>
      </c>
      <c r="CW4" s="14" t="s">
        <v>413</v>
      </c>
      <c r="CX4" s="14" t="s">
        <v>414</v>
      </c>
      <c r="CY4" s="14" t="s">
        <v>344</v>
      </c>
      <c r="CZ4" s="14" t="s">
        <v>9</v>
      </c>
      <c r="DA4" s="14" t="s">
        <v>413</v>
      </c>
      <c r="DB4" s="14" t="s">
        <v>414</v>
      </c>
      <c r="DC4" s="14" t="s">
        <v>344</v>
      </c>
      <c r="DD4" s="14" t="s">
        <v>9</v>
      </c>
      <c r="DE4" s="14" t="s">
        <v>413</v>
      </c>
      <c r="DF4" s="14" t="s">
        <v>414</v>
      </c>
      <c r="DG4" s="14" t="s">
        <v>344</v>
      </c>
      <c r="DH4" s="19" t="s">
        <v>9</v>
      </c>
      <c r="DI4" s="19" t="s">
        <v>413</v>
      </c>
      <c r="DJ4" s="19" t="s">
        <v>414</v>
      </c>
      <c r="DK4" s="19" t="s">
        <v>344</v>
      </c>
      <c r="DL4" s="14" t="s">
        <v>9</v>
      </c>
      <c r="DM4" s="14" t="s">
        <v>413</v>
      </c>
      <c r="DN4" s="14" t="s">
        <v>414</v>
      </c>
      <c r="DO4" s="14" t="s">
        <v>344</v>
      </c>
      <c r="DP4" s="14" t="s">
        <v>9</v>
      </c>
      <c r="DQ4" s="14" t="s">
        <v>413</v>
      </c>
      <c r="DR4" s="14" t="s">
        <v>414</v>
      </c>
      <c r="DS4" s="14" t="s">
        <v>344</v>
      </c>
      <c r="DT4" s="14" t="s">
        <v>9</v>
      </c>
      <c r="DU4" s="14" t="s">
        <v>413</v>
      </c>
      <c r="DV4" s="14" t="s">
        <v>414</v>
      </c>
      <c r="DW4" s="14" t="s">
        <v>344</v>
      </c>
      <c r="DX4" s="14" t="s">
        <v>9</v>
      </c>
      <c r="DY4" s="14" t="s">
        <v>413</v>
      </c>
      <c r="DZ4" s="14" t="s">
        <v>414</v>
      </c>
      <c r="EA4" s="14" t="s">
        <v>344</v>
      </c>
      <c r="EB4" s="14" t="s">
        <v>9</v>
      </c>
      <c r="EC4" s="14" t="s">
        <v>413</v>
      </c>
      <c r="ED4" s="14" t="s">
        <v>414</v>
      </c>
      <c r="EE4" s="14" t="s">
        <v>344</v>
      </c>
      <c r="EF4" s="19" t="s">
        <v>9</v>
      </c>
      <c r="EG4" s="19" t="s">
        <v>413</v>
      </c>
      <c r="EH4" s="19" t="s">
        <v>414</v>
      </c>
      <c r="EI4" s="19" t="s">
        <v>344</v>
      </c>
      <c r="EJ4" s="14" t="s">
        <v>9</v>
      </c>
      <c r="EK4" s="14" t="s">
        <v>413</v>
      </c>
      <c r="EL4" s="14" t="s">
        <v>414</v>
      </c>
      <c r="EM4" s="14" t="s">
        <v>344</v>
      </c>
      <c r="EN4" s="14" t="s">
        <v>9</v>
      </c>
      <c r="EO4" s="14" t="s">
        <v>413</v>
      </c>
      <c r="EP4" s="14" t="s">
        <v>414</v>
      </c>
      <c r="EQ4" s="14" t="s">
        <v>344</v>
      </c>
      <c r="ER4" s="14" t="s">
        <v>9</v>
      </c>
      <c r="ES4" s="14" t="s">
        <v>413</v>
      </c>
      <c r="ET4" s="14" t="s">
        <v>414</v>
      </c>
      <c r="EU4" s="14" t="s">
        <v>344</v>
      </c>
      <c r="EV4" s="14" t="s">
        <v>9</v>
      </c>
      <c r="EW4" s="14" t="s">
        <v>413</v>
      </c>
      <c r="EX4" s="14" t="s">
        <v>414</v>
      </c>
      <c r="EY4" s="14" t="s">
        <v>344</v>
      </c>
      <c r="EZ4" s="19" t="s">
        <v>9</v>
      </c>
      <c r="FA4" s="19" t="s">
        <v>413</v>
      </c>
      <c r="FB4" s="19" t="s">
        <v>414</v>
      </c>
      <c r="FC4" s="19" t="s">
        <v>344</v>
      </c>
      <c r="FD4" s="14" t="s">
        <v>9</v>
      </c>
      <c r="FE4" s="14" t="s">
        <v>413</v>
      </c>
      <c r="FF4" s="14" t="s">
        <v>414</v>
      </c>
      <c r="FG4" s="14" t="s">
        <v>344</v>
      </c>
      <c r="FH4" s="14" t="s">
        <v>9</v>
      </c>
      <c r="FI4" s="14" t="s">
        <v>413</v>
      </c>
      <c r="FJ4" s="14" t="s">
        <v>414</v>
      </c>
      <c r="FK4" s="14" t="s">
        <v>344</v>
      </c>
      <c r="FL4" s="14" t="s">
        <v>9</v>
      </c>
      <c r="FM4" s="14" t="s">
        <v>413</v>
      </c>
      <c r="FN4" s="14" t="s">
        <v>414</v>
      </c>
      <c r="FO4" s="14" t="s">
        <v>344</v>
      </c>
      <c r="FP4" s="14" t="s">
        <v>9</v>
      </c>
      <c r="FQ4" s="14" t="s">
        <v>413</v>
      </c>
      <c r="FR4" s="14" t="s">
        <v>414</v>
      </c>
      <c r="FS4" s="14" t="s">
        <v>344</v>
      </c>
      <c r="FT4" s="19" t="s">
        <v>9</v>
      </c>
      <c r="FU4" s="19" t="s">
        <v>413</v>
      </c>
      <c r="FV4" s="19" t="s">
        <v>414</v>
      </c>
      <c r="FW4" s="19" t="s">
        <v>344</v>
      </c>
      <c r="FX4" s="14" t="s">
        <v>9</v>
      </c>
      <c r="FY4" s="14" t="s">
        <v>413</v>
      </c>
      <c r="FZ4" s="14" t="s">
        <v>414</v>
      </c>
      <c r="GA4" s="14" t="s">
        <v>344</v>
      </c>
      <c r="GB4" s="14" t="s">
        <v>9</v>
      </c>
      <c r="GC4" s="14" t="s">
        <v>413</v>
      </c>
      <c r="GD4" s="14" t="s">
        <v>414</v>
      </c>
      <c r="GE4" s="14" t="s">
        <v>344</v>
      </c>
      <c r="GF4" s="14" t="s">
        <v>9</v>
      </c>
      <c r="GG4" s="14" t="s">
        <v>413</v>
      </c>
      <c r="GH4" s="14" t="s">
        <v>414</v>
      </c>
      <c r="GI4" s="14" t="s">
        <v>344</v>
      </c>
      <c r="GJ4" s="14" t="s">
        <v>9</v>
      </c>
      <c r="GK4" s="14" t="s">
        <v>413</v>
      </c>
      <c r="GL4" s="14" t="s">
        <v>414</v>
      </c>
      <c r="GM4" s="14" t="s">
        <v>344</v>
      </c>
      <c r="GN4" s="14" t="s">
        <v>9</v>
      </c>
      <c r="GO4" s="14" t="s">
        <v>413</v>
      </c>
      <c r="GP4" s="14" t="s">
        <v>414</v>
      </c>
      <c r="GQ4" s="14" t="s">
        <v>344</v>
      </c>
      <c r="GR4" s="19" t="s">
        <v>9</v>
      </c>
      <c r="GS4" s="19" t="s">
        <v>413</v>
      </c>
      <c r="GT4" s="19" t="s">
        <v>414</v>
      </c>
      <c r="GU4" s="19" t="s">
        <v>344</v>
      </c>
      <c r="GV4" s="14" t="s">
        <v>9</v>
      </c>
      <c r="GW4" s="14" t="s">
        <v>413</v>
      </c>
      <c r="GX4" s="14" t="s">
        <v>414</v>
      </c>
      <c r="GY4" s="14" t="s">
        <v>344</v>
      </c>
      <c r="GZ4" s="14" t="s">
        <v>9</v>
      </c>
      <c r="HA4" s="14" t="s">
        <v>413</v>
      </c>
      <c r="HB4" s="14" t="s">
        <v>414</v>
      </c>
      <c r="HC4" s="14" t="s">
        <v>344</v>
      </c>
      <c r="HD4" s="14" t="s">
        <v>9</v>
      </c>
      <c r="HE4" s="14" t="s">
        <v>413</v>
      </c>
      <c r="HF4" s="14" t="s">
        <v>414</v>
      </c>
      <c r="HG4" s="14" t="s">
        <v>344</v>
      </c>
      <c r="HH4" s="14" t="s">
        <v>9</v>
      </c>
      <c r="HI4" s="14" t="s">
        <v>413</v>
      </c>
      <c r="HJ4" s="14" t="s">
        <v>414</v>
      </c>
      <c r="HK4" s="14" t="s">
        <v>344</v>
      </c>
      <c r="HL4" s="19" t="s">
        <v>9</v>
      </c>
      <c r="HM4" s="19" t="s">
        <v>413</v>
      </c>
      <c r="HN4" s="19" t="s">
        <v>414</v>
      </c>
      <c r="HO4" s="19" t="s">
        <v>344</v>
      </c>
      <c r="HP4" s="14" t="s">
        <v>9</v>
      </c>
      <c r="HQ4" s="14" t="s">
        <v>413</v>
      </c>
      <c r="HR4" s="14" t="s">
        <v>414</v>
      </c>
      <c r="HS4" s="14" t="s">
        <v>344</v>
      </c>
      <c r="HT4" s="14" t="s">
        <v>9</v>
      </c>
      <c r="HU4" s="14" t="s">
        <v>413</v>
      </c>
      <c r="HV4" s="14" t="s">
        <v>414</v>
      </c>
      <c r="HW4" s="14" t="s">
        <v>344</v>
      </c>
      <c r="HX4" s="14" t="s">
        <v>9</v>
      </c>
      <c r="HY4" s="14" t="s">
        <v>413</v>
      </c>
      <c r="HZ4" s="14" t="s">
        <v>414</v>
      </c>
      <c r="IA4" s="14" t="s">
        <v>344</v>
      </c>
      <c r="IB4" s="14" t="s">
        <v>9</v>
      </c>
      <c r="IC4" s="14" t="s">
        <v>413</v>
      </c>
      <c r="ID4" s="14" t="s">
        <v>414</v>
      </c>
      <c r="IE4" s="14" t="s">
        <v>344</v>
      </c>
      <c r="IF4" s="19" t="s">
        <v>9</v>
      </c>
      <c r="IG4" s="19" t="s">
        <v>413</v>
      </c>
      <c r="IH4" s="19" t="s">
        <v>414</v>
      </c>
      <c r="II4" s="19" t="s">
        <v>344</v>
      </c>
      <c r="IJ4" s="14" t="s">
        <v>9</v>
      </c>
      <c r="IK4" s="14" t="s">
        <v>413</v>
      </c>
      <c r="IL4" s="14" t="s">
        <v>414</v>
      </c>
      <c r="IM4" s="14" t="s">
        <v>344</v>
      </c>
      <c r="IN4" s="14" t="s">
        <v>9</v>
      </c>
      <c r="IO4" s="14" t="s">
        <v>413</v>
      </c>
      <c r="IP4" s="14" t="s">
        <v>414</v>
      </c>
      <c r="IQ4" s="14" t="s">
        <v>344</v>
      </c>
      <c r="IR4" s="14" t="s">
        <v>9</v>
      </c>
      <c r="IS4" s="14" t="s">
        <v>413</v>
      </c>
      <c r="IT4" s="14" t="s">
        <v>414</v>
      </c>
      <c r="IU4" s="14" t="s">
        <v>344</v>
      </c>
      <c r="IV4" s="14" t="s">
        <v>9</v>
      </c>
      <c r="IW4" s="14" t="s">
        <v>413</v>
      </c>
      <c r="IX4" s="14" t="s">
        <v>414</v>
      </c>
      <c r="IY4" s="14" t="s">
        <v>344</v>
      </c>
      <c r="IZ4" s="14" t="s">
        <v>9</v>
      </c>
      <c r="JA4" s="14" t="s">
        <v>413</v>
      </c>
      <c r="JB4" s="14" t="s">
        <v>414</v>
      </c>
      <c r="JC4" s="14" t="s">
        <v>344</v>
      </c>
      <c r="JD4" s="19" t="s">
        <v>9</v>
      </c>
      <c r="JE4" s="19" t="s">
        <v>413</v>
      </c>
      <c r="JF4" s="19" t="s">
        <v>414</v>
      </c>
      <c r="JG4" s="19" t="s">
        <v>344</v>
      </c>
      <c r="JH4" s="14" t="s">
        <v>9</v>
      </c>
      <c r="JI4" s="14" t="s">
        <v>413</v>
      </c>
      <c r="JJ4" s="14" t="s">
        <v>414</v>
      </c>
      <c r="JK4" s="14" t="s">
        <v>344</v>
      </c>
      <c r="JL4" s="14" t="s">
        <v>9</v>
      </c>
      <c r="JM4" s="14" t="s">
        <v>413</v>
      </c>
      <c r="JN4" s="14" t="s">
        <v>414</v>
      </c>
      <c r="JO4" s="14" t="s">
        <v>344</v>
      </c>
      <c r="JP4" s="14" t="s">
        <v>9</v>
      </c>
      <c r="JQ4" s="14" t="s">
        <v>413</v>
      </c>
      <c r="JR4" s="14" t="s">
        <v>414</v>
      </c>
      <c r="JS4" s="14" t="s">
        <v>344</v>
      </c>
      <c r="JT4" s="14" t="s">
        <v>9</v>
      </c>
      <c r="JU4" s="14" t="s">
        <v>413</v>
      </c>
      <c r="JV4" s="14" t="s">
        <v>414</v>
      </c>
      <c r="JW4" s="14" t="s">
        <v>344</v>
      </c>
      <c r="JX4" s="19" t="s">
        <v>9</v>
      </c>
      <c r="JY4" s="19" t="s">
        <v>413</v>
      </c>
      <c r="JZ4" s="19" t="s">
        <v>414</v>
      </c>
      <c r="KA4" s="19" t="s">
        <v>344</v>
      </c>
      <c r="KB4" s="14" t="s">
        <v>9</v>
      </c>
      <c r="KC4" s="14" t="s">
        <v>413</v>
      </c>
      <c r="KD4" s="14" t="s">
        <v>414</v>
      </c>
      <c r="KE4" s="14" t="s">
        <v>344</v>
      </c>
      <c r="KF4" s="14" t="s">
        <v>9</v>
      </c>
      <c r="KG4" s="14" t="s">
        <v>413</v>
      </c>
      <c r="KH4" s="14" t="s">
        <v>414</v>
      </c>
      <c r="KI4" s="14" t="s">
        <v>344</v>
      </c>
      <c r="KJ4" s="14" t="s">
        <v>9</v>
      </c>
      <c r="KK4" s="14" t="s">
        <v>413</v>
      </c>
      <c r="KL4" s="14" t="s">
        <v>414</v>
      </c>
      <c r="KM4" s="14" t="s">
        <v>344</v>
      </c>
      <c r="KN4" s="14" t="s">
        <v>9</v>
      </c>
      <c r="KO4" s="14" t="s">
        <v>413</v>
      </c>
      <c r="KP4" s="14" t="s">
        <v>414</v>
      </c>
      <c r="KQ4" s="14" t="s">
        <v>344</v>
      </c>
      <c r="KR4" s="19" t="s">
        <v>9</v>
      </c>
      <c r="KS4" s="19" t="s">
        <v>413</v>
      </c>
      <c r="KT4" s="19" t="s">
        <v>414</v>
      </c>
      <c r="KU4" s="19" t="s">
        <v>344</v>
      </c>
      <c r="KV4" s="25" t="s">
        <v>9</v>
      </c>
      <c r="KW4" s="25" t="s">
        <v>413</v>
      </c>
      <c r="KX4" s="25" t="s">
        <v>414</v>
      </c>
      <c r="KY4" s="25" t="s">
        <v>344</v>
      </c>
    </row>
    <row r="5" spans="1:311" ht="16.95" customHeight="1" x14ac:dyDescent="0.4">
      <c r="A5" s="7" t="s">
        <v>26</v>
      </c>
      <c r="B5" s="7" t="s">
        <v>395</v>
      </c>
      <c r="C5" s="7"/>
      <c r="D5" s="8">
        <v>0</v>
      </c>
      <c r="E5" s="8">
        <v>0</v>
      </c>
      <c r="F5" s="8">
        <v>0</v>
      </c>
      <c r="G5" s="8">
        <v>0</v>
      </c>
      <c r="H5" s="20">
        <v>0</v>
      </c>
      <c r="I5" s="20">
        <v>0</v>
      </c>
      <c r="J5" s="20">
        <v>0</v>
      </c>
      <c r="K5" s="20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20">
        <v>0</v>
      </c>
      <c r="AC5" s="20">
        <v>0</v>
      </c>
      <c r="AD5" s="20">
        <v>0</v>
      </c>
      <c r="AE5" s="20">
        <v>0</v>
      </c>
      <c r="AF5" s="8">
        <v>0</v>
      </c>
      <c r="AG5" s="8">
        <v>0</v>
      </c>
      <c r="AH5" s="8">
        <v>0</v>
      </c>
      <c r="AI5" s="8">
        <v>0</v>
      </c>
      <c r="AJ5" s="8">
        <v>24</v>
      </c>
      <c r="AK5" s="8">
        <v>0</v>
      </c>
      <c r="AL5" s="8">
        <v>32256</v>
      </c>
      <c r="AM5" s="8">
        <v>3870.7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20">
        <v>24</v>
      </c>
      <c r="AW5" s="20">
        <v>0</v>
      </c>
      <c r="AX5" s="20">
        <v>32256</v>
      </c>
      <c r="AY5" s="20">
        <v>3870.7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10</v>
      </c>
      <c r="BQ5" s="8">
        <v>0</v>
      </c>
      <c r="BR5" s="8">
        <v>49273</v>
      </c>
      <c r="BS5" s="8">
        <v>5912.8</v>
      </c>
      <c r="BT5" s="20">
        <v>10</v>
      </c>
      <c r="BU5" s="20">
        <v>0</v>
      </c>
      <c r="BV5" s="20">
        <v>49273</v>
      </c>
      <c r="BW5" s="20">
        <v>5912.8</v>
      </c>
      <c r="BX5" s="8">
        <v>20</v>
      </c>
      <c r="BY5" s="8">
        <v>0</v>
      </c>
      <c r="BZ5" s="8">
        <v>8250</v>
      </c>
      <c r="CA5" s="8">
        <v>990</v>
      </c>
      <c r="CB5" s="8">
        <v>4</v>
      </c>
      <c r="CC5" s="8">
        <v>0</v>
      </c>
      <c r="CD5" s="8">
        <v>24728</v>
      </c>
      <c r="CE5" s="8">
        <v>2967.4</v>
      </c>
      <c r="CF5" s="8">
        <v>0</v>
      </c>
      <c r="CG5" s="8">
        <v>0</v>
      </c>
      <c r="CH5" s="8">
        <v>0</v>
      </c>
      <c r="CI5" s="8">
        <v>0</v>
      </c>
      <c r="CJ5" s="8">
        <v>4</v>
      </c>
      <c r="CK5" s="8">
        <v>0</v>
      </c>
      <c r="CL5" s="8">
        <v>24728</v>
      </c>
      <c r="CM5" s="8">
        <v>2967.4</v>
      </c>
      <c r="CN5" s="20">
        <v>28</v>
      </c>
      <c r="CO5" s="20">
        <v>0</v>
      </c>
      <c r="CP5" s="20">
        <v>57706</v>
      </c>
      <c r="CQ5" s="20">
        <v>6924.7</v>
      </c>
      <c r="CR5" s="8">
        <v>0</v>
      </c>
      <c r="CS5" s="8">
        <v>0</v>
      </c>
      <c r="CT5" s="8">
        <v>0</v>
      </c>
      <c r="CU5" s="8">
        <v>0</v>
      </c>
      <c r="CV5" s="8">
        <v>8</v>
      </c>
      <c r="CW5" s="8">
        <v>0</v>
      </c>
      <c r="CX5" s="8">
        <v>42407</v>
      </c>
      <c r="CY5" s="8">
        <v>5088.8</v>
      </c>
      <c r="CZ5" s="8">
        <v>20</v>
      </c>
      <c r="DA5" s="8">
        <v>0</v>
      </c>
      <c r="DB5" s="8">
        <v>8250</v>
      </c>
      <c r="DC5" s="8">
        <v>990</v>
      </c>
      <c r="DD5" s="8">
        <v>24</v>
      </c>
      <c r="DE5" s="8">
        <v>0</v>
      </c>
      <c r="DF5" s="8">
        <v>32978</v>
      </c>
      <c r="DG5" s="8">
        <v>3957.4</v>
      </c>
      <c r="DH5" s="20">
        <v>52</v>
      </c>
      <c r="DI5" s="20">
        <v>0</v>
      </c>
      <c r="DJ5" s="20">
        <v>83635</v>
      </c>
      <c r="DK5" s="20">
        <v>10036.200000000001</v>
      </c>
      <c r="DL5" s="8">
        <v>6</v>
      </c>
      <c r="DM5" s="8">
        <v>0</v>
      </c>
      <c r="DN5" s="8">
        <v>26519</v>
      </c>
      <c r="DO5" s="8">
        <v>3182.3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26</v>
      </c>
      <c r="EC5" s="8">
        <v>0</v>
      </c>
      <c r="ED5" s="8">
        <v>34769</v>
      </c>
      <c r="EE5" s="8">
        <v>4172.3</v>
      </c>
      <c r="EF5" s="20">
        <v>32</v>
      </c>
      <c r="EG5" s="20">
        <v>0</v>
      </c>
      <c r="EH5" s="20">
        <v>61288</v>
      </c>
      <c r="EI5" s="20">
        <v>7354.6</v>
      </c>
      <c r="EJ5" s="8">
        <v>6</v>
      </c>
      <c r="EK5" s="8">
        <v>0</v>
      </c>
      <c r="EL5" s="8">
        <v>37092</v>
      </c>
      <c r="EM5" s="8">
        <v>4451</v>
      </c>
      <c r="EN5" s="8">
        <v>36</v>
      </c>
      <c r="EO5" s="8">
        <v>0</v>
      </c>
      <c r="EP5" s="8">
        <v>49467</v>
      </c>
      <c r="EQ5" s="8">
        <v>5936</v>
      </c>
      <c r="ER5" s="8">
        <v>9</v>
      </c>
      <c r="ES5" s="8">
        <v>0</v>
      </c>
      <c r="ET5" s="8">
        <v>41277</v>
      </c>
      <c r="EU5" s="8">
        <v>4953.2</v>
      </c>
      <c r="EV5" s="8">
        <v>0</v>
      </c>
      <c r="EW5" s="8">
        <v>0</v>
      </c>
      <c r="EX5" s="8">
        <v>0</v>
      </c>
      <c r="EY5" s="8">
        <v>0</v>
      </c>
      <c r="EZ5" s="20">
        <v>51</v>
      </c>
      <c r="FA5" s="20">
        <v>0</v>
      </c>
      <c r="FB5" s="20">
        <v>127836</v>
      </c>
      <c r="FC5" s="20">
        <v>15340.3</v>
      </c>
      <c r="FD5" s="8">
        <v>42</v>
      </c>
      <c r="FE5" s="8">
        <v>0</v>
      </c>
      <c r="FF5" s="8">
        <v>79510</v>
      </c>
      <c r="FG5" s="8">
        <v>9541.2000000000007</v>
      </c>
      <c r="FH5" s="8">
        <v>22</v>
      </c>
      <c r="FI5" s="8">
        <v>0</v>
      </c>
      <c r="FJ5" s="8">
        <v>18088</v>
      </c>
      <c r="FK5" s="8">
        <v>2170.6</v>
      </c>
      <c r="FL5" s="8">
        <v>0</v>
      </c>
      <c r="FM5" s="8">
        <v>0</v>
      </c>
      <c r="FN5" s="8">
        <v>0</v>
      </c>
      <c r="FO5" s="8">
        <v>0</v>
      </c>
      <c r="FP5" s="8">
        <v>12</v>
      </c>
      <c r="FQ5" s="8">
        <v>0</v>
      </c>
      <c r="FR5" s="8">
        <v>67135</v>
      </c>
      <c r="FS5" s="8">
        <v>8056.2</v>
      </c>
      <c r="FT5" s="20">
        <v>76</v>
      </c>
      <c r="FU5" s="20">
        <v>0</v>
      </c>
      <c r="FV5" s="20">
        <v>164733</v>
      </c>
      <c r="FW5" s="20">
        <v>19768</v>
      </c>
      <c r="FX5" s="8">
        <v>0</v>
      </c>
      <c r="FY5" s="8">
        <v>0</v>
      </c>
      <c r="FZ5" s="8">
        <v>0</v>
      </c>
      <c r="GA5" s="8">
        <v>0</v>
      </c>
      <c r="GB5" s="8">
        <v>4</v>
      </c>
      <c r="GC5" s="8">
        <v>0</v>
      </c>
      <c r="GD5" s="8">
        <v>24728</v>
      </c>
      <c r="GE5" s="8">
        <v>2967.4</v>
      </c>
      <c r="GF5" s="8">
        <v>8</v>
      </c>
      <c r="GG5" s="8">
        <v>0</v>
      </c>
      <c r="GH5" s="8">
        <v>42407</v>
      </c>
      <c r="GI5" s="8">
        <v>5088.8</v>
      </c>
      <c r="GJ5" s="8">
        <v>20</v>
      </c>
      <c r="GK5" s="8">
        <v>0</v>
      </c>
      <c r="GL5" s="8">
        <v>8250</v>
      </c>
      <c r="GM5" s="8">
        <v>990</v>
      </c>
      <c r="GN5" s="8">
        <v>0</v>
      </c>
      <c r="GO5" s="8">
        <v>0</v>
      </c>
      <c r="GP5" s="8">
        <v>0</v>
      </c>
      <c r="GQ5" s="8">
        <v>0</v>
      </c>
      <c r="GR5" s="20">
        <v>32</v>
      </c>
      <c r="GS5" s="20">
        <v>0</v>
      </c>
      <c r="GT5" s="20">
        <v>75385</v>
      </c>
      <c r="GU5" s="20">
        <v>9046.2000000000007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24</v>
      </c>
      <c r="HE5" s="8">
        <v>0</v>
      </c>
      <c r="HF5" s="8">
        <v>25929</v>
      </c>
      <c r="HG5" s="8">
        <v>3111.5</v>
      </c>
      <c r="HH5" s="8">
        <v>0</v>
      </c>
      <c r="HI5" s="8">
        <v>0</v>
      </c>
      <c r="HJ5" s="8">
        <v>0</v>
      </c>
      <c r="HK5" s="8">
        <v>0</v>
      </c>
      <c r="HL5" s="20">
        <v>24</v>
      </c>
      <c r="HM5" s="20">
        <v>0</v>
      </c>
      <c r="HN5" s="20">
        <v>25929</v>
      </c>
      <c r="HO5" s="20">
        <v>3111.5</v>
      </c>
      <c r="HP5" s="8">
        <v>0</v>
      </c>
      <c r="HQ5" s="8">
        <v>0</v>
      </c>
      <c r="HR5" s="8">
        <v>0</v>
      </c>
      <c r="HS5" s="8">
        <v>0</v>
      </c>
      <c r="HT5" s="8">
        <v>4</v>
      </c>
      <c r="HU5" s="8">
        <v>0</v>
      </c>
      <c r="HV5" s="8">
        <v>19677</v>
      </c>
      <c r="HW5" s="8">
        <v>2361.1999999999998</v>
      </c>
      <c r="HX5" s="8">
        <v>0</v>
      </c>
      <c r="HY5" s="8">
        <v>0</v>
      </c>
      <c r="HZ5" s="8">
        <v>0</v>
      </c>
      <c r="IA5" s="8">
        <v>0</v>
      </c>
      <c r="IB5" s="8">
        <v>4</v>
      </c>
      <c r="IC5" s="8">
        <v>0</v>
      </c>
      <c r="ID5" s="8">
        <v>24728</v>
      </c>
      <c r="IE5" s="8">
        <v>2967.4</v>
      </c>
      <c r="IF5" s="20">
        <v>8</v>
      </c>
      <c r="IG5" s="20">
        <v>0</v>
      </c>
      <c r="IH5" s="20">
        <v>44405</v>
      </c>
      <c r="II5" s="20">
        <v>5328.6</v>
      </c>
      <c r="IJ5" s="8">
        <v>0</v>
      </c>
      <c r="IK5" s="8">
        <v>0</v>
      </c>
      <c r="IL5" s="8">
        <v>0</v>
      </c>
      <c r="IM5" s="8">
        <v>0</v>
      </c>
      <c r="IN5" s="8">
        <v>8</v>
      </c>
      <c r="IO5" s="8">
        <v>0</v>
      </c>
      <c r="IP5" s="8">
        <v>42407</v>
      </c>
      <c r="IQ5" s="8">
        <v>5088.8</v>
      </c>
      <c r="IR5" s="8">
        <v>4</v>
      </c>
      <c r="IS5" s="8">
        <v>0</v>
      </c>
      <c r="IT5" s="8">
        <v>19677</v>
      </c>
      <c r="IU5" s="8">
        <v>2361.1999999999998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20">
        <v>12</v>
      </c>
      <c r="JE5" s="20">
        <v>0</v>
      </c>
      <c r="JF5" s="20">
        <v>62084</v>
      </c>
      <c r="JG5" s="20">
        <v>7450.1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>
        <v>0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20">
        <v>0</v>
      </c>
      <c r="JY5" s="20">
        <v>0</v>
      </c>
      <c r="JZ5" s="20">
        <v>0</v>
      </c>
      <c r="KA5" s="20">
        <v>0</v>
      </c>
      <c r="KB5" s="8">
        <v>0</v>
      </c>
      <c r="KC5" s="8">
        <v>0</v>
      </c>
      <c r="KD5" s="8">
        <v>0</v>
      </c>
      <c r="KE5" s="8">
        <v>0</v>
      </c>
      <c r="KF5" s="8">
        <v>0</v>
      </c>
      <c r="KG5" s="8">
        <v>0</v>
      </c>
      <c r="KH5" s="8">
        <v>0</v>
      </c>
      <c r="KI5" s="8">
        <v>0</v>
      </c>
      <c r="KJ5" s="8">
        <v>0</v>
      </c>
      <c r="KK5" s="8">
        <v>0</v>
      </c>
      <c r="KL5" s="8">
        <v>0</v>
      </c>
      <c r="KM5" s="8">
        <v>0</v>
      </c>
      <c r="KN5" s="8">
        <v>20</v>
      </c>
      <c r="KO5" s="8">
        <v>0</v>
      </c>
      <c r="KP5" s="8">
        <v>7436</v>
      </c>
      <c r="KQ5" s="8">
        <v>892.3</v>
      </c>
      <c r="KR5" s="20">
        <v>20</v>
      </c>
      <c r="KS5" s="20">
        <v>0</v>
      </c>
      <c r="KT5" s="20">
        <v>7436</v>
      </c>
      <c r="KU5" s="20">
        <v>892.3</v>
      </c>
      <c r="KV5" s="20">
        <v>369</v>
      </c>
      <c r="KW5" s="20">
        <v>0</v>
      </c>
      <c r="KX5" s="20">
        <v>791966</v>
      </c>
      <c r="KY5" s="20">
        <v>95035.9</v>
      </c>
    </row>
    <row r="6" spans="1:311" ht="16.95" customHeight="1" x14ac:dyDescent="0.4">
      <c r="A6" s="12"/>
      <c r="B6" s="12" t="s">
        <v>59</v>
      </c>
      <c r="C6" s="12" t="s">
        <v>395</v>
      </c>
      <c r="D6" s="10">
        <v>0</v>
      </c>
      <c r="E6" s="10">
        <v>0</v>
      </c>
      <c r="F6" s="10">
        <v>0</v>
      </c>
      <c r="G6" s="10">
        <v>0</v>
      </c>
      <c r="H6" s="21">
        <v>0</v>
      </c>
      <c r="I6" s="21">
        <v>0</v>
      </c>
      <c r="J6" s="21">
        <v>0</v>
      </c>
      <c r="K6" s="21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21">
        <v>0</v>
      </c>
      <c r="AC6" s="21">
        <v>0</v>
      </c>
      <c r="AD6" s="21">
        <v>0</v>
      </c>
      <c r="AE6" s="21">
        <v>0</v>
      </c>
      <c r="AF6" s="10">
        <v>0</v>
      </c>
      <c r="AG6" s="10">
        <v>0</v>
      </c>
      <c r="AH6" s="10">
        <v>0</v>
      </c>
      <c r="AI6" s="10">
        <v>0</v>
      </c>
      <c r="AJ6" s="10">
        <v>24</v>
      </c>
      <c r="AK6" s="10">
        <v>0</v>
      </c>
      <c r="AL6" s="10">
        <v>32256</v>
      </c>
      <c r="AM6" s="10">
        <v>3870.7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21">
        <v>24</v>
      </c>
      <c r="AW6" s="21">
        <v>0</v>
      </c>
      <c r="AX6" s="21">
        <v>32256</v>
      </c>
      <c r="AY6" s="21">
        <v>3870.7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10</v>
      </c>
      <c r="BQ6" s="10">
        <v>0</v>
      </c>
      <c r="BR6" s="10">
        <v>49273</v>
      </c>
      <c r="BS6" s="10">
        <v>5912.8</v>
      </c>
      <c r="BT6" s="21">
        <v>10</v>
      </c>
      <c r="BU6" s="21">
        <v>0</v>
      </c>
      <c r="BV6" s="21">
        <v>49273</v>
      </c>
      <c r="BW6" s="21">
        <v>5912.8</v>
      </c>
      <c r="BX6" s="10">
        <v>20</v>
      </c>
      <c r="BY6" s="10">
        <v>0</v>
      </c>
      <c r="BZ6" s="10">
        <v>8250</v>
      </c>
      <c r="CA6" s="10">
        <v>990</v>
      </c>
      <c r="CB6" s="10">
        <v>4</v>
      </c>
      <c r="CC6" s="10">
        <v>0</v>
      </c>
      <c r="CD6" s="10">
        <v>24728</v>
      </c>
      <c r="CE6" s="10">
        <v>2967.4</v>
      </c>
      <c r="CF6" s="10">
        <v>0</v>
      </c>
      <c r="CG6" s="10">
        <v>0</v>
      </c>
      <c r="CH6" s="10">
        <v>0</v>
      </c>
      <c r="CI6" s="10">
        <v>0</v>
      </c>
      <c r="CJ6" s="10">
        <v>4</v>
      </c>
      <c r="CK6" s="10">
        <v>0</v>
      </c>
      <c r="CL6" s="10">
        <v>24728</v>
      </c>
      <c r="CM6" s="10">
        <v>2967.4</v>
      </c>
      <c r="CN6" s="21">
        <v>28</v>
      </c>
      <c r="CO6" s="21">
        <v>0</v>
      </c>
      <c r="CP6" s="21">
        <v>57706</v>
      </c>
      <c r="CQ6" s="21">
        <v>6924.7</v>
      </c>
      <c r="CR6" s="10">
        <v>0</v>
      </c>
      <c r="CS6" s="10">
        <v>0</v>
      </c>
      <c r="CT6" s="10">
        <v>0</v>
      </c>
      <c r="CU6" s="10">
        <v>0</v>
      </c>
      <c r="CV6" s="10">
        <v>8</v>
      </c>
      <c r="CW6" s="10">
        <v>0</v>
      </c>
      <c r="CX6" s="10">
        <v>42407</v>
      </c>
      <c r="CY6" s="10">
        <v>5088.8999999999996</v>
      </c>
      <c r="CZ6" s="10">
        <v>20</v>
      </c>
      <c r="DA6" s="10">
        <v>0</v>
      </c>
      <c r="DB6" s="10">
        <v>8250</v>
      </c>
      <c r="DC6" s="10">
        <v>990</v>
      </c>
      <c r="DD6" s="10">
        <v>24</v>
      </c>
      <c r="DE6" s="10">
        <v>0</v>
      </c>
      <c r="DF6" s="10">
        <v>32978</v>
      </c>
      <c r="DG6" s="10">
        <v>3957.4</v>
      </c>
      <c r="DH6" s="21">
        <v>52</v>
      </c>
      <c r="DI6" s="21">
        <v>0</v>
      </c>
      <c r="DJ6" s="21">
        <v>83635</v>
      </c>
      <c r="DK6" s="21">
        <v>10036.200000000001</v>
      </c>
      <c r="DL6" s="10">
        <v>6</v>
      </c>
      <c r="DM6" s="10">
        <v>0</v>
      </c>
      <c r="DN6" s="10">
        <v>26519</v>
      </c>
      <c r="DO6" s="10">
        <v>3182.3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26</v>
      </c>
      <c r="EC6" s="10">
        <v>0</v>
      </c>
      <c r="ED6" s="10">
        <v>34769</v>
      </c>
      <c r="EE6" s="10">
        <v>4172.3</v>
      </c>
      <c r="EF6" s="21">
        <v>32</v>
      </c>
      <c r="EG6" s="21">
        <v>0</v>
      </c>
      <c r="EH6" s="21">
        <v>61288</v>
      </c>
      <c r="EI6" s="21">
        <v>7354.6</v>
      </c>
      <c r="EJ6" s="10">
        <v>6</v>
      </c>
      <c r="EK6" s="10">
        <v>0</v>
      </c>
      <c r="EL6" s="10">
        <v>37092</v>
      </c>
      <c r="EM6" s="10">
        <v>4451</v>
      </c>
      <c r="EN6" s="10">
        <v>36</v>
      </c>
      <c r="EO6" s="10">
        <v>0</v>
      </c>
      <c r="EP6" s="10">
        <v>49467</v>
      </c>
      <c r="EQ6" s="10">
        <v>5936</v>
      </c>
      <c r="ER6" s="10">
        <v>9</v>
      </c>
      <c r="ES6" s="10">
        <v>0</v>
      </c>
      <c r="ET6" s="10">
        <v>41277</v>
      </c>
      <c r="EU6" s="10">
        <v>4953.3</v>
      </c>
      <c r="EV6" s="10">
        <v>0</v>
      </c>
      <c r="EW6" s="10">
        <v>0</v>
      </c>
      <c r="EX6" s="10">
        <v>0</v>
      </c>
      <c r="EY6" s="10">
        <v>0</v>
      </c>
      <c r="EZ6" s="21">
        <v>51</v>
      </c>
      <c r="FA6" s="21">
        <v>0</v>
      </c>
      <c r="FB6" s="21">
        <v>127836</v>
      </c>
      <c r="FC6" s="21">
        <v>15340.4</v>
      </c>
      <c r="FD6" s="10">
        <v>12</v>
      </c>
      <c r="FE6" s="10">
        <v>0</v>
      </c>
      <c r="FF6" s="10">
        <v>67135</v>
      </c>
      <c r="FG6" s="10">
        <v>8056.2</v>
      </c>
      <c r="FH6" s="10">
        <v>22</v>
      </c>
      <c r="FI6" s="10">
        <v>0</v>
      </c>
      <c r="FJ6" s="10">
        <v>18088</v>
      </c>
      <c r="FK6" s="10">
        <v>2170.6</v>
      </c>
      <c r="FL6" s="10">
        <v>0</v>
      </c>
      <c r="FM6" s="10">
        <v>0</v>
      </c>
      <c r="FN6" s="10">
        <v>0</v>
      </c>
      <c r="FO6" s="10">
        <v>0</v>
      </c>
      <c r="FP6" s="10">
        <v>12</v>
      </c>
      <c r="FQ6" s="10">
        <v>0</v>
      </c>
      <c r="FR6" s="10">
        <v>67135</v>
      </c>
      <c r="FS6" s="10">
        <v>8056.2</v>
      </c>
      <c r="FT6" s="21">
        <v>46</v>
      </c>
      <c r="FU6" s="21">
        <v>0</v>
      </c>
      <c r="FV6" s="21">
        <v>152358</v>
      </c>
      <c r="FW6" s="21">
        <v>18283</v>
      </c>
      <c r="FX6" s="10">
        <v>0</v>
      </c>
      <c r="FY6" s="10">
        <v>0</v>
      </c>
      <c r="FZ6" s="10">
        <v>0</v>
      </c>
      <c r="GA6" s="10">
        <v>0</v>
      </c>
      <c r="GB6" s="10">
        <v>4</v>
      </c>
      <c r="GC6" s="10">
        <v>0</v>
      </c>
      <c r="GD6" s="10">
        <v>24728</v>
      </c>
      <c r="GE6" s="10">
        <v>2967.4</v>
      </c>
      <c r="GF6" s="10">
        <v>8</v>
      </c>
      <c r="GG6" s="10">
        <v>0</v>
      </c>
      <c r="GH6" s="10">
        <v>42407</v>
      </c>
      <c r="GI6" s="10">
        <v>5088.8999999999996</v>
      </c>
      <c r="GJ6" s="10">
        <v>20</v>
      </c>
      <c r="GK6" s="10">
        <v>0</v>
      </c>
      <c r="GL6" s="10">
        <v>8250</v>
      </c>
      <c r="GM6" s="10">
        <v>990</v>
      </c>
      <c r="GN6" s="10">
        <v>0</v>
      </c>
      <c r="GO6" s="10">
        <v>0</v>
      </c>
      <c r="GP6" s="10">
        <v>0</v>
      </c>
      <c r="GQ6" s="10">
        <v>0</v>
      </c>
      <c r="GR6" s="21">
        <v>32</v>
      </c>
      <c r="GS6" s="21">
        <v>0</v>
      </c>
      <c r="GT6" s="21">
        <v>75385</v>
      </c>
      <c r="GU6" s="21">
        <v>9046.2000000000007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24</v>
      </c>
      <c r="HE6" s="10">
        <v>0</v>
      </c>
      <c r="HF6" s="10">
        <v>25929</v>
      </c>
      <c r="HG6" s="10">
        <v>3111.5</v>
      </c>
      <c r="HH6" s="10">
        <v>0</v>
      </c>
      <c r="HI6" s="10">
        <v>0</v>
      </c>
      <c r="HJ6" s="10">
        <v>0</v>
      </c>
      <c r="HK6" s="10">
        <v>0</v>
      </c>
      <c r="HL6" s="21">
        <v>24</v>
      </c>
      <c r="HM6" s="21">
        <v>0</v>
      </c>
      <c r="HN6" s="21">
        <v>25929</v>
      </c>
      <c r="HO6" s="21">
        <v>3111.5</v>
      </c>
      <c r="HP6" s="10">
        <v>0</v>
      </c>
      <c r="HQ6" s="10">
        <v>0</v>
      </c>
      <c r="HR6" s="10">
        <v>0</v>
      </c>
      <c r="HS6" s="10">
        <v>0</v>
      </c>
      <c r="HT6" s="10">
        <v>4</v>
      </c>
      <c r="HU6" s="10">
        <v>0</v>
      </c>
      <c r="HV6" s="10">
        <v>19677</v>
      </c>
      <c r="HW6" s="10">
        <v>2361.1999999999998</v>
      </c>
      <c r="HX6" s="10">
        <v>0</v>
      </c>
      <c r="HY6" s="10">
        <v>0</v>
      </c>
      <c r="HZ6" s="10">
        <v>0</v>
      </c>
      <c r="IA6" s="10">
        <v>0</v>
      </c>
      <c r="IB6" s="10">
        <v>4</v>
      </c>
      <c r="IC6" s="10">
        <v>0</v>
      </c>
      <c r="ID6" s="10">
        <v>24728</v>
      </c>
      <c r="IE6" s="10">
        <v>2967.4</v>
      </c>
      <c r="IF6" s="21">
        <v>8</v>
      </c>
      <c r="IG6" s="21">
        <v>0</v>
      </c>
      <c r="IH6" s="21">
        <v>44405</v>
      </c>
      <c r="II6" s="21">
        <v>5328.6</v>
      </c>
      <c r="IJ6" s="10">
        <v>0</v>
      </c>
      <c r="IK6" s="10">
        <v>0</v>
      </c>
      <c r="IL6" s="10">
        <v>0</v>
      </c>
      <c r="IM6" s="10">
        <v>0</v>
      </c>
      <c r="IN6" s="10">
        <v>8</v>
      </c>
      <c r="IO6" s="10">
        <v>0</v>
      </c>
      <c r="IP6" s="10">
        <v>42407</v>
      </c>
      <c r="IQ6" s="10">
        <v>5088.8999999999996</v>
      </c>
      <c r="IR6" s="10">
        <v>4</v>
      </c>
      <c r="IS6" s="10">
        <v>0</v>
      </c>
      <c r="IT6" s="10">
        <v>19677</v>
      </c>
      <c r="IU6" s="10">
        <v>2361.1999999999998</v>
      </c>
      <c r="IV6" s="10">
        <v>0</v>
      </c>
      <c r="IW6" s="10">
        <v>0</v>
      </c>
      <c r="IX6" s="10">
        <v>0</v>
      </c>
      <c r="IY6" s="10">
        <v>0</v>
      </c>
      <c r="IZ6" s="10">
        <v>0</v>
      </c>
      <c r="JA6" s="10">
        <v>0</v>
      </c>
      <c r="JB6" s="10">
        <v>0</v>
      </c>
      <c r="JC6" s="10">
        <v>0</v>
      </c>
      <c r="JD6" s="21">
        <v>12</v>
      </c>
      <c r="JE6" s="21">
        <v>0</v>
      </c>
      <c r="JF6" s="21">
        <v>62084</v>
      </c>
      <c r="JG6" s="21">
        <v>7450.1</v>
      </c>
      <c r="JH6" s="10">
        <v>0</v>
      </c>
      <c r="JI6" s="10">
        <v>0</v>
      </c>
      <c r="JJ6" s="10">
        <v>0</v>
      </c>
      <c r="JK6" s="10">
        <v>0</v>
      </c>
      <c r="JL6" s="10">
        <v>0</v>
      </c>
      <c r="JM6" s="10">
        <v>0</v>
      </c>
      <c r="JN6" s="10">
        <v>0</v>
      </c>
      <c r="JO6" s="10">
        <v>0</v>
      </c>
      <c r="JP6" s="10">
        <v>0</v>
      </c>
      <c r="JQ6" s="10">
        <v>0</v>
      </c>
      <c r="JR6" s="10">
        <v>0</v>
      </c>
      <c r="JS6" s="10">
        <v>0</v>
      </c>
      <c r="JT6" s="10">
        <v>0</v>
      </c>
      <c r="JU6" s="10">
        <v>0</v>
      </c>
      <c r="JV6" s="10">
        <v>0</v>
      </c>
      <c r="JW6" s="10">
        <v>0</v>
      </c>
      <c r="JX6" s="21">
        <v>0</v>
      </c>
      <c r="JY6" s="21">
        <v>0</v>
      </c>
      <c r="JZ6" s="21">
        <v>0</v>
      </c>
      <c r="KA6" s="21">
        <v>0</v>
      </c>
      <c r="KB6" s="10">
        <v>0</v>
      </c>
      <c r="KC6" s="10">
        <v>0</v>
      </c>
      <c r="KD6" s="10">
        <v>0</v>
      </c>
      <c r="KE6" s="10">
        <v>0</v>
      </c>
      <c r="KF6" s="10">
        <v>0</v>
      </c>
      <c r="KG6" s="10">
        <v>0</v>
      </c>
      <c r="KH6" s="10">
        <v>0</v>
      </c>
      <c r="KI6" s="10">
        <v>0</v>
      </c>
      <c r="KJ6" s="10">
        <v>0</v>
      </c>
      <c r="KK6" s="10">
        <v>0</v>
      </c>
      <c r="KL6" s="10">
        <v>0</v>
      </c>
      <c r="KM6" s="10">
        <v>0</v>
      </c>
      <c r="KN6" s="10">
        <v>20</v>
      </c>
      <c r="KO6" s="10">
        <v>0</v>
      </c>
      <c r="KP6" s="10">
        <v>7436</v>
      </c>
      <c r="KQ6" s="10">
        <v>892.3</v>
      </c>
      <c r="KR6" s="21">
        <v>20</v>
      </c>
      <c r="KS6" s="21">
        <v>0</v>
      </c>
      <c r="KT6" s="21">
        <v>7436</v>
      </c>
      <c r="KU6" s="21">
        <v>892.3</v>
      </c>
      <c r="KV6" s="21">
        <v>339</v>
      </c>
      <c r="KW6" s="21">
        <v>0</v>
      </c>
      <c r="KX6" s="21">
        <v>779591</v>
      </c>
      <c r="KY6" s="21">
        <v>93550.9</v>
      </c>
    </row>
    <row r="7" spans="1:311" ht="16.95" customHeight="1" x14ac:dyDescent="0.4">
      <c r="A7" s="11"/>
      <c r="B7" s="11"/>
      <c r="C7" s="11" t="s">
        <v>215</v>
      </c>
      <c r="D7" s="9">
        <v>0</v>
      </c>
      <c r="E7" s="9">
        <v>0</v>
      </c>
      <c r="F7" s="9">
        <v>0</v>
      </c>
      <c r="G7" s="9">
        <v>0</v>
      </c>
      <c r="H7" s="22">
        <v>0</v>
      </c>
      <c r="I7" s="22"/>
      <c r="J7" s="22">
        <v>0</v>
      </c>
      <c r="K7" s="22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22">
        <v>0</v>
      </c>
      <c r="AC7" s="22"/>
      <c r="AD7" s="22">
        <v>0</v>
      </c>
      <c r="AE7" s="22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22">
        <v>0</v>
      </c>
      <c r="AW7" s="22"/>
      <c r="AX7" s="22">
        <v>0</v>
      </c>
      <c r="AY7" s="22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22">
        <v>0</v>
      </c>
      <c r="BU7" s="22"/>
      <c r="BV7" s="22">
        <v>0</v>
      </c>
      <c r="BW7" s="22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22">
        <v>0</v>
      </c>
      <c r="CO7" s="22"/>
      <c r="CP7" s="22">
        <v>0</v>
      </c>
      <c r="CQ7" s="22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22">
        <v>0</v>
      </c>
      <c r="DI7" s="22"/>
      <c r="DJ7" s="22">
        <v>0</v>
      </c>
      <c r="DK7" s="22">
        <v>0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9">
        <v>0</v>
      </c>
      <c r="DU7" s="9">
        <v>0</v>
      </c>
      <c r="DV7" s="9">
        <v>0</v>
      </c>
      <c r="DW7" s="9">
        <v>0</v>
      </c>
      <c r="DX7" s="9">
        <v>0</v>
      </c>
      <c r="DY7" s="9">
        <v>0</v>
      </c>
      <c r="DZ7" s="9">
        <v>0</v>
      </c>
      <c r="EA7" s="9">
        <v>0</v>
      </c>
      <c r="EB7" s="9">
        <v>0</v>
      </c>
      <c r="EC7" s="9">
        <v>0</v>
      </c>
      <c r="ED7" s="9">
        <v>0</v>
      </c>
      <c r="EE7" s="9">
        <v>0</v>
      </c>
      <c r="EF7" s="22">
        <v>0</v>
      </c>
      <c r="EG7" s="22"/>
      <c r="EH7" s="22">
        <v>0</v>
      </c>
      <c r="EI7" s="22">
        <v>0</v>
      </c>
      <c r="EJ7" s="9">
        <v>0</v>
      </c>
      <c r="EK7" s="9">
        <v>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3</v>
      </c>
      <c r="ES7" s="9">
        <v>4919</v>
      </c>
      <c r="ET7" s="9">
        <v>14758</v>
      </c>
      <c r="EU7" s="9">
        <v>1771</v>
      </c>
      <c r="EV7" s="9">
        <v>0</v>
      </c>
      <c r="EW7" s="9">
        <v>0</v>
      </c>
      <c r="EX7" s="9">
        <v>0</v>
      </c>
      <c r="EY7" s="9">
        <v>0</v>
      </c>
      <c r="EZ7" s="22">
        <v>3</v>
      </c>
      <c r="FA7" s="22"/>
      <c r="FB7" s="22">
        <v>14758</v>
      </c>
      <c r="FC7" s="22">
        <v>1771</v>
      </c>
      <c r="FD7" s="9">
        <v>0</v>
      </c>
      <c r="FE7" s="9">
        <v>0</v>
      </c>
      <c r="FF7" s="9">
        <v>0</v>
      </c>
      <c r="FG7" s="9">
        <v>0</v>
      </c>
      <c r="FH7" s="9">
        <v>2</v>
      </c>
      <c r="FI7" s="9">
        <v>4919</v>
      </c>
      <c r="FJ7" s="9">
        <v>9838</v>
      </c>
      <c r="FK7" s="9">
        <v>1180.5999999999999</v>
      </c>
      <c r="FL7" s="9">
        <v>0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9">
        <v>0</v>
      </c>
      <c r="FS7" s="9">
        <v>0</v>
      </c>
      <c r="FT7" s="22">
        <v>2</v>
      </c>
      <c r="FU7" s="22"/>
      <c r="FV7" s="22">
        <v>9838</v>
      </c>
      <c r="FW7" s="22">
        <v>1180.5999999999999</v>
      </c>
      <c r="FX7" s="9">
        <v>0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9">
        <v>0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  <c r="GJ7" s="9">
        <v>0</v>
      </c>
      <c r="GK7" s="9">
        <v>0</v>
      </c>
      <c r="GL7" s="9">
        <v>0</v>
      </c>
      <c r="GM7" s="9">
        <v>0</v>
      </c>
      <c r="GN7" s="9">
        <v>0</v>
      </c>
      <c r="GO7" s="9">
        <v>0</v>
      </c>
      <c r="GP7" s="9">
        <v>0</v>
      </c>
      <c r="GQ7" s="9">
        <v>0</v>
      </c>
      <c r="GR7" s="22">
        <v>0</v>
      </c>
      <c r="GS7" s="22"/>
      <c r="GT7" s="22">
        <v>0</v>
      </c>
      <c r="GU7" s="22">
        <v>0</v>
      </c>
      <c r="GV7" s="9">
        <v>0</v>
      </c>
      <c r="GW7" s="9">
        <v>0</v>
      </c>
      <c r="GX7" s="9">
        <v>0</v>
      </c>
      <c r="GY7" s="9">
        <v>0</v>
      </c>
      <c r="GZ7" s="9">
        <v>0</v>
      </c>
      <c r="HA7" s="9">
        <v>0</v>
      </c>
      <c r="HB7" s="9">
        <v>0</v>
      </c>
      <c r="HC7" s="9">
        <v>0</v>
      </c>
      <c r="HD7" s="9">
        <v>0</v>
      </c>
      <c r="HE7" s="9">
        <v>0</v>
      </c>
      <c r="HF7" s="9">
        <v>0</v>
      </c>
      <c r="HG7" s="9">
        <v>0</v>
      </c>
      <c r="HH7" s="9">
        <v>0</v>
      </c>
      <c r="HI7" s="9">
        <v>0</v>
      </c>
      <c r="HJ7" s="9">
        <v>0</v>
      </c>
      <c r="HK7" s="9">
        <v>0</v>
      </c>
      <c r="HL7" s="22">
        <v>0</v>
      </c>
      <c r="HM7" s="22"/>
      <c r="HN7" s="22">
        <v>0</v>
      </c>
      <c r="HO7" s="22">
        <v>0</v>
      </c>
      <c r="HP7" s="9">
        <v>0</v>
      </c>
      <c r="HQ7" s="9">
        <v>0</v>
      </c>
      <c r="HR7" s="9">
        <v>0</v>
      </c>
      <c r="HS7" s="9">
        <v>0</v>
      </c>
      <c r="HT7" s="9">
        <v>4</v>
      </c>
      <c r="HU7" s="9">
        <v>4919</v>
      </c>
      <c r="HV7" s="9">
        <v>19677</v>
      </c>
      <c r="HW7" s="9">
        <v>2361.1999999999998</v>
      </c>
      <c r="HX7" s="9">
        <v>0</v>
      </c>
      <c r="HY7" s="9">
        <v>0</v>
      </c>
      <c r="HZ7" s="9">
        <v>0</v>
      </c>
      <c r="IA7" s="9">
        <v>0</v>
      </c>
      <c r="IB7" s="9">
        <v>0</v>
      </c>
      <c r="IC7" s="9">
        <v>0</v>
      </c>
      <c r="ID7" s="9">
        <v>0</v>
      </c>
      <c r="IE7" s="9">
        <v>0</v>
      </c>
      <c r="IF7" s="22">
        <v>4</v>
      </c>
      <c r="IG7" s="22"/>
      <c r="IH7" s="22">
        <v>19677</v>
      </c>
      <c r="II7" s="22">
        <v>2361.1999999999998</v>
      </c>
      <c r="IJ7" s="9">
        <v>0</v>
      </c>
      <c r="IK7" s="9">
        <v>0</v>
      </c>
      <c r="IL7" s="9">
        <v>0</v>
      </c>
      <c r="IM7" s="9">
        <v>0</v>
      </c>
      <c r="IN7" s="9">
        <v>0</v>
      </c>
      <c r="IO7" s="9">
        <v>0</v>
      </c>
      <c r="IP7" s="9">
        <v>0</v>
      </c>
      <c r="IQ7" s="9">
        <v>0</v>
      </c>
      <c r="IR7" s="9">
        <v>4</v>
      </c>
      <c r="IS7" s="9">
        <v>4919</v>
      </c>
      <c r="IT7" s="9">
        <v>19677</v>
      </c>
      <c r="IU7" s="9">
        <v>2361.1999999999998</v>
      </c>
      <c r="IV7" s="9">
        <v>0</v>
      </c>
      <c r="IW7" s="9">
        <v>0</v>
      </c>
      <c r="IX7" s="9">
        <v>0</v>
      </c>
      <c r="IY7" s="9">
        <v>0</v>
      </c>
      <c r="IZ7" s="9">
        <v>0</v>
      </c>
      <c r="JA7" s="9">
        <v>0</v>
      </c>
      <c r="JB7" s="9">
        <v>0</v>
      </c>
      <c r="JC7" s="9">
        <v>0</v>
      </c>
      <c r="JD7" s="22">
        <v>4</v>
      </c>
      <c r="JE7" s="22"/>
      <c r="JF7" s="22">
        <v>19677</v>
      </c>
      <c r="JG7" s="22">
        <v>2361.1999999999998</v>
      </c>
      <c r="JH7" s="9">
        <v>0</v>
      </c>
      <c r="JI7" s="9">
        <v>0</v>
      </c>
      <c r="JJ7" s="9">
        <v>0</v>
      </c>
      <c r="JK7" s="9">
        <v>0</v>
      </c>
      <c r="JL7" s="9">
        <v>0</v>
      </c>
      <c r="JM7" s="9">
        <v>0</v>
      </c>
      <c r="JN7" s="9">
        <v>0</v>
      </c>
      <c r="JO7" s="9">
        <v>0</v>
      </c>
      <c r="JP7" s="9">
        <v>0</v>
      </c>
      <c r="JQ7" s="9">
        <v>0</v>
      </c>
      <c r="JR7" s="9">
        <v>0</v>
      </c>
      <c r="JS7" s="9">
        <v>0</v>
      </c>
      <c r="JT7" s="9">
        <v>0</v>
      </c>
      <c r="JU7" s="9">
        <v>0</v>
      </c>
      <c r="JV7" s="9">
        <v>0</v>
      </c>
      <c r="JW7" s="9">
        <v>0</v>
      </c>
      <c r="JX7" s="22">
        <v>0</v>
      </c>
      <c r="JY7" s="22"/>
      <c r="JZ7" s="22">
        <v>0</v>
      </c>
      <c r="KA7" s="22">
        <v>0</v>
      </c>
      <c r="KB7" s="9">
        <v>0</v>
      </c>
      <c r="KC7" s="9">
        <v>0</v>
      </c>
      <c r="KD7" s="9">
        <v>0</v>
      </c>
      <c r="KE7" s="9">
        <v>0</v>
      </c>
      <c r="KF7" s="9">
        <v>0</v>
      </c>
      <c r="KG7" s="9">
        <v>0</v>
      </c>
      <c r="KH7" s="9">
        <v>0</v>
      </c>
      <c r="KI7" s="9">
        <v>0</v>
      </c>
      <c r="KJ7" s="9">
        <v>0</v>
      </c>
      <c r="KK7" s="9">
        <v>0</v>
      </c>
      <c r="KL7" s="9">
        <v>0</v>
      </c>
      <c r="KM7" s="9">
        <v>0</v>
      </c>
      <c r="KN7" s="9">
        <v>0</v>
      </c>
      <c r="KO7" s="9">
        <v>0</v>
      </c>
      <c r="KP7" s="9">
        <v>0</v>
      </c>
      <c r="KQ7" s="9">
        <v>0</v>
      </c>
      <c r="KR7" s="22">
        <v>0</v>
      </c>
      <c r="KS7" s="22"/>
      <c r="KT7" s="22">
        <v>0</v>
      </c>
      <c r="KU7" s="22">
        <v>0</v>
      </c>
      <c r="KV7" s="22">
        <v>13</v>
      </c>
      <c r="KW7" s="22"/>
      <c r="KX7" s="22">
        <v>63950</v>
      </c>
      <c r="KY7" s="22">
        <v>7674</v>
      </c>
    </row>
    <row r="8" spans="1:311" ht="16.95" customHeight="1" x14ac:dyDescent="0.4">
      <c r="A8" s="15"/>
      <c r="B8" s="15"/>
      <c r="C8" s="15" t="s">
        <v>112</v>
      </c>
      <c r="D8" s="16">
        <v>0</v>
      </c>
      <c r="E8" s="16">
        <v>0</v>
      </c>
      <c r="F8" s="16">
        <v>0</v>
      </c>
      <c r="G8" s="16">
        <v>0</v>
      </c>
      <c r="H8" s="23">
        <v>0</v>
      </c>
      <c r="I8" s="23"/>
      <c r="J8" s="23">
        <v>0</v>
      </c>
      <c r="K8" s="23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23">
        <v>0</v>
      </c>
      <c r="AC8" s="23"/>
      <c r="AD8" s="23">
        <v>0</v>
      </c>
      <c r="AE8" s="23">
        <v>0</v>
      </c>
      <c r="AF8" s="16">
        <v>0</v>
      </c>
      <c r="AG8" s="16">
        <v>0</v>
      </c>
      <c r="AH8" s="16">
        <v>0</v>
      </c>
      <c r="AI8" s="16">
        <v>0</v>
      </c>
      <c r="AJ8" s="16">
        <v>20</v>
      </c>
      <c r="AK8" s="16">
        <v>404</v>
      </c>
      <c r="AL8" s="16">
        <v>8074</v>
      </c>
      <c r="AM8" s="16">
        <v>968.9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23">
        <v>20</v>
      </c>
      <c r="AW8" s="23"/>
      <c r="AX8" s="23">
        <v>8074</v>
      </c>
      <c r="AY8" s="23">
        <v>968.9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23">
        <v>0</v>
      </c>
      <c r="BU8" s="23"/>
      <c r="BV8" s="23">
        <v>0</v>
      </c>
      <c r="BW8" s="23">
        <v>0</v>
      </c>
      <c r="BX8" s="16">
        <v>20</v>
      </c>
      <c r="BY8" s="16">
        <v>413</v>
      </c>
      <c r="BZ8" s="16">
        <v>8250</v>
      </c>
      <c r="CA8" s="16">
        <v>990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23">
        <v>20</v>
      </c>
      <c r="CO8" s="23"/>
      <c r="CP8" s="23">
        <v>8250</v>
      </c>
      <c r="CQ8" s="23">
        <v>990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20</v>
      </c>
      <c r="DA8" s="16">
        <v>413</v>
      </c>
      <c r="DB8" s="16">
        <v>8250</v>
      </c>
      <c r="DC8" s="16">
        <v>990</v>
      </c>
      <c r="DD8" s="16">
        <v>20</v>
      </c>
      <c r="DE8" s="16">
        <v>413</v>
      </c>
      <c r="DF8" s="16">
        <v>8250</v>
      </c>
      <c r="DG8" s="16">
        <v>990</v>
      </c>
      <c r="DH8" s="23">
        <v>40</v>
      </c>
      <c r="DI8" s="23"/>
      <c r="DJ8" s="23">
        <v>16500</v>
      </c>
      <c r="DK8" s="23">
        <v>1980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20</v>
      </c>
      <c r="EC8" s="16">
        <v>413</v>
      </c>
      <c r="ED8" s="16">
        <v>8250</v>
      </c>
      <c r="EE8" s="16">
        <v>990</v>
      </c>
      <c r="EF8" s="23">
        <v>20</v>
      </c>
      <c r="EG8" s="23"/>
      <c r="EH8" s="23">
        <v>8250</v>
      </c>
      <c r="EI8" s="23">
        <v>990</v>
      </c>
      <c r="EJ8" s="16">
        <v>0</v>
      </c>
      <c r="EK8" s="16">
        <v>0</v>
      </c>
      <c r="EL8" s="16">
        <v>0</v>
      </c>
      <c r="EM8" s="16">
        <v>0</v>
      </c>
      <c r="EN8" s="16">
        <v>30</v>
      </c>
      <c r="EO8" s="16">
        <v>413</v>
      </c>
      <c r="EP8" s="16">
        <v>12375</v>
      </c>
      <c r="EQ8" s="16">
        <v>1485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23">
        <v>30</v>
      </c>
      <c r="FA8" s="23"/>
      <c r="FB8" s="23">
        <v>12375</v>
      </c>
      <c r="FC8" s="23">
        <v>1485</v>
      </c>
      <c r="FD8" s="16">
        <v>0</v>
      </c>
      <c r="FE8" s="16">
        <v>0</v>
      </c>
      <c r="FF8" s="16">
        <v>0</v>
      </c>
      <c r="FG8" s="16">
        <v>0</v>
      </c>
      <c r="FH8" s="16">
        <v>20</v>
      </c>
      <c r="FI8" s="16">
        <v>413</v>
      </c>
      <c r="FJ8" s="16">
        <v>8250</v>
      </c>
      <c r="FK8" s="16">
        <v>990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23">
        <v>20</v>
      </c>
      <c r="FU8" s="23"/>
      <c r="FV8" s="23">
        <v>8250</v>
      </c>
      <c r="FW8" s="23">
        <v>990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20</v>
      </c>
      <c r="GK8" s="16">
        <v>413</v>
      </c>
      <c r="GL8" s="16">
        <v>8250</v>
      </c>
      <c r="GM8" s="16">
        <v>990</v>
      </c>
      <c r="GN8" s="16">
        <v>0</v>
      </c>
      <c r="GO8" s="16">
        <v>0</v>
      </c>
      <c r="GP8" s="16">
        <v>0</v>
      </c>
      <c r="GQ8" s="16">
        <v>0</v>
      </c>
      <c r="GR8" s="23">
        <v>20</v>
      </c>
      <c r="GS8" s="23"/>
      <c r="GT8" s="23">
        <v>8250</v>
      </c>
      <c r="GU8" s="23">
        <v>990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20</v>
      </c>
      <c r="HE8" s="16">
        <v>413</v>
      </c>
      <c r="HF8" s="16">
        <v>8250</v>
      </c>
      <c r="HG8" s="16">
        <v>990</v>
      </c>
      <c r="HH8" s="16">
        <v>0</v>
      </c>
      <c r="HI8" s="16">
        <v>0</v>
      </c>
      <c r="HJ8" s="16">
        <v>0</v>
      </c>
      <c r="HK8" s="16">
        <v>0</v>
      </c>
      <c r="HL8" s="23">
        <v>20</v>
      </c>
      <c r="HM8" s="23"/>
      <c r="HN8" s="23">
        <v>8250</v>
      </c>
      <c r="HO8" s="23">
        <v>990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  <c r="IB8" s="16">
        <v>0</v>
      </c>
      <c r="IC8" s="16">
        <v>0</v>
      </c>
      <c r="ID8" s="16">
        <v>0</v>
      </c>
      <c r="IE8" s="16">
        <v>0</v>
      </c>
      <c r="IF8" s="23">
        <v>0</v>
      </c>
      <c r="IG8" s="23"/>
      <c r="IH8" s="23">
        <v>0</v>
      </c>
      <c r="II8" s="23">
        <v>0</v>
      </c>
      <c r="IJ8" s="16">
        <v>0</v>
      </c>
      <c r="IK8" s="16">
        <v>0</v>
      </c>
      <c r="IL8" s="16">
        <v>0</v>
      </c>
      <c r="IM8" s="16">
        <v>0</v>
      </c>
      <c r="IN8" s="16">
        <v>0</v>
      </c>
      <c r="IO8" s="16">
        <v>0</v>
      </c>
      <c r="IP8" s="16">
        <v>0</v>
      </c>
      <c r="IQ8" s="16">
        <v>0</v>
      </c>
      <c r="IR8" s="16">
        <v>0</v>
      </c>
      <c r="IS8" s="16">
        <v>0</v>
      </c>
      <c r="IT8" s="16">
        <v>0</v>
      </c>
      <c r="IU8" s="16">
        <v>0</v>
      </c>
      <c r="IV8" s="16">
        <v>0</v>
      </c>
      <c r="IW8" s="16">
        <v>0</v>
      </c>
      <c r="IX8" s="16">
        <v>0</v>
      </c>
      <c r="IY8" s="16">
        <v>0</v>
      </c>
      <c r="IZ8" s="16">
        <v>0</v>
      </c>
      <c r="JA8" s="16">
        <v>0</v>
      </c>
      <c r="JB8" s="16">
        <v>0</v>
      </c>
      <c r="JC8" s="16">
        <v>0</v>
      </c>
      <c r="JD8" s="23">
        <v>0</v>
      </c>
      <c r="JE8" s="23"/>
      <c r="JF8" s="23">
        <v>0</v>
      </c>
      <c r="JG8" s="23">
        <v>0</v>
      </c>
      <c r="JH8" s="16">
        <v>0</v>
      </c>
      <c r="JI8" s="16">
        <v>0</v>
      </c>
      <c r="JJ8" s="16">
        <v>0</v>
      </c>
      <c r="JK8" s="16">
        <v>0</v>
      </c>
      <c r="JL8" s="16">
        <v>0</v>
      </c>
      <c r="JM8" s="16">
        <v>0</v>
      </c>
      <c r="JN8" s="16">
        <v>0</v>
      </c>
      <c r="JO8" s="16">
        <v>0</v>
      </c>
      <c r="JP8" s="16">
        <v>0</v>
      </c>
      <c r="JQ8" s="16">
        <v>0</v>
      </c>
      <c r="JR8" s="16">
        <v>0</v>
      </c>
      <c r="JS8" s="16">
        <v>0</v>
      </c>
      <c r="JT8" s="16">
        <v>0</v>
      </c>
      <c r="JU8" s="16">
        <v>0</v>
      </c>
      <c r="JV8" s="16">
        <v>0</v>
      </c>
      <c r="JW8" s="16">
        <v>0</v>
      </c>
      <c r="JX8" s="23">
        <v>0</v>
      </c>
      <c r="JY8" s="23"/>
      <c r="JZ8" s="23">
        <v>0</v>
      </c>
      <c r="KA8" s="23">
        <v>0</v>
      </c>
      <c r="KB8" s="16">
        <v>0</v>
      </c>
      <c r="KC8" s="16">
        <v>0</v>
      </c>
      <c r="KD8" s="16">
        <v>0</v>
      </c>
      <c r="KE8" s="16">
        <v>0</v>
      </c>
      <c r="KF8" s="16">
        <v>0</v>
      </c>
      <c r="KG8" s="16">
        <v>0</v>
      </c>
      <c r="KH8" s="16">
        <v>0</v>
      </c>
      <c r="KI8" s="16">
        <v>0</v>
      </c>
      <c r="KJ8" s="16">
        <v>0</v>
      </c>
      <c r="KK8" s="16">
        <v>0</v>
      </c>
      <c r="KL8" s="16">
        <v>0</v>
      </c>
      <c r="KM8" s="16">
        <v>0</v>
      </c>
      <c r="KN8" s="16">
        <v>20</v>
      </c>
      <c r="KO8" s="16">
        <v>372</v>
      </c>
      <c r="KP8" s="16">
        <v>7436</v>
      </c>
      <c r="KQ8" s="16">
        <v>892.3</v>
      </c>
      <c r="KR8" s="23">
        <v>20</v>
      </c>
      <c r="KS8" s="23"/>
      <c r="KT8" s="23">
        <v>7436</v>
      </c>
      <c r="KU8" s="23">
        <v>892.3</v>
      </c>
      <c r="KV8" s="23">
        <v>210</v>
      </c>
      <c r="KW8" s="23"/>
      <c r="KX8" s="23">
        <v>85635</v>
      </c>
      <c r="KY8" s="23">
        <v>10276.200000000001</v>
      </c>
    </row>
    <row r="9" spans="1:311" ht="16.95" customHeight="1" x14ac:dyDescent="0.4">
      <c r="A9" s="11"/>
      <c r="B9" s="11"/>
      <c r="C9" s="11" t="s">
        <v>100</v>
      </c>
      <c r="D9" s="9">
        <v>0</v>
      </c>
      <c r="E9" s="9">
        <v>0</v>
      </c>
      <c r="F9" s="9">
        <v>0</v>
      </c>
      <c r="G9" s="9">
        <v>0</v>
      </c>
      <c r="H9" s="22">
        <v>0</v>
      </c>
      <c r="I9" s="22"/>
      <c r="J9" s="22">
        <v>0</v>
      </c>
      <c r="K9" s="22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22">
        <v>0</v>
      </c>
      <c r="AC9" s="22"/>
      <c r="AD9" s="22">
        <v>0</v>
      </c>
      <c r="AE9" s="22">
        <v>0</v>
      </c>
      <c r="AF9" s="9">
        <v>0</v>
      </c>
      <c r="AG9" s="9">
        <v>0</v>
      </c>
      <c r="AH9" s="9">
        <v>0</v>
      </c>
      <c r="AI9" s="9">
        <v>0</v>
      </c>
      <c r="AJ9" s="9">
        <v>4</v>
      </c>
      <c r="AK9" s="9">
        <v>6046</v>
      </c>
      <c r="AL9" s="9">
        <v>24182</v>
      </c>
      <c r="AM9" s="9">
        <v>2901.8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22">
        <v>4</v>
      </c>
      <c r="AW9" s="22"/>
      <c r="AX9" s="22">
        <v>24182</v>
      </c>
      <c r="AY9" s="22">
        <v>2901.8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4</v>
      </c>
      <c r="BQ9" s="9">
        <v>6182</v>
      </c>
      <c r="BR9" s="9">
        <v>24728</v>
      </c>
      <c r="BS9" s="9">
        <v>2967.4</v>
      </c>
      <c r="BT9" s="22">
        <v>4</v>
      </c>
      <c r="BU9" s="22"/>
      <c r="BV9" s="22">
        <v>24728</v>
      </c>
      <c r="BW9" s="22">
        <v>2967.4</v>
      </c>
      <c r="BX9" s="9">
        <v>0</v>
      </c>
      <c r="BY9" s="9">
        <v>0</v>
      </c>
      <c r="BZ9" s="9">
        <v>0</v>
      </c>
      <c r="CA9" s="9">
        <v>0</v>
      </c>
      <c r="CB9" s="9">
        <v>4</v>
      </c>
      <c r="CC9" s="9">
        <v>6182</v>
      </c>
      <c r="CD9" s="9">
        <v>24728</v>
      </c>
      <c r="CE9" s="9">
        <v>2967.4</v>
      </c>
      <c r="CF9" s="9">
        <v>0</v>
      </c>
      <c r="CG9" s="9">
        <v>0</v>
      </c>
      <c r="CH9" s="9">
        <v>0</v>
      </c>
      <c r="CI9" s="9">
        <v>0</v>
      </c>
      <c r="CJ9" s="9">
        <v>4</v>
      </c>
      <c r="CK9" s="9">
        <v>6182</v>
      </c>
      <c r="CL9" s="9">
        <v>24728</v>
      </c>
      <c r="CM9" s="9">
        <v>2967.4</v>
      </c>
      <c r="CN9" s="22">
        <v>8</v>
      </c>
      <c r="CO9" s="22"/>
      <c r="CP9" s="22">
        <v>49456</v>
      </c>
      <c r="CQ9" s="22">
        <v>5934.7</v>
      </c>
      <c r="CR9" s="9">
        <v>0</v>
      </c>
      <c r="CS9" s="9">
        <v>0</v>
      </c>
      <c r="CT9" s="9">
        <v>0</v>
      </c>
      <c r="CU9" s="9">
        <v>0</v>
      </c>
      <c r="CV9" s="9">
        <v>4</v>
      </c>
      <c r="CW9" s="9">
        <v>6182</v>
      </c>
      <c r="CX9" s="9">
        <v>24728</v>
      </c>
      <c r="CY9" s="9">
        <v>2967.4</v>
      </c>
      <c r="CZ9" s="9">
        <v>0</v>
      </c>
      <c r="DA9" s="9">
        <v>0</v>
      </c>
      <c r="DB9" s="9">
        <v>0</v>
      </c>
      <c r="DC9" s="9">
        <v>0</v>
      </c>
      <c r="DD9" s="9">
        <v>4</v>
      </c>
      <c r="DE9" s="9">
        <v>6182</v>
      </c>
      <c r="DF9" s="9">
        <v>24728</v>
      </c>
      <c r="DG9" s="9">
        <v>2967.4</v>
      </c>
      <c r="DH9" s="22">
        <v>8</v>
      </c>
      <c r="DI9" s="22"/>
      <c r="DJ9" s="22">
        <v>49456</v>
      </c>
      <c r="DK9" s="22">
        <v>5934.7</v>
      </c>
      <c r="DL9" s="9">
        <v>0</v>
      </c>
      <c r="DM9" s="9">
        <v>0</v>
      </c>
      <c r="DN9" s="9">
        <v>0</v>
      </c>
      <c r="DO9" s="9">
        <v>0</v>
      </c>
      <c r="DP9" s="9">
        <v>0</v>
      </c>
      <c r="DQ9" s="9">
        <v>0</v>
      </c>
      <c r="DR9" s="9">
        <v>0</v>
      </c>
      <c r="DS9" s="9">
        <v>0</v>
      </c>
      <c r="DT9" s="9">
        <v>0</v>
      </c>
      <c r="DU9" s="9">
        <v>0</v>
      </c>
      <c r="DV9" s="9">
        <v>0</v>
      </c>
      <c r="DW9" s="9">
        <v>0</v>
      </c>
      <c r="DX9" s="9">
        <v>0</v>
      </c>
      <c r="DY9" s="9">
        <v>0</v>
      </c>
      <c r="DZ9" s="9">
        <v>0</v>
      </c>
      <c r="EA9" s="9">
        <v>0</v>
      </c>
      <c r="EB9" s="9">
        <v>0</v>
      </c>
      <c r="EC9" s="9">
        <v>0</v>
      </c>
      <c r="ED9" s="9">
        <v>0</v>
      </c>
      <c r="EE9" s="9">
        <v>0</v>
      </c>
      <c r="EF9" s="22">
        <v>0</v>
      </c>
      <c r="EG9" s="22"/>
      <c r="EH9" s="22">
        <v>0</v>
      </c>
      <c r="EI9" s="22">
        <v>0</v>
      </c>
      <c r="EJ9" s="9">
        <v>6</v>
      </c>
      <c r="EK9" s="9">
        <v>6182</v>
      </c>
      <c r="EL9" s="9">
        <v>37092</v>
      </c>
      <c r="EM9" s="9">
        <v>4451</v>
      </c>
      <c r="EN9" s="9">
        <v>6</v>
      </c>
      <c r="EO9" s="9">
        <v>6182</v>
      </c>
      <c r="EP9" s="9">
        <v>37092</v>
      </c>
      <c r="EQ9" s="9">
        <v>4451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22">
        <v>12</v>
      </c>
      <c r="FA9" s="22"/>
      <c r="FB9" s="22">
        <v>74184</v>
      </c>
      <c r="FC9" s="22">
        <v>8902.1</v>
      </c>
      <c r="FD9" s="9">
        <v>8</v>
      </c>
      <c r="FE9" s="9">
        <v>6182</v>
      </c>
      <c r="FF9" s="9">
        <v>49456</v>
      </c>
      <c r="FG9" s="9">
        <v>5934.7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8</v>
      </c>
      <c r="FQ9" s="9">
        <v>6182</v>
      </c>
      <c r="FR9" s="9">
        <v>49456</v>
      </c>
      <c r="FS9" s="9">
        <v>5934.7</v>
      </c>
      <c r="FT9" s="22">
        <v>16</v>
      </c>
      <c r="FU9" s="22"/>
      <c r="FV9" s="22">
        <v>98912</v>
      </c>
      <c r="FW9" s="22">
        <v>11869.4</v>
      </c>
      <c r="FX9" s="9">
        <v>0</v>
      </c>
      <c r="FY9" s="9">
        <v>0</v>
      </c>
      <c r="FZ9" s="9">
        <v>0</v>
      </c>
      <c r="GA9" s="9">
        <v>0</v>
      </c>
      <c r="GB9" s="9">
        <v>4</v>
      </c>
      <c r="GC9" s="9">
        <v>6182</v>
      </c>
      <c r="GD9" s="9">
        <v>24728</v>
      </c>
      <c r="GE9" s="9">
        <v>2967.4</v>
      </c>
      <c r="GF9" s="9">
        <v>4</v>
      </c>
      <c r="GG9" s="9">
        <v>6182</v>
      </c>
      <c r="GH9" s="9">
        <v>24728</v>
      </c>
      <c r="GI9" s="9">
        <v>2967.4</v>
      </c>
      <c r="GJ9" s="9">
        <v>0</v>
      </c>
      <c r="GK9" s="9">
        <v>0</v>
      </c>
      <c r="GL9" s="9">
        <v>0</v>
      </c>
      <c r="GM9" s="9">
        <v>0</v>
      </c>
      <c r="GN9" s="9">
        <v>0</v>
      </c>
      <c r="GO9" s="9">
        <v>0</v>
      </c>
      <c r="GP9" s="9">
        <v>0</v>
      </c>
      <c r="GQ9" s="9">
        <v>0</v>
      </c>
      <c r="GR9" s="22">
        <v>8</v>
      </c>
      <c r="GS9" s="22"/>
      <c r="GT9" s="22">
        <v>49456</v>
      </c>
      <c r="GU9" s="22">
        <v>5934.7</v>
      </c>
      <c r="GV9" s="9">
        <v>0</v>
      </c>
      <c r="GW9" s="9">
        <v>0</v>
      </c>
      <c r="GX9" s="9">
        <v>0</v>
      </c>
      <c r="GY9" s="9">
        <v>0</v>
      </c>
      <c r="GZ9" s="9">
        <v>0</v>
      </c>
      <c r="HA9" s="9">
        <v>0</v>
      </c>
      <c r="HB9" s="9">
        <v>0</v>
      </c>
      <c r="HC9" s="9">
        <v>0</v>
      </c>
      <c r="HD9" s="9">
        <v>0</v>
      </c>
      <c r="HE9" s="9">
        <v>0</v>
      </c>
      <c r="HF9" s="9">
        <v>0</v>
      </c>
      <c r="HG9" s="9">
        <v>0</v>
      </c>
      <c r="HH9" s="9">
        <v>0</v>
      </c>
      <c r="HI9" s="9">
        <v>0</v>
      </c>
      <c r="HJ9" s="9">
        <v>0</v>
      </c>
      <c r="HK9" s="9">
        <v>0</v>
      </c>
      <c r="HL9" s="22">
        <v>0</v>
      </c>
      <c r="HM9" s="22"/>
      <c r="HN9" s="22">
        <v>0</v>
      </c>
      <c r="HO9" s="22">
        <v>0</v>
      </c>
      <c r="HP9" s="9">
        <v>0</v>
      </c>
      <c r="HQ9" s="9">
        <v>0</v>
      </c>
      <c r="HR9" s="9">
        <v>0</v>
      </c>
      <c r="HS9" s="9">
        <v>0</v>
      </c>
      <c r="HT9" s="9">
        <v>0</v>
      </c>
      <c r="HU9" s="9">
        <v>0</v>
      </c>
      <c r="HV9" s="9">
        <v>0</v>
      </c>
      <c r="HW9" s="9">
        <v>0</v>
      </c>
      <c r="HX9" s="9">
        <v>0</v>
      </c>
      <c r="HY9" s="9">
        <v>0</v>
      </c>
      <c r="HZ9" s="9">
        <v>0</v>
      </c>
      <c r="IA9" s="9">
        <v>0</v>
      </c>
      <c r="IB9" s="9">
        <v>4</v>
      </c>
      <c r="IC9" s="9">
        <v>6182</v>
      </c>
      <c r="ID9" s="9">
        <v>24728</v>
      </c>
      <c r="IE9" s="9">
        <v>2967.4</v>
      </c>
      <c r="IF9" s="22">
        <v>4</v>
      </c>
      <c r="IG9" s="22"/>
      <c r="IH9" s="22">
        <v>24728</v>
      </c>
      <c r="II9" s="22">
        <v>2967.4</v>
      </c>
      <c r="IJ9" s="9">
        <v>0</v>
      </c>
      <c r="IK9" s="9">
        <v>0</v>
      </c>
      <c r="IL9" s="9">
        <v>0</v>
      </c>
      <c r="IM9" s="9">
        <v>0</v>
      </c>
      <c r="IN9" s="9">
        <v>4</v>
      </c>
      <c r="IO9" s="9">
        <v>6182</v>
      </c>
      <c r="IP9" s="9">
        <v>24728</v>
      </c>
      <c r="IQ9" s="9">
        <v>2967.4</v>
      </c>
      <c r="IR9" s="9">
        <v>0</v>
      </c>
      <c r="IS9" s="9">
        <v>0</v>
      </c>
      <c r="IT9" s="9">
        <v>0</v>
      </c>
      <c r="IU9" s="9">
        <v>0</v>
      </c>
      <c r="IV9" s="9">
        <v>0</v>
      </c>
      <c r="IW9" s="9">
        <v>0</v>
      </c>
      <c r="IX9" s="9">
        <v>0</v>
      </c>
      <c r="IY9" s="9">
        <v>0</v>
      </c>
      <c r="IZ9" s="9">
        <v>0</v>
      </c>
      <c r="JA9" s="9">
        <v>0</v>
      </c>
      <c r="JB9" s="9">
        <v>0</v>
      </c>
      <c r="JC9" s="9">
        <v>0</v>
      </c>
      <c r="JD9" s="22">
        <v>4</v>
      </c>
      <c r="JE9" s="22"/>
      <c r="JF9" s="22">
        <v>24728</v>
      </c>
      <c r="JG9" s="22">
        <v>2967.4</v>
      </c>
      <c r="JH9" s="9">
        <v>0</v>
      </c>
      <c r="JI9" s="9">
        <v>0</v>
      </c>
      <c r="JJ9" s="9">
        <v>0</v>
      </c>
      <c r="JK9" s="9">
        <v>0</v>
      </c>
      <c r="JL9" s="9">
        <v>0</v>
      </c>
      <c r="JM9" s="9">
        <v>0</v>
      </c>
      <c r="JN9" s="9">
        <v>0</v>
      </c>
      <c r="JO9" s="9">
        <v>0</v>
      </c>
      <c r="JP9" s="9">
        <v>0</v>
      </c>
      <c r="JQ9" s="9">
        <v>0</v>
      </c>
      <c r="JR9" s="9">
        <v>0</v>
      </c>
      <c r="JS9" s="9">
        <v>0</v>
      </c>
      <c r="JT9" s="9">
        <v>0</v>
      </c>
      <c r="JU9" s="9">
        <v>0</v>
      </c>
      <c r="JV9" s="9">
        <v>0</v>
      </c>
      <c r="JW9" s="9">
        <v>0</v>
      </c>
      <c r="JX9" s="22">
        <v>0</v>
      </c>
      <c r="JY9" s="22"/>
      <c r="JZ9" s="22">
        <v>0</v>
      </c>
      <c r="KA9" s="22">
        <v>0</v>
      </c>
      <c r="KB9" s="9">
        <v>0</v>
      </c>
      <c r="KC9" s="9">
        <v>0</v>
      </c>
      <c r="KD9" s="9">
        <v>0</v>
      </c>
      <c r="KE9" s="9">
        <v>0</v>
      </c>
      <c r="KF9" s="9">
        <v>0</v>
      </c>
      <c r="KG9" s="9">
        <v>0</v>
      </c>
      <c r="KH9" s="9">
        <v>0</v>
      </c>
      <c r="KI9" s="9">
        <v>0</v>
      </c>
      <c r="KJ9" s="9">
        <v>0</v>
      </c>
      <c r="KK9" s="9">
        <v>0</v>
      </c>
      <c r="KL9" s="9">
        <v>0</v>
      </c>
      <c r="KM9" s="9">
        <v>0</v>
      </c>
      <c r="KN9" s="9">
        <v>0</v>
      </c>
      <c r="KO9" s="9">
        <v>0</v>
      </c>
      <c r="KP9" s="9">
        <v>0</v>
      </c>
      <c r="KQ9" s="9">
        <v>0</v>
      </c>
      <c r="KR9" s="22">
        <v>0</v>
      </c>
      <c r="KS9" s="22"/>
      <c r="KT9" s="22">
        <v>0</v>
      </c>
      <c r="KU9" s="22">
        <v>0</v>
      </c>
      <c r="KV9" s="22">
        <v>68</v>
      </c>
      <c r="KW9" s="22"/>
      <c r="KX9" s="22">
        <v>419830</v>
      </c>
      <c r="KY9" s="22">
        <v>50379.6</v>
      </c>
    </row>
    <row r="10" spans="1:311" ht="16.95" customHeight="1" x14ac:dyDescent="0.4">
      <c r="A10" s="15"/>
      <c r="B10" s="15"/>
      <c r="C10" s="15" t="s">
        <v>39</v>
      </c>
      <c r="D10" s="16">
        <v>0</v>
      </c>
      <c r="E10" s="16">
        <v>0</v>
      </c>
      <c r="F10" s="16">
        <v>0</v>
      </c>
      <c r="G10" s="16">
        <v>0</v>
      </c>
      <c r="H10" s="23">
        <v>0</v>
      </c>
      <c r="I10" s="23"/>
      <c r="J10" s="23">
        <v>0</v>
      </c>
      <c r="K10" s="23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23">
        <v>0</v>
      </c>
      <c r="AC10" s="23"/>
      <c r="AD10" s="23">
        <v>0</v>
      </c>
      <c r="AE10" s="23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23">
        <v>0</v>
      </c>
      <c r="AW10" s="23"/>
      <c r="AX10" s="23">
        <v>0</v>
      </c>
      <c r="AY10" s="23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6</v>
      </c>
      <c r="BQ10" s="16">
        <v>4091</v>
      </c>
      <c r="BR10" s="16">
        <v>24545</v>
      </c>
      <c r="BS10" s="16">
        <v>2945.4</v>
      </c>
      <c r="BT10" s="23">
        <v>6</v>
      </c>
      <c r="BU10" s="23"/>
      <c r="BV10" s="23">
        <v>24545</v>
      </c>
      <c r="BW10" s="23">
        <v>2945.4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23">
        <v>0</v>
      </c>
      <c r="CO10" s="23"/>
      <c r="CP10" s="23">
        <v>0</v>
      </c>
      <c r="CQ10" s="23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4</v>
      </c>
      <c r="CW10" s="16">
        <v>4420</v>
      </c>
      <c r="CX10" s="16">
        <v>17679</v>
      </c>
      <c r="CY10" s="16">
        <v>2121.5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23">
        <v>4</v>
      </c>
      <c r="DI10" s="23"/>
      <c r="DJ10" s="23">
        <v>17679</v>
      </c>
      <c r="DK10" s="23">
        <v>2121.5</v>
      </c>
      <c r="DL10" s="16">
        <v>6</v>
      </c>
      <c r="DM10" s="16">
        <v>4420</v>
      </c>
      <c r="DN10" s="16">
        <v>26519</v>
      </c>
      <c r="DO10" s="16">
        <v>3182.3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6</v>
      </c>
      <c r="EC10" s="16">
        <v>4420</v>
      </c>
      <c r="ED10" s="16">
        <v>26519</v>
      </c>
      <c r="EE10" s="16">
        <v>3182.3</v>
      </c>
      <c r="EF10" s="23">
        <v>12</v>
      </c>
      <c r="EG10" s="23"/>
      <c r="EH10" s="23">
        <v>53038</v>
      </c>
      <c r="EI10" s="23">
        <v>6364.6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6</v>
      </c>
      <c r="ES10" s="16">
        <v>4420</v>
      </c>
      <c r="ET10" s="16">
        <v>26519</v>
      </c>
      <c r="EU10" s="16">
        <v>3182.3</v>
      </c>
      <c r="EV10" s="16">
        <v>0</v>
      </c>
      <c r="EW10" s="16">
        <v>0</v>
      </c>
      <c r="EX10" s="16">
        <v>0</v>
      </c>
      <c r="EY10" s="16">
        <v>0</v>
      </c>
      <c r="EZ10" s="23">
        <v>6</v>
      </c>
      <c r="FA10" s="23"/>
      <c r="FB10" s="23">
        <v>26519</v>
      </c>
      <c r="FC10" s="23">
        <v>3182.3</v>
      </c>
      <c r="FD10" s="16">
        <v>4</v>
      </c>
      <c r="FE10" s="16">
        <v>4420</v>
      </c>
      <c r="FF10" s="16">
        <v>17679</v>
      </c>
      <c r="FG10" s="16">
        <v>2121.5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4</v>
      </c>
      <c r="FQ10" s="16">
        <v>4420</v>
      </c>
      <c r="FR10" s="16">
        <v>17679</v>
      </c>
      <c r="FS10" s="16">
        <v>2121.5</v>
      </c>
      <c r="FT10" s="23">
        <v>8</v>
      </c>
      <c r="FU10" s="23"/>
      <c r="FV10" s="23">
        <v>35358</v>
      </c>
      <c r="FW10" s="23">
        <v>4243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4</v>
      </c>
      <c r="GG10" s="16">
        <v>4420</v>
      </c>
      <c r="GH10" s="16">
        <v>17679</v>
      </c>
      <c r="GI10" s="16">
        <v>2121.5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23">
        <v>4</v>
      </c>
      <c r="GS10" s="23"/>
      <c r="GT10" s="23">
        <v>17679</v>
      </c>
      <c r="GU10" s="23">
        <v>2121.5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4</v>
      </c>
      <c r="HE10" s="16">
        <v>4420</v>
      </c>
      <c r="HF10" s="16">
        <v>17679</v>
      </c>
      <c r="HG10" s="16">
        <v>2121.5</v>
      </c>
      <c r="HH10" s="16">
        <v>0</v>
      </c>
      <c r="HI10" s="16">
        <v>0</v>
      </c>
      <c r="HJ10" s="16">
        <v>0</v>
      </c>
      <c r="HK10" s="16">
        <v>0</v>
      </c>
      <c r="HL10" s="23">
        <v>4</v>
      </c>
      <c r="HM10" s="23"/>
      <c r="HN10" s="23">
        <v>17679</v>
      </c>
      <c r="HO10" s="23">
        <v>2121.5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  <c r="IB10" s="16">
        <v>0</v>
      </c>
      <c r="IC10" s="16">
        <v>0</v>
      </c>
      <c r="ID10" s="16">
        <v>0</v>
      </c>
      <c r="IE10" s="16">
        <v>0</v>
      </c>
      <c r="IF10" s="23">
        <v>0</v>
      </c>
      <c r="IG10" s="23"/>
      <c r="IH10" s="23">
        <v>0</v>
      </c>
      <c r="II10" s="23">
        <v>0</v>
      </c>
      <c r="IJ10" s="16">
        <v>0</v>
      </c>
      <c r="IK10" s="16">
        <v>0</v>
      </c>
      <c r="IL10" s="16">
        <v>0</v>
      </c>
      <c r="IM10" s="16">
        <v>0</v>
      </c>
      <c r="IN10" s="16">
        <v>4</v>
      </c>
      <c r="IO10" s="16">
        <v>4420</v>
      </c>
      <c r="IP10" s="16">
        <v>17679</v>
      </c>
      <c r="IQ10" s="16">
        <v>2121.5</v>
      </c>
      <c r="IR10" s="16">
        <v>0</v>
      </c>
      <c r="IS10" s="16">
        <v>0</v>
      </c>
      <c r="IT10" s="16">
        <v>0</v>
      </c>
      <c r="IU10" s="16">
        <v>0</v>
      </c>
      <c r="IV10" s="16">
        <v>0</v>
      </c>
      <c r="IW10" s="16">
        <v>0</v>
      </c>
      <c r="IX10" s="16">
        <v>0</v>
      </c>
      <c r="IY10" s="16">
        <v>0</v>
      </c>
      <c r="IZ10" s="16">
        <v>0</v>
      </c>
      <c r="JA10" s="16">
        <v>0</v>
      </c>
      <c r="JB10" s="16">
        <v>0</v>
      </c>
      <c r="JC10" s="16">
        <v>0</v>
      </c>
      <c r="JD10" s="23">
        <v>4</v>
      </c>
      <c r="JE10" s="23"/>
      <c r="JF10" s="23">
        <v>17679</v>
      </c>
      <c r="JG10" s="23">
        <v>2121.5</v>
      </c>
      <c r="JH10" s="16">
        <v>0</v>
      </c>
      <c r="JI10" s="16">
        <v>0</v>
      </c>
      <c r="JJ10" s="16">
        <v>0</v>
      </c>
      <c r="JK10" s="16">
        <v>0</v>
      </c>
      <c r="JL10" s="16">
        <v>0</v>
      </c>
      <c r="JM10" s="16">
        <v>0</v>
      </c>
      <c r="JN10" s="16">
        <v>0</v>
      </c>
      <c r="JO10" s="16">
        <v>0</v>
      </c>
      <c r="JP10" s="16">
        <v>0</v>
      </c>
      <c r="JQ10" s="16">
        <v>0</v>
      </c>
      <c r="JR10" s="16">
        <v>0</v>
      </c>
      <c r="JS10" s="16">
        <v>0</v>
      </c>
      <c r="JT10" s="16">
        <v>0</v>
      </c>
      <c r="JU10" s="16">
        <v>0</v>
      </c>
      <c r="JV10" s="16">
        <v>0</v>
      </c>
      <c r="JW10" s="16">
        <v>0</v>
      </c>
      <c r="JX10" s="23">
        <v>0</v>
      </c>
      <c r="JY10" s="23"/>
      <c r="JZ10" s="23">
        <v>0</v>
      </c>
      <c r="KA10" s="23">
        <v>0</v>
      </c>
      <c r="KB10" s="16">
        <v>0</v>
      </c>
      <c r="KC10" s="16">
        <v>0</v>
      </c>
      <c r="KD10" s="16">
        <v>0</v>
      </c>
      <c r="KE10" s="16">
        <v>0</v>
      </c>
      <c r="KF10" s="16">
        <v>0</v>
      </c>
      <c r="KG10" s="16">
        <v>0</v>
      </c>
      <c r="KH10" s="16">
        <v>0</v>
      </c>
      <c r="KI10" s="16">
        <v>0</v>
      </c>
      <c r="KJ10" s="16">
        <v>0</v>
      </c>
      <c r="KK10" s="16">
        <v>0</v>
      </c>
      <c r="KL10" s="16">
        <v>0</v>
      </c>
      <c r="KM10" s="16">
        <v>0</v>
      </c>
      <c r="KN10" s="16">
        <v>0</v>
      </c>
      <c r="KO10" s="16">
        <v>0</v>
      </c>
      <c r="KP10" s="16">
        <v>0</v>
      </c>
      <c r="KQ10" s="16">
        <v>0</v>
      </c>
      <c r="KR10" s="23">
        <v>0</v>
      </c>
      <c r="KS10" s="23"/>
      <c r="KT10" s="23">
        <v>0</v>
      </c>
      <c r="KU10" s="23">
        <v>0</v>
      </c>
      <c r="KV10" s="23">
        <v>48</v>
      </c>
      <c r="KW10" s="23"/>
      <c r="KX10" s="23">
        <v>210176</v>
      </c>
      <c r="KY10" s="23">
        <v>25221.1</v>
      </c>
    </row>
    <row r="11" spans="1:311" ht="16.95" customHeight="1" x14ac:dyDescent="0.4">
      <c r="A11" s="12"/>
      <c r="B11" s="12" t="s">
        <v>153</v>
      </c>
      <c r="C11" s="12" t="s">
        <v>395</v>
      </c>
      <c r="D11" s="10">
        <v>0</v>
      </c>
      <c r="E11" s="10">
        <v>0</v>
      </c>
      <c r="F11" s="10">
        <v>0</v>
      </c>
      <c r="G11" s="10">
        <v>0</v>
      </c>
      <c r="H11" s="21">
        <v>0</v>
      </c>
      <c r="I11" s="21">
        <v>0</v>
      </c>
      <c r="J11" s="21">
        <v>0</v>
      </c>
      <c r="K11" s="21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21">
        <v>0</v>
      </c>
      <c r="AC11" s="21">
        <v>0</v>
      </c>
      <c r="AD11" s="21">
        <v>0</v>
      </c>
      <c r="AE11" s="21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21">
        <v>0</v>
      </c>
      <c r="AW11" s="21">
        <v>0</v>
      </c>
      <c r="AX11" s="21">
        <v>0</v>
      </c>
      <c r="AY11" s="21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21">
        <v>0</v>
      </c>
      <c r="BU11" s="21">
        <v>0</v>
      </c>
      <c r="BV11" s="21">
        <v>0</v>
      </c>
      <c r="BW11" s="21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21">
        <v>0</v>
      </c>
      <c r="CO11" s="21">
        <v>0</v>
      </c>
      <c r="CP11" s="21">
        <v>0</v>
      </c>
      <c r="CQ11" s="21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21">
        <v>0</v>
      </c>
      <c r="DI11" s="21">
        <v>0</v>
      </c>
      <c r="DJ11" s="21">
        <v>0</v>
      </c>
      <c r="DK11" s="21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21">
        <v>0</v>
      </c>
      <c r="EG11" s="21">
        <v>0</v>
      </c>
      <c r="EH11" s="21">
        <v>0</v>
      </c>
      <c r="EI11" s="21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21">
        <v>0</v>
      </c>
      <c r="FA11" s="21">
        <v>0</v>
      </c>
      <c r="FB11" s="21">
        <v>0</v>
      </c>
      <c r="FC11" s="21">
        <v>0</v>
      </c>
      <c r="FD11" s="10">
        <v>30</v>
      </c>
      <c r="FE11" s="10">
        <v>0</v>
      </c>
      <c r="FF11" s="10">
        <v>12375</v>
      </c>
      <c r="FG11" s="10">
        <v>1485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21">
        <v>30</v>
      </c>
      <c r="FU11" s="21">
        <v>0</v>
      </c>
      <c r="FV11" s="21">
        <v>12375</v>
      </c>
      <c r="FW11" s="21">
        <v>1485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21">
        <v>0</v>
      </c>
      <c r="GS11" s="21">
        <v>0</v>
      </c>
      <c r="GT11" s="21">
        <v>0</v>
      </c>
      <c r="GU11" s="21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21">
        <v>0</v>
      </c>
      <c r="HM11" s="21">
        <v>0</v>
      </c>
      <c r="HN11" s="21">
        <v>0</v>
      </c>
      <c r="HO11" s="21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>
        <v>0</v>
      </c>
      <c r="IC11" s="10">
        <v>0</v>
      </c>
      <c r="ID11" s="10">
        <v>0</v>
      </c>
      <c r="IE11" s="10">
        <v>0</v>
      </c>
      <c r="IF11" s="21">
        <v>0</v>
      </c>
      <c r="IG11" s="21">
        <v>0</v>
      </c>
      <c r="IH11" s="21">
        <v>0</v>
      </c>
      <c r="II11" s="21">
        <v>0</v>
      </c>
      <c r="IJ11" s="10">
        <v>0</v>
      </c>
      <c r="IK11" s="10">
        <v>0</v>
      </c>
      <c r="IL11" s="10">
        <v>0</v>
      </c>
      <c r="IM11" s="10">
        <v>0</v>
      </c>
      <c r="IN11" s="10">
        <v>0</v>
      </c>
      <c r="IO11" s="10">
        <v>0</v>
      </c>
      <c r="IP11" s="10">
        <v>0</v>
      </c>
      <c r="IQ11" s="10">
        <v>0</v>
      </c>
      <c r="IR11" s="10">
        <v>0</v>
      </c>
      <c r="IS11" s="10">
        <v>0</v>
      </c>
      <c r="IT11" s="10">
        <v>0</v>
      </c>
      <c r="IU11" s="10">
        <v>0</v>
      </c>
      <c r="IV11" s="10">
        <v>0</v>
      </c>
      <c r="IW11" s="10">
        <v>0</v>
      </c>
      <c r="IX11" s="10">
        <v>0</v>
      </c>
      <c r="IY11" s="10">
        <v>0</v>
      </c>
      <c r="IZ11" s="10">
        <v>0</v>
      </c>
      <c r="JA11" s="10">
        <v>0</v>
      </c>
      <c r="JB11" s="10">
        <v>0</v>
      </c>
      <c r="JC11" s="10">
        <v>0</v>
      </c>
      <c r="JD11" s="21">
        <v>0</v>
      </c>
      <c r="JE11" s="21">
        <v>0</v>
      </c>
      <c r="JF11" s="21">
        <v>0</v>
      </c>
      <c r="JG11" s="21">
        <v>0</v>
      </c>
      <c r="JH11" s="10">
        <v>0</v>
      </c>
      <c r="JI11" s="10">
        <v>0</v>
      </c>
      <c r="JJ11" s="10">
        <v>0</v>
      </c>
      <c r="JK11" s="10">
        <v>0</v>
      </c>
      <c r="JL11" s="10">
        <v>0</v>
      </c>
      <c r="JM11" s="10">
        <v>0</v>
      </c>
      <c r="JN11" s="10">
        <v>0</v>
      </c>
      <c r="JO11" s="10">
        <v>0</v>
      </c>
      <c r="JP11" s="10">
        <v>0</v>
      </c>
      <c r="JQ11" s="10">
        <v>0</v>
      </c>
      <c r="JR11" s="10">
        <v>0</v>
      </c>
      <c r="JS11" s="10">
        <v>0</v>
      </c>
      <c r="JT11" s="10">
        <v>0</v>
      </c>
      <c r="JU11" s="10">
        <v>0</v>
      </c>
      <c r="JV11" s="10">
        <v>0</v>
      </c>
      <c r="JW11" s="10">
        <v>0</v>
      </c>
      <c r="JX11" s="21">
        <v>0</v>
      </c>
      <c r="JY11" s="21">
        <v>0</v>
      </c>
      <c r="JZ11" s="21">
        <v>0</v>
      </c>
      <c r="KA11" s="21">
        <v>0</v>
      </c>
      <c r="KB11" s="10">
        <v>0</v>
      </c>
      <c r="KC11" s="10">
        <v>0</v>
      </c>
      <c r="KD11" s="10">
        <v>0</v>
      </c>
      <c r="KE11" s="10">
        <v>0</v>
      </c>
      <c r="KF11" s="10">
        <v>0</v>
      </c>
      <c r="KG11" s="10">
        <v>0</v>
      </c>
      <c r="KH11" s="10">
        <v>0</v>
      </c>
      <c r="KI11" s="10">
        <v>0</v>
      </c>
      <c r="KJ11" s="10">
        <v>0</v>
      </c>
      <c r="KK11" s="10">
        <v>0</v>
      </c>
      <c r="KL11" s="10">
        <v>0</v>
      </c>
      <c r="KM11" s="10">
        <v>0</v>
      </c>
      <c r="KN11" s="10">
        <v>0</v>
      </c>
      <c r="KO11" s="10">
        <v>0</v>
      </c>
      <c r="KP11" s="10">
        <v>0</v>
      </c>
      <c r="KQ11" s="10">
        <v>0</v>
      </c>
      <c r="KR11" s="21">
        <v>0</v>
      </c>
      <c r="KS11" s="21">
        <v>0</v>
      </c>
      <c r="KT11" s="21">
        <v>0</v>
      </c>
      <c r="KU11" s="21">
        <v>0</v>
      </c>
      <c r="KV11" s="21">
        <v>30</v>
      </c>
      <c r="KW11" s="21">
        <v>0</v>
      </c>
      <c r="KX11" s="21">
        <v>12375</v>
      </c>
      <c r="KY11" s="21">
        <v>1485</v>
      </c>
    </row>
    <row r="12" spans="1:311" ht="16.95" customHeight="1" x14ac:dyDescent="0.4">
      <c r="A12" s="15"/>
      <c r="B12" s="15"/>
      <c r="C12" s="15" t="s">
        <v>112</v>
      </c>
      <c r="D12" s="16">
        <v>0</v>
      </c>
      <c r="E12" s="16">
        <v>0</v>
      </c>
      <c r="F12" s="16">
        <v>0</v>
      </c>
      <c r="G12" s="16">
        <v>0</v>
      </c>
      <c r="H12" s="23">
        <v>0</v>
      </c>
      <c r="I12" s="23"/>
      <c r="J12" s="23">
        <v>0</v>
      </c>
      <c r="K12" s="23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23">
        <v>0</v>
      </c>
      <c r="AC12" s="23"/>
      <c r="AD12" s="23">
        <v>0</v>
      </c>
      <c r="AE12" s="23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23">
        <v>0</v>
      </c>
      <c r="AW12" s="23"/>
      <c r="AX12" s="23">
        <v>0</v>
      </c>
      <c r="AY12" s="23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23">
        <v>0</v>
      </c>
      <c r="BU12" s="23"/>
      <c r="BV12" s="23">
        <v>0</v>
      </c>
      <c r="BW12" s="23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23">
        <v>0</v>
      </c>
      <c r="CO12" s="23"/>
      <c r="CP12" s="23">
        <v>0</v>
      </c>
      <c r="CQ12" s="23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23">
        <v>0</v>
      </c>
      <c r="DI12" s="23"/>
      <c r="DJ12" s="23">
        <v>0</v>
      </c>
      <c r="DK12" s="23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23">
        <v>0</v>
      </c>
      <c r="EG12" s="23"/>
      <c r="EH12" s="23">
        <v>0</v>
      </c>
      <c r="EI12" s="23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23">
        <v>0</v>
      </c>
      <c r="FA12" s="23"/>
      <c r="FB12" s="23">
        <v>0</v>
      </c>
      <c r="FC12" s="23">
        <v>0</v>
      </c>
      <c r="FD12" s="16">
        <v>30</v>
      </c>
      <c r="FE12" s="16">
        <v>413</v>
      </c>
      <c r="FF12" s="16">
        <v>12375</v>
      </c>
      <c r="FG12" s="16">
        <v>1485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23">
        <v>30</v>
      </c>
      <c r="FU12" s="23"/>
      <c r="FV12" s="23">
        <v>12375</v>
      </c>
      <c r="FW12" s="23">
        <v>1485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23">
        <v>0</v>
      </c>
      <c r="GS12" s="23"/>
      <c r="GT12" s="23">
        <v>0</v>
      </c>
      <c r="GU12" s="23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23">
        <v>0</v>
      </c>
      <c r="HM12" s="23"/>
      <c r="HN12" s="23">
        <v>0</v>
      </c>
      <c r="HO12" s="23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  <c r="IB12" s="16">
        <v>0</v>
      </c>
      <c r="IC12" s="16">
        <v>0</v>
      </c>
      <c r="ID12" s="16">
        <v>0</v>
      </c>
      <c r="IE12" s="16">
        <v>0</v>
      </c>
      <c r="IF12" s="23">
        <v>0</v>
      </c>
      <c r="IG12" s="23"/>
      <c r="IH12" s="23">
        <v>0</v>
      </c>
      <c r="II12" s="23">
        <v>0</v>
      </c>
      <c r="IJ12" s="16">
        <v>0</v>
      </c>
      <c r="IK12" s="16">
        <v>0</v>
      </c>
      <c r="IL12" s="16">
        <v>0</v>
      </c>
      <c r="IM12" s="16">
        <v>0</v>
      </c>
      <c r="IN12" s="16">
        <v>0</v>
      </c>
      <c r="IO12" s="16">
        <v>0</v>
      </c>
      <c r="IP12" s="16">
        <v>0</v>
      </c>
      <c r="IQ12" s="16">
        <v>0</v>
      </c>
      <c r="IR12" s="16">
        <v>0</v>
      </c>
      <c r="IS12" s="16">
        <v>0</v>
      </c>
      <c r="IT12" s="16">
        <v>0</v>
      </c>
      <c r="IU12" s="16">
        <v>0</v>
      </c>
      <c r="IV12" s="16">
        <v>0</v>
      </c>
      <c r="IW12" s="16">
        <v>0</v>
      </c>
      <c r="IX12" s="16">
        <v>0</v>
      </c>
      <c r="IY12" s="16">
        <v>0</v>
      </c>
      <c r="IZ12" s="16">
        <v>0</v>
      </c>
      <c r="JA12" s="16">
        <v>0</v>
      </c>
      <c r="JB12" s="16">
        <v>0</v>
      </c>
      <c r="JC12" s="16">
        <v>0</v>
      </c>
      <c r="JD12" s="23">
        <v>0</v>
      </c>
      <c r="JE12" s="23"/>
      <c r="JF12" s="23">
        <v>0</v>
      </c>
      <c r="JG12" s="23">
        <v>0</v>
      </c>
      <c r="JH12" s="16">
        <v>0</v>
      </c>
      <c r="JI12" s="16">
        <v>0</v>
      </c>
      <c r="JJ12" s="16">
        <v>0</v>
      </c>
      <c r="JK12" s="16">
        <v>0</v>
      </c>
      <c r="JL12" s="16">
        <v>0</v>
      </c>
      <c r="JM12" s="16">
        <v>0</v>
      </c>
      <c r="JN12" s="16">
        <v>0</v>
      </c>
      <c r="JO12" s="16">
        <v>0</v>
      </c>
      <c r="JP12" s="16">
        <v>0</v>
      </c>
      <c r="JQ12" s="16">
        <v>0</v>
      </c>
      <c r="JR12" s="16">
        <v>0</v>
      </c>
      <c r="JS12" s="16">
        <v>0</v>
      </c>
      <c r="JT12" s="16">
        <v>0</v>
      </c>
      <c r="JU12" s="16">
        <v>0</v>
      </c>
      <c r="JV12" s="16">
        <v>0</v>
      </c>
      <c r="JW12" s="16">
        <v>0</v>
      </c>
      <c r="JX12" s="23">
        <v>0</v>
      </c>
      <c r="JY12" s="23"/>
      <c r="JZ12" s="23">
        <v>0</v>
      </c>
      <c r="KA12" s="23">
        <v>0</v>
      </c>
      <c r="KB12" s="16">
        <v>0</v>
      </c>
      <c r="KC12" s="16">
        <v>0</v>
      </c>
      <c r="KD12" s="16">
        <v>0</v>
      </c>
      <c r="KE12" s="16">
        <v>0</v>
      </c>
      <c r="KF12" s="16">
        <v>0</v>
      </c>
      <c r="KG12" s="16">
        <v>0</v>
      </c>
      <c r="KH12" s="16">
        <v>0</v>
      </c>
      <c r="KI12" s="16">
        <v>0</v>
      </c>
      <c r="KJ12" s="16">
        <v>0</v>
      </c>
      <c r="KK12" s="16">
        <v>0</v>
      </c>
      <c r="KL12" s="16">
        <v>0</v>
      </c>
      <c r="KM12" s="16">
        <v>0</v>
      </c>
      <c r="KN12" s="16">
        <v>0</v>
      </c>
      <c r="KO12" s="16">
        <v>0</v>
      </c>
      <c r="KP12" s="16">
        <v>0</v>
      </c>
      <c r="KQ12" s="16">
        <v>0</v>
      </c>
      <c r="KR12" s="23">
        <v>0</v>
      </c>
      <c r="KS12" s="23"/>
      <c r="KT12" s="23">
        <v>0</v>
      </c>
      <c r="KU12" s="23">
        <v>0</v>
      </c>
      <c r="KV12" s="23">
        <v>30</v>
      </c>
      <c r="KW12" s="23"/>
      <c r="KX12" s="23">
        <v>12375</v>
      </c>
      <c r="KY12" s="23">
        <v>1485</v>
      </c>
    </row>
    <row r="13" spans="1:311" ht="16.95" customHeight="1" x14ac:dyDescent="0.4">
      <c r="A13" s="7" t="s">
        <v>14</v>
      </c>
      <c r="B13" s="7" t="s">
        <v>395</v>
      </c>
      <c r="C13" s="7"/>
      <c r="D13" s="8">
        <v>27</v>
      </c>
      <c r="E13" s="8">
        <v>0</v>
      </c>
      <c r="F13" s="8">
        <v>1462417</v>
      </c>
      <c r="G13" s="8">
        <v>175490</v>
      </c>
      <c r="H13" s="20">
        <v>27</v>
      </c>
      <c r="I13" s="20">
        <v>0</v>
      </c>
      <c r="J13" s="20">
        <v>1462417</v>
      </c>
      <c r="K13" s="20">
        <v>175490</v>
      </c>
      <c r="L13" s="8">
        <v>45</v>
      </c>
      <c r="M13" s="8">
        <v>0</v>
      </c>
      <c r="N13" s="8">
        <v>2568434</v>
      </c>
      <c r="O13" s="8">
        <v>308212.09999999998</v>
      </c>
      <c r="P13" s="8">
        <v>37</v>
      </c>
      <c r="Q13" s="8">
        <v>0</v>
      </c>
      <c r="R13" s="8">
        <v>1913725</v>
      </c>
      <c r="S13" s="8">
        <v>229647</v>
      </c>
      <c r="T13" s="8">
        <v>42</v>
      </c>
      <c r="U13" s="8">
        <v>0</v>
      </c>
      <c r="V13" s="8">
        <v>2287725</v>
      </c>
      <c r="W13" s="8">
        <v>274527</v>
      </c>
      <c r="X13" s="8">
        <v>42</v>
      </c>
      <c r="Y13" s="8">
        <v>0</v>
      </c>
      <c r="Z13" s="8">
        <v>2317634</v>
      </c>
      <c r="AA13" s="8">
        <v>278116.09999999998</v>
      </c>
      <c r="AB13" s="20">
        <v>166</v>
      </c>
      <c r="AC13" s="20">
        <v>0</v>
      </c>
      <c r="AD13" s="20">
        <v>9087518</v>
      </c>
      <c r="AE13" s="20">
        <v>1090502.2</v>
      </c>
      <c r="AF13" s="8">
        <v>24</v>
      </c>
      <c r="AG13" s="8">
        <v>0</v>
      </c>
      <c r="AH13" s="8">
        <v>1372459</v>
      </c>
      <c r="AI13" s="8">
        <v>164695.1</v>
      </c>
      <c r="AJ13" s="8">
        <v>21</v>
      </c>
      <c r="AK13" s="8">
        <v>0</v>
      </c>
      <c r="AL13" s="8">
        <v>1122242</v>
      </c>
      <c r="AM13" s="8">
        <v>134669</v>
      </c>
      <c r="AN13" s="8">
        <v>46</v>
      </c>
      <c r="AO13" s="8">
        <v>0</v>
      </c>
      <c r="AP13" s="8">
        <v>2817760</v>
      </c>
      <c r="AQ13" s="8">
        <v>338131.20000000001</v>
      </c>
      <c r="AR13" s="8">
        <v>34</v>
      </c>
      <c r="AS13" s="8">
        <v>0</v>
      </c>
      <c r="AT13" s="8">
        <v>1794617</v>
      </c>
      <c r="AU13" s="8">
        <v>215354</v>
      </c>
      <c r="AV13" s="20">
        <v>125</v>
      </c>
      <c r="AW13" s="20">
        <v>0</v>
      </c>
      <c r="AX13" s="20">
        <v>7107078</v>
      </c>
      <c r="AY13" s="20">
        <v>852849.4</v>
      </c>
      <c r="AZ13" s="8">
        <v>53</v>
      </c>
      <c r="BA13" s="8">
        <v>0</v>
      </c>
      <c r="BB13" s="8">
        <v>2970451</v>
      </c>
      <c r="BC13" s="8">
        <v>356454.1</v>
      </c>
      <c r="BD13" s="8">
        <v>47</v>
      </c>
      <c r="BE13" s="8">
        <v>0</v>
      </c>
      <c r="BF13" s="8">
        <v>2883760</v>
      </c>
      <c r="BG13" s="8">
        <v>346051.2</v>
      </c>
      <c r="BH13" s="8">
        <v>27</v>
      </c>
      <c r="BI13" s="8">
        <v>0</v>
      </c>
      <c r="BJ13" s="8">
        <v>1476992</v>
      </c>
      <c r="BK13" s="8">
        <v>177239</v>
      </c>
      <c r="BL13" s="8">
        <v>75</v>
      </c>
      <c r="BM13" s="8">
        <v>0</v>
      </c>
      <c r="BN13" s="8">
        <v>4714028</v>
      </c>
      <c r="BO13" s="8">
        <v>565683.4</v>
      </c>
      <c r="BP13" s="8">
        <v>67</v>
      </c>
      <c r="BQ13" s="8">
        <v>0</v>
      </c>
      <c r="BR13" s="8">
        <v>3633784</v>
      </c>
      <c r="BS13" s="8">
        <v>436054.1</v>
      </c>
      <c r="BT13" s="20">
        <v>269</v>
      </c>
      <c r="BU13" s="20">
        <v>0</v>
      </c>
      <c r="BV13" s="20">
        <v>15679015</v>
      </c>
      <c r="BW13" s="20">
        <v>1881481.8</v>
      </c>
      <c r="BX13" s="8">
        <v>77</v>
      </c>
      <c r="BY13" s="8">
        <v>0</v>
      </c>
      <c r="BZ13" s="8">
        <v>4381135</v>
      </c>
      <c r="CA13" s="8">
        <v>525736.19999999995</v>
      </c>
      <c r="CB13" s="8">
        <v>50</v>
      </c>
      <c r="CC13" s="8">
        <v>0</v>
      </c>
      <c r="CD13" s="8">
        <v>3111878</v>
      </c>
      <c r="CE13" s="8">
        <v>373425.4</v>
      </c>
      <c r="CF13" s="8">
        <v>76</v>
      </c>
      <c r="CG13" s="8">
        <v>0</v>
      </c>
      <c r="CH13" s="8">
        <v>4489727</v>
      </c>
      <c r="CI13" s="8">
        <v>538767.19999999995</v>
      </c>
      <c r="CJ13" s="8">
        <v>107</v>
      </c>
      <c r="CK13" s="8">
        <v>0</v>
      </c>
      <c r="CL13" s="8">
        <v>6153928</v>
      </c>
      <c r="CM13" s="8">
        <v>738471.4</v>
      </c>
      <c r="CN13" s="20">
        <v>310</v>
      </c>
      <c r="CO13" s="20">
        <v>0</v>
      </c>
      <c r="CP13" s="20">
        <v>18136668</v>
      </c>
      <c r="CQ13" s="20">
        <v>2176400.2000000002</v>
      </c>
      <c r="CR13" s="8">
        <v>87</v>
      </c>
      <c r="CS13" s="8">
        <v>0</v>
      </c>
      <c r="CT13" s="8">
        <v>5193562</v>
      </c>
      <c r="CU13" s="8">
        <v>623227.4</v>
      </c>
      <c r="CV13" s="8">
        <v>62</v>
      </c>
      <c r="CW13" s="8">
        <v>0</v>
      </c>
      <c r="CX13" s="8">
        <v>3425851</v>
      </c>
      <c r="CY13" s="8">
        <v>411102.1</v>
      </c>
      <c r="CZ13" s="8">
        <v>111</v>
      </c>
      <c r="DA13" s="8">
        <v>0</v>
      </c>
      <c r="DB13" s="8">
        <v>6660687</v>
      </c>
      <c r="DC13" s="8">
        <v>799282.4</v>
      </c>
      <c r="DD13" s="8">
        <v>97</v>
      </c>
      <c r="DE13" s="8">
        <v>0</v>
      </c>
      <c r="DF13" s="8">
        <v>5542361</v>
      </c>
      <c r="DG13" s="8">
        <v>665083.30000000005</v>
      </c>
      <c r="DH13" s="20">
        <v>357</v>
      </c>
      <c r="DI13" s="20">
        <v>0</v>
      </c>
      <c r="DJ13" s="20">
        <v>20822461</v>
      </c>
      <c r="DK13" s="20">
        <v>2498695.2999999998</v>
      </c>
      <c r="DL13" s="8">
        <v>112</v>
      </c>
      <c r="DM13" s="8">
        <v>0</v>
      </c>
      <c r="DN13" s="8">
        <v>7033114</v>
      </c>
      <c r="DO13" s="8">
        <v>843973.7</v>
      </c>
      <c r="DP13" s="8">
        <v>135</v>
      </c>
      <c r="DQ13" s="8">
        <v>0</v>
      </c>
      <c r="DR13" s="8">
        <v>7992138</v>
      </c>
      <c r="DS13" s="8">
        <v>959056.6</v>
      </c>
      <c r="DT13" s="8">
        <v>62</v>
      </c>
      <c r="DU13" s="8">
        <v>0</v>
      </c>
      <c r="DV13" s="8">
        <v>3664485</v>
      </c>
      <c r="DW13" s="8">
        <v>439738.2</v>
      </c>
      <c r="DX13" s="8">
        <v>124</v>
      </c>
      <c r="DY13" s="8">
        <v>0</v>
      </c>
      <c r="DZ13" s="8">
        <v>7026052</v>
      </c>
      <c r="EA13" s="8">
        <v>843126.2</v>
      </c>
      <c r="EB13" s="8">
        <v>152</v>
      </c>
      <c r="EC13" s="8">
        <v>0</v>
      </c>
      <c r="ED13" s="8">
        <v>9265421</v>
      </c>
      <c r="EE13" s="8">
        <v>1111850.5</v>
      </c>
      <c r="EF13" s="20">
        <v>585</v>
      </c>
      <c r="EG13" s="20">
        <v>0</v>
      </c>
      <c r="EH13" s="20">
        <v>34981210</v>
      </c>
      <c r="EI13" s="20">
        <v>4197745.2</v>
      </c>
      <c r="EJ13" s="8">
        <v>148</v>
      </c>
      <c r="EK13" s="8">
        <v>0</v>
      </c>
      <c r="EL13" s="8">
        <v>8373552</v>
      </c>
      <c r="EM13" s="8">
        <v>1004826.2</v>
      </c>
      <c r="EN13" s="8">
        <v>60</v>
      </c>
      <c r="EO13" s="8">
        <v>0</v>
      </c>
      <c r="EP13" s="8">
        <v>3744686</v>
      </c>
      <c r="EQ13" s="8">
        <v>449362.3</v>
      </c>
      <c r="ER13" s="8">
        <v>128</v>
      </c>
      <c r="ES13" s="8">
        <v>0</v>
      </c>
      <c r="ET13" s="8">
        <v>7830196</v>
      </c>
      <c r="EU13" s="8">
        <v>939623.5</v>
      </c>
      <c r="EV13" s="8">
        <v>146</v>
      </c>
      <c r="EW13" s="8">
        <v>0</v>
      </c>
      <c r="EX13" s="8">
        <v>8510304</v>
      </c>
      <c r="EY13" s="8">
        <v>1021236.5</v>
      </c>
      <c r="EZ13" s="20">
        <v>482</v>
      </c>
      <c r="FA13" s="20">
        <v>0</v>
      </c>
      <c r="FB13" s="20">
        <v>28458738</v>
      </c>
      <c r="FC13" s="20">
        <v>3415048.6</v>
      </c>
      <c r="FD13" s="8">
        <v>118</v>
      </c>
      <c r="FE13" s="8">
        <v>0</v>
      </c>
      <c r="FF13" s="8">
        <v>6837512</v>
      </c>
      <c r="FG13" s="8">
        <v>820501.4</v>
      </c>
      <c r="FH13" s="8">
        <v>97</v>
      </c>
      <c r="FI13" s="8">
        <v>0</v>
      </c>
      <c r="FJ13" s="8">
        <v>5540810</v>
      </c>
      <c r="FK13" s="8">
        <v>664897.19999999995</v>
      </c>
      <c r="FL13" s="8">
        <v>127</v>
      </c>
      <c r="FM13" s="8">
        <v>0</v>
      </c>
      <c r="FN13" s="8">
        <v>7632438</v>
      </c>
      <c r="FO13" s="8">
        <v>915892.6</v>
      </c>
      <c r="FP13" s="8">
        <v>112</v>
      </c>
      <c r="FQ13" s="8">
        <v>0</v>
      </c>
      <c r="FR13" s="8">
        <v>6783920</v>
      </c>
      <c r="FS13" s="8">
        <v>814070.4</v>
      </c>
      <c r="FT13" s="20">
        <v>454</v>
      </c>
      <c r="FU13" s="20">
        <v>0</v>
      </c>
      <c r="FV13" s="20">
        <v>26794680</v>
      </c>
      <c r="FW13" s="20">
        <v>3215361.6</v>
      </c>
      <c r="FX13" s="8">
        <v>105</v>
      </c>
      <c r="FY13" s="8">
        <v>0</v>
      </c>
      <c r="FZ13" s="8">
        <v>6016428</v>
      </c>
      <c r="GA13" s="8">
        <v>721971.4</v>
      </c>
      <c r="GB13" s="8">
        <v>83</v>
      </c>
      <c r="GC13" s="8">
        <v>0</v>
      </c>
      <c r="GD13" s="8">
        <v>5171628</v>
      </c>
      <c r="GE13" s="8">
        <v>620595.4</v>
      </c>
      <c r="GF13" s="8">
        <v>59</v>
      </c>
      <c r="GG13" s="8">
        <v>0</v>
      </c>
      <c r="GH13" s="8">
        <v>3332626</v>
      </c>
      <c r="GI13" s="8">
        <v>399915.1</v>
      </c>
      <c r="GJ13" s="8">
        <v>73</v>
      </c>
      <c r="GK13" s="8">
        <v>0</v>
      </c>
      <c r="GL13" s="8">
        <v>4433594</v>
      </c>
      <c r="GM13" s="8">
        <v>532031.30000000005</v>
      </c>
      <c r="GN13" s="8">
        <v>102</v>
      </c>
      <c r="GO13" s="8">
        <v>0</v>
      </c>
      <c r="GP13" s="8">
        <v>5648544</v>
      </c>
      <c r="GQ13" s="8">
        <v>677825.3</v>
      </c>
      <c r="GR13" s="20">
        <v>422</v>
      </c>
      <c r="GS13" s="20">
        <v>0</v>
      </c>
      <c r="GT13" s="20">
        <v>24602820</v>
      </c>
      <c r="GU13" s="20">
        <v>2952338.4</v>
      </c>
      <c r="GV13" s="8">
        <v>19</v>
      </c>
      <c r="GW13" s="8">
        <v>0</v>
      </c>
      <c r="GX13" s="8">
        <v>1095842</v>
      </c>
      <c r="GY13" s="8">
        <v>131501</v>
      </c>
      <c r="GZ13" s="8">
        <v>75</v>
      </c>
      <c r="HA13" s="8">
        <v>0</v>
      </c>
      <c r="HB13" s="8">
        <v>4597186</v>
      </c>
      <c r="HC13" s="8">
        <v>551662.30000000005</v>
      </c>
      <c r="HD13" s="8">
        <v>40</v>
      </c>
      <c r="HE13" s="8">
        <v>0</v>
      </c>
      <c r="HF13" s="8">
        <v>2089692</v>
      </c>
      <c r="HG13" s="8">
        <v>250763</v>
      </c>
      <c r="HH13" s="8">
        <v>45</v>
      </c>
      <c r="HI13" s="8">
        <v>0</v>
      </c>
      <c r="HJ13" s="8">
        <v>2566960</v>
      </c>
      <c r="HK13" s="8">
        <v>308035.20000000001</v>
      </c>
      <c r="HL13" s="20">
        <v>179</v>
      </c>
      <c r="HM13" s="20">
        <v>0</v>
      </c>
      <c r="HN13" s="20">
        <v>10349680</v>
      </c>
      <c r="HO13" s="20">
        <v>1241961.6000000001</v>
      </c>
      <c r="HP13" s="8">
        <v>35</v>
      </c>
      <c r="HQ13" s="8">
        <v>0</v>
      </c>
      <c r="HR13" s="8">
        <v>2198768</v>
      </c>
      <c r="HS13" s="8">
        <v>263852.2</v>
      </c>
      <c r="HT13" s="8">
        <v>33</v>
      </c>
      <c r="HU13" s="8">
        <v>0</v>
      </c>
      <c r="HV13" s="8">
        <v>1959276</v>
      </c>
      <c r="HW13" s="8">
        <v>235113.1</v>
      </c>
      <c r="HX13" s="8">
        <v>46</v>
      </c>
      <c r="HY13" s="8">
        <v>0</v>
      </c>
      <c r="HZ13" s="8">
        <v>2650384</v>
      </c>
      <c r="IA13" s="8">
        <v>318046.09999999998</v>
      </c>
      <c r="IB13" s="8">
        <v>33</v>
      </c>
      <c r="IC13" s="8">
        <v>0</v>
      </c>
      <c r="ID13" s="8">
        <v>1744050</v>
      </c>
      <c r="IE13" s="8">
        <v>209286</v>
      </c>
      <c r="IF13" s="20">
        <v>147</v>
      </c>
      <c r="IG13" s="20">
        <v>0</v>
      </c>
      <c r="IH13" s="20">
        <v>8552478</v>
      </c>
      <c r="II13" s="20">
        <v>1026297.4</v>
      </c>
      <c r="IJ13" s="8">
        <v>42</v>
      </c>
      <c r="IK13" s="8">
        <v>0</v>
      </c>
      <c r="IL13" s="8">
        <v>2329734</v>
      </c>
      <c r="IM13" s="8">
        <v>279568.09999999998</v>
      </c>
      <c r="IN13" s="8">
        <v>32</v>
      </c>
      <c r="IO13" s="8">
        <v>0</v>
      </c>
      <c r="IP13" s="8">
        <v>1654092</v>
      </c>
      <c r="IQ13" s="8">
        <v>198491</v>
      </c>
      <c r="IR13" s="8">
        <v>37</v>
      </c>
      <c r="IS13" s="8">
        <v>0</v>
      </c>
      <c r="IT13" s="8">
        <v>2070442</v>
      </c>
      <c r="IU13" s="8">
        <v>248453</v>
      </c>
      <c r="IV13" s="8">
        <v>20</v>
      </c>
      <c r="IW13" s="8">
        <v>0</v>
      </c>
      <c r="IX13" s="8">
        <v>1127192</v>
      </c>
      <c r="IY13" s="8">
        <v>135263</v>
      </c>
      <c r="IZ13" s="8">
        <v>26</v>
      </c>
      <c r="JA13" s="8">
        <v>0</v>
      </c>
      <c r="JB13" s="8">
        <v>1430242</v>
      </c>
      <c r="JC13" s="8">
        <v>171629</v>
      </c>
      <c r="JD13" s="20">
        <v>157</v>
      </c>
      <c r="JE13" s="20">
        <v>0</v>
      </c>
      <c r="JF13" s="20">
        <v>8611702</v>
      </c>
      <c r="JG13" s="20">
        <v>1033404.2</v>
      </c>
      <c r="JH13" s="8">
        <v>68</v>
      </c>
      <c r="JI13" s="8">
        <v>0</v>
      </c>
      <c r="JJ13" s="8">
        <v>4046702</v>
      </c>
      <c r="JK13" s="8">
        <v>485604.2</v>
      </c>
      <c r="JL13" s="8">
        <v>36</v>
      </c>
      <c r="JM13" s="8">
        <v>0</v>
      </c>
      <c r="JN13" s="8">
        <v>1968692</v>
      </c>
      <c r="JO13" s="8">
        <v>236243</v>
      </c>
      <c r="JP13" s="8">
        <v>34</v>
      </c>
      <c r="JQ13" s="8">
        <v>0</v>
      </c>
      <c r="JR13" s="8">
        <v>1989284</v>
      </c>
      <c r="JS13" s="8">
        <v>238714.1</v>
      </c>
      <c r="JT13" s="8">
        <v>38</v>
      </c>
      <c r="JU13" s="8">
        <v>0</v>
      </c>
      <c r="JV13" s="8">
        <v>1979450</v>
      </c>
      <c r="JW13" s="8">
        <v>237534</v>
      </c>
      <c r="JX13" s="20">
        <v>176</v>
      </c>
      <c r="JY13" s="20">
        <v>0</v>
      </c>
      <c r="JZ13" s="20">
        <v>9984128</v>
      </c>
      <c r="KA13" s="20">
        <v>1198095.3999999999</v>
      </c>
      <c r="KB13" s="8">
        <v>31</v>
      </c>
      <c r="KC13" s="8">
        <v>0</v>
      </c>
      <c r="KD13" s="8">
        <v>1629892</v>
      </c>
      <c r="KE13" s="8">
        <v>195587</v>
      </c>
      <c r="KF13" s="8">
        <v>43</v>
      </c>
      <c r="KG13" s="8">
        <v>0</v>
      </c>
      <c r="KH13" s="8">
        <v>2402092</v>
      </c>
      <c r="KI13" s="8">
        <v>288251</v>
      </c>
      <c r="KJ13" s="8">
        <v>7</v>
      </c>
      <c r="KK13" s="8">
        <v>0</v>
      </c>
      <c r="KL13" s="8">
        <v>462792</v>
      </c>
      <c r="KM13" s="8">
        <v>55535</v>
      </c>
      <c r="KN13" s="8">
        <v>44</v>
      </c>
      <c r="KO13" s="8">
        <v>0</v>
      </c>
      <c r="KP13" s="8">
        <v>2366584</v>
      </c>
      <c r="KQ13" s="8">
        <v>283990.09999999998</v>
      </c>
      <c r="KR13" s="20">
        <v>125</v>
      </c>
      <c r="KS13" s="20">
        <v>0</v>
      </c>
      <c r="KT13" s="20">
        <v>6861360</v>
      </c>
      <c r="KU13" s="20">
        <v>823363.2</v>
      </c>
      <c r="KV13" s="20">
        <v>3981</v>
      </c>
      <c r="KW13" s="20">
        <v>0</v>
      </c>
      <c r="KX13" s="20">
        <v>231491953</v>
      </c>
      <c r="KY13" s="20">
        <v>27779034.399999999</v>
      </c>
    </row>
    <row r="14" spans="1:311" ht="16.95" customHeight="1" x14ac:dyDescent="0.4">
      <c r="A14" s="12"/>
      <c r="B14" s="12" t="s">
        <v>59</v>
      </c>
      <c r="C14" s="12" t="s">
        <v>395</v>
      </c>
      <c r="D14" s="10">
        <v>0</v>
      </c>
      <c r="E14" s="10">
        <v>0</v>
      </c>
      <c r="F14" s="10">
        <v>0</v>
      </c>
      <c r="G14" s="10">
        <v>0</v>
      </c>
      <c r="H14" s="21">
        <v>0</v>
      </c>
      <c r="I14" s="21">
        <v>0</v>
      </c>
      <c r="J14" s="21">
        <v>0</v>
      </c>
      <c r="K14" s="21">
        <v>0</v>
      </c>
      <c r="L14" s="10">
        <v>10</v>
      </c>
      <c r="M14" s="10">
        <v>0</v>
      </c>
      <c r="N14" s="10">
        <v>527175</v>
      </c>
      <c r="O14" s="10">
        <v>63261</v>
      </c>
      <c r="P14" s="10">
        <v>9</v>
      </c>
      <c r="Q14" s="10">
        <v>0</v>
      </c>
      <c r="R14" s="10">
        <v>478775</v>
      </c>
      <c r="S14" s="10">
        <v>57453</v>
      </c>
      <c r="T14" s="10">
        <v>0</v>
      </c>
      <c r="U14" s="10">
        <v>0</v>
      </c>
      <c r="V14" s="10">
        <v>0</v>
      </c>
      <c r="W14" s="10">
        <v>0</v>
      </c>
      <c r="X14" s="10">
        <v>8</v>
      </c>
      <c r="Y14" s="10">
        <v>0</v>
      </c>
      <c r="Z14" s="10">
        <v>479842</v>
      </c>
      <c r="AA14" s="10">
        <v>57581</v>
      </c>
      <c r="AB14" s="21">
        <v>27</v>
      </c>
      <c r="AC14" s="21">
        <v>0</v>
      </c>
      <c r="AD14" s="21">
        <v>1485792</v>
      </c>
      <c r="AE14" s="21">
        <v>178295</v>
      </c>
      <c r="AF14" s="10">
        <v>8</v>
      </c>
      <c r="AG14" s="10">
        <v>0</v>
      </c>
      <c r="AH14" s="10">
        <v>498817</v>
      </c>
      <c r="AI14" s="10">
        <v>59858</v>
      </c>
      <c r="AJ14" s="10">
        <v>8</v>
      </c>
      <c r="AK14" s="10">
        <v>0</v>
      </c>
      <c r="AL14" s="10">
        <v>400400</v>
      </c>
      <c r="AM14" s="10">
        <v>48048</v>
      </c>
      <c r="AN14" s="10">
        <v>8</v>
      </c>
      <c r="AO14" s="10">
        <v>0</v>
      </c>
      <c r="AP14" s="10">
        <v>498817</v>
      </c>
      <c r="AQ14" s="10">
        <v>59858</v>
      </c>
      <c r="AR14" s="10">
        <v>6</v>
      </c>
      <c r="AS14" s="10">
        <v>0</v>
      </c>
      <c r="AT14" s="10">
        <v>292600</v>
      </c>
      <c r="AU14" s="10">
        <v>35112</v>
      </c>
      <c r="AV14" s="21">
        <v>30</v>
      </c>
      <c r="AW14" s="21">
        <v>0</v>
      </c>
      <c r="AX14" s="21">
        <v>1690634</v>
      </c>
      <c r="AY14" s="21">
        <v>202876.1</v>
      </c>
      <c r="AZ14" s="10">
        <v>8</v>
      </c>
      <c r="BA14" s="10">
        <v>0</v>
      </c>
      <c r="BB14" s="10">
        <v>514217</v>
      </c>
      <c r="BC14" s="10">
        <v>61706</v>
      </c>
      <c r="BD14" s="10">
        <v>0</v>
      </c>
      <c r="BE14" s="10">
        <v>0</v>
      </c>
      <c r="BF14" s="10">
        <v>0</v>
      </c>
      <c r="BG14" s="10">
        <v>0</v>
      </c>
      <c r="BH14" s="10">
        <v>5</v>
      </c>
      <c r="BI14" s="10">
        <v>0</v>
      </c>
      <c r="BJ14" s="10">
        <v>248600</v>
      </c>
      <c r="BK14" s="10">
        <v>29832</v>
      </c>
      <c r="BL14" s="10">
        <v>19</v>
      </c>
      <c r="BM14" s="10">
        <v>0</v>
      </c>
      <c r="BN14" s="10">
        <v>1171434</v>
      </c>
      <c r="BO14" s="10">
        <v>140572.1</v>
      </c>
      <c r="BP14" s="10">
        <v>12</v>
      </c>
      <c r="BQ14" s="10">
        <v>0</v>
      </c>
      <c r="BR14" s="10">
        <v>707817</v>
      </c>
      <c r="BS14" s="10">
        <v>84938</v>
      </c>
      <c r="BT14" s="21">
        <v>44</v>
      </c>
      <c r="BU14" s="21">
        <v>0</v>
      </c>
      <c r="BV14" s="21">
        <v>2642068</v>
      </c>
      <c r="BW14" s="21">
        <v>317048.2</v>
      </c>
      <c r="BX14" s="10">
        <v>14</v>
      </c>
      <c r="BY14" s="10">
        <v>0</v>
      </c>
      <c r="BZ14" s="10">
        <v>813417</v>
      </c>
      <c r="CA14" s="10">
        <v>97610</v>
      </c>
      <c r="CB14" s="10">
        <v>12</v>
      </c>
      <c r="CC14" s="10">
        <v>0</v>
      </c>
      <c r="CD14" s="10">
        <v>789459</v>
      </c>
      <c r="CE14" s="10">
        <v>94735.1</v>
      </c>
      <c r="CF14" s="10">
        <v>22</v>
      </c>
      <c r="CG14" s="10">
        <v>0</v>
      </c>
      <c r="CH14" s="10">
        <v>1410651</v>
      </c>
      <c r="CI14" s="10">
        <v>169278.1</v>
      </c>
      <c r="CJ14" s="10">
        <v>14</v>
      </c>
      <c r="CK14" s="10">
        <v>0</v>
      </c>
      <c r="CL14" s="10">
        <v>832392</v>
      </c>
      <c r="CM14" s="10">
        <v>99887</v>
      </c>
      <c r="CN14" s="21">
        <v>62</v>
      </c>
      <c r="CO14" s="21">
        <v>0</v>
      </c>
      <c r="CP14" s="21">
        <v>3845919</v>
      </c>
      <c r="CQ14" s="21">
        <v>461510.3</v>
      </c>
      <c r="CR14" s="10">
        <v>10</v>
      </c>
      <c r="CS14" s="10">
        <v>0</v>
      </c>
      <c r="CT14" s="10">
        <v>602217</v>
      </c>
      <c r="CU14" s="10">
        <v>72266</v>
      </c>
      <c r="CV14" s="10">
        <v>15</v>
      </c>
      <c r="CW14" s="10">
        <v>0</v>
      </c>
      <c r="CX14" s="10">
        <v>859617</v>
      </c>
      <c r="CY14" s="10">
        <v>103154</v>
      </c>
      <c r="CZ14" s="10">
        <v>18</v>
      </c>
      <c r="DA14" s="10">
        <v>0</v>
      </c>
      <c r="DB14" s="10">
        <v>1193676</v>
      </c>
      <c r="DC14" s="10">
        <v>143241.1</v>
      </c>
      <c r="DD14" s="10">
        <v>14</v>
      </c>
      <c r="DE14" s="10">
        <v>0</v>
      </c>
      <c r="DF14" s="10">
        <v>813417</v>
      </c>
      <c r="DG14" s="10">
        <v>97610</v>
      </c>
      <c r="DH14" s="21">
        <v>57</v>
      </c>
      <c r="DI14" s="21">
        <v>0</v>
      </c>
      <c r="DJ14" s="21">
        <v>3468927</v>
      </c>
      <c r="DK14" s="21">
        <v>416271.2</v>
      </c>
      <c r="DL14" s="10">
        <v>16</v>
      </c>
      <c r="DM14" s="10">
        <v>0</v>
      </c>
      <c r="DN14" s="10">
        <v>951192</v>
      </c>
      <c r="DO14" s="10">
        <v>114143</v>
      </c>
      <c r="DP14" s="10">
        <v>26</v>
      </c>
      <c r="DQ14" s="10">
        <v>0</v>
      </c>
      <c r="DR14" s="10">
        <v>1621851</v>
      </c>
      <c r="DS14" s="10">
        <v>194622.1</v>
      </c>
      <c r="DT14" s="10">
        <v>16</v>
      </c>
      <c r="DU14" s="10">
        <v>0</v>
      </c>
      <c r="DV14" s="10">
        <v>1000659</v>
      </c>
      <c r="DW14" s="10">
        <v>120079.1</v>
      </c>
      <c r="DX14" s="10">
        <v>21</v>
      </c>
      <c r="DY14" s="10">
        <v>0</v>
      </c>
      <c r="DZ14" s="10">
        <v>1182192</v>
      </c>
      <c r="EA14" s="10">
        <v>141863</v>
      </c>
      <c r="EB14" s="10">
        <v>29</v>
      </c>
      <c r="EC14" s="10">
        <v>0</v>
      </c>
      <c r="ED14" s="10">
        <v>1832776</v>
      </c>
      <c r="EE14" s="10">
        <v>219933.1</v>
      </c>
      <c r="EF14" s="21">
        <v>108</v>
      </c>
      <c r="EG14" s="21">
        <v>0</v>
      </c>
      <c r="EH14" s="21">
        <v>6588670</v>
      </c>
      <c r="EI14" s="21">
        <v>790640.4</v>
      </c>
      <c r="EJ14" s="10">
        <v>34</v>
      </c>
      <c r="EK14" s="10">
        <v>0</v>
      </c>
      <c r="EL14" s="10">
        <v>2066526</v>
      </c>
      <c r="EM14" s="10">
        <v>247983.1</v>
      </c>
      <c r="EN14" s="10">
        <v>7</v>
      </c>
      <c r="EO14" s="10">
        <v>0</v>
      </c>
      <c r="EP14" s="10">
        <v>434742</v>
      </c>
      <c r="EQ14" s="10">
        <v>52169</v>
      </c>
      <c r="ER14" s="10">
        <v>21</v>
      </c>
      <c r="ES14" s="10">
        <v>0</v>
      </c>
      <c r="ET14" s="10">
        <v>1275934</v>
      </c>
      <c r="EU14" s="10">
        <v>153112.1</v>
      </c>
      <c r="EV14" s="10">
        <v>32</v>
      </c>
      <c r="EW14" s="10">
        <v>0</v>
      </c>
      <c r="EX14" s="10">
        <v>1929576</v>
      </c>
      <c r="EY14" s="10">
        <v>231549.1</v>
      </c>
      <c r="EZ14" s="21">
        <v>94</v>
      </c>
      <c r="FA14" s="21">
        <v>0</v>
      </c>
      <c r="FB14" s="21">
        <v>5706778</v>
      </c>
      <c r="FC14" s="21">
        <v>684813.4</v>
      </c>
      <c r="FD14" s="10">
        <v>18</v>
      </c>
      <c r="FE14" s="10">
        <v>0</v>
      </c>
      <c r="FF14" s="10">
        <v>1036442</v>
      </c>
      <c r="FG14" s="10">
        <v>124373</v>
      </c>
      <c r="FH14" s="10">
        <v>12</v>
      </c>
      <c r="FI14" s="10">
        <v>0</v>
      </c>
      <c r="FJ14" s="10">
        <v>815584</v>
      </c>
      <c r="FK14" s="10">
        <v>97870.1</v>
      </c>
      <c r="FL14" s="10">
        <v>14</v>
      </c>
      <c r="FM14" s="10">
        <v>0</v>
      </c>
      <c r="FN14" s="10">
        <v>821942</v>
      </c>
      <c r="FO14" s="10">
        <v>98633</v>
      </c>
      <c r="FP14" s="10">
        <v>25</v>
      </c>
      <c r="FQ14" s="10">
        <v>0</v>
      </c>
      <c r="FR14" s="10">
        <v>1591326</v>
      </c>
      <c r="FS14" s="10">
        <v>190959.1</v>
      </c>
      <c r="FT14" s="21">
        <v>69</v>
      </c>
      <c r="FU14" s="21">
        <v>0</v>
      </c>
      <c r="FV14" s="21">
        <v>4265294</v>
      </c>
      <c r="FW14" s="21">
        <v>511835.3</v>
      </c>
      <c r="FX14" s="10">
        <v>21</v>
      </c>
      <c r="FY14" s="10">
        <v>0</v>
      </c>
      <c r="FZ14" s="10">
        <v>1256684</v>
      </c>
      <c r="GA14" s="10">
        <v>150802.1</v>
      </c>
      <c r="GB14" s="10">
        <v>11</v>
      </c>
      <c r="GC14" s="10">
        <v>0</v>
      </c>
      <c r="GD14" s="10">
        <v>750134</v>
      </c>
      <c r="GE14" s="10">
        <v>90016.1</v>
      </c>
      <c r="GF14" s="10">
        <v>12</v>
      </c>
      <c r="GG14" s="10">
        <v>0</v>
      </c>
      <c r="GH14" s="10">
        <v>729542</v>
      </c>
      <c r="GI14" s="10">
        <v>87545</v>
      </c>
      <c r="GJ14" s="10">
        <v>13</v>
      </c>
      <c r="GK14" s="10">
        <v>0</v>
      </c>
      <c r="GL14" s="10">
        <v>765292</v>
      </c>
      <c r="GM14" s="10">
        <v>91835</v>
      </c>
      <c r="GN14" s="10">
        <v>8</v>
      </c>
      <c r="GO14" s="10">
        <v>0</v>
      </c>
      <c r="GP14" s="10">
        <v>388850</v>
      </c>
      <c r="GQ14" s="10">
        <v>46662</v>
      </c>
      <c r="GR14" s="21">
        <v>65</v>
      </c>
      <c r="GS14" s="21">
        <v>0</v>
      </c>
      <c r="GT14" s="21">
        <v>3890502</v>
      </c>
      <c r="GU14" s="21">
        <v>466860.2</v>
      </c>
      <c r="GV14" s="10">
        <v>8</v>
      </c>
      <c r="GW14" s="10">
        <v>0</v>
      </c>
      <c r="GX14" s="10">
        <v>435600</v>
      </c>
      <c r="GY14" s="10">
        <v>52272</v>
      </c>
      <c r="GZ14" s="10">
        <v>10</v>
      </c>
      <c r="HA14" s="10">
        <v>0</v>
      </c>
      <c r="HB14" s="10">
        <v>691284</v>
      </c>
      <c r="HC14" s="10">
        <v>82954.100000000006</v>
      </c>
      <c r="HD14" s="10">
        <v>9</v>
      </c>
      <c r="HE14" s="10">
        <v>0</v>
      </c>
      <c r="HF14" s="10">
        <v>447700</v>
      </c>
      <c r="HG14" s="10">
        <v>53724</v>
      </c>
      <c r="HH14" s="10">
        <v>5</v>
      </c>
      <c r="HI14" s="10">
        <v>0</v>
      </c>
      <c r="HJ14" s="10">
        <v>250250</v>
      </c>
      <c r="HK14" s="10">
        <v>30030</v>
      </c>
      <c r="HL14" s="21">
        <v>32</v>
      </c>
      <c r="HM14" s="21">
        <v>0</v>
      </c>
      <c r="HN14" s="21">
        <v>1824834</v>
      </c>
      <c r="HO14" s="21">
        <v>218980.1</v>
      </c>
      <c r="HP14" s="10">
        <v>0</v>
      </c>
      <c r="HQ14" s="10">
        <v>0</v>
      </c>
      <c r="HR14" s="10">
        <v>0</v>
      </c>
      <c r="HS14" s="10">
        <v>0</v>
      </c>
      <c r="HT14" s="10">
        <v>10</v>
      </c>
      <c r="HU14" s="10">
        <v>0</v>
      </c>
      <c r="HV14" s="10">
        <v>611842</v>
      </c>
      <c r="HW14" s="10">
        <v>73421</v>
      </c>
      <c r="HX14" s="10">
        <v>11</v>
      </c>
      <c r="HY14" s="10">
        <v>0</v>
      </c>
      <c r="HZ14" s="10">
        <v>660242</v>
      </c>
      <c r="IA14" s="10">
        <v>79229</v>
      </c>
      <c r="IB14" s="10">
        <v>9</v>
      </c>
      <c r="IC14" s="10">
        <v>0</v>
      </c>
      <c r="ID14" s="10">
        <v>484000</v>
      </c>
      <c r="IE14" s="10">
        <v>58080</v>
      </c>
      <c r="IF14" s="21">
        <v>30</v>
      </c>
      <c r="IG14" s="21">
        <v>0</v>
      </c>
      <c r="IH14" s="21">
        <v>1756084</v>
      </c>
      <c r="II14" s="21">
        <v>210730.1</v>
      </c>
      <c r="IJ14" s="10">
        <v>8</v>
      </c>
      <c r="IK14" s="10">
        <v>0</v>
      </c>
      <c r="IL14" s="10">
        <v>470492</v>
      </c>
      <c r="IM14" s="10">
        <v>56459</v>
      </c>
      <c r="IN14" s="10">
        <v>5</v>
      </c>
      <c r="IO14" s="10">
        <v>0</v>
      </c>
      <c r="IP14" s="10">
        <v>329692</v>
      </c>
      <c r="IQ14" s="10">
        <v>39563</v>
      </c>
      <c r="IR14" s="10">
        <v>11</v>
      </c>
      <c r="IS14" s="10">
        <v>0</v>
      </c>
      <c r="IT14" s="10">
        <v>593450</v>
      </c>
      <c r="IU14" s="10">
        <v>71214</v>
      </c>
      <c r="IV14" s="10">
        <v>0</v>
      </c>
      <c r="IW14" s="10">
        <v>0</v>
      </c>
      <c r="IX14" s="10">
        <v>0</v>
      </c>
      <c r="IY14" s="10">
        <v>0</v>
      </c>
      <c r="IZ14" s="10">
        <v>4</v>
      </c>
      <c r="JA14" s="10">
        <v>0</v>
      </c>
      <c r="JB14" s="10">
        <v>189200</v>
      </c>
      <c r="JC14" s="10">
        <v>22704</v>
      </c>
      <c r="JD14" s="21">
        <v>28</v>
      </c>
      <c r="JE14" s="21">
        <v>0</v>
      </c>
      <c r="JF14" s="21">
        <v>1582834</v>
      </c>
      <c r="JG14" s="21">
        <v>189940.1</v>
      </c>
      <c r="JH14" s="10">
        <v>12</v>
      </c>
      <c r="JI14" s="10">
        <v>0</v>
      </c>
      <c r="JJ14" s="10">
        <v>719092</v>
      </c>
      <c r="JK14" s="10">
        <v>86291</v>
      </c>
      <c r="JL14" s="10">
        <v>7</v>
      </c>
      <c r="JM14" s="10">
        <v>0</v>
      </c>
      <c r="JN14" s="10">
        <v>376750</v>
      </c>
      <c r="JO14" s="10">
        <v>45210</v>
      </c>
      <c r="JP14" s="10">
        <v>9</v>
      </c>
      <c r="JQ14" s="10">
        <v>0</v>
      </c>
      <c r="JR14" s="10">
        <v>531542</v>
      </c>
      <c r="JS14" s="10">
        <v>63785</v>
      </c>
      <c r="JT14" s="10">
        <v>4</v>
      </c>
      <c r="JU14" s="10">
        <v>0</v>
      </c>
      <c r="JV14" s="10">
        <v>201850</v>
      </c>
      <c r="JW14" s="10">
        <v>24222</v>
      </c>
      <c r="JX14" s="21">
        <v>32</v>
      </c>
      <c r="JY14" s="21">
        <v>0</v>
      </c>
      <c r="JZ14" s="21">
        <v>1829234</v>
      </c>
      <c r="KA14" s="21">
        <v>219508.1</v>
      </c>
      <c r="KB14" s="10">
        <v>0</v>
      </c>
      <c r="KC14" s="10">
        <v>0</v>
      </c>
      <c r="KD14" s="10">
        <v>0</v>
      </c>
      <c r="KE14" s="10">
        <v>0</v>
      </c>
      <c r="KF14" s="10">
        <v>0</v>
      </c>
      <c r="KG14" s="10">
        <v>0</v>
      </c>
      <c r="KH14" s="10">
        <v>0</v>
      </c>
      <c r="KI14" s="10">
        <v>0</v>
      </c>
      <c r="KJ14" s="10">
        <v>0</v>
      </c>
      <c r="KK14" s="10">
        <v>0</v>
      </c>
      <c r="KL14" s="10">
        <v>0</v>
      </c>
      <c r="KM14" s="10">
        <v>0</v>
      </c>
      <c r="KN14" s="10">
        <v>8</v>
      </c>
      <c r="KO14" s="10">
        <v>0</v>
      </c>
      <c r="KP14" s="10">
        <v>485342</v>
      </c>
      <c r="KQ14" s="10">
        <v>58241</v>
      </c>
      <c r="KR14" s="21">
        <v>8</v>
      </c>
      <c r="KS14" s="21">
        <v>0</v>
      </c>
      <c r="KT14" s="21">
        <v>485342</v>
      </c>
      <c r="KU14" s="21">
        <v>58241</v>
      </c>
      <c r="KV14" s="21">
        <v>686</v>
      </c>
      <c r="KW14" s="21">
        <v>0</v>
      </c>
      <c r="KX14" s="21">
        <v>41062912</v>
      </c>
      <c r="KY14" s="21">
        <v>4927549.4000000004</v>
      </c>
    </row>
    <row r="15" spans="1:311" ht="16.95" customHeight="1" x14ac:dyDescent="0.4">
      <c r="A15" s="11"/>
      <c r="B15" s="11"/>
      <c r="C15" s="11" t="s">
        <v>32</v>
      </c>
      <c r="D15" s="9">
        <v>0</v>
      </c>
      <c r="E15" s="9">
        <v>0</v>
      </c>
      <c r="F15" s="9">
        <v>0</v>
      </c>
      <c r="G15" s="9">
        <v>0</v>
      </c>
      <c r="H15" s="22">
        <v>0</v>
      </c>
      <c r="I15" s="22"/>
      <c r="J15" s="22">
        <v>0</v>
      </c>
      <c r="K15" s="22">
        <v>0</v>
      </c>
      <c r="L15" s="9">
        <v>3</v>
      </c>
      <c r="M15" s="9">
        <v>48400</v>
      </c>
      <c r="N15" s="9">
        <v>145200</v>
      </c>
      <c r="O15" s="9">
        <v>17424</v>
      </c>
      <c r="P15" s="9">
        <v>2</v>
      </c>
      <c r="Q15" s="9">
        <v>48400</v>
      </c>
      <c r="R15" s="9">
        <v>96800</v>
      </c>
      <c r="S15" s="9">
        <v>11616</v>
      </c>
      <c r="T15" s="9">
        <v>0</v>
      </c>
      <c r="U15" s="9">
        <v>0</v>
      </c>
      <c r="V15" s="9">
        <v>0</v>
      </c>
      <c r="W15" s="9">
        <v>0</v>
      </c>
      <c r="X15" s="9">
        <v>1</v>
      </c>
      <c r="Y15" s="9">
        <v>48400</v>
      </c>
      <c r="Z15" s="9">
        <v>48400</v>
      </c>
      <c r="AA15" s="9">
        <v>5808</v>
      </c>
      <c r="AB15" s="22">
        <v>6</v>
      </c>
      <c r="AC15" s="22"/>
      <c r="AD15" s="22">
        <v>290400</v>
      </c>
      <c r="AE15" s="22">
        <v>34848</v>
      </c>
      <c r="AF15" s="9">
        <v>1</v>
      </c>
      <c r="AG15" s="9">
        <v>48400</v>
      </c>
      <c r="AH15" s="9">
        <v>48400</v>
      </c>
      <c r="AI15" s="9">
        <v>5808</v>
      </c>
      <c r="AJ15" s="9">
        <v>2</v>
      </c>
      <c r="AK15" s="9">
        <v>48400</v>
      </c>
      <c r="AL15" s="9">
        <v>96800</v>
      </c>
      <c r="AM15" s="9">
        <v>11616</v>
      </c>
      <c r="AN15" s="9">
        <v>1</v>
      </c>
      <c r="AO15" s="9">
        <v>48400</v>
      </c>
      <c r="AP15" s="9">
        <v>48400</v>
      </c>
      <c r="AQ15" s="9">
        <v>5808</v>
      </c>
      <c r="AR15" s="9">
        <v>1</v>
      </c>
      <c r="AS15" s="9">
        <v>48400</v>
      </c>
      <c r="AT15" s="9">
        <v>48400</v>
      </c>
      <c r="AU15" s="9">
        <v>5808</v>
      </c>
      <c r="AV15" s="22">
        <v>5</v>
      </c>
      <c r="AW15" s="22"/>
      <c r="AX15" s="22">
        <v>242000</v>
      </c>
      <c r="AY15" s="22">
        <v>29040</v>
      </c>
      <c r="AZ15" s="9">
        <v>2</v>
      </c>
      <c r="BA15" s="9">
        <v>48400</v>
      </c>
      <c r="BB15" s="9">
        <v>96800</v>
      </c>
      <c r="BC15" s="9">
        <v>11616</v>
      </c>
      <c r="BD15" s="9">
        <v>0</v>
      </c>
      <c r="BE15" s="9">
        <v>0</v>
      </c>
      <c r="BF15" s="9">
        <v>0</v>
      </c>
      <c r="BG15" s="9">
        <v>0</v>
      </c>
      <c r="BH15" s="9">
        <v>2</v>
      </c>
      <c r="BI15" s="9">
        <v>48400</v>
      </c>
      <c r="BJ15" s="9">
        <v>96800</v>
      </c>
      <c r="BK15" s="9">
        <v>11616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22">
        <v>4</v>
      </c>
      <c r="BU15" s="22"/>
      <c r="BV15" s="22">
        <v>193600</v>
      </c>
      <c r="BW15" s="22">
        <v>23232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22">
        <v>0</v>
      </c>
      <c r="CO15" s="22"/>
      <c r="CP15" s="22">
        <v>0</v>
      </c>
      <c r="CQ15" s="22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22">
        <v>0</v>
      </c>
      <c r="DI15" s="22"/>
      <c r="DJ15" s="22">
        <v>0</v>
      </c>
      <c r="DK15" s="22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22">
        <v>0</v>
      </c>
      <c r="EG15" s="22"/>
      <c r="EH15" s="22">
        <v>0</v>
      </c>
      <c r="EI15" s="22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22">
        <v>0</v>
      </c>
      <c r="FA15" s="22"/>
      <c r="FB15" s="22">
        <v>0</v>
      </c>
      <c r="FC15" s="22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22">
        <v>0</v>
      </c>
      <c r="FU15" s="22"/>
      <c r="FV15" s="22">
        <v>0</v>
      </c>
      <c r="FW15" s="22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9">
        <v>2</v>
      </c>
      <c r="GK15" s="9">
        <v>48400</v>
      </c>
      <c r="GL15" s="9">
        <v>96800</v>
      </c>
      <c r="GM15" s="9">
        <v>11616</v>
      </c>
      <c r="GN15" s="9">
        <v>2</v>
      </c>
      <c r="GO15" s="9">
        <v>48400</v>
      </c>
      <c r="GP15" s="9">
        <v>96800</v>
      </c>
      <c r="GQ15" s="9">
        <v>11616</v>
      </c>
      <c r="GR15" s="22">
        <v>4</v>
      </c>
      <c r="GS15" s="22"/>
      <c r="GT15" s="22">
        <v>193600</v>
      </c>
      <c r="GU15" s="22">
        <v>23232</v>
      </c>
      <c r="GV15" s="9">
        <v>1</v>
      </c>
      <c r="GW15" s="9">
        <v>48400</v>
      </c>
      <c r="GX15" s="9">
        <v>48400</v>
      </c>
      <c r="GY15" s="9">
        <v>5808</v>
      </c>
      <c r="GZ15" s="9">
        <v>1</v>
      </c>
      <c r="HA15" s="9">
        <v>48400</v>
      </c>
      <c r="HB15" s="9">
        <v>48400</v>
      </c>
      <c r="HC15" s="9">
        <v>5808</v>
      </c>
      <c r="HD15" s="9">
        <v>1</v>
      </c>
      <c r="HE15" s="9">
        <v>48400</v>
      </c>
      <c r="HF15" s="9">
        <v>48400</v>
      </c>
      <c r="HG15" s="9">
        <v>5808</v>
      </c>
      <c r="HH15" s="9">
        <v>2</v>
      </c>
      <c r="HI15" s="9">
        <v>48400</v>
      </c>
      <c r="HJ15" s="9">
        <v>96800</v>
      </c>
      <c r="HK15" s="9">
        <v>11616</v>
      </c>
      <c r="HL15" s="22">
        <v>5</v>
      </c>
      <c r="HM15" s="22"/>
      <c r="HN15" s="22">
        <v>242000</v>
      </c>
      <c r="HO15" s="22">
        <v>29040</v>
      </c>
      <c r="HP15" s="9">
        <v>0</v>
      </c>
      <c r="HQ15" s="9">
        <v>0</v>
      </c>
      <c r="HR15" s="9">
        <v>0</v>
      </c>
      <c r="HS15" s="9">
        <v>0</v>
      </c>
      <c r="HT15" s="9">
        <v>2</v>
      </c>
      <c r="HU15" s="9">
        <v>48400</v>
      </c>
      <c r="HV15" s="9">
        <v>96800</v>
      </c>
      <c r="HW15" s="9">
        <v>11616</v>
      </c>
      <c r="HX15" s="9">
        <v>3</v>
      </c>
      <c r="HY15" s="9">
        <v>48400</v>
      </c>
      <c r="HZ15" s="9">
        <v>145200</v>
      </c>
      <c r="IA15" s="9">
        <v>17424</v>
      </c>
      <c r="IB15" s="9">
        <v>2</v>
      </c>
      <c r="IC15" s="9">
        <v>48400</v>
      </c>
      <c r="ID15" s="9">
        <v>96800</v>
      </c>
      <c r="IE15" s="9">
        <v>11616</v>
      </c>
      <c r="IF15" s="22">
        <v>7</v>
      </c>
      <c r="IG15" s="22"/>
      <c r="IH15" s="22">
        <v>338800</v>
      </c>
      <c r="II15" s="22">
        <v>40656</v>
      </c>
      <c r="IJ15" s="9">
        <v>2</v>
      </c>
      <c r="IK15" s="9">
        <v>48400</v>
      </c>
      <c r="IL15" s="9">
        <v>96800</v>
      </c>
      <c r="IM15" s="9">
        <v>11616</v>
      </c>
      <c r="IN15" s="9">
        <v>1</v>
      </c>
      <c r="IO15" s="9">
        <v>48400</v>
      </c>
      <c r="IP15" s="9">
        <v>48400</v>
      </c>
      <c r="IQ15" s="9">
        <v>5808</v>
      </c>
      <c r="IR15" s="9">
        <v>3</v>
      </c>
      <c r="IS15" s="9">
        <v>48400</v>
      </c>
      <c r="IT15" s="9">
        <v>145200</v>
      </c>
      <c r="IU15" s="9">
        <v>17424</v>
      </c>
      <c r="IV15" s="9">
        <v>0</v>
      </c>
      <c r="IW15" s="9">
        <v>0</v>
      </c>
      <c r="IX15" s="9">
        <v>0</v>
      </c>
      <c r="IY15" s="9">
        <v>0</v>
      </c>
      <c r="IZ15" s="9">
        <v>2</v>
      </c>
      <c r="JA15" s="9">
        <v>48400</v>
      </c>
      <c r="JB15" s="9">
        <v>96800</v>
      </c>
      <c r="JC15" s="9">
        <v>11616</v>
      </c>
      <c r="JD15" s="22">
        <v>8</v>
      </c>
      <c r="JE15" s="22"/>
      <c r="JF15" s="22">
        <v>387200</v>
      </c>
      <c r="JG15" s="22">
        <v>46464</v>
      </c>
      <c r="JH15" s="9">
        <v>2</v>
      </c>
      <c r="JI15" s="9">
        <v>48400</v>
      </c>
      <c r="JJ15" s="9">
        <v>96800</v>
      </c>
      <c r="JK15" s="9">
        <v>11616</v>
      </c>
      <c r="JL15" s="9">
        <v>2</v>
      </c>
      <c r="JM15" s="9">
        <v>48400</v>
      </c>
      <c r="JN15" s="9">
        <v>96800</v>
      </c>
      <c r="JO15" s="9">
        <v>11616</v>
      </c>
      <c r="JP15" s="9">
        <v>2</v>
      </c>
      <c r="JQ15" s="9">
        <v>48400</v>
      </c>
      <c r="JR15" s="9">
        <v>96800</v>
      </c>
      <c r="JS15" s="9">
        <v>11616</v>
      </c>
      <c r="JT15" s="9">
        <v>1</v>
      </c>
      <c r="JU15" s="9">
        <v>48400</v>
      </c>
      <c r="JV15" s="9">
        <v>48400</v>
      </c>
      <c r="JW15" s="9">
        <v>5808</v>
      </c>
      <c r="JX15" s="22">
        <v>7</v>
      </c>
      <c r="JY15" s="22"/>
      <c r="JZ15" s="22">
        <v>338800</v>
      </c>
      <c r="KA15" s="22">
        <v>40656</v>
      </c>
      <c r="KB15" s="9">
        <v>0</v>
      </c>
      <c r="KC15" s="9">
        <v>0</v>
      </c>
      <c r="KD15" s="9">
        <v>0</v>
      </c>
      <c r="KE15" s="9">
        <v>0</v>
      </c>
      <c r="KF15" s="9">
        <v>0</v>
      </c>
      <c r="KG15" s="9">
        <v>0</v>
      </c>
      <c r="KH15" s="9">
        <v>0</v>
      </c>
      <c r="KI15" s="9">
        <v>0</v>
      </c>
      <c r="KJ15" s="9">
        <v>0</v>
      </c>
      <c r="KK15" s="9">
        <v>0</v>
      </c>
      <c r="KL15" s="9">
        <v>0</v>
      </c>
      <c r="KM15" s="9">
        <v>0</v>
      </c>
      <c r="KN15" s="9">
        <v>2</v>
      </c>
      <c r="KO15" s="9">
        <v>48400</v>
      </c>
      <c r="KP15" s="9">
        <v>96800</v>
      </c>
      <c r="KQ15" s="9">
        <v>11616</v>
      </c>
      <c r="KR15" s="22">
        <v>2</v>
      </c>
      <c r="KS15" s="22"/>
      <c r="KT15" s="22">
        <v>96800</v>
      </c>
      <c r="KU15" s="22">
        <v>11616</v>
      </c>
      <c r="KV15" s="22">
        <v>48</v>
      </c>
      <c r="KW15" s="22"/>
      <c r="KX15" s="22">
        <v>2323200</v>
      </c>
      <c r="KY15" s="22">
        <v>278784</v>
      </c>
    </row>
    <row r="16" spans="1:311" ht="16.95" customHeight="1" x14ac:dyDescent="0.4">
      <c r="A16" s="15"/>
      <c r="B16" s="15"/>
      <c r="C16" s="15" t="s">
        <v>13</v>
      </c>
      <c r="D16" s="16">
        <v>0</v>
      </c>
      <c r="E16" s="16">
        <v>0</v>
      </c>
      <c r="F16" s="16">
        <v>0</v>
      </c>
      <c r="G16" s="16">
        <v>0</v>
      </c>
      <c r="H16" s="23">
        <v>0</v>
      </c>
      <c r="I16" s="23"/>
      <c r="J16" s="23">
        <v>0</v>
      </c>
      <c r="K16" s="23">
        <v>0</v>
      </c>
      <c r="L16" s="16">
        <v>4</v>
      </c>
      <c r="M16" s="16">
        <v>46200</v>
      </c>
      <c r="N16" s="16">
        <v>184800</v>
      </c>
      <c r="O16" s="16">
        <v>22176</v>
      </c>
      <c r="P16" s="16">
        <v>4</v>
      </c>
      <c r="Q16" s="16">
        <v>46200</v>
      </c>
      <c r="R16" s="16">
        <v>184800</v>
      </c>
      <c r="S16" s="16">
        <v>22176</v>
      </c>
      <c r="T16" s="16">
        <v>0</v>
      </c>
      <c r="U16" s="16">
        <v>0</v>
      </c>
      <c r="V16" s="16">
        <v>0</v>
      </c>
      <c r="W16" s="16">
        <v>0</v>
      </c>
      <c r="X16" s="16">
        <v>4</v>
      </c>
      <c r="Y16" s="16">
        <v>46200</v>
      </c>
      <c r="Z16" s="16">
        <v>184800</v>
      </c>
      <c r="AA16" s="16">
        <v>22176</v>
      </c>
      <c r="AB16" s="23">
        <v>12</v>
      </c>
      <c r="AC16" s="23"/>
      <c r="AD16" s="23">
        <v>554400</v>
      </c>
      <c r="AE16" s="23">
        <v>66528</v>
      </c>
      <c r="AF16" s="16">
        <v>4</v>
      </c>
      <c r="AG16" s="16">
        <v>46200</v>
      </c>
      <c r="AH16" s="16">
        <v>184800</v>
      </c>
      <c r="AI16" s="16">
        <v>22176</v>
      </c>
      <c r="AJ16" s="16">
        <v>4</v>
      </c>
      <c r="AK16" s="16">
        <v>46200</v>
      </c>
      <c r="AL16" s="16">
        <v>184800</v>
      </c>
      <c r="AM16" s="16">
        <v>22176</v>
      </c>
      <c r="AN16" s="16">
        <v>4</v>
      </c>
      <c r="AO16" s="16">
        <v>46200</v>
      </c>
      <c r="AP16" s="16">
        <v>184800</v>
      </c>
      <c r="AQ16" s="16">
        <v>22176</v>
      </c>
      <c r="AR16" s="16">
        <v>4</v>
      </c>
      <c r="AS16" s="16">
        <v>46200</v>
      </c>
      <c r="AT16" s="16">
        <v>184800</v>
      </c>
      <c r="AU16" s="16">
        <v>22176</v>
      </c>
      <c r="AV16" s="23">
        <v>16</v>
      </c>
      <c r="AW16" s="23"/>
      <c r="AX16" s="23">
        <v>739200</v>
      </c>
      <c r="AY16" s="23">
        <v>88704</v>
      </c>
      <c r="AZ16" s="16">
        <v>2</v>
      </c>
      <c r="BA16" s="16">
        <v>46200</v>
      </c>
      <c r="BB16" s="16">
        <v>92400</v>
      </c>
      <c r="BC16" s="16">
        <v>11088</v>
      </c>
      <c r="BD16" s="16">
        <v>0</v>
      </c>
      <c r="BE16" s="16">
        <v>0</v>
      </c>
      <c r="BF16" s="16">
        <v>0</v>
      </c>
      <c r="BG16" s="16">
        <v>0</v>
      </c>
      <c r="BH16" s="16">
        <v>2</v>
      </c>
      <c r="BI16" s="16">
        <v>46200</v>
      </c>
      <c r="BJ16" s="16">
        <v>92400</v>
      </c>
      <c r="BK16" s="16">
        <v>11088</v>
      </c>
      <c r="BL16" s="16">
        <v>10</v>
      </c>
      <c r="BM16" s="16">
        <v>46200</v>
      </c>
      <c r="BN16" s="16">
        <v>462000</v>
      </c>
      <c r="BO16" s="16">
        <v>55440</v>
      </c>
      <c r="BP16" s="16">
        <v>7</v>
      </c>
      <c r="BQ16" s="16">
        <v>46200</v>
      </c>
      <c r="BR16" s="16">
        <v>323400</v>
      </c>
      <c r="BS16" s="16">
        <v>38808</v>
      </c>
      <c r="BT16" s="23">
        <v>21</v>
      </c>
      <c r="BU16" s="23"/>
      <c r="BV16" s="23">
        <v>970200</v>
      </c>
      <c r="BW16" s="23">
        <v>116424</v>
      </c>
      <c r="BX16" s="16">
        <v>8</v>
      </c>
      <c r="BY16" s="16">
        <v>46200</v>
      </c>
      <c r="BZ16" s="16">
        <v>369600</v>
      </c>
      <c r="CA16" s="16">
        <v>44352</v>
      </c>
      <c r="CB16" s="16">
        <v>6</v>
      </c>
      <c r="CC16" s="16">
        <v>46200</v>
      </c>
      <c r="CD16" s="16">
        <v>277200</v>
      </c>
      <c r="CE16" s="16">
        <v>33264</v>
      </c>
      <c r="CF16" s="16">
        <v>12</v>
      </c>
      <c r="CG16" s="16">
        <v>46200</v>
      </c>
      <c r="CH16" s="16">
        <v>554400</v>
      </c>
      <c r="CI16" s="16">
        <v>66528</v>
      </c>
      <c r="CJ16" s="16">
        <v>8</v>
      </c>
      <c r="CK16" s="16">
        <v>46200</v>
      </c>
      <c r="CL16" s="16">
        <v>369600</v>
      </c>
      <c r="CM16" s="16">
        <v>44352</v>
      </c>
      <c r="CN16" s="23">
        <v>34</v>
      </c>
      <c r="CO16" s="23"/>
      <c r="CP16" s="23">
        <v>1570800</v>
      </c>
      <c r="CQ16" s="23">
        <v>188496</v>
      </c>
      <c r="CR16" s="16">
        <v>6</v>
      </c>
      <c r="CS16" s="16">
        <v>46200</v>
      </c>
      <c r="CT16" s="16">
        <v>277200</v>
      </c>
      <c r="CU16" s="16">
        <v>33264</v>
      </c>
      <c r="CV16" s="16">
        <v>9</v>
      </c>
      <c r="CW16" s="16">
        <v>46200</v>
      </c>
      <c r="CX16" s="16">
        <v>415800</v>
      </c>
      <c r="CY16" s="16">
        <v>49896</v>
      </c>
      <c r="CZ16" s="16">
        <v>9</v>
      </c>
      <c r="DA16" s="16">
        <v>46200</v>
      </c>
      <c r="DB16" s="16">
        <v>415800</v>
      </c>
      <c r="DC16" s="16">
        <v>49896</v>
      </c>
      <c r="DD16" s="16">
        <v>8</v>
      </c>
      <c r="DE16" s="16">
        <v>46200</v>
      </c>
      <c r="DF16" s="16">
        <v>369600</v>
      </c>
      <c r="DG16" s="16">
        <v>44352</v>
      </c>
      <c r="DH16" s="23">
        <v>32</v>
      </c>
      <c r="DI16" s="23"/>
      <c r="DJ16" s="23">
        <v>1478400</v>
      </c>
      <c r="DK16" s="23">
        <v>177408</v>
      </c>
      <c r="DL16" s="16">
        <v>8</v>
      </c>
      <c r="DM16" s="16">
        <v>46200</v>
      </c>
      <c r="DN16" s="16">
        <v>369600</v>
      </c>
      <c r="DO16" s="16">
        <v>44352</v>
      </c>
      <c r="DP16" s="16">
        <v>14</v>
      </c>
      <c r="DQ16" s="16">
        <v>46200</v>
      </c>
      <c r="DR16" s="16">
        <v>646800</v>
      </c>
      <c r="DS16" s="16">
        <v>77616</v>
      </c>
      <c r="DT16" s="16">
        <v>8</v>
      </c>
      <c r="DU16" s="16">
        <v>46200</v>
      </c>
      <c r="DV16" s="16">
        <v>369600</v>
      </c>
      <c r="DW16" s="16">
        <v>44352</v>
      </c>
      <c r="DX16" s="16">
        <v>13</v>
      </c>
      <c r="DY16" s="16">
        <v>46200</v>
      </c>
      <c r="DZ16" s="16">
        <v>600600</v>
      </c>
      <c r="EA16" s="16">
        <v>72072</v>
      </c>
      <c r="EB16" s="16">
        <v>14</v>
      </c>
      <c r="EC16" s="16">
        <v>46200</v>
      </c>
      <c r="ED16" s="16">
        <v>646800</v>
      </c>
      <c r="EE16" s="16">
        <v>77616</v>
      </c>
      <c r="EF16" s="23">
        <v>57</v>
      </c>
      <c r="EG16" s="23"/>
      <c r="EH16" s="23">
        <v>2633400</v>
      </c>
      <c r="EI16" s="23">
        <v>316008</v>
      </c>
      <c r="EJ16" s="16">
        <v>18</v>
      </c>
      <c r="EK16" s="16">
        <v>46200</v>
      </c>
      <c r="EL16" s="16">
        <v>831600</v>
      </c>
      <c r="EM16" s="16">
        <v>99792</v>
      </c>
      <c r="EN16" s="16">
        <v>4</v>
      </c>
      <c r="EO16" s="16">
        <v>46200</v>
      </c>
      <c r="EP16" s="16">
        <v>184800</v>
      </c>
      <c r="EQ16" s="16">
        <v>22176</v>
      </c>
      <c r="ER16" s="16">
        <v>12</v>
      </c>
      <c r="ES16" s="16">
        <v>46200</v>
      </c>
      <c r="ET16" s="16">
        <v>554400</v>
      </c>
      <c r="EU16" s="16">
        <v>66528</v>
      </c>
      <c r="EV16" s="16">
        <v>19</v>
      </c>
      <c r="EW16" s="16">
        <v>46200</v>
      </c>
      <c r="EX16" s="16">
        <v>877800</v>
      </c>
      <c r="EY16" s="16">
        <v>105336</v>
      </c>
      <c r="EZ16" s="23">
        <v>53</v>
      </c>
      <c r="FA16" s="23"/>
      <c r="FB16" s="23">
        <v>2448600</v>
      </c>
      <c r="FC16" s="23">
        <v>293832</v>
      </c>
      <c r="FD16" s="16">
        <v>10</v>
      </c>
      <c r="FE16" s="16">
        <v>46200</v>
      </c>
      <c r="FF16" s="16">
        <v>462000</v>
      </c>
      <c r="FG16" s="16">
        <v>55440</v>
      </c>
      <c r="FH16" s="16">
        <v>6</v>
      </c>
      <c r="FI16" s="16">
        <v>46200</v>
      </c>
      <c r="FJ16" s="16">
        <v>277200</v>
      </c>
      <c r="FK16" s="16">
        <v>33264</v>
      </c>
      <c r="FL16" s="16">
        <v>8</v>
      </c>
      <c r="FM16" s="16">
        <v>46200</v>
      </c>
      <c r="FN16" s="16">
        <v>369600</v>
      </c>
      <c r="FO16" s="16">
        <v>44352</v>
      </c>
      <c r="FP16" s="16">
        <v>13</v>
      </c>
      <c r="FQ16" s="16">
        <v>46200</v>
      </c>
      <c r="FR16" s="16">
        <v>600600</v>
      </c>
      <c r="FS16" s="16">
        <v>72072</v>
      </c>
      <c r="FT16" s="23">
        <v>37</v>
      </c>
      <c r="FU16" s="23"/>
      <c r="FV16" s="23">
        <v>1709400</v>
      </c>
      <c r="FW16" s="23">
        <v>205128</v>
      </c>
      <c r="FX16" s="16">
        <v>12</v>
      </c>
      <c r="FY16" s="16">
        <v>46200</v>
      </c>
      <c r="FZ16" s="16">
        <v>554400</v>
      </c>
      <c r="GA16" s="16">
        <v>66528</v>
      </c>
      <c r="GB16" s="16">
        <v>5</v>
      </c>
      <c r="GC16" s="16">
        <v>46200</v>
      </c>
      <c r="GD16" s="16">
        <v>231000</v>
      </c>
      <c r="GE16" s="16">
        <v>27720</v>
      </c>
      <c r="GF16" s="16">
        <v>6</v>
      </c>
      <c r="GG16" s="16">
        <v>46200</v>
      </c>
      <c r="GH16" s="16">
        <v>277200</v>
      </c>
      <c r="GI16" s="16">
        <v>33264</v>
      </c>
      <c r="GJ16" s="16">
        <v>6</v>
      </c>
      <c r="GK16" s="16">
        <v>46200</v>
      </c>
      <c r="GL16" s="16">
        <v>277200</v>
      </c>
      <c r="GM16" s="16">
        <v>33264</v>
      </c>
      <c r="GN16" s="16">
        <v>5</v>
      </c>
      <c r="GO16" s="16">
        <v>46200</v>
      </c>
      <c r="GP16" s="16">
        <v>231000</v>
      </c>
      <c r="GQ16" s="16">
        <v>27720</v>
      </c>
      <c r="GR16" s="23">
        <v>34</v>
      </c>
      <c r="GS16" s="23"/>
      <c r="GT16" s="23">
        <v>1570800</v>
      </c>
      <c r="GU16" s="23">
        <v>188496</v>
      </c>
      <c r="GV16" s="16">
        <v>4</v>
      </c>
      <c r="GW16" s="16">
        <v>46200</v>
      </c>
      <c r="GX16" s="16">
        <v>184800</v>
      </c>
      <c r="GY16" s="16">
        <v>22176</v>
      </c>
      <c r="GZ16" s="16">
        <v>4</v>
      </c>
      <c r="HA16" s="16">
        <v>46200</v>
      </c>
      <c r="HB16" s="16">
        <v>184800</v>
      </c>
      <c r="HC16" s="16">
        <v>22176</v>
      </c>
      <c r="HD16" s="16">
        <v>6</v>
      </c>
      <c r="HE16" s="16">
        <v>46200</v>
      </c>
      <c r="HF16" s="16">
        <v>277200</v>
      </c>
      <c r="HG16" s="16">
        <v>33264</v>
      </c>
      <c r="HH16" s="16">
        <v>2</v>
      </c>
      <c r="HI16" s="16">
        <v>46200</v>
      </c>
      <c r="HJ16" s="16">
        <v>92400</v>
      </c>
      <c r="HK16" s="16">
        <v>11088</v>
      </c>
      <c r="HL16" s="23">
        <v>16</v>
      </c>
      <c r="HM16" s="23"/>
      <c r="HN16" s="23">
        <v>739200</v>
      </c>
      <c r="HO16" s="23">
        <v>88704</v>
      </c>
      <c r="HP16" s="16">
        <v>0</v>
      </c>
      <c r="HQ16" s="16">
        <v>0</v>
      </c>
      <c r="HR16" s="16">
        <v>0</v>
      </c>
      <c r="HS16" s="16">
        <v>0</v>
      </c>
      <c r="HT16" s="16">
        <v>4</v>
      </c>
      <c r="HU16" s="16">
        <v>46200</v>
      </c>
      <c r="HV16" s="16">
        <v>184800</v>
      </c>
      <c r="HW16" s="16">
        <v>22176</v>
      </c>
      <c r="HX16" s="16">
        <v>4</v>
      </c>
      <c r="HY16" s="16">
        <v>46200</v>
      </c>
      <c r="HZ16" s="16">
        <v>184800</v>
      </c>
      <c r="IA16" s="16">
        <v>22176</v>
      </c>
      <c r="IB16" s="16">
        <v>4</v>
      </c>
      <c r="IC16" s="16">
        <v>46200</v>
      </c>
      <c r="ID16" s="16">
        <v>184800</v>
      </c>
      <c r="IE16" s="16">
        <v>22176</v>
      </c>
      <c r="IF16" s="23">
        <v>12</v>
      </c>
      <c r="IG16" s="23"/>
      <c r="IH16" s="23">
        <v>554400</v>
      </c>
      <c r="II16" s="23">
        <v>66528</v>
      </c>
      <c r="IJ16" s="16">
        <v>4</v>
      </c>
      <c r="IK16" s="16">
        <v>46200</v>
      </c>
      <c r="IL16" s="16">
        <v>184800</v>
      </c>
      <c r="IM16" s="16">
        <v>22176</v>
      </c>
      <c r="IN16" s="16">
        <v>2</v>
      </c>
      <c r="IO16" s="16">
        <v>46200</v>
      </c>
      <c r="IP16" s="16">
        <v>92400</v>
      </c>
      <c r="IQ16" s="16">
        <v>11088</v>
      </c>
      <c r="IR16" s="16">
        <v>4</v>
      </c>
      <c r="IS16" s="16">
        <v>46200</v>
      </c>
      <c r="IT16" s="16">
        <v>184800</v>
      </c>
      <c r="IU16" s="16">
        <v>22176</v>
      </c>
      <c r="IV16" s="16">
        <v>0</v>
      </c>
      <c r="IW16" s="16">
        <v>0</v>
      </c>
      <c r="IX16" s="16">
        <v>0</v>
      </c>
      <c r="IY16" s="16">
        <v>0</v>
      </c>
      <c r="IZ16" s="16">
        <v>2</v>
      </c>
      <c r="JA16" s="16">
        <v>46200</v>
      </c>
      <c r="JB16" s="16">
        <v>92400</v>
      </c>
      <c r="JC16" s="16">
        <v>11088</v>
      </c>
      <c r="JD16" s="23">
        <v>12</v>
      </c>
      <c r="JE16" s="23"/>
      <c r="JF16" s="23">
        <v>554400</v>
      </c>
      <c r="JG16" s="23">
        <v>66528</v>
      </c>
      <c r="JH16" s="16">
        <v>5</v>
      </c>
      <c r="JI16" s="16">
        <v>46200</v>
      </c>
      <c r="JJ16" s="16">
        <v>231000</v>
      </c>
      <c r="JK16" s="16">
        <v>27720</v>
      </c>
      <c r="JL16" s="16">
        <v>3</v>
      </c>
      <c r="JM16" s="16">
        <v>46200</v>
      </c>
      <c r="JN16" s="16">
        <v>138600</v>
      </c>
      <c r="JO16" s="16">
        <v>16632</v>
      </c>
      <c r="JP16" s="16">
        <v>4</v>
      </c>
      <c r="JQ16" s="16">
        <v>46200</v>
      </c>
      <c r="JR16" s="16">
        <v>184800</v>
      </c>
      <c r="JS16" s="16">
        <v>22176</v>
      </c>
      <c r="JT16" s="16">
        <v>2</v>
      </c>
      <c r="JU16" s="16">
        <v>46200</v>
      </c>
      <c r="JV16" s="16">
        <v>92400</v>
      </c>
      <c r="JW16" s="16">
        <v>11088</v>
      </c>
      <c r="JX16" s="23">
        <v>14</v>
      </c>
      <c r="JY16" s="23"/>
      <c r="JZ16" s="23">
        <v>646800</v>
      </c>
      <c r="KA16" s="23">
        <v>77616</v>
      </c>
      <c r="KB16" s="16">
        <v>0</v>
      </c>
      <c r="KC16" s="16">
        <v>0</v>
      </c>
      <c r="KD16" s="16">
        <v>0</v>
      </c>
      <c r="KE16" s="16">
        <v>0</v>
      </c>
      <c r="KF16" s="16">
        <v>0</v>
      </c>
      <c r="KG16" s="16">
        <v>0</v>
      </c>
      <c r="KH16" s="16">
        <v>0</v>
      </c>
      <c r="KI16" s="16">
        <v>0</v>
      </c>
      <c r="KJ16" s="16">
        <v>0</v>
      </c>
      <c r="KK16" s="16">
        <v>0</v>
      </c>
      <c r="KL16" s="16">
        <v>0</v>
      </c>
      <c r="KM16" s="16">
        <v>0</v>
      </c>
      <c r="KN16" s="16">
        <v>3</v>
      </c>
      <c r="KO16" s="16">
        <v>46200</v>
      </c>
      <c r="KP16" s="16">
        <v>138600</v>
      </c>
      <c r="KQ16" s="16">
        <v>16632</v>
      </c>
      <c r="KR16" s="23">
        <v>3</v>
      </c>
      <c r="KS16" s="23"/>
      <c r="KT16" s="23">
        <v>138600</v>
      </c>
      <c r="KU16" s="23">
        <v>16632</v>
      </c>
      <c r="KV16" s="23">
        <v>353</v>
      </c>
      <c r="KW16" s="23"/>
      <c r="KX16" s="23">
        <v>16308600</v>
      </c>
      <c r="KY16" s="23">
        <v>1957032</v>
      </c>
    </row>
    <row r="17" spans="1:311" ht="16.95" customHeight="1" x14ac:dyDescent="0.4">
      <c r="A17" s="11"/>
      <c r="B17" s="11"/>
      <c r="C17" s="11" t="s">
        <v>35</v>
      </c>
      <c r="D17" s="9">
        <v>0</v>
      </c>
      <c r="E17" s="9">
        <v>0</v>
      </c>
      <c r="F17" s="9">
        <v>0</v>
      </c>
      <c r="G17" s="9">
        <v>0</v>
      </c>
      <c r="H17" s="22">
        <v>0</v>
      </c>
      <c r="I17" s="22"/>
      <c r="J17" s="22">
        <v>0</v>
      </c>
      <c r="K17" s="22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1</v>
      </c>
      <c r="Y17" s="9">
        <v>127842</v>
      </c>
      <c r="Z17" s="9">
        <v>127842</v>
      </c>
      <c r="AA17" s="9">
        <v>15341</v>
      </c>
      <c r="AB17" s="22">
        <v>1</v>
      </c>
      <c r="AC17" s="22"/>
      <c r="AD17" s="22">
        <v>127842</v>
      </c>
      <c r="AE17" s="22">
        <v>15341</v>
      </c>
      <c r="AF17" s="9">
        <v>1</v>
      </c>
      <c r="AG17" s="9">
        <v>127842</v>
      </c>
      <c r="AH17" s="9">
        <v>127842</v>
      </c>
      <c r="AI17" s="9">
        <v>15341</v>
      </c>
      <c r="AJ17" s="9">
        <v>0</v>
      </c>
      <c r="AK17" s="9">
        <v>0</v>
      </c>
      <c r="AL17" s="9">
        <v>0</v>
      </c>
      <c r="AM17" s="9">
        <v>0</v>
      </c>
      <c r="AN17" s="9">
        <v>1</v>
      </c>
      <c r="AO17" s="9">
        <v>127842</v>
      </c>
      <c r="AP17" s="9">
        <v>127842</v>
      </c>
      <c r="AQ17" s="9">
        <v>15341</v>
      </c>
      <c r="AR17" s="9">
        <v>0</v>
      </c>
      <c r="AS17" s="9">
        <v>0</v>
      </c>
      <c r="AT17" s="9">
        <v>0</v>
      </c>
      <c r="AU17" s="9">
        <v>0</v>
      </c>
      <c r="AV17" s="22">
        <v>2</v>
      </c>
      <c r="AW17" s="22"/>
      <c r="AX17" s="22">
        <v>255684</v>
      </c>
      <c r="AY17" s="22">
        <v>30682.1</v>
      </c>
      <c r="AZ17" s="9">
        <v>1</v>
      </c>
      <c r="BA17" s="9">
        <v>127842</v>
      </c>
      <c r="BB17" s="9">
        <v>127842</v>
      </c>
      <c r="BC17" s="9">
        <v>15341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2</v>
      </c>
      <c r="BM17" s="9">
        <v>127842</v>
      </c>
      <c r="BN17" s="9">
        <v>255684</v>
      </c>
      <c r="BO17" s="9">
        <v>30682.1</v>
      </c>
      <c r="BP17" s="9">
        <v>1</v>
      </c>
      <c r="BQ17" s="9">
        <v>127842</v>
      </c>
      <c r="BR17" s="9">
        <v>127842</v>
      </c>
      <c r="BS17" s="9">
        <v>15341</v>
      </c>
      <c r="BT17" s="22">
        <v>4</v>
      </c>
      <c r="BU17" s="22"/>
      <c r="BV17" s="22">
        <v>511368</v>
      </c>
      <c r="BW17" s="22">
        <v>61364.2</v>
      </c>
      <c r="BX17" s="9">
        <v>1</v>
      </c>
      <c r="BY17" s="9">
        <v>127842</v>
      </c>
      <c r="BZ17" s="9">
        <v>127842</v>
      </c>
      <c r="CA17" s="9">
        <v>15341</v>
      </c>
      <c r="CB17" s="9">
        <v>2</v>
      </c>
      <c r="CC17" s="9">
        <v>127842</v>
      </c>
      <c r="CD17" s="9">
        <v>255684</v>
      </c>
      <c r="CE17" s="9">
        <v>30682.1</v>
      </c>
      <c r="CF17" s="9">
        <v>3</v>
      </c>
      <c r="CG17" s="9">
        <v>127842</v>
      </c>
      <c r="CH17" s="9">
        <v>383526</v>
      </c>
      <c r="CI17" s="9">
        <v>46023.1</v>
      </c>
      <c r="CJ17" s="9">
        <v>1</v>
      </c>
      <c r="CK17" s="9">
        <v>127842</v>
      </c>
      <c r="CL17" s="9">
        <v>127842</v>
      </c>
      <c r="CM17" s="9">
        <v>15341</v>
      </c>
      <c r="CN17" s="22">
        <v>7</v>
      </c>
      <c r="CO17" s="22"/>
      <c r="CP17" s="22">
        <v>894894</v>
      </c>
      <c r="CQ17" s="22">
        <v>107387.3</v>
      </c>
      <c r="CR17" s="9">
        <v>1</v>
      </c>
      <c r="CS17" s="9">
        <v>127842</v>
      </c>
      <c r="CT17" s="9">
        <v>127842</v>
      </c>
      <c r="CU17" s="9">
        <v>15341</v>
      </c>
      <c r="CV17" s="9">
        <v>1</v>
      </c>
      <c r="CW17" s="9">
        <v>127842</v>
      </c>
      <c r="CX17" s="9">
        <v>127842</v>
      </c>
      <c r="CY17" s="9">
        <v>15341</v>
      </c>
      <c r="CZ17" s="9">
        <v>3</v>
      </c>
      <c r="DA17" s="9">
        <v>127842</v>
      </c>
      <c r="DB17" s="9">
        <v>383526</v>
      </c>
      <c r="DC17" s="9">
        <v>46023.1</v>
      </c>
      <c r="DD17" s="9">
        <v>1</v>
      </c>
      <c r="DE17" s="9">
        <v>127842</v>
      </c>
      <c r="DF17" s="9">
        <v>127842</v>
      </c>
      <c r="DG17" s="9">
        <v>15341</v>
      </c>
      <c r="DH17" s="22">
        <v>6</v>
      </c>
      <c r="DI17" s="22"/>
      <c r="DJ17" s="22">
        <v>767052</v>
      </c>
      <c r="DK17" s="22">
        <v>92046.2</v>
      </c>
      <c r="DL17" s="9">
        <v>1</v>
      </c>
      <c r="DM17" s="9">
        <v>127842</v>
      </c>
      <c r="DN17" s="9">
        <v>127842</v>
      </c>
      <c r="DO17" s="9">
        <v>15341</v>
      </c>
      <c r="DP17" s="9">
        <v>3</v>
      </c>
      <c r="DQ17" s="9">
        <v>127842</v>
      </c>
      <c r="DR17" s="9">
        <v>383526</v>
      </c>
      <c r="DS17" s="9">
        <v>46023.1</v>
      </c>
      <c r="DT17" s="9">
        <v>2</v>
      </c>
      <c r="DU17" s="9">
        <v>127842</v>
      </c>
      <c r="DV17" s="9">
        <v>255684</v>
      </c>
      <c r="DW17" s="9">
        <v>30682.1</v>
      </c>
      <c r="DX17" s="9">
        <v>1</v>
      </c>
      <c r="DY17" s="9">
        <v>127842</v>
      </c>
      <c r="DZ17" s="9">
        <v>127842</v>
      </c>
      <c r="EA17" s="9">
        <v>15341</v>
      </c>
      <c r="EB17" s="9">
        <v>3</v>
      </c>
      <c r="EC17" s="9">
        <v>127842</v>
      </c>
      <c r="ED17" s="9">
        <v>383526</v>
      </c>
      <c r="EE17" s="9">
        <v>46023.1</v>
      </c>
      <c r="EF17" s="22">
        <v>10</v>
      </c>
      <c r="EG17" s="22"/>
      <c r="EH17" s="22">
        <v>1278420</v>
      </c>
      <c r="EI17" s="22">
        <v>153410.4</v>
      </c>
      <c r="EJ17" s="9">
        <v>3</v>
      </c>
      <c r="EK17" s="9">
        <v>127842</v>
      </c>
      <c r="EL17" s="9">
        <v>383526</v>
      </c>
      <c r="EM17" s="9">
        <v>46023.1</v>
      </c>
      <c r="EN17" s="9">
        <v>1</v>
      </c>
      <c r="EO17" s="9">
        <v>127842</v>
      </c>
      <c r="EP17" s="9">
        <v>127842</v>
      </c>
      <c r="EQ17" s="9">
        <v>15341</v>
      </c>
      <c r="ER17" s="9">
        <v>2</v>
      </c>
      <c r="ES17" s="9">
        <v>127842</v>
      </c>
      <c r="ET17" s="9">
        <v>255684</v>
      </c>
      <c r="EU17" s="9">
        <v>30682.1</v>
      </c>
      <c r="EV17" s="9">
        <v>3</v>
      </c>
      <c r="EW17" s="9">
        <v>127842</v>
      </c>
      <c r="EX17" s="9">
        <v>383526</v>
      </c>
      <c r="EY17" s="9">
        <v>46023.1</v>
      </c>
      <c r="EZ17" s="22">
        <v>9</v>
      </c>
      <c r="FA17" s="22"/>
      <c r="FB17" s="22">
        <v>1150578</v>
      </c>
      <c r="FC17" s="22">
        <v>138069.4</v>
      </c>
      <c r="FD17" s="9">
        <v>1</v>
      </c>
      <c r="FE17" s="9">
        <v>127842</v>
      </c>
      <c r="FF17" s="9">
        <v>127842</v>
      </c>
      <c r="FG17" s="9">
        <v>15341</v>
      </c>
      <c r="FH17" s="9">
        <v>2</v>
      </c>
      <c r="FI17" s="9">
        <v>127842</v>
      </c>
      <c r="FJ17" s="9">
        <v>255684</v>
      </c>
      <c r="FK17" s="9">
        <v>30682.1</v>
      </c>
      <c r="FL17" s="9">
        <v>1</v>
      </c>
      <c r="FM17" s="9">
        <v>127842</v>
      </c>
      <c r="FN17" s="9">
        <v>127842</v>
      </c>
      <c r="FO17" s="9">
        <v>15341</v>
      </c>
      <c r="FP17" s="9">
        <v>3</v>
      </c>
      <c r="FQ17" s="9">
        <v>127842</v>
      </c>
      <c r="FR17" s="9">
        <v>383526</v>
      </c>
      <c r="FS17" s="9">
        <v>46023.1</v>
      </c>
      <c r="FT17" s="22">
        <v>7</v>
      </c>
      <c r="FU17" s="22"/>
      <c r="FV17" s="22">
        <v>894894</v>
      </c>
      <c r="FW17" s="22">
        <v>107387.3</v>
      </c>
      <c r="FX17" s="9">
        <v>2</v>
      </c>
      <c r="FY17" s="9">
        <v>127842</v>
      </c>
      <c r="FZ17" s="9">
        <v>255684</v>
      </c>
      <c r="GA17" s="9">
        <v>30682.1</v>
      </c>
      <c r="GB17" s="9">
        <v>2</v>
      </c>
      <c r="GC17" s="9">
        <v>127842</v>
      </c>
      <c r="GD17" s="9">
        <v>255684</v>
      </c>
      <c r="GE17" s="9">
        <v>30682.1</v>
      </c>
      <c r="GF17" s="9">
        <v>1</v>
      </c>
      <c r="GG17" s="9">
        <v>127842</v>
      </c>
      <c r="GH17" s="9">
        <v>127842</v>
      </c>
      <c r="GI17" s="9">
        <v>15341</v>
      </c>
      <c r="GJ17" s="9">
        <v>1</v>
      </c>
      <c r="GK17" s="9">
        <v>127842</v>
      </c>
      <c r="GL17" s="9">
        <v>127842</v>
      </c>
      <c r="GM17" s="9">
        <v>15341</v>
      </c>
      <c r="GN17" s="9">
        <v>0</v>
      </c>
      <c r="GO17" s="9">
        <v>0</v>
      </c>
      <c r="GP17" s="9">
        <v>0</v>
      </c>
      <c r="GQ17" s="9">
        <v>0</v>
      </c>
      <c r="GR17" s="22">
        <v>6</v>
      </c>
      <c r="GS17" s="22"/>
      <c r="GT17" s="22">
        <v>767052</v>
      </c>
      <c r="GU17" s="22">
        <v>92046.2</v>
      </c>
      <c r="GV17" s="9">
        <v>0</v>
      </c>
      <c r="GW17" s="9">
        <v>0</v>
      </c>
      <c r="GX17" s="9">
        <v>0</v>
      </c>
      <c r="GY17" s="9">
        <v>0</v>
      </c>
      <c r="GZ17" s="9">
        <v>2</v>
      </c>
      <c r="HA17" s="9">
        <v>127842</v>
      </c>
      <c r="HB17" s="9">
        <v>255684</v>
      </c>
      <c r="HC17" s="9">
        <v>30682.1</v>
      </c>
      <c r="HD17" s="9">
        <v>0</v>
      </c>
      <c r="HE17" s="9">
        <v>0</v>
      </c>
      <c r="HF17" s="9">
        <v>0</v>
      </c>
      <c r="HG17" s="9">
        <v>0</v>
      </c>
      <c r="HH17" s="9">
        <v>0</v>
      </c>
      <c r="HI17" s="9">
        <v>0</v>
      </c>
      <c r="HJ17" s="9">
        <v>0</v>
      </c>
      <c r="HK17" s="9">
        <v>0</v>
      </c>
      <c r="HL17" s="22">
        <v>2</v>
      </c>
      <c r="HM17" s="22"/>
      <c r="HN17" s="22">
        <v>255684</v>
      </c>
      <c r="HO17" s="22">
        <v>30682.1</v>
      </c>
      <c r="HP17" s="9">
        <v>0</v>
      </c>
      <c r="HQ17" s="9">
        <v>0</v>
      </c>
      <c r="HR17" s="9">
        <v>0</v>
      </c>
      <c r="HS17" s="9">
        <v>0</v>
      </c>
      <c r="HT17" s="9">
        <v>1</v>
      </c>
      <c r="HU17" s="9">
        <v>127842</v>
      </c>
      <c r="HV17" s="9">
        <v>127842</v>
      </c>
      <c r="HW17" s="9">
        <v>15341</v>
      </c>
      <c r="HX17" s="9">
        <v>1</v>
      </c>
      <c r="HY17" s="9">
        <v>127842</v>
      </c>
      <c r="HZ17" s="9">
        <v>127842</v>
      </c>
      <c r="IA17" s="9">
        <v>15341</v>
      </c>
      <c r="IB17" s="9">
        <v>0</v>
      </c>
      <c r="IC17" s="9">
        <v>0</v>
      </c>
      <c r="ID17" s="9">
        <v>0</v>
      </c>
      <c r="IE17" s="9">
        <v>0</v>
      </c>
      <c r="IF17" s="22">
        <v>2</v>
      </c>
      <c r="IG17" s="22"/>
      <c r="IH17" s="22">
        <v>255684</v>
      </c>
      <c r="II17" s="22">
        <v>30682.1</v>
      </c>
      <c r="IJ17" s="9">
        <v>1</v>
      </c>
      <c r="IK17" s="9">
        <v>127842</v>
      </c>
      <c r="IL17" s="9">
        <v>127842</v>
      </c>
      <c r="IM17" s="9">
        <v>15341</v>
      </c>
      <c r="IN17" s="9">
        <v>1</v>
      </c>
      <c r="IO17" s="9">
        <v>127842</v>
      </c>
      <c r="IP17" s="9">
        <v>127842</v>
      </c>
      <c r="IQ17" s="9">
        <v>15341</v>
      </c>
      <c r="IR17" s="9">
        <v>0</v>
      </c>
      <c r="IS17" s="9">
        <v>0</v>
      </c>
      <c r="IT17" s="9">
        <v>0</v>
      </c>
      <c r="IU17" s="9">
        <v>0</v>
      </c>
      <c r="IV17" s="9">
        <v>0</v>
      </c>
      <c r="IW17" s="9">
        <v>0</v>
      </c>
      <c r="IX17" s="9">
        <v>0</v>
      </c>
      <c r="IY17" s="9">
        <v>0</v>
      </c>
      <c r="IZ17" s="9">
        <v>0</v>
      </c>
      <c r="JA17" s="9">
        <v>0</v>
      </c>
      <c r="JB17" s="9">
        <v>0</v>
      </c>
      <c r="JC17" s="9">
        <v>0</v>
      </c>
      <c r="JD17" s="22">
        <v>2</v>
      </c>
      <c r="JE17" s="22"/>
      <c r="JF17" s="22">
        <v>255684</v>
      </c>
      <c r="JG17" s="22">
        <v>30682.1</v>
      </c>
      <c r="JH17" s="9">
        <v>1</v>
      </c>
      <c r="JI17" s="9">
        <v>127842</v>
      </c>
      <c r="JJ17" s="9">
        <v>127842</v>
      </c>
      <c r="JK17" s="9">
        <v>15341</v>
      </c>
      <c r="JL17" s="9">
        <v>0</v>
      </c>
      <c r="JM17" s="9">
        <v>0</v>
      </c>
      <c r="JN17" s="9">
        <v>0</v>
      </c>
      <c r="JO17" s="9">
        <v>0</v>
      </c>
      <c r="JP17" s="9">
        <v>1</v>
      </c>
      <c r="JQ17" s="9">
        <v>127842</v>
      </c>
      <c r="JR17" s="9">
        <v>127842</v>
      </c>
      <c r="JS17" s="9">
        <v>15341</v>
      </c>
      <c r="JT17" s="9">
        <v>0</v>
      </c>
      <c r="JU17" s="9">
        <v>0</v>
      </c>
      <c r="JV17" s="9">
        <v>0</v>
      </c>
      <c r="JW17" s="9">
        <v>0</v>
      </c>
      <c r="JX17" s="22">
        <v>2</v>
      </c>
      <c r="JY17" s="22"/>
      <c r="JZ17" s="22">
        <v>255684</v>
      </c>
      <c r="KA17" s="22">
        <v>30682.1</v>
      </c>
      <c r="KB17" s="9">
        <v>0</v>
      </c>
      <c r="KC17" s="9">
        <v>0</v>
      </c>
      <c r="KD17" s="9">
        <v>0</v>
      </c>
      <c r="KE17" s="9">
        <v>0</v>
      </c>
      <c r="KF17" s="9">
        <v>0</v>
      </c>
      <c r="KG17" s="9">
        <v>0</v>
      </c>
      <c r="KH17" s="9">
        <v>0</v>
      </c>
      <c r="KI17" s="9">
        <v>0</v>
      </c>
      <c r="KJ17" s="9">
        <v>0</v>
      </c>
      <c r="KK17" s="9">
        <v>0</v>
      </c>
      <c r="KL17" s="9">
        <v>0</v>
      </c>
      <c r="KM17" s="9">
        <v>0</v>
      </c>
      <c r="KN17" s="9">
        <v>1</v>
      </c>
      <c r="KO17" s="9">
        <v>127842</v>
      </c>
      <c r="KP17" s="9">
        <v>127842</v>
      </c>
      <c r="KQ17" s="9">
        <v>15341</v>
      </c>
      <c r="KR17" s="22">
        <v>1</v>
      </c>
      <c r="KS17" s="22"/>
      <c r="KT17" s="22">
        <v>127842</v>
      </c>
      <c r="KU17" s="22">
        <v>15341</v>
      </c>
      <c r="KV17" s="22">
        <v>61</v>
      </c>
      <c r="KW17" s="22"/>
      <c r="KX17" s="22">
        <v>7798362</v>
      </c>
      <c r="KY17" s="22">
        <v>935803.4</v>
      </c>
    </row>
    <row r="18" spans="1:311" ht="16.95" customHeight="1" x14ac:dyDescent="0.4">
      <c r="A18" s="15"/>
      <c r="B18" s="15"/>
      <c r="C18" s="15" t="s">
        <v>23</v>
      </c>
      <c r="D18" s="16">
        <v>0</v>
      </c>
      <c r="E18" s="16">
        <v>0</v>
      </c>
      <c r="F18" s="16">
        <v>0</v>
      </c>
      <c r="G18" s="16">
        <v>0</v>
      </c>
      <c r="H18" s="23">
        <v>0</v>
      </c>
      <c r="I18" s="23"/>
      <c r="J18" s="23">
        <v>0</v>
      </c>
      <c r="K18" s="23">
        <v>0</v>
      </c>
      <c r="L18" s="16">
        <v>2</v>
      </c>
      <c r="M18" s="16">
        <v>59400</v>
      </c>
      <c r="N18" s="16">
        <v>118800</v>
      </c>
      <c r="O18" s="16">
        <v>14256</v>
      </c>
      <c r="P18" s="16">
        <v>2</v>
      </c>
      <c r="Q18" s="16">
        <v>59400</v>
      </c>
      <c r="R18" s="16">
        <v>118800</v>
      </c>
      <c r="S18" s="16">
        <v>14256</v>
      </c>
      <c r="T18" s="16">
        <v>0</v>
      </c>
      <c r="U18" s="16">
        <v>0</v>
      </c>
      <c r="V18" s="16">
        <v>0</v>
      </c>
      <c r="W18" s="16">
        <v>0</v>
      </c>
      <c r="X18" s="16">
        <v>2</v>
      </c>
      <c r="Y18" s="16">
        <v>59400</v>
      </c>
      <c r="Z18" s="16">
        <v>118800</v>
      </c>
      <c r="AA18" s="16">
        <v>14256</v>
      </c>
      <c r="AB18" s="23">
        <v>6</v>
      </c>
      <c r="AC18" s="23"/>
      <c r="AD18" s="23">
        <v>356400</v>
      </c>
      <c r="AE18" s="23">
        <v>42768</v>
      </c>
      <c r="AF18" s="16">
        <v>1</v>
      </c>
      <c r="AG18" s="16">
        <v>59400</v>
      </c>
      <c r="AH18" s="16">
        <v>59400</v>
      </c>
      <c r="AI18" s="16">
        <v>7128</v>
      </c>
      <c r="AJ18" s="16">
        <v>2</v>
      </c>
      <c r="AK18" s="16">
        <v>59400</v>
      </c>
      <c r="AL18" s="16">
        <v>118800</v>
      </c>
      <c r="AM18" s="16">
        <v>14256</v>
      </c>
      <c r="AN18" s="16">
        <v>1</v>
      </c>
      <c r="AO18" s="16">
        <v>59400</v>
      </c>
      <c r="AP18" s="16">
        <v>59400</v>
      </c>
      <c r="AQ18" s="16">
        <v>7128</v>
      </c>
      <c r="AR18" s="16">
        <v>1</v>
      </c>
      <c r="AS18" s="16">
        <v>59400</v>
      </c>
      <c r="AT18" s="16">
        <v>59400</v>
      </c>
      <c r="AU18" s="16">
        <v>7128</v>
      </c>
      <c r="AV18" s="23">
        <v>5</v>
      </c>
      <c r="AW18" s="23"/>
      <c r="AX18" s="23">
        <v>297000</v>
      </c>
      <c r="AY18" s="23">
        <v>35640</v>
      </c>
      <c r="AZ18" s="16">
        <v>2</v>
      </c>
      <c r="BA18" s="16">
        <v>59400</v>
      </c>
      <c r="BB18" s="16">
        <v>118800</v>
      </c>
      <c r="BC18" s="16">
        <v>14256</v>
      </c>
      <c r="BD18" s="16">
        <v>0</v>
      </c>
      <c r="BE18" s="16">
        <v>0</v>
      </c>
      <c r="BF18" s="16">
        <v>0</v>
      </c>
      <c r="BG18" s="16">
        <v>0</v>
      </c>
      <c r="BH18" s="16">
        <v>1</v>
      </c>
      <c r="BI18" s="16">
        <v>59400</v>
      </c>
      <c r="BJ18" s="16">
        <v>59400</v>
      </c>
      <c r="BK18" s="16">
        <v>7128</v>
      </c>
      <c r="BL18" s="16">
        <v>5</v>
      </c>
      <c r="BM18" s="16">
        <v>59400</v>
      </c>
      <c r="BN18" s="16">
        <v>297000</v>
      </c>
      <c r="BO18" s="16">
        <v>35640</v>
      </c>
      <c r="BP18" s="16">
        <v>3</v>
      </c>
      <c r="BQ18" s="16">
        <v>59400</v>
      </c>
      <c r="BR18" s="16">
        <v>178200</v>
      </c>
      <c r="BS18" s="16">
        <v>21384</v>
      </c>
      <c r="BT18" s="23">
        <v>11</v>
      </c>
      <c r="BU18" s="23"/>
      <c r="BV18" s="23">
        <v>653400</v>
      </c>
      <c r="BW18" s="23">
        <v>78408</v>
      </c>
      <c r="BX18" s="16">
        <v>4</v>
      </c>
      <c r="BY18" s="16">
        <v>59400</v>
      </c>
      <c r="BZ18" s="16">
        <v>237600</v>
      </c>
      <c r="CA18" s="16">
        <v>28512</v>
      </c>
      <c r="CB18" s="16">
        <v>3</v>
      </c>
      <c r="CC18" s="16">
        <v>59400</v>
      </c>
      <c r="CD18" s="16">
        <v>178200</v>
      </c>
      <c r="CE18" s="16">
        <v>21384</v>
      </c>
      <c r="CF18" s="16">
        <v>4</v>
      </c>
      <c r="CG18" s="16">
        <v>59400</v>
      </c>
      <c r="CH18" s="16">
        <v>237600</v>
      </c>
      <c r="CI18" s="16">
        <v>28512</v>
      </c>
      <c r="CJ18" s="16">
        <v>3</v>
      </c>
      <c r="CK18" s="16">
        <v>59400</v>
      </c>
      <c r="CL18" s="16">
        <v>178200</v>
      </c>
      <c r="CM18" s="16">
        <v>21384</v>
      </c>
      <c r="CN18" s="23">
        <v>14</v>
      </c>
      <c r="CO18" s="23"/>
      <c r="CP18" s="23">
        <v>831600</v>
      </c>
      <c r="CQ18" s="23">
        <v>99792</v>
      </c>
      <c r="CR18" s="16">
        <v>2</v>
      </c>
      <c r="CS18" s="16">
        <v>59400</v>
      </c>
      <c r="CT18" s="16">
        <v>118800</v>
      </c>
      <c r="CU18" s="16">
        <v>14256</v>
      </c>
      <c r="CV18" s="16">
        <v>4</v>
      </c>
      <c r="CW18" s="16">
        <v>59400</v>
      </c>
      <c r="CX18" s="16">
        <v>237600</v>
      </c>
      <c r="CY18" s="16">
        <v>28512</v>
      </c>
      <c r="CZ18" s="16">
        <v>4</v>
      </c>
      <c r="DA18" s="16">
        <v>59400</v>
      </c>
      <c r="DB18" s="16">
        <v>237600</v>
      </c>
      <c r="DC18" s="16">
        <v>28512</v>
      </c>
      <c r="DD18" s="16">
        <v>4</v>
      </c>
      <c r="DE18" s="16">
        <v>59400</v>
      </c>
      <c r="DF18" s="16">
        <v>237600</v>
      </c>
      <c r="DG18" s="16">
        <v>28512</v>
      </c>
      <c r="DH18" s="23">
        <v>14</v>
      </c>
      <c r="DI18" s="23"/>
      <c r="DJ18" s="23">
        <v>831600</v>
      </c>
      <c r="DK18" s="23">
        <v>99792</v>
      </c>
      <c r="DL18" s="16">
        <v>5</v>
      </c>
      <c r="DM18" s="16">
        <v>59400</v>
      </c>
      <c r="DN18" s="16">
        <v>297000</v>
      </c>
      <c r="DO18" s="16">
        <v>35640</v>
      </c>
      <c r="DP18" s="16">
        <v>6</v>
      </c>
      <c r="DQ18" s="16">
        <v>59400</v>
      </c>
      <c r="DR18" s="16">
        <v>356400</v>
      </c>
      <c r="DS18" s="16">
        <v>42768</v>
      </c>
      <c r="DT18" s="16">
        <v>5</v>
      </c>
      <c r="DU18" s="16">
        <v>59400</v>
      </c>
      <c r="DV18" s="16">
        <v>297000</v>
      </c>
      <c r="DW18" s="16">
        <v>35640</v>
      </c>
      <c r="DX18" s="16">
        <v>5</v>
      </c>
      <c r="DY18" s="16">
        <v>59400</v>
      </c>
      <c r="DZ18" s="16">
        <v>297000</v>
      </c>
      <c r="EA18" s="16">
        <v>35640</v>
      </c>
      <c r="EB18" s="16">
        <v>8</v>
      </c>
      <c r="EC18" s="16">
        <v>61050</v>
      </c>
      <c r="ED18" s="16">
        <v>485100</v>
      </c>
      <c r="EE18" s="16">
        <v>58212</v>
      </c>
      <c r="EF18" s="23">
        <v>29</v>
      </c>
      <c r="EG18" s="23"/>
      <c r="EH18" s="23">
        <v>1732500</v>
      </c>
      <c r="EI18" s="23">
        <v>207900</v>
      </c>
      <c r="EJ18" s="16">
        <v>10</v>
      </c>
      <c r="EK18" s="16">
        <v>61050</v>
      </c>
      <c r="EL18" s="16">
        <v>610500</v>
      </c>
      <c r="EM18" s="16">
        <v>73260</v>
      </c>
      <c r="EN18" s="16">
        <v>2</v>
      </c>
      <c r="EO18" s="16">
        <v>61050</v>
      </c>
      <c r="EP18" s="16">
        <v>122100</v>
      </c>
      <c r="EQ18" s="16">
        <v>14652</v>
      </c>
      <c r="ER18" s="16">
        <v>5</v>
      </c>
      <c r="ES18" s="16">
        <v>61050</v>
      </c>
      <c r="ET18" s="16">
        <v>305250</v>
      </c>
      <c r="EU18" s="16">
        <v>36630</v>
      </c>
      <c r="EV18" s="16">
        <v>7</v>
      </c>
      <c r="EW18" s="16">
        <v>61050</v>
      </c>
      <c r="EX18" s="16">
        <v>427350</v>
      </c>
      <c r="EY18" s="16">
        <v>51282</v>
      </c>
      <c r="EZ18" s="23">
        <v>24</v>
      </c>
      <c r="FA18" s="23"/>
      <c r="FB18" s="23">
        <v>1465200</v>
      </c>
      <c r="FC18" s="23">
        <v>175824</v>
      </c>
      <c r="FD18" s="16">
        <v>6</v>
      </c>
      <c r="FE18" s="16">
        <v>61050</v>
      </c>
      <c r="FF18" s="16">
        <v>366300</v>
      </c>
      <c r="FG18" s="16">
        <v>43956</v>
      </c>
      <c r="FH18" s="16">
        <v>2</v>
      </c>
      <c r="FI18" s="16">
        <v>61050</v>
      </c>
      <c r="FJ18" s="16">
        <v>122100</v>
      </c>
      <c r="FK18" s="16">
        <v>14652</v>
      </c>
      <c r="FL18" s="16">
        <v>4</v>
      </c>
      <c r="FM18" s="16">
        <v>61050</v>
      </c>
      <c r="FN18" s="16">
        <v>244200</v>
      </c>
      <c r="FO18" s="16">
        <v>29304</v>
      </c>
      <c r="FP18" s="16">
        <v>6</v>
      </c>
      <c r="FQ18" s="16">
        <v>61050</v>
      </c>
      <c r="FR18" s="16">
        <v>366300</v>
      </c>
      <c r="FS18" s="16">
        <v>43956</v>
      </c>
      <c r="FT18" s="23">
        <v>18</v>
      </c>
      <c r="FU18" s="23"/>
      <c r="FV18" s="23">
        <v>1098900</v>
      </c>
      <c r="FW18" s="23">
        <v>131868</v>
      </c>
      <c r="FX18" s="16">
        <v>6</v>
      </c>
      <c r="FY18" s="16">
        <v>61050</v>
      </c>
      <c r="FZ18" s="16">
        <v>366300</v>
      </c>
      <c r="GA18" s="16">
        <v>43956</v>
      </c>
      <c r="GB18" s="16">
        <v>3</v>
      </c>
      <c r="GC18" s="16">
        <v>61050</v>
      </c>
      <c r="GD18" s="16">
        <v>183150</v>
      </c>
      <c r="GE18" s="16">
        <v>21978</v>
      </c>
      <c r="GF18" s="16">
        <v>4</v>
      </c>
      <c r="GG18" s="16">
        <v>61050</v>
      </c>
      <c r="GH18" s="16">
        <v>244200</v>
      </c>
      <c r="GI18" s="16">
        <v>29304</v>
      </c>
      <c r="GJ18" s="16">
        <v>3</v>
      </c>
      <c r="GK18" s="16">
        <v>61050</v>
      </c>
      <c r="GL18" s="16">
        <v>183150</v>
      </c>
      <c r="GM18" s="16">
        <v>21978</v>
      </c>
      <c r="GN18" s="16">
        <v>1</v>
      </c>
      <c r="GO18" s="16">
        <v>61050</v>
      </c>
      <c r="GP18" s="16">
        <v>61050</v>
      </c>
      <c r="GQ18" s="16">
        <v>7326</v>
      </c>
      <c r="GR18" s="23">
        <v>17</v>
      </c>
      <c r="GS18" s="23"/>
      <c r="GT18" s="23">
        <v>1037850</v>
      </c>
      <c r="GU18" s="23">
        <v>124542</v>
      </c>
      <c r="GV18" s="16">
        <v>2</v>
      </c>
      <c r="GW18" s="16">
        <v>61050</v>
      </c>
      <c r="GX18" s="16">
        <v>122100</v>
      </c>
      <c r="GY18" s="16">
        <v>14652</v>
      </c>
      <c r="GZ18" s="16">
        <v>2</v>
      </c>
      <c r="HA18" s="16">
        <v>61050</v>
      </c>
      <c r="HB18" s="16">
        <v>122100</v>
      </c>
      <c r="HC18" s="16">
        <v>14652</v>
      </c>
      <c r="HD18" s="16">
        <v>2</v>
      </c>
      <c r="HE18" s="16">
        <v>61050</v>
      </c>
      <c r="HF18" s="16">
        <v>122100</v>
      </c>
      <c r="HG18" s="16">
        <v>14652</v>
      </c>
      <c r="HH18" s="16">
        <v>1</v>
      </c>
      <c r="HI18" s="16">
        <v>61050</v>
      </c>
      <c r="HJ18" s="16">
        <v>61050</v>
      </c>
      <c r="HK18" s="16">
        <v>7326</v>
      </c>
      <c r="HL18" s="23">
        <v>7</v>
      </c>
      <c r="HM18" s="23"/>
      <c r="HN18" s="23">
        <v>427350</v>
      </c>
      <c r="HO18" s="23">
        <v>51282</v>
      </c>
      <c r="HP18" s="16">
        <v>0</v>
      </c>
      <c r="HQ18" s="16">
        <v>0</v>
      </c>
      <c r="HR18" s="16">
        <v>0</v>
      </c>
      <c r="HS18" s="16">
        <v>0</v>
      </c>
      <c r="HT18" s="16">
        <v>2</v>
      </c>
      <c r="HU18" s="16">
        <v>61050</v>
      </c>
      <c r="HV18" s="16">
        <v>122100</v>
      </c>
      <c r="HW18" s="16">
        <v>14652</v>
      </c>
      <c r="HX18" s="16">
        <v>2</v>
      </c>
      <c r="HY18" s="16">
        <v>61050</v>
      </c>
      <c r="HZ18" s="16">
        <v>122100</v>
      </c>
      <c r="IA18" s="16">
        <v>14652</v>
      </c>
      <c r="IB18" s="16">
        <v>2</v>
      </c>
      <c r="IC18" s="16">
        <v>61050</v>
      </c>
      <c r="ID18" s="16">
        <v>122100</v>
      </c>
      <c r="IE18" s="16">
        <v>14652</v>
      </c>
      <c r="IF18" s="23">
        <v>6</v>
      </c>
      <c r="IG18" s="23"/>
      <c r="IH18" s="23">
        <v>366300</v>
      </c>
      <c r="II18" s="23">
        <v>43956</v>
      </c>
      <c r="IJ18" s="16">
        <v>1</v>
      </c>
      <c r="IK18" s="16">
        <v>61050</v>
      </c>
      <c r="IL18" s="16">
        <v>61050</v>
      </c>
      <c r="IM18" s="16">
        <v>7326</v>
      </c>
      <c r="IN18" s="16">
        <v>1</v>
      </c>
      <c r="IO18" s="16">
        <v>61050</v>
      </c>
      <c r="IP18" s="16">
        <v>61050</v>
      </c>
      <c r="IQ18" s="16">
        <v>7326</v>
      </c>
      <c r="IR18" s="16">
        <v>3</v>
      </c>
      <c r="IS18" s="16">
        <v>61050</v>
      </c>
      <c r="IT18" s="16">
        <v>183150</v>
      </c>
      <c r="IU18" s="16">
        <v>21978</v>
      </c>
      <c r="IV18" s="16">
        <v>0</v>
      </c>
      <c r="IW18" s="16">
        <v>0</v>
      </c>
      <c r="IX18" s="16">
        <v>0</v>
      </c>
      <c r="IY18" s="16">
        <v>0</v>
      </c>
      <c r="IZ18" s="16">
        <v>0</v>
      </c>
      <c r="JA18" s="16">
        <v>0</v>
      </c>
      <c r="JB18" s="16">
        <v>0</v>
      </c>
      <c r="JC18" s="16">
        <v>0</v>
      </c>
      <c r="JD18" s="23">
        <v>5</v>
      </c>
      <c r="JE18" s="23"/>
      <c r="JF18" s="23">
        <v>305250</v>
      </c>
      <c r="JG18" s="23">
        <v>36630</v>
      </c>
      <c r="JH18" s="16">
        <v>3</v>
      </c>
      <c r="JI18" s="16">
        <v>61050</v>
      </c>
      <c r="JJ18" s="16">
        <v>183150</v>
      </c>
      <c r="JK18" s="16">
        <v>21978</v>
      </c>
      <c r="JL18" s="16">
        <v>1</v>
      </c>
      <c r="JM18" s="16">
        <v>61050</v>
      </c>
      <c r="JN18" s="16">
        <v>61050</v>
      </c>
      <c r="JO18" s="16">
        <v>7326</v>
      </c>
      <c r="JP18" s="16">
        <v>2</v>
      </c>
      <c r="JQ18" s="16">
        <v>61050</v>
      </c>
      <c r="JR18" s="16">
        <v>122100</v>
      </c>
      <c r="JS18" s="16">
        <v>14652</v>
      </c>
      <c r="JT18" s="16">
        <v>1</v>
      </c>
      <c r="JU18" s="16">
        <v>61050</v>
      </c>
      <c r="JV18" s="16">
        <v>61050</v>
      </c>
      <c r="JW18" s="16">
        <v>7326</v>
      </c>
      <c r="JX18" s="23">
        <v>7</v>
      </c>
      <c r="JY18" s="23"/>
      <c r="JZ18" s="23">
        <v>427350</v>
      </c>
      <c r="KA18" s="23">
        <v>51282</v>
      </c>
      <c r="KB18" s="16">
        <v>0</v>
      </c>
      <c r="KC18" s="16">
        <v>0</v>
      </c>
      <c r="KD18" s="16">
        <v>0</v>
      </c>
      <c r="KE18" s="16">
        <v>0</v>
      </c>
      <c r="KF18" s="16">
        <v>0</v>
      </c>
      <c r="KG18" s="16">
        <v>0</v>
      </c>
      <c r="KH18" s="16">
        <v>0</v>
      </c>
      <c r="KI18" s="16">
        <v>0</v>
      </c>
      <c r="KJ18" s="16">
        <v>0</v>
      </c>
      <c r="KK18" s="16">
        <v>0</v>
      </c>
      <c r="KL18" s="16">
        <v>0</v>
      </c>
      <c r="KM18" s="16">
        <v>0</v>
      </c>
      <c r="KN18" s="16">
        <v>2</v>
      </c>
      <c r="KO18" s="16">
        <v>61050</v>
      </c>
      <c r="KP18" s="16">
        <v>122100</v>
      </c>
      <c r="KQ18" s="16">
        <v>14652</v>
      </c>
      <c r="KR18" s="23">
        <v>2</v>
      </c>
      <c r="KS18" s="23"/>
      <c r="KT18" s="23">
        <v>122100</v>
      </c>
      <c r="KU18" s="23">
        <v>14652</v>
      </c>
      <c r="KV18" s="23">
        <v>165</v>
      </c>
      <c r="KW18" s="23"/>
      <c r="KX18" s="23">
        <v>9952800</v>
      </c>
      <c r="KY18" s="23">
        <v>1194336</v>
      </c>
    </row>
    <row r="19" spans="1:311" ht="16.95" customHeight="1" x14ac:dyDescent="0.4">
      <c r="A19" s="11"/>
      <c r="B19" s="11"/>
      <c r="C19" s="11" t="s">
        <v>51</v>
      </c>
      <c r="D19" s="9">
        <v>0</v>
      </c>
      <c r="E19" s="9">
        <v>0</v>
      </c>
      <c r="F19" s="9">
        <v>0</v>
      </c>
      <c r="G19" s="9">
        <v>0</v>
      </c>
      <c r="H19" s="22">
        <v>0</v>
      </c>
      <c r="I19" s="22"/>
      <c r="J19" s="22">
        <v>0</v>
      </c>
      <c r="K19" s="22">
        <v>0</v>
      </c>
      <c r="L19" s="9">
        <v>1</v>
      </c>
      <c r="M19" s="9">
        <v>78375</v>
      </c>
      <c r="N19" s="9">
        <v>78375</v>
      </c>
      <c r="O19" s="9">
        <v>9405</v>
      </c>
      <c r="P19" s="9">
        <v>1</v>
      </c>
      <c r="Q19" s="9">
        <v>78375</v>
      </c>
      <c r="R19" s="9">
        <v>78375</v>
      </c>
      <c r="S19" s="9">
        <v>9405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22">
        <v>2</v>
      </c>
      <c r="AC19" s="22"/>
      <c r="AD19" s="22">
        <v>156750</v>
      </c>
      <c r="AE19" s="22">
        <v>18810</v>
      </c>
      <c r="AF19" s="9">
        <v>1</v>
      </c>
      <c r="AG19" s="9">
        <v>78375</v>
      </c>
      <c r="AH19" s="9">
        <v>78375</v>
      </c>
      <c r="AI19" s="9">
        <v>9405</v>
      </c>
      <c r="AJ19" s="9">
        <v>0</v>
      </c>
      <c r="AK19" s="9">
        <v>0</v>
      </c>
      <c r="AL19" s="9">
        <v>0</v>
      </c>
      <c r="AM19" s="9">
        <v>0</v>
      </c>
      <c r="AN19" s="9">
        <v>1</v>
      </c>
      <c r="AO19" s="9">
        <v>78375</v>
      </c>
      <c r="AP19" s="9">
        <v>78375</v>
      </c>
      <c r="AQ19" s="9">
        <v>9405</v>
      </c>
      <c r="AR19" s="9">
        <v>0</v>
      </c>
      <c r="AS19" s="9">
        <v>0</v>
      </c>
      <c r="AT19" s="9">
        <v>0</v>
      </c>
      <c r="AU19" s="9">
        <v>0</v>
      </c>
      <c r="AV19" s="22">
        <v>2</v>
      </c>
      <c r="AW19" s="22"/>
      <c r="AX19" s="22">
        <v>156750</v>
      </c>
      <c r="AY19" s="22">
        <v>18810</v>
      </c>
      <c r="AZ19" s="9">
        <v>1</v>
      </c>
      <c r="BA19" s="9">
        <v>78375</v>
      </c>
      <c r="BB19" s="9">
        <v>78375</v>
      </c>
      <c r="BC19" s="9">
        <v>9405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2</v>
      </c>
      <c r="BM19" s="9">
        <v>78375</v>
      </c>
      <c r="BN19" s="9">
        <v>156750</v>
      </c>
      <c r="BO19" s="9">
        <v>18810</v>
      </c>
      <c r="BP19" s="9">
        <v>1</v>
      </c>
      <c r="BQ19" s="9">
        <v>78375</v>
      </c>
      <c r="BR19" s="9">
        <v>78375</v>
      </c>
      <c r="BS19" s="9">
        <v>9405</v>
      </c>
      <c r="BT19" s="22">
        <v>4</v>
      </c>
      <c r="BU19" s="22"/>
      <c r="BV19" s="22">
        <v>313500</v>
      </c>
      <c r="BW19" s="22">
        <v>37620</v>
      </c>
      <c r="BX19" s="9">
        <v>1</v>
      </c>
      <c r="BY19" s="9">
        <v>78375</v>
      </c>
      <c r="BZ19" s="9">
        <v>78375</v>
      </c>
      <c r="CA19" s="9">
        <v>9405</v>
      </c>
      <c r="CB19" s="9">
        <v>1</v>
      </c>
      <c r="CC19" s="9">
        <v>78375</v>
      </c>
      <c r="CD19" s="9">
        <v>78375</v>
      </c>
      <c r="CE19" s="9">
        <v>9405</v>
      </c>
      <c r="CF19" s="9">
        <v>3</v>
      </c>
      <c r="CG19" s="9">
        <v>78375</v>
      </c>
      <c r="CH19" s="9">
        <v>235125</v>
      </c>
      <c r="CI19" s="9">
        <v>28215</v>
      </c>
      <c r="CJ19" s="9">
        <v>2</v>
      </c>
      <c r="CK19" s="9">
        <v>78375</v>
      </c>
      <c r="CL19" s="9">
        <v>156750</v>
      </c>
      <c r="CM19" s="9">
        <v>18810</v>
      </c>
      <c r="CN19" s="22">
        <v>7</v>
      </c>
      <c r="CO19" s="22"/>
      <c r="CP19" s="22">
        <v>548625</v>
      </c>
      <c r="CQ19" s="22">
        <v>65835</v>
      </c>
      <c r="CR19" s="9">
        <v>1</v>
      </c>
      <c r="CS19" s="9">
        <v>78375</v>
      </c>
      <c r="CT19" s="9">
        <v>78375</v>
      </c>
      <c r="CU19" s="9">
        <v>9405</v>
      </c>
      <c r="CV19" s="9">
        <v>1</v>
      </c>
      <c r="CW19" s="9">
        <v>78375</v>
      </c>
      <c r="CX19" s="9">
        <v>78375</v>
      </c>
      <c r="CY19" s="9">
        <v>9405</v>
      </c>
      <c r="CZ19" s="9">
        <v>2</v>
      </c>
      <c r="DA19" s="9">
        <v>78375</v>
      </c>
      <c r="DB19" s="9">
        <v>156750</v>
      </c>
      <c r="DC19" s="9">
        <v>18810</v>
      </c>
      <c r="DD19" s="9">
        <v>1</v>
      </c>
      <c r="DE19" s="9">
        <v>78375</v>
      </c>
      <c r="DF19" s="9">
        <v>78375</v>
      </c>
      <c r="DG19" s="9">
        <v>9405</v>
      </c>
      <c r="DH19" s="22">
        <v>5</v>
      </c>
      <c r="DI19" s="22"/>
      <c r="DJ19" s="22">
        <v>391875</v>
      </c>
      <c r="DK19" s="22">
        <v>47025</v>
      </c>
      <c r="DL19" s="9">
        <v>2</v>
      </c>
      <c r="DM19" s="9">
        <v>78375</v>
      </c>
      <c r="DN19" s="9">
        <v>156750</v>
      </c>
      <c r="DO19" s="9">
        <v>18810</v>
      </c>
      <c r="DP19" s="9">
        <v>3</v>
      </c>
      <c r="DQ19" s="9">
        <v>78375</v>
      </c>
      <c r="DR19" s="9">
        <v>235125</v>
      </c>
      <c r="DS19" s="9">
        <v>28215</v>
      </c>
      <c r="DT19" s="9">
        <v>1</v>
      </c>
      <c r="DU19" s="9">
        <v>78375</v>
      </c>
      <c r="DV19" s="9">
        <v>78375</v>
      </c>
      <c r="DW19" s="9">
        <v>9405</v>
      </c>
      <c r="DX19" s="9">
        <v>2</v>
      </c>
      <c r="DY19" s="9">
        <v>78375</v>
      </c>
      <c r="DZ19" s="9">
        <v>156750</v>
      </c>
      <c r="EA19" s="9">
        <v>18810</v>
      </c>
      <c r="EB19" s="9">
        <v>4</v>
      </c>
      <c r="EC19" s="9">
        <v>80300</v>
      </c>
      <c r="ED19" s="9">
        <v>317350</v>
      </c>
      <c r="EE19" s="9">
        <v>38082</v>
      </c>
      <c r="EF19" s="22">
        <v>12</v>
      </c>
      <c r="EG19" s="22"/>
      <c r="EH19" s="22">
        <v>944350</v>
      </c>
      <c r="EI19" s="22">
        <v>113322</v>
      </c>
      <c r="EJ19" s="9">
        <v>3</v>
      </c>
      <c r="EK19" s="9">
        <v>80300</v>
      </c>
      <c r="EL19" s="9">
        <v>240900</v>
      </c>
      <c r="EM19" s="9">
        <v>28908</v>
      </c>
      <c r="EN19" s="9">
        <v>0</v>
      </c>
      <c r="EO19" s="9">
        <v>0</v>
      </c>
      <c r="EP19" s="9">
        <v>0</v>
      </c>
      <c r="EQ19" s="9">
        <v>0</v>
      </c>
      <c r="ER19" s="9">
        <v>2</v>
      </c>
      <c r="ES19" s="9">
        <v>80300</v>
      </c>
      <c r="ET19" s="9">
        <v>160600</v>
      </c>
      <c r="EU19" s="9">
        <v>19272</v>
      </c>
      <c r="EV19" s="9">
        <v>3</v>
      </c>
      <c r="EW19" s="9">
        <v>80300</v>
      </c>
      <c r="EX19" s="9">
        <v>240900</v>
      </c>
      <c r="EY19" s="9">
        <v>28908</v>
      </c>
      <c r="EZ19" s="22">
        <v>8</v>
      </c>
      <c r="FA19" s="22"/>
      <c r="FB19" s="22">
        <v>642400</v>
      </c>
      <c r="FC19" s="22">
        <v>77088</v>
      </c>
      <c r="FD19" s="9">
        <v>1</v>
      </c>
      <c r="FE19" s="9">
        <v>80300</v>
      </c>
      <c r="FF19" s="9">
        <v>80300</v>
      </c>
      <c r="FG19" s="9">
        <v>9636</v>
      </c>
      <c r="FH19" s="9">
        <v>2</v>
      </c>
      <c r="FI19" s="9">
        <v>80300</v>
      </c>
      <c r="FJ19" s="9">
        <v>160600</v>
      </c>
      <c r="FK19" s="9">
        <v>19272</v>
      </c>
      <c r="FL19" s="9">
        <v>1</v>
      </c>
      <c r="FM19" s="9">
        <v>80300</v>
      </c>
      <c r="FN19" s="9">
        <v>80300</v>
      </c>
      <c r="FO19" s="9">
        <v>9636</v>
      </c>
      <c r="FP19" s="9">
        <v>3</v>
      </c>
      <c r="FQ19" s="9">
        <v>80300</v>
      </c>
      <c r="FR19" s="9">
        <v>240900</v>
      </c>
      <c r="FS19" s="9">
        <v>28908</v>
      </c>
      <c r="FT19" s="22">
        <v>7</v>
      </c>
      <c r="FU19" s="22"/>
      <c r="FV19" s="22">
        <v>562100</v>
      </c>
      <c r="FW19" s="22">
        <v>67452</v>
      </c>
      <c r="FX19" s="9">
        <v>1</v>
      </c>
      <c r="FY19" s="9">
        <v>80300</v>
      </c>
      <c r="FZ19" s="9">
        <v>80300</v>
      </c>
      <c r="GA19" s="9">
        <v>9636</v>
      </c>
      <c r="GB19" s="9">
        <v>1</v>
      </c>
      <c r="GC19" s="9">
        <v>80300</v>
      </c>
      <c r="GD19" s="9">
        <v>80300</v>
      </c>
      <c r="GE19" s="9">
        <v>9636</v>
      </c>
      <c r="GF19" s="9">
        <v>1</v>
      </c>
      <c r="GG19" s="9">
        <v>80300</v>
      </c>
      <c r="GH19" s="9">
        <v>80300</v>
      </c>
      <c r="GI19" s="9">
        <v>9636</v>
      </c>
      <c r="GJ19" s="9">
        <v>1</v>
      </c>
      <c r="GK19" s="9">
        <v>80300</v>
      </c>
      <c r="GL19" s="9">
        <v>80300</v>
      </c>
      <c r="GM19" s="9">
        <v>9636</v>
      </c>
      <c r="GN19" s="9">
        <v>0</v>
      </c>
      <c r="GO19" s="9">
        <v>0</v>
      </c>
      <c r="GP19" s="9">
        <v>0</v>
      </c>
      <c r="GQ19" s="9">
        <v>0</v>
      </c>
      <c r="GR19" s="22">
        <v>4</v>
      </c>
      <c r="GS19" s="22"/>
      <c r="GT19" s="22">
        <v>321200</v>
      </c>
      <c r="GU19" s="22">
        <v>38544</v>
      </c>
      <c r="GV19" s="9">
        <v>1</v>
      </c>
      <c r="GW19" s="9">
        <v>80300</v>
      </c>
      <c r="GX19" s="9">
        <v>80300</v>
      </c>
      <c r="GY19" s="9">
        <v>9636</v>
      </c>
      <c r="GZ19" s="9">
        <v>1</v>
      </c>
      <c r="HA19" s="9">
        <v>80300</v>
      </c>
      <c r="HB19" s="9">
        <v>80300</v>
      </c>
      <c r="HC19" s="9">
        <v>9636</v>
      </c>
      <c r="HD19" s="9">
        <v>0</v>
      </c>
      <c r="HE19" s="9">
        <v>0</v>
      </c>
      <c r="HF19" s="9">
        <v>0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22">
        <v>2</v>
      </c>
      <c r="HM19" s="22"/>
      <c r="HN19" s="22">
        <v>160600</v>
      </c>
      <c r="HO19" s="22">
        <v>19272</v>
      </c>
      <c r="HP19" s="9">
        <v>0</v>
      </c>
      <c r="HQ19" s="9">
        <v>0</v>
      </c>
      <c r="HR19" s="9">
        <v>0</v>
      </c>
      <c r="HS19" s="9">
        <v>0</v>
      </c>
      <c r="HT19" s="9">
        <v>1</v>
      </c>
      <c r="HU19" s="9">
        <v>80300</v>
      </c>
      <c r="HV19" s="9">
        <v>80300</v>
      </c>
      <c r="HW19" s="9">
        <v>9636</v>
      </c>
      <c r="HX19" s="9">
        <v>1</v>
      </c>
      <c r="HY19" s="9">
        <v>80300</v>
      </c>
      <c r="HZ19" s="9">
        <v>80300</v>
      </c>
      <c r="IA19" s="9">
        <v>9636</v>
      </c>
      <c r="IB19" s="9">
        <v>1</v>
      </c>
      <c r="IC19" s="9">
        <v>80300</v>
      </c>
      <c r="ID19" s="9">
        <v>80300</v>
      </c>
      <c r="IE19" s="9">
        <v>9636</v>
      </c>
      <c r="IF19" s="22">
        <v>3</v>
      </c>
      <c r="IG19" s="22"/>
      <c r="IH19" s="22">
        <v>240900</v>
      </c>
      <c r="II19" s="22">
        <v>28908</v>
      </c>
      <c r="IJ19" s="9">
        <v>0</v>
      </c>
      <c r="IK19" s="9">
        <v>0</v>
      </c>
      <c r="IL19" s="9">
        <v>0</v>
      </c>
      <c r="IM19" s="9">
        <v>0</v>
      </c>
      <c r="IN19" s="9">
        <v>0</v>
      </c>
      <c r="IO19" s="9">
        <v>0</v>
      </c>
      <c r="IP19" s="9">
        <v>0</v>
      </c>
      <c r="IQ19" s="9">
        <v>0</v>
      </c>
      <c r="IR19" s="9">
        <v>1</v>
      </c>
      <c r="IS19" s="9">
        <v>80300</v>
      </c>
      <c r="IT19" s="9">
        <v>80300</v>
      </c>
      <c r="IU19" s="9">
        <v>9636</v>
      </c>
      <c r="IV19" s="9">
        <v>0</v>
      </c>
      <c r="IW19" s="9">
        <v>0</v>
      </c>
      <c r="IX19" s="9">
        <v>0</v>
      </c>
      <c r="IY19" s="9">
        <v>0</v>
      </c>
      <c r="IZ19" s="9">
        <v>0</v>
      </c>
      <c r="JA19" s="9">
        <v>0</v>
      </c>
      <c r="JB19" s="9">
        <v>0</v>
      </c>
      <c r="JC19" s="9">
        <v>0</v>
      </c>
      <c r="JD19" s="22">
        <v>1</v>
      </c>
      <c r="JE19" s="22"/>
      <c r="JF19" s="22">
        <v>80300</v>
      </c>
      <c r="JG19" s="22">
        <v>9636</v>
      </c>
      <c r="JH19" s="9">
        <v>1</v>
      </c>
      <c r="JI19" s="9">
        <v>80300</v>
      </c>
      <c r="JJ19" s="9">
        <v>80300</v>
      </c>
      <c r="JK19" s="9">
        <v>9636</v>
      </c>
      <c r="JL19" s="9">
        <v>1</v>
      </c>
      <c r="JM19" s="9">
        <v>80300</v>
      </c>
      <c r="JN19" s="9">
        <v>80300</v>
      </c>
      <c r="JO19" s="9">
        <v>9636</v>
      </c>
      <c r="JP19" s="9">
        <v>0</v>
      </c>
      <c r="JQ19" s="9">
        <v>0</v>
      </c>
      <c r="JR19" s="9">
        <v>0</v>
      </c>
      <c r="JS19" s="9">
        <v>0</v>
      </c>
      <c r="JT19" s="9">
        <v>0</v>
      </c>
      <c r="JU19" s="9">
        <v>0</v>
      </c>
      <c r="JV19" s="9">
        <v>0</v>
      </c>
      <c r="JW19" s="9">
        <v>0</v>
      </c>
      <c r="JX19" s="22">
        <v>2</v>
      </c>
      <c r="JY19" s="22"/>
      <c r="JZ19" s="22">
        <v>160600</v>
      </c>
      <c r="KA19" s="22">
        <v>19272</v>
      </c>
      <c r="KB19" s="9">
        <v>0</v>
      </c>
      <c r="KC19" s="9">
        <v>0</v>
      </c>
      <c r="KD19" s="9">
        <v>0</v>
      </c>
      <c r="KE19" s="9">
        <v>0</v>
      </c>
      <c r="KF19" s="9">
        <v>0</v>
      </c>
      <c r="KG19" s="9">
        <v>0</v>
      </c>
      <c r="KH19" s="9">
        <v>0</v>
      </c>
      <c r="KI19" s="9">
        <v>0</v>
      </c>
      <c r="KJ19" s="9">
        <v>0</v>
      </c>
      <c r="KK19" s="9">
        <v>0</v>
      </c>
      <c r="KL19" s="9">
        <v>0</v>
      </c>
      <c r="KM19" s="9">
        <v>0</v>
      </c>
      <c r="KN19" s="9">
        <v>0</v>
      </c>
      <c r="KO19" s="9">
        <v>0</v>
      </c>
      <c r="KP19" s="9">
        <v>0</v>
      </c>
      <c r="KQ19" s="9">
        <v>0</v>
      </c>
      <c r="KR19" s="22">
        <v>0</v>
      </c>
      <c r="KS19" s="22"/>
      <c r="KT19" s="22">
        <v>0</v>
      </c>
      <c r="KU19" s="22">
        <v>0</v>
      </c>
      <c r="KV19" s="22">
        <v>59</v>
      </c>
      <c r="KW19" s="22"/>
      <c r="KX19" s="22">
        <v>4679950</v>
      </c>
      <c r="KY19" s="22">
        <v>561594</v>
      </c>
    </row>
    <row r="20" spans="1:311" ht="16.95" customHeight="1" x14ac:dyDescent="0.4">
      <c r="A20" s="12"/>
      <c r="B20" s="12" t="s">
        <v>153</v>
      </c>
      <c r="C20" s="12" t="s">
        <v>395</v>
      </c>
      <c r="D20" s="10">
        <v>0</v>
      </c>
      <c r="E20" s="10">
        <v>0</v>
      </c>
      <c r="F20" s="10">
        <v>0</v>
      </c>
      <c r="G20" s="10">
        <v>0</v>
      </c>
      <c r="H20" s="21">
        <v>0</v>
      </c>
      <c r="I20" s="21">
        <v>0</v>
      </c>
      <c r="J20" s="21">
        <v>0</v>
      </c>
      <c r="K20" s="21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21">
        <v>0</v>
      </c>
      <c r="AC20" s="21">
        <v>0</v>
      </c>
      <c r="AD20" s="21">
        <v>0</v>
      </c>
      <c r="AE20" s="21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21">
        <v>0</v>
      </c>
      <c r="AW20" s="21">
        <v>0</v>
      </c>
      <c r="AX20" s="21">
        <v>0</v>
      </c>
      <c r="AY20" s="21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13</v>
      </c>
      <c r="BQ20" s="10">
        <v>0</v>
      </c>
      <c r="BR20" s="10">
        <v>689975</v>
      </c>
      <c r="BS20" s="10">
        <v>82797</v>
      </c>
      <c r="BT20" s="21">
        <v>13</v>
      </c>
      <c r="BU20" s="21">
        <v>0</v>
      </c>
      <c r="BV20" s="21">
        <v>689975</v>
      </c>
      <c r="BW20" s="21">
        <v>82797</v>
      </c>
      <c r="BX20" s="10">
        <v>0</v>
      </c>
      <c r="BY20" s="10">
        <v>0</v>
      </c>
      <c r="BZ20" s="10">
        <v>0</v>
      </c>
      <c r="CA20" s="10">
        <v>0</v>
      </c>
      <c r="CB20" s="10">
        <v>10</v>
      </c>
      <c r="CC20" s="10">
        <v>0</v>
      </c>
      <c r="CD20" s="10">
        <v>633743</v>
      </c>
      <c r="CE20" s="10">
        <v>76049.2</v>
      </c>
      <c r="CF20" s="10">
        <v>0</v>
      </c>
      <c r="CG20" s="10">
        <v>0</v>
      </c>
      <c r="CH20" s="10">
        <v>0</v>
      </c>
      <c r="CI20" s="10">
        <v>0</v>
      </c>
      <c r="CJ20" s="10">
        <v>18</v>
      </c>
      <c r="CK20" s="10">
        <v>0</v>
      </c>
      <c r="CL20" s="10">
        <v>1047343</v>
      </c>
      <c r="CM20" s="10">
        <v>125681.2</v>
      </c>
      <c r="CN20" s="21">
        <v>28</v>
      </c>
      <c r="CO20" s="21">
        <v>0</v>
      </c>
      <c r="CP20" s="21">
        <v>1681086</v>
      </c>
      <c r="CQ20" s="21">
        <v>201730.3</v>
      </c>
      <c r="CR20" s="10">
        <v>13</v>
      </c>
      <c r="CS20" s="10">
        <v>0</v>
      </c>
      <c r="CT20" s="10">
        <v>787743</v>
      </c>
      <c r="CU20" s="10">
        <v>94529.2</v>
      </c>
      <c r="CV20" s="10">
        <v>0</v>
      </c>
      <c r="CW20" s="10">
        <v>0</v>
      </c>
      <c r="CX20" s="10">
        <v>0</v>
      </c>
      <c r="CY20" s="10">
        <v>0</v>
      </c>
      <c r="CZ20" s="10">
        <v>10</v>
      </c>
      <c r="DA20" s="10">
        <v>0</v>
      </c>
      <c r="DB20" s="10">
        <v>462000</v>
      </c>
      <c r="DC20" s="10">
        <v>55440</v>
      </c>
      <c r="DD20" s="10">
        <v>10</v>
      </c>
      <c r="DE20" s="10">
        <v>0</v>
      </c>
      <c r="DF20" s="10">
        <v>675543</v>
      </c>
      <c r="DG20" s="10">
        <v>81065.2</v>
      </c>
      <c r="DH20" s="21">
        <v>33</v>
      </c>
      <c r="DI20" s="21">
        <v>0</v>
      </c>
      <c r="DJ20" s="21">
        <v>1925286</v>
      </c>
      <c r="DK20" s="21">
        <v>231034.3</v>
      </c>
      <c r="DL20" s="10">
        <v>8</v>
      </c>
      <c r="DM20" s="10">
        <v>0</v>
      </c>
      <c r="DN20" s="10">
        <v>596585</v>
      </c>
      <c r="DO20" s="10">
        <v>71590.2</v>
      </c>
      <c r="DP20" s="10">
        <v>19</v>
      </c>
      <c r="DQ20" s="10">
        <v>0</v>
      </c>
      <c r="DR20" s="10">
        <v>1170785</v>
      </c>
      <c r="DS20" s="10">
        <v>140494.20000000001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9</v>
      </c>
      <c r="EC20" s="10">
        <v>0</v>
      </c>
      <c r="ED20" s="10">
        <v>591525</v>
      </c>
      <c r="EE20" s="10">
        <v>70983</v>
      </c>
      <c r="EF20" s="21">
        <v>36</v>
      </c>
      <c r="EG20" s="21">
        <v>0</v>
      </c>
      <c r="EH20" s="21">
        <v>2358895</v>
      </c>
      <c r="EI20" s="21">
        <v>283067.40000000002</v>
      </c>
      <c r="EJ20" s="10">
        <v>7</v>
      </c>
      <c r="EK20" s="10">
        <v>0</v>
      </c>
      <c r="EL20" s="10">
        <v>323400</v>
      </c>
      <c r="EM20" s="10">
        <v>38808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8</v>
      </c>
      <c r="EW20" s="10">
        <v>0</v>
      </c>
      <c r="EX20" s="10">
        <v>500918</v>
      </c>
      <c r="EY20" s="10">
        <v>60110.2</v>
      </c>
      <c r="EZ20" s="21">
        <v>15</v>
      </c>
      <c r="FA20" s="21">
        <v>0</v>
      </c>
      <c r="FB20" s="21">
        <v>824318</v>
      </c>
      <c r="FC20" s="21">
        <v>98918.2</v>
      </c>
      <c r="FD20" s="10">
        <v>11</v>
      </c>
      <c r="FE20" s="10">
        <v>0</v>
      </c>
      <c r="FF20" s="10">
        <v>669218</v>
      </c>
      <c r="FG20" s="10">
        <v>80306.2</v>
      </c>
      <c r="FH20" s="10">
        <v>0</v>
      </c>
      <c r="FI20" s="10">
        <v>0</v>
      </c>
      <c r="FJ20" s="10">
        <v>0</v>
      </c>
      <c r="FK20" s="10">
        <v>0</v>
      </c>
      <c r="FL20" s="10">
        <v>8</v>
      </c>
      <c r="FM20" s="10">
        <v>0</v>
      </c>
      <c r="FN20" s="10">
        <v>486068</v>
      </c>
      <c r="FO20" s="10">
        <v>58328.2</v>
      </c>
      <c r="FP20" s="10">
        <v>9</v>
      </c>
      <c r="FQ20" s="10">
        <v>0</v>
      </c>
      <c r="FR20" s="10">
        <v>576092</v>
      </c>
      <c r="FS20" s="10">
        <v>69131</v>
      </c>
      <c r="FT20" s="21">
        <v>28</v>
      </c>
      <c r="FU20" s="21">
        <v>0</v>
      </c>
      <c r="FV20" s="21">
        <v>1731378</v>
      </c>
      <c r="FW20" s="21">
        <v>207765.3</v>
      </c>
      <c r="FX20" s="10">
        <v>9</v>
      </c>
      <c r="FY20" s="10">
        <v>0</v>
      </c>
      <c r="FZ20" s="10">
        <v>561968</v>
      </c>
      <c r="GA20" s="10">
        <v>67436.2</v>
      </c>
      <c r="GB20" s="10">
        <v>8</v>
      </c>
      <c r="GC20" s="10">
        <v>0</v>
      </c>
      <c r="GD20" s="10">
        <v>437800</v>
      </c>
      <c r="GE20" s="10">
        <v>52536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29</v>
      </c>
      <c r="GO20" s="10">
        <v>0</v>
      </c>
      <c r="GP20" s="10">
        <v>1690810</v>
      </c>
      <c r="GQ20" s="10">
        <v>202897.2</v>
      </c>
      <c r="GR20" s="21">
        <v>46</v>
      </c>
      <c r="GS20" s="21">
        <v>0</v>
      </c>
      <c r="GT20" s="21">
        <v>2690578</v>
      </c>
      <c r="GU20" s="21">
        <v>322869.3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4</v>
      </c>
      <c r="HI20" s="10">
        <v>0</v>
      </c>
      <c r="HJ20" s="10">
        <v>335368</v>
      </c>
      <c r="HK20" s="10">
        <v>40244.199999999997</v>
      </c>
      <c r="HL20" s="21">
        <v>4</v>
      </c>
      <c r="HM20" s="21">
        <v>0</v>
      </c>
      <c r="HN20" s="21">
        <v>335368</v>
      </c>
      <c r="HO20" s="21">
        <v>40244.199999999997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>
        <v>0</v>
      </c>
      <c r="IC20" s="10">
        <v>0</v>
      </c>
      <c r="ID20" s="10">
        <v>0</v>
      </c>
      <c r="IE20" s="10">
        <v>0</v>
      </c>
      <c r="IF20" s="21">
        <v>0</v>
      </c>
      <c r="IG20" s="21">
        <v>0</v>
      </c>
      <c r="IH20" s="21">
        <v>0</v>
      </c>
      <c r="II20" s="21">
        <v>0</v>
      </c>
      <c r="IJ20" s="10">
        <v>0</v>
      </c>
      <c r="IK20" s="10">
        <v>0</v>
      </c>
      <c r="IL20" s="10">
        <v>0</v>
      </c>
      <c r="IM20" s="10">
        <v>0</v>
      </c>
      <c r="IN20" s="10">
        <v>0</v>
      </c>
      <c r="IO20" s="10">
        <v>0</v>
      </c>
      <c r="IP20" s="10">
        <v>0</v>
      </c>
      <c r="IQ20" s="10">
        <v>0</v>
      </c>
      <c r="IR20" s="10">
        <v>0</v>
      </c>
      <c r="IS20" s="10">
        <v>0</v>
      </c>
      <c r="IT20" s="10">
        <v>0</v>
      </c>
      <c r="IU20" s="10">
        <v>0</v>
      </c>
      <c r="IV20" s="10">
        <v>0</v>
      </c>
      <c r="IW20" s="10">
        <v>0</v>
      </c>
      <c r="IX20" s="10">
        <v>0</v>
      </c>
      <c r="IY20" s="10">
        <v>0</v>
      </c>
      <c r="IZ20" s="10">
        <v>0</v>
      </c>
      <c r="JA20" s="10">
        <v>0</v>
      </c>
      <c r="JB20" s="10">
        <v>0</v>
      </c>
      <c r="JC20" s="10">
        <v>0</v>
      </c>
      <c r="JD20" s="21">
        <v>0</v>
      </c>
      <c r="JE20" s="21">
        <v>0</v>
      </c>
      <c r="JF20" s="21">
        <v>0</v>
      </c>
      <c r="JG20" s="21">
        <v>0</v>
      </c>
      <c r="JH20" s="10">
        <v>0</v>
      </c>
      <c r="JI20" s="10">
        <v>0</v>
      </c>
      <c r="JJ20" s="10">
        <v>0</v>
      </c>
      <c r="JK20" s="10">
        <v>0</v>
      </c>
      <c r="JL20" s="10">
        <v>0</v>
      </c>
      <c r="JM20" s="10">
        <v>0</v>
      </c>
      <c r="JN20" s="10">
        <v>0</v>
      </c>
      <c r="JO20" s="10">
        <v>0</v>
      </c>
      <c r="JP20" s="10">
        <v>0</v>
      </c>
      <c r="JQ20" s="10">
        <v>0</v>
      </c>
      <c r="JR20" s="10">
        <v>0</v>
      </c>
      <c r="JS20" s="10">
        <v>0</v>
      </c>
      <c r="JT20" s="10">
        <v>0</v>
      </c>
      <c r="JU20" s="10">
        <v>0</v>
      </c>
      <c r="JV20" s="10">
        <v>0</v>
      </c>
      <c r="JW20" s="10">
        <v>0</v>
      </c>
      <c r="JX20" s="21">
        <v>0</v>
      </c>
      <c r="JY20" s="21">
        <v>0</v>
      </c>
      <c r="JZ20" s="21">
        <v>0</v>
      </c>
      <c r="KA20" s="21">
        <v>0</v>
      </c>
      <c r="KB20" s="10">
        <v>0</v>
      </c>
      <c r="KC20" s="10">
        <v>0</v>
      </c>
      <c r="KD20" s="10">
        <v>0</v>
      </c>
      <c r="KE20" s="10">
        <v>0</v>
      </c>
      <c r="KF20" s="10">
        <v>0</v>
      </c>
      <c r="KG20" s="10">
        <v>0</v>
      </c>
      <c r="KH20" s="10">
        <v>0</v>
      </c>
      <c r="KI20" s="10">
        <v>0</v>
      </c>
      <c r="KJ20" s="10">
        <v>0</v>
      </c>
      <c r="KK20" s="10">
        <v>0</v>
      </c>
      <c r="KL20" s="10">
        <v>0</v>
      </c>
      <c r="KM20" s="10">
        <v>0</v>
      </c>
      <c r="KN20" s="10">
        <v>0</v>
      </c>
      <c r="KO20" s="10">
        <v>0</v>
      </c>
      <c r="KP20" s="10">
        <v>0</v>
      </c>
      <c r="KQ20" s="10">
        <v>0</v>
      </c>
      <c r="KR20" s="21">
        <v>0</v>
      </c>
      <c r="KS20" s="21">
        <v>0</v>
      </c>
      <c r="KT20" s="21">
        <v>0</v>
      </c>
      <c r="KU20" s="21">
        <v>0</v>
      </c>
      <c r="KV20" s="21">
        <v>203</v>
      </c>
      <c r="KW20" s="21">
        <v>0</v>
      </c>
      <c r="KX20" s="21">
        <v>12236884</v>
      </c>
      <c r="KY20" s="21">
        <v>1468426.1</v>
      </c>
    </row>
    <row r="21" spans="1:311" ht="16.95" customHeight="1" x14ac:dyDescent="0.4">
      <c r="A21" s="11"/>
      <c r="B21" s="11"/>
      <c r="C21" s="11" t="s">
        <v>32</v>
      </c>
      <c r="D21" s="9">
        <v>0</v>
      </c>
      <c r="E21" s="9">
        <v>0</v>
      </c>
      <c r="F21" s="9">
        <v>0</v>
      </c>
      <c r="G21" s="9">
        <v>0</v>
      </c>
      <c r="H21" s="22">
        <v>0</v>
      </c>
      <c r="I21" s="22"/>
      <c r="J21" s="22">
        <v>0</v>
      </c>
      <c r="K21" s="22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22">
        <v>0</v>
      </c>
      <c r="AC21" s="22"/>
      <c r="AD21" s="22">
        <v>0</v>
      </c>
      <c r="AE21" s="22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22">
        <v>0</v>
      </c>
      <c r="AW21" s="22"/>
      <c r="AX21" s="22">
        <v>0</v>
      </c>
      <c r="AY21" s="22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2</v>
      </c>
      <c r="BQ21" s="9">
        <v>48400</v>
      </c>
      <c r="BR21" s="9">
        <v>96800</v>
      </c>
      <c r="BS21" s="9">
        <v>11616</v>
      </c>
      <c r="BT21" s="22">
        <v>2</v>
      </c>
      <c r="BU21" s="22"/>
      <c r="BV21" s="22">
        <v>96800</v>
      </c>
      <c r="BW21" s="22">
        <v>11616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2</v>
      </c>
      <c r="CK21" s="9">
        <v>48400</v>
      </c>
      <c r="CL21" s="9">
        <v>96800</v>
      </c>
      <c r="CM21" s="9">
        <v>11616</v>
      </c>
      <c r="CN21" s="22">
        <v>2</v>
      </c>
      <c r="CO21" s="22"/>
      <c r="CP21" s="22">
        <v>96800</v>
      </c>
      <c r="CQ21" s="22">
        <v>11616</v>
      </c>
      <c r="CR21" s="9">
        <v>1</v>
      </c>
      <c r="CS21" s="9">
        <v>48400</v>
      </c>
      <c r="CT21" s="9">
        <v>48400</v>
      </c>
      <c r="CU21" s="9">
        <v>5808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9">
        <v>1</v>
      </c>
      <c r="DE21" s="9">
        <v>48400</v>
      </c>
      <c r="DF21" s="9">
        <v>48400</v>
      </c>
      <c r="DG21" s="9">
        <v>5808</v>
      </c>
      <c r="DH21" s="22">
        <v>2</v>
      </c>
      <c r="DI21" s="22"/>
      <c r="DJ21" s="22">
        <v>96800</v>
      </c>
      <c r="DK21" s="22">
        <v>11616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0</v>
      </c>
      <c r="DY21" s="9">
        <v>0</v>
      </c>
      <c r="DZ21" s="9">
        <v>0</v>
      </c>
      <c r="EA21" s="9">
        <v>0</v>
      </c>
      <c r="EB21" s="9">
        <v>0</v>
      </c>
      <c r="EC21" s="9">
        <v>0</v>
      </c>
      <c r="ED21" s="9">
        <v>0</v>
      </c>
      <c r="EE21" s="9">
        <v>0</v>
      </c>
      <c r="EF21" s="22">
        <v>0</v>
      </c>
      <c r="EG21" s="22"/>
      <c r="EH21" s="22">
        <v>0</v>
      </c>
      <c r="EI21" s="22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22">
        <v>0</v>
      </c>
      <c r="FA21" s="22"/>
      <c r="FB21" s="22">
        <v>0</v>
      </c>
      <c r="FC21" s="22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22">
        <v>0</v>
      </c>
      <c r="FU21" s="22"/>
      <c r="FV21" s="22">
        <v>0</v>
      </c>
      <c r="FW21" s="22">
        <v>0</v>
      </c>
      <c r="FX21" s="9">
        <v>0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9">
        <v>0</v>
      </c>
      <c r="GK21" s="9">
        <v>0</v>
      </c>
      <c r="GL21" s="9">
        <v>0</v>
      </c>
      <c r="GM21" s="9">
        <v>0</v>
      </c>
      <c r="GN21" s="9">
        <v>0</v>
      </c>
      <c r="GO21" s="9">
        <v>0</v>
      </c>
      <c r="GP21" s="9">
        <v>0</v>
      </c>
      <c r="GQ21" s="9">
        <v>0</v>
      </c>
      <c r="GR21" s="22">
        <v>0</v>
      </c>
      <c r="GS21" s="22"/>
      <c r="GT21" s="22">
        <v>0</v>
      </c>
      <c r="GU21" s="22">
        <v>0</v>
      </c>
      <c r="GV21" s="9">
        <v>0</v>
      </c>
      <c r="GW21" s="9">
        <v>0</v>
      </c>
      <c r="GX21" s="9">
        <v>0</v>
      </c>
      <c r="GY21" s="9">
        <v>0</v>
      </c>
      <c r="GZ21" s="9">
        <v>0</v>
      </c>
      <c r="HA21" s="9">
        <v>0</v>
      </c>
      <c r="HB21" s="9">
        <v>0</v>
      </c>
      <c r="HC21" s="9">
        <v>0</v>
      </c>
      <c r="HD21" s="9">
        <v>0</v>
      </c>
      <c r="HE21" s="9">
        <v>0</v>
      </c>
      <c r="HF21" s="9">
        <v>0</v>
      </c>
      <c r="HG21" s="9">
        <v>0</v>
      </c>
      <c r="HH21" s="9">
        <v>0</v>
      </c>
      <c r="HI21" s="9">
        <v>0</v>
      </c>
      <c r="HJ21" s="9">
        <v>0</v>
      </c>
      <c r="HK21" s="9">
        <v>0</v>
      </c>
      <c r="HL21" s="22">
        <v>0</v>
      </c>
      <c r="HM21" s="22"/>
      <c r="HN21" s="22">
        <v>0</v>
      </c>
      <c r="HO21" s="22">
        <v>0</v>
      </c>
      <c r="HP21" s="9">
        <v>0</v>
      </c>
      <c r="HQ21" s="9">
        <v>0</v>
      </c>
      <c r="HR21" s="9">
        <v>0</v>
      </c>
      <c r="HS21" s="9">
        <v>0</v>
      </c>
      <c r="HT21" s="9">
        <v>0</v>
      </c>
      <c r="HU21" s="9">
        <v>0</v>
      </c>
      <c r="HV21" s="9">
        <v>0</v>
      </c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9">
        <v>0</v>
      </c>
      <c r="IC21" s="9">
        <v>0</v>
      </c>
      <c r="ID21" s="9">
        <v>0</v>
      </c>
      <c r="IE21" s="9">
        <v>0</v>
      </c>
      <c r="IF21" s="22">
        <v>0</v>
      </c>
      <c r="IG21" s="22"/>
      <c r="IH21" s="22">
        <v>0</v>
      </c>
      <c r="II21" s="22">
        <v>0</v>
      </c>
      <c r="IJ21" s="9">
        <v>0</v>
      </c>
      <c r="IK21" s="9">
        <v>0</v>
      </c>
      <c r="IL21" s="9">
        <v>0</v>
      </c>
      <c r="IM21" s="9">
        <v>0</v>
      </c>
      <c r="IN21" s="9">
        <v>0</v>
      </c>
      <c r="IO21" s="9">
        <v>0</v>
      </c>
      <c r="IP21" s="9">
        <v>0</v>
      </c>
      <c r="IQ21" s="9">
        <v>0</v>
      </c>
      <c r="IR21" s="9">
        <v>0</v>
      </c>
      <c r="IS21" s="9">
        <v>0</v>
      </c>
      <c r="IT21" s="9">
        <v>0</v>
      </c>
      <c r="IU21" s="9">
        <v>0</v>
      </c>
      <c r="IV21" s="9">
        <v>0</v>
      </c>
      <c r="IW21" s="9">
        <v>0</v>
      </c>
      <c r="IX21" s="9">
        <v>0</v>
      </c>
      <c r="IY21" s="9">
        <v>0</v>
      </c>
      <c r="IZ21" s="9">
        <v>0</v>
      </c>
      <c r="JA21" s="9">
        <v>0</v>
      </c>
      <c r="JB21" s="9">
        <v>0</v>
      </c>
      <c r="JC21" s="9">
        <v>0</v>
      </c>
      <c r="JD21" s="22">
        <v>0</v>
      </c>
      <c r="JE21" s="22"/>
      <c r="JF21" s="22">
        <v>0</v>
      </c>
      <c r="JG21" s="22">
        <v>0</v>
      </c>
      <c r="JH21" s="9">
        <v>0</v>
      </c>
      <c r="JI21" s="9">
        <v>0</v>
      </c>
      <c r="JJ21" s="9">
        <v>0</v>
      </c>
      <c r="JK21" s="9">
        <v>0</v>
      </c>
      <c r="JL21" s="9">
        <v>0</v>
      </c>
      <c r="JM21" s="9">
        <v>0</v>
      </c>
      <c r="JN21" s="9">
        <v>0</v>
      </c>
      <c r="JO21" s="9">
        <v>0</v>
      </c>
      <c r="JP21" s="9">
        <v>0</v>
      </c>
      <c r="JQ21" s="9">
        <v>0</v>
      </c>
      <c r="JR21" s="9">
        <v>0</v>
      </c>
      <c r="JS21" s="9">
        <v>0</v>
      </c>
      <c r="JT21" s="9">
        <v>0</v>
      </c>
      <c r="JU21" s="9">
        <v>0</v>
      </c>
      <c r="JV21" s="9">
        <v>0</v>
      </c>
      <c r="JW21" s="9">
        <v>0</v>
      </c>
      <c r="JX21" s="22">
        <v>0</v>
      </c>
      <c r="JY21" s="22"/>
      <c r="JZ21" s="22">
        <v>0</v>
      </c>
      <c r="KA21" s="22">
        <v>0</v>
      </c>
      <c r="KB21" s="9">
        <v>0</v>
      </c>
      <c r="KC21" s="9">
        <v>0</v>
      </c>
      <c r="KD21" s="9">
        <v>0</v>
      </c>
      <c r="KE21" s="9">
        <v>0</v>
      </c>
      <c r="KF21" s="9">
        <v>0</v>
      </c>
      <c r="KG21" s="9">
        <v>0</v>
      </c>
      <c r="KH21" s="9">
        <v>0</v>
      </c>
      <c r="KI21" s="9">
        <v>0</v>
      </c>
      <c r="KJ21" s="9">
        <v>0</v>
      </c>
      <c r="KK21" s="9">
        <v>0</v>
      </c>
      <c r="KL21" s="9">
        <v>0</v>
      </c>
      <c r="KM21" s="9">
        <v>0</v>
      </c>
      <c r="KN21" s="9">
        <v>0</v>
      </c>
      <c r="KO21" s="9">
        <v>0</v>
      </c>
      <c r="KP21" s="9">
        <v>0</v>
      </c>
      <c r="KQ21" s="9">
        <v>0</v>
      </c>
      <c r="KR21" s="22">
        <v>0</v>
      </c>
      <c r="KS21" s="22"/>
      <c r="KT21" s="22">
        <v>0</v>
      </c>
      <c r="KU21" s="22">
        <v>0</v>
      </c>
      <c r="KV21" s="22">
        <v>6</v>
      </c>
      <c r="KW21" s="22"/>
      <c r="KX21" s="22">
        <v>290400</v>
      </c>
      <c r="KY21" s="22">
        <v>34848</v>
      </c>
    </row>
    <row r="22" spans="1:311" ht="16.95" customHeight="1" x14ac:dyDescent="0.4">
      <c r="A22" s="15"/>
      <c r="B22" s="15"/>
      <c r="C22" s="15" t="s">
        <v>58</v>
      </c>
      <c r="D22" s="16">
        <v>0</v>
      </c>
      <c r="E22" s="16">
        <v>0</v>
      </c>
      <c r="F22" s="16">
        <v>0</v>
      </c>
      <c r="G22" s="16">
        <v>0</v>
      </c>
      <c r="H22" s="23">
        <v>0</v>
      </c>
      <c r="I22" s="23"/>
      <c r="J22" s="23">
        <v>0</v>
      </c>
      <c r="K22" s="23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23">
        <v>0</v>
      </c>
      <c r="AC22" s="23"/>
      <c r="AD22" s="23">
        <v>0</v>
      </c>
      <c r="AE22" s="23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23">
        <v>0</v>
      </c>
      <c r="AW22" s="23"/>
      <c r="AX22" s="23">
        <v>0</v>
      </c>
      <c r="AY22" s="23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23">
        <v>0</v>
      </c>
      <c r="BU22" s="23"/>
      <c r="BV22" s="23">
        <v>0</v>
      </c>
      <c r="BW22" s="23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1</v>
      </c>
      <c r="CC22" s="16">
        <v>132968</v>
      </c>
      <c r="CD22" s="16">
        <v>132968</v>
      </c>
      <c r="CE22" s="16">
        <v>15956.2</v>
      </c>
      <c r="CF22" s="16">
        <v>0</v>
      </c>
      <c r="CG22" s="16">
        <v>0</v>
      </c>
      <c r="CH22" s="16">
        <v>0</v>
      </c>
      <c r="CI22" s="16">
        <v>0</v>
      </c>
      <c r="CJ22" s="16">
        <v>1</v>
      </c>
      <c r="CK22" s="16">
        <v>132968</v>
      </c>
      <c r="CL22" s="16">
        <v>132968</v>
      </c>
      <c r="CM22" s="16">
        <v>15956.2</v>
      </c>
      <c r="CN22" s="23">
        <v>2</v>
      </c>
      <c r="CO22" s="23"/>
      <c r="CP22" s="23">
        <v>265936</v>
      </c>
      <c r="CQ22" s="23">
        <v>31912.3</v>
      </c>
      <c r="CR22" s="16">
        <v>1</v>
      </c>
      <c r="CS22" s="16">
        <v>132968</v>
      </c>
      <c r="CT22" s="16">
        <v>132968</v>
      </c>
      <c r="CU22" s="16">
        <v>15956.2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1</v>
      </c>
      <c r="DE22" s="16">
        <v>132968</v>
      </c>
      <c r="DF22" s="16">
        <v>132968</v>
      </c>
      <c r="DG22" s="16">
        <v>15956.2</v>
      </c>
      <c r="DH22" s="23">
        <v>2</v>
      </c>
      <c r="DI22" s="23"/>
      <c r="DJ22" s="23">
        <v>265936</v>
      </c>
      <c r="DK22" s="23">
        <v>31912.3</v>
      </c>
      <c r="DL22" s="16">
        <v>1</v>
      </c>
      <c r="DM22" s="16">
        <v>132968</v>
      </c>
      <c r="DN22" s="16">
        <v>132968</v>
      </c>
      <c r="DO22" s="16">
        <v>15956.2</v>
      </c>
      <c r="DP22" s="16">
        <v>1</v>
      </c>
      <c r="DQ22" s="16">
        <v>132968</v>
      </c>
      <c r="DR22" s="16">
        <v>132968</v>
      </c>
      <c r="DS22" s="16">
        <v>15956.2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23">
        <v>2</v>
      </c>
      <c r="EG22" s="23"/>
      <c r="EH22" s="23">
        <v>265936</v>
      </c>
      <c r="EI22" s="23">
        <v>31912.3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1</v>
      </c>
      <c r="EW22" s="16">
        <v>132968</v>
      </c>
      <c r="EX22" s="16">
        <v>132968</v>
      </c>
      <c r="EY22" s="16">
        <v>15956.2</v>
      </c>
      <c r="EZ22" s="23">
        <v>1</v>
      </c>
      <c r="FA22" s="23"/>
      <c r="FB22" s="23">
        <v>132968</v>
      </c>
      <c r="FC22" s="23">
        <v>15956.2</v>
      </c>
      <c r="FD22" s="16">
        <v>1</v>
      </c>
      <c r="FE22" s="16">
        <v>132968</v>
      </c>
      <c r="FF22" s="16">
        <v>132968</v>
      </c>
      <c r="FG22" s="16">
        <v>15956.2</v>
      </c>
      <c r="FH22" s="16">
        <v>0</v>
      </c>
      <c r="FI22" s="16">
        <v>0</v>
      </c>
      <c r="FJ22" s="16">
        <v>0</v>
      </c>
      <c r="FK22" s="16">
        <v>0</v>
      </c>
      <c r="FL22" s="16">
        <v>1</v>
      </c>
      <c r="FM22" s="16">
        <v>132968</v>
      </c>
      <c r="FN22" s="16">
        <v>132968</v>
      </c>
      <c r="FO22" s="16">
        <v>15956.2</v>
      </c>
      <c r="FP22" s="16">
        <v>0</v>
      </c>
      <c r="FQ22" s="16">
        <v>0</v>
      </c>
      <c r="FR22" s="16">
        <v>0</v>
      </c>
      <c r="FS22" s="16">
        <v>0</v>
      </c>
      <c r="FT22" s="23">
        <v>2</v>
      </c>
      <c r="FU22" s="23"/>
      <c r="FV22" s="23">
        <v>265936</v>
      </c>
      <c r="FW22" s="23">
        <v>31912.3</v>
      </c>
      <c r="FX22" s="16">
        <v>1</v>
      </c>
      <c r="FY22" s="16">
        <v>132968</v>
      </c>
      <c r="FZ22" s="16">
        <v>132968</v>
      </c>
      <c r="GA22" s="16">
        <v>15956.2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1</v>
      </c>
      <c r="GO22" s="16">
        <v>132968</v>
      </c>
      <c r="GP22" s="16">
        <v>132968</v>
      </c>
      <c r="GQ22" s="16">
        <v>15956.2</v>
      </c>
      <c r="GR22" s="23">
        <v>2</v>
      </c>
      <c r="GS22" s="23"/>
      <c r="GT22" s="23">
        <v>265936</v>
      </c>
      <c r="GU22" s="23">
        <v>31912.3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1</v>
      </c>
      <c r="HI22" s="16">
        <v>132968</v>
      </c>
      <c r="HJ22" s="16">
        <v>132968</v>
      </c>
      <c r="HK22" s="16">
        <v>15956.2</v>
      </c>
      <c r="HL22" s="23">
        <v>1</v>
      </c>
      <c r="HM22" s="23"/>
      <c r="HN22" s="23">
        <v>132968</v>
      </c>
      <c r="HO22" s="23">
        <v>15956.2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  <c r="IB22" s="16">
        <v>0</v>
      </c>
      <c r="IC22" s="16">
        <v>0</v>
      </c>
      <c r="ID22" s="16">
        <v>0</v>
      </c>
      <c r="IE22" s="16">
        <v>0</v>
      </c>
      <c r="IF22" s="23">
        <v>0</v>
      </c>
      <c r="IG22" s="23"/>
      <c r="IH22" s="23">
        <v>0</v>
      </c>
      <c r="II22" s="23">
        <v>0</v>
      </c>
      <c r="IJ22" s="16">
        <v>0</v>
      </c>
      <c r="IK22" s="16">
        <v>0</v>
      </c>
      <c r="IL22" s="16">
        <v>0</v>
      </c>
      <c r="IM22" s="16">
        <v>0</v>
      </c>
      <c r="IN22" s="16">
        <v>0</v>
      </c>
      <c r="IO22" s="16">
        <v>0</v>
      </c>
      <c r="IP22" s="16">
        <v>0</v>
      </c>
      <c r="IQ22" s="16">
        <v>0</v>
      </c>
      <c r="IR22" s="16">
        <v>0</v>
      </c>
      <c r="IS22" s="16">
        <v>0</v>
      </c>
      <c r="IT22" s="16">
        <v>0</v>
      </c>
      <c r="IU22" s="16">
        <v>0</v>
      </c>
      <c r="IV22" s="16">
        <v>0</v>
      </c>
      <c r="IW22" s="16">
        <v>0</v>
      </c>
      <c r="IX22" s="16">
        <v>0</v>
      </c>
      <c r="IY22" s="16">
        <v>0</v>
      </c>
      <c r="IZ22" s="16">
        <v>0</v>
      </c>
      <c r="JA22" s="16">
        <v>0</v>
      </c>
      <c r="JB22" s="16">
        <v>0</v>
      </c>
      <c r="JC22" s="16">
        <v>0</v>
      </c>
      <c r="JD22" s="23">
        <v>0</v>
      </c>
      <c r="JE22" s="23"/>
      <c r="JF22" s="23">
        <v>0</v>
      </c>
      <c r="JG22" s="23">
        <v>0</v>
      </c>
      <c r="JH22" s="16">
        <v>0</v>
      </c>
      <c r="JI22" s="16">
        <v>0</v>
      </c>
      <c r="JJ22" s="16">
        <v>0</v>
      </c>
      <c r="JK22" s="16">
        <v>0</v>
      </c>
      <c r="JL22" s="16">
        <v>0</v>
      </c>
      <c r="JM22" s="16">
        <v>0</v>
      </c>
      <c r="JN22" s="16">
        <v>0</v>
      </c>
      <c r="JO22" s="16">
        <v>0</v>
      </c>
      <c r="JP22" s="16">
        <v>0</v>
      </c>
      <c r="JQ22" s="16">
        <v>0</v>
      </c>
      <c r="JR22" s="16">
        <v>0</v>
      </c>
      <c r="JS22" s="16">
        <v>0</v>
      </c>
      <c r="JT22" s="16">
        <v>0</v>
      </c>
      <c r="JU22" s="16">
        <v>0</v>
      </c>
      <c r="JV22" s="16">
        <v>0</v>
      </c>
      <c r="JW22" s="16">
        <v>0</v>
      </c>
      <c r="JX22" s="23">
        <v>0</v>
      </c>
      <c r="JY22" s="23"/>
      <c r="JZ22" s="23">
        <v>0</v>
      </c>
      <c r="KA22" s="23">
        <v>0</v>
      </c>
      <c r="KB22" s="16">
        <v>0</v>
      </c>
      <c r="KC22" s="16">
        <v>0</v>
      </c>
      <c r="KD22" s="16">
        <v>0</v>
      </c>
      <c r="KE22" s="16">
        <v>0</v>
      </c>
      <c r="KF22" s="16">
        <v>0</v>
      </c>
      <c r="KG22" s="16">
        <v>0</v>
      </c>
      <c r="KH22" s="16">
        <v>0</v>
      </c>
      <c r="KI22" s="16">
        <v>0</v>
      </c>
      <c r="KJ22" s="16">
        <v>0</v>
      </c>
      <c r="KK22" s="16">
        <v>0</v>
      </c>
      <c r="KL22" s="16">
        <v>0</v>
      </c>
      <c r="KM22" s="16">
        <v>0</v>
      </c>
      <c r="KN22" s="16">
        <v>0</v>
      </c>
      <c r="KO22" s="16">
        <v>0</v>
      </c>
      <c r="KP22" s="16">
        <v>0</v>
      </c>
      <c r="KQ22" s="16">
        <v>0</v>
      </c>
      <c r="KR22" s="23">
        <v>0</v>
      </c>
      <c r="KS22" s="23"/>
      <c r="KT22" s="23">
        <v>0</v>
      </c>
      <c r="KU22" s="23">
        <v>0</v>
      </c>
      <c r="KV22" s="23">
        <v>12</v>
      </c>
      <c r="KW22" s="23"/>
      <c r="KX22" s="23">
        <v>1595616</v>
      </c>
      <c r="KY22" s="23">
        <v>191473.9</v>
      </c>
    </row>
    <row r="23" spans="1:311" ht="16.95" customHeight="1" x14ac:dyDescent="0.4">
      <c r="A23" s="11"/>
      <c r="B23" s="11"/>
      <c r="C23" s="11" t="s">
        <v>13</v>
      </c>
      <c r="D23" s="9">
        <v>0</v>
      </c>
      <c r="E23" s="9">
        <v>0</v>
      </c>
      <c r="F23" s="9">
        <v>0</v>
      </c>
      <c r="G23" s="9">
        <v>0</v>
      </c>
      <c r="H23" s="22">
        <v>0</v>
      </c>
      <c r="I23" s="22"/>
      <c r="J23" s="22">
        <v>0</v>
      </c>
      <c r="K23" s="22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22">
        <v>0</v>
      </c>
      <c r="AC23" s="22"/>
      <c r="AD23" s="22">
        <v>0</v>
      </c>
      <c r="AE23" s="22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22">
        <v>0</v>
      </c>
      <c r="AW23" s="22"/>
      <c r="AX23" s="22">
        <v>0</v>
      </c>
      <c r="AY23" s="22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6</v>
      </c>
      <c r="BQ23" s="9">
        <v>46200</v>
      </c>
      <c r="BR23" s="9">
        <v>277200</v>
      </c>
      <c r="BS23" s="9">
        <v>33264</v>
      </c>
      <c r="BT23" s="22">
        <v>6</v>
      </c>
      <c r="BU23" s="22"/>
      <c r="BV23" s="22">
        <v>277200</v>
      </c>
      <c r="BW23" s="22">
        <v>33264</v>
      </c>
      <c r="BX23" s="9">
        <v>0</v>
      </c>
      <c r="BY23" s="9">
        <v>0</v>
      </c>
      <c r="BZ23" s="9">
        <v>0</v>
      </c>
      <c r="CA23" s="9">
        <v>0</v>
      </c>
      <c r="CB23" s="9">
        <v>4</v>
      </c>
      <c r="CC23" s="9">
        <v>46200</v>
      </c>
      <c r="CD23" s="9">
        <v>184800</v>
      </c>
      <c r="CE23" s="9">
        <v>22176</v>
      </c>
      <c r="CF23" s="9">
        <v>0</v>
      </c>
      <c r="CG23" s="9">
        <v>0</v>
      </c>
      <c r="CH23" s="9">
        <v>0</v>
      </c>
      <c r="CI23" s="9">
        <v>0</v>
      </c>
      <c r="CJ23" s="9">
        <v>7</v>
      </c>
      <c r="CK23" s="9">
        <v>46200</v>
      </c>
      <c r="CL23" s="9">
        <v>323400</v>
      </c>
      <c r="CM23" s="9">
        <v>38808</v>
      </c>
      <c r="CN23" s="22">
        <v>11</v>
      </c>
      <c r="CO23" s="22"/>
      <c r="CP23" s="22">
        <v>508200</v>
      </c>
      <c r="CQ23" s="22">
        <v>60984</v>
      </c>
      <c r="CR23" s="9">
        <v>5</v>
      </c>
      <c r="CS23" s="9">
        <v>46200</v>
      </c>
      <c r="CT23" s="9">
        <v>231000</v>
      </c>
      <c r="CU23" s="9">
        <v>27720</v>
      </c>
      <c r="CV23" s="9">
        <v>0</v>
      </c>
      <c r="CW23" s="9">
        <v>0</v>
      </c>
      <c r="CX23" s="9">
        <v>0</v>
      </c>
      <c r="CY23" s="9">
        <v>0</v>
      </c>
      <c r="CZ23" s="9">
        <v>10</v>
      </c>
      <c r="DA23" s="9">
        <v>46200</v>
      </c>
      <c r="DB23" s="9">
        <v>462000</v>
      </c>
      <c r="DC23" s="9">
        <v>55440</v>
      </c>
      <c r="DD23" s="9">
        <v>0</v>
      </c>
      <c r="DE23" s="9">
        <v>0</v>
      </c>
      <c r="DF23" s="9">
        <v>0</v>
      </c>
      <c r="DG23" s="9">
        <v>0</v>
      </c>
      <c r="DH23" s="22">
        <v>15</v>
      </c>
      <c r="DI23" s="22"/>
      <c r="DJ23" s="22">
        <v>693000</v>
      </c>
      <c r="DK23" s="22">
        <v>83160</v>
      </c>
      <c r="DL23" s="9">
        <v>3</v>
      </c>
      <c r="DM23" s="9">
        <v>46200</v>
      </c>
      <c r="DN23" s="9">
        <v>138600</v>
      </c>
      <c r="DO23" s="9">
        <v>16632</v>
      </c>
      <c r="DP23" s="9">
        <v>9</v>
      </c>
      <c r="DQ23" s="9">
        <v>46200</v>
      </c>
      <c r="DR23" s="9">
        <v>415800</v>
      </c>
      <c r="DS23" s="9">
        <v>49896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22">
        <v>12</v>
      </c>
      <c r="EG23" s="22"/>
      <c r="EH23" s="22">
        <v>554400</v>
      </c>
      <c r="EI23" s="22">
        <v>66528</v>
      </c>
      <c r="EJ23" s="9">
        <v>7</v>
      </c>
      <c r="EK23" s="9">
        <v>46200</v>
      </c>
      <c r="EL23" s="9">
        <v>323400</v>
      </c>
      <c r="EM23" s="9">
        <v>38808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4</v>
      </c>
      <c r="EW23" s="9">
        <v>46200</v>
      </c>
      <c r="EX23" s="9">
        <v>184800</v>
      </c>
      <c r="EY23" s="9">
        <v>22176</v>
      </c>
      <c r="EZ23" s="22">
        <v>11</v>
      </c>
      <c r="FA23" s="22"/>
      <c r="FB23" s="22">
        <v>508200</v>
      </c>
      <c r="FC23" s="22">
        <v>60984</v>
      </c>
      <c r="FD23" s="9">
        <v>5</v>
      </c>
      <c r="FE23" s="9">
        <v>46200</v>
      </c>
      <c r="FF23" s="9">
        <v>231000</v>
      </c>
      <c r="FG23" s="9">
        <v>27720</v>
      </c>
      <c r="FH23" s="9">
        <v>0</v>
      </c>
      <c r="FI23" s="9">
        <v>0</v>
      </c>
      <c r="FJ23" s="9">
        <v>0</v>
      </c>
      <c r="FK23" s="9">
        <v>0</v>
      </c>
      <c r="FL23" s="9">
        <v>5</v>
      </c>
      <c r="FM23" s="9">
        <v>46200</v>
      </c>
      <c r="FN23" s="9">
        <v>231000</v>
      </c>
      <c r="FO23" s="9">
        <v>27720</v>
      </c>
      <c r="FP23" s="9">
        <v>4</v>
      </c>
      <c r="FQ23" s="9">
        <v>46200</v>
      </c>
      <c r="FR23" s="9">
        <v>184800</v>
      </c>
      <c r="FS23" s="9">
        <v>22176</v>
      </c>
      <c r="FT23" s="22">
        <v>14</v>
      </c>
      <c r="FU23" s="22"/>
      <c r="FV23" s="22">
        <v>646800</v>
      </c>
      <c r="FW23" s="22">
        <v>77616</v>
      </c>
      <c r="FX23" s="9">
        <v>4</v>
      </c>
      <c r="FY23" s="9">
        <v>46200</v>
      </c>
      <c r="FZ23" s="9">
        <v>184800</v>
      </c>
      <c r="GA23" s="9">
        <v>22176</v>
      </c>
      <c r="GB23" s="9">
        <v>6</v>
      </c>
      <c r="GC23" s="9">
        <v>46200</v>
      </c>
      <c r="GD23" s="9">
        <v>277200</v>
      </c>
      <c r="GE23" s="9">
        <v>33264</v>
      </c>
      <c r="GF23" s="9">
        <v>0</v>
      </c>
      <c r="GG23" s="9">
        <v>0</v>
      </c>
      <c r="GH23" s="9">
        <v>0</v>
      </c>
      <c r="GI23" s="9">
        <v>0</v>
      </c>
      <c r="GJ23" s="9">
        <v>0</v>
      </c>
      <c r="GK23" s="9">
        <v>0</v>
      </c>
      <c r="GL23" s="9">
        <v>0</v>
      </c>
      <c r="GM23" s="9">
        <v>0</v>
      </c>
      <c r="GN23" s="9">
        <v>16</v>
      </c>
      <c r="GO23" s="9">
        <v>46200</v>
      </c>
      <c r="GP23" s="9">
        <v>739200</v>
      </c>
      <c r="GQ23" s="9">
        <v>88704</v>
      </c>
      <c r="GR23" s="22">
        <v>26</v>
      </c>
      <c r="GS23" s="22"/>
      <c r="GT23" s="22">
        <v>1201200</v>
      </c>
      <c r="GU23" s="22">
        <v>144144</v>
      </c>
      <c r="GV23" s="9">
        <v>0</v>
      </c>
      <c r="GW23" s="9">
        <v>0</v>
      </c>
      <c r="GX23" s="9">
        <v>0</v>
      </c>
      <c r="GY23" s="9">
        <v>0</v>
      </c>
      <c r="GZ23" s="9">
        <v>0</v>
      </c>
      <c r="HA23" s="9">
        <v>0</v>
      </c>
      <c r="HB23" s="9">
        <v>0</v>
      </c>
      <c r="HC23" s="9">
        <v>0</v>
      </c>
      <c r="HD23" s="9">
        <v>0</v>
      </c>
      <c r="HE23" s="9">
        <v>0</v>
      </c>
      <c r="HF23" s="9">
        <v>0</v>
      </c>
      <c r="HG23" s="9">
        <v>0</v>
      </c>
      <c r="HH23" s="9">
        <v>0</v>
      </c>
      <c r="HI23" s="9">
        <v>0</v>
      </c>
      <c r="HJ23" s="9">
        <v>0</v>
      </c>
      <c r="HK23" s="9">
        <v>0</v>
      </c>
      <c r="HL23" s="22">
        <v>0</v>
      </c>
      <c r="HM23" s="22"/>
      <c r="HN23" s="22">
        <v>0</v>
      </c>
      <c r="HO23" s="22">
        <v>0</v>
      </c>
      <c r="HP23" s="9">
        <v>0</v>
      </c>
      <c r="HQ23" s="9">
        <v>0</v>
      </c>
      <c r="HR23" s="9">
        <v>0</v>
      </c>
      <c r="HS23" s="9">
        <v>0</v>
      </c>
      <c r="HT23" s="9">
        <v>0</v>
      </c>
      <c r="HU23" s="9">
        <v>0</v>
      </c>
      <c r="HV23" s="9">
        <v>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9">
        <v>0</v>
      </c>
      <c r="IC23" s="9">
        <v>0</v>
      </c>
      <c r="ID23" s="9">
        <v>0</v>
      </c>
      <c r="IE23" s="9">
        <v>0</v>
      </c>
      <c r="IF23" s="22">
        <v>0</v>
      </c>
      <c r="IG23" s="22"/>
      <c r="IH23" s="22">
        <v>0</v>
      </c>
      <c r="II23" s="22">
        <v>0</v>
      </c>
      <c r="IJ23" s="9">
        <v>0</v>
      </c>
      <c r="IK23" s="9">
        <v>0</v>
      </c>
      <c r="IL23" s="9">
        <v>0</v>
      </c>
      <c r="IM23" s="9">
        <v>0</v>
      </c>
      <c r="IN23" s="9">
        <v>0</v>
      </c>
      <c r="IO23" s="9">
        <v>0</v>
      </c>
      <c r="IP23" s="9">
        <v>0</v>
      </c>
      <c r="IQ23" s="9">
        <v>0</v>
      </c>
      <c r="IR23" s="9">
        <v>0</v>
      </c>
      <c r="IS23" s="9">
        <v>0</v>
      </c>
      <c r="IT23" s="9">
        <v>0</v>
      </c>
      <c r="IU23" s="9">
        <v>0</v>
      </c>
      <c r="IV23" s="9">
        <v>0</v>
      </c>
      <c r="IW23" s="9">
        <v>0</v>
      </c>
      <c r="IX23" s="9">
        <v>0</v>
      </c>
      <c r="IY23" s="9">
        <v>0</v>
      </c>
      <c r="IZ23" s="9">
        <v>0</v>
      </c>
      <c r="JA23" s="9">
        <v>0</v>
      </c>
      <c r="JB23" s="9">
        <v>0</v>
      </c>
      <c r="JC23" s="9">
        <v>0</v>
      </c>
      <c r="JD23" s="22">
        <v>0</v>
      </c>
      <c r="JE23" s="22"/>
      <c r="JF23" s="22">
        <v>0</v>
      </c>
      <c r="JG23" s="22">
        <v>0</v>
      </c>
      <c r="JH23" s="9">
        <v>0</v>
      </c>
      <c r="JI23" s="9">
        <v>0</v>
      </c>
      <c r="JJ23" s="9">
        <v>0</v>
      </c>
      <c r="JK23" s="9">
        <v>0</v>
      </c>
      <c r="JL23" s="9">
        <v>0</v>
      </c>
      <c r="JM23" s="9">
        <v>0</v>
      </c>
      <c r="JN23" s="9">
        <v>0</v>
      </c>
      <c r="JO23" s="9">
        <v>0</v>
      </c>
      <c r="JP23" s="9">
        <v>0</v>
      </c>
      <c r="JQ23" s="9">
        <v>0</v>
      </c>
      <c r="JR23" s="9">
        <v>0</v>
      </c>
      <c r="JS23" s="9">
        <v>0</v>
      </c>
      <c r="JT23" s="9">
        <v>0</v>
      </c>
      <c r="JU23" s="9">
        <v>0</v>
      </c>
      <c r="JV23" s="9">
        <v>0</v>
      </c>
      <c r="JW23" s="9">
        <v>0</v>
      </c>
      <c r="JX23" s="22">
        <v>0</v>
      </c>
      <c r="JY23" s="22"/>
      <c r="JZ23" s="22">
        <v>0</v>
      </c>
      <c r="KA23" s="22">
        <v>0</v>
      </c>
      <c r="KB23" s="9">
        <v>0</v>
      </c>
      <c r="KC23" s="9">
        <v>0</v>
      </c>
      <c r="KD23" s="9">
        <v>0</v>
      </c>
      <c r="KE23" s="9">
        <v>0</v>
      </c>
      <c r="KF23" s="9">
        <v>0</v>
      </c>
      <c r="KG23" s="9">
        <v>0</v>
      </c>
      <c r="KH23" s="9">
        <v>0</v>
      </c>
      <c r="KI23" s="9">
        <v>0</v>
      </c>
      <c r="KJ23" s="9">
        <v>0</v>
      </c>
      <c r="KK23" s="9">
        <v>0</v>
      </c>
      <c r="KL23" s="9">
        <v>0</v>
      </c>
      <c r="KM23" s="9">
        <v>0</v>
      </c>
      <c r="KN23" s="9">
        <v>0</v>
      </c>
      <c r="KO23" s="9">
        <v>0</v>
      </c>
      <c r="KP23" s="9">
        <v>0</v>
      </c>
      <c r="KQ23" s="9">
        <v>0</v>
      </c>
      <c r="KR23" s="22">
        <v>0</v>
      </c>
      <c r="KS23" s="22"/>
      <c r="KT23" s="22">
        <v>0</v>
      </c>
      <c r="KU23" s="22">
        <v>0</v>
      </c>
      <c r="KV23" s="22">
        <v>95</v>
      </c>
      <c r="KW23" s="22"/>
      <c r="KX23" s="22">
        <v>4389000</v>
      </c>
      <c r="KY23" s="22">
        <v>526680</v>
      </c>
    </row>
    <row r="24" spans="1:311" ht="16.95" customHeight="1" x14ac:dyDescent="0.4">
      <c r="A24" s="15"/>
      <c r="B24" s="15"/>
      <c r="C24" s="15" t="s">
        <v>35</v>
      </c>
      <c r="D24" s="16">
        <v>0</v>
      </c>
      <c r="E24" s="16">
        <v>0</v>
      </c>
      <c r="F24" s="16">
        <v>0</v>
      </c>
      <c r="G24" s="16">
        <v>0</v>
      </c>
      <c r="H24" s="23">
        <v>0</v>
      </c>
      <c r="I24" s="23"/>
      <c r="J24" s="23">
        <v>0</v>
      </c>
      <c r="K24" s="23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23">
        <v>0</v>
      </c>
      <c r="AC24" s="23"/>
      <c r="AD24" s="23">
        <v>0</v>
      </c>
      <c r="AE24" s="23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23">
        <v>0</v>
      </c>
      <c r="AW24" s="23"/>
      <c r="AX24" s="23">
        <v>0</v>
      </c>
      <c r="AY24" s="23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23">
        <v>0</v>
      </c>
      <c r="BU24" s="23"/>
      <c r="BV24" s="23">
        <v>0</v>
      </c>
      <c r="BW24" s="23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23">
        <v>0</v>
      </c>
      <c r="CO24" s="23"/>
      <c r="CP24" s="23">
        <v>0</v>
      </c>
      <c r="CQ24" s="23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23">
        <v>0</v>
      </c>
      <c r="DI24" s="23"/>
      <c r="DJ24" s="23">
        <v>0</v>
      </c>
      <c r="DK24" s="23">
        <v>0</v>
      </c>
      <c r="DL24" s="16">
        <v>1</v>
      </c>
      <c r="DM24" s="16">
        <v>127842</v>
      </c>
      <c r="DN24" s="16">
        <v>127842</v>
      </c>
      <c r="DO24" s="16">
        <v>15341</v>
      </c>
      <c r="DP24" s="16">
        <v>1</v>
      </c>
      <c r="DQ24" s="16">
        <v>127842</v>
      </c>
      <c r="DR24" s="16">
        <v>127842</v>
      </c>
      <c r="DS24" s="16">
        <v>15341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23">
        <v>2</v>
      </c>
      <c r="EG24" s="23"/>
      <c r="EH24" s="23">
        <v>255684</v>
      </c>
      <c r="EI24" s="23">
        <v>30682.1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23">
        <v>0</v>
      </c>
      <c r="FA24" s="23"/>
      <c r="FB24" s="23">
        <v>0</v>
      </c>
      <c r="FC24" s="23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1</v>
      </c>
      <c r="FQ24" s="16">
        <v>127842</v>
      </c>
      <c r="FR24" s="16">
        <v>127842</v>
      </c>
      <c r="FS24" s="16">
        <v>15341</v>
      </c>
      <c r="FT24" s="23">
        <v>1</v>
      </c>
      <c r="FU24" s="23"/>
      <c r="FV24" s="23">
        <v>127842</v>
      </c>
      <c r="FW24" s="23">
        <v>15341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1</v>
      </c>
      <c r="GO24" s="16">
        <v>127842</v>
      </c>
      <c r="GP24" s="16">
        <v>127842</v>
      </c>
      <c r="GQ24" s="16">
        <v>15341</v>
      </c>
      <c r="GR24" s="23">
        <v>1</v>
      </c>
      <c r="GS24" s="23"/>
      <c r="GT24" s="23">
        <v>127842</v>
      </c>
      <c r="GU24" s="23">
        <v>15341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23">
        <v>0</v>
      </c>
      <c r="HM24" s="23"/>
      <c r="HN24" s="23">
        <v>0</v>
      </c>
      <c r="HO24" s="23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  <c r="IB24" s="16">
        <v>0</v>
      </c>
      <c r="IC24" s="16">
        <v>0</v>
      </c>
      <c r="ID24" s="16">
        <v>0</v>
      </c>
      <c r="IE24" s="16">
        <v>0</v>
      </c>
      <c r="IF24" s="23">
        <v>0</v>
      </c>
      <c r="IG24" s="23"/>
      <c r="IH24" s="23">
        <v>0</v>
      </c>
      <c r="II24" s="23">
        <v>0</v>
      </c>
      <c r="IJ24" s="16">
        <v>0</v>
      </c>
      <c r="IK24" s="16">
        <v>0</v>
      </c>
      <c r="IL24" s="16">
        <v>0</v>
      </c>
      <c r="IM24" s="16">
        <v>0</v>
      </c>
      <c r="IN24" s="16">
        <v>0</v>
      </c>
      <c r="IO24" s="16">
        <v>0</v>
      </c>
      <c r="IP24" s="16">
        <v>0</v>
      </c>
      <c r="IQ24" s="16">
        <v>0</v>
      </c>
      <c r="IR24" s="16">
        <v>0</v>
      </c>
      <c r="IS24" s="16">
        <v>0</v>
      </c>
      <c r="IT24" s="16">
        <v>0</v>
      </c>
      <c r="IU24" s="16">
        <v>0</v>
      </c>
      <c r="IV24" s="16">
        <v>0</v>
      </c>
      <c r="IW24" s="16">
        <v>0</v>
      </c>
      <c r="IX24" s="16">
        <v>0</v>
      </c>
      <c r="IY24" s="16">
        <v>0</v>
      </c>
      <c r="IZ24" s="16">
        <v>0</v>
      </c>
      <c r="JA24" s="16">
        <v>0</v>
      </c>
      <c r="JB24" s="16">
        <v>0</v>
      </c>
      <c r="JC24" s="16">
        <v>0</v>
      </c>
      <c r="JD24" s="23">
        <v>0</v>
      </c>
      <c r="JE24" s="23"/>
      <c r="JF24" s="23">
        <v>0</v>
      </c>
      <c r="JG24" s="23">
        <v>0</v>
      </c>
      <c r="JH24" s="16">
        <v>0</v>
      </c>
      <c r="JI24" s="16">
        <v>0</v>
      </c>
      <c r="JJ24" s="16">
        <v>0</v>
      </c>
      <c r="JK24" s="16">
        <v>0</v>
      </c>
      <c r="JL24" s="16">
        <v>0</v>
      </c>
      <c r="JM24" s="16">
        <v>0</v>
      </c>
      <c r="JN24" s="16">
        <v>0</v>
      </c>
      <c r="JO24" s="16">
        <v>0</v>
      </c>
      <c r="JP24" s="16">
        <v>0</v>
      </c>
      <c r="JQ24" s="16">
        <v>0</v>
      </c>
      <c r="JR24" s="16">
        <v>0</v>
      </c>
      <c r="JS24" s="16">
        <v>0</v>
      </c>
      <c r="JT24" s="16">
        <v>0</v>
      </c>
      <c r="JU24" s="16">
        <v>0</v>
      </c>
      <c r="JV24" s="16">
        <v>0</v>
      </c>
      <c r="JW24" s="16">
        <v>0</v>
      </c>
      <c r="JX24" s="23">
        <v>0</v>
      </c>
      <c r="JY24" s="23"/>
      <c r="JZ24" s="23">
        <v>0</v>
      </c>
      <c r="KA24" s="23">
        <v>0</v>
      </c>
      <c r="KB24" s="16">
        <v>0</v>
      </c>
      <c r="KC24" s="16">
        <v>0</v>
      </c>
      <c r="KD24" s="16">
        <v>0</v>
      </c>
      <c r="KE24" s="16">
        <v>0</v>
      </c>
      <c r="KF24" s="16">
        <v>0</v>
      </c>
      <c r="KG24" s="16">
        <v>0</v>
      </c>
      <c r="KH24" s="16">
        <v>0</v>
      </c>
      <c r="KI24" s="16">
        <v>0</v>
      </c>
      <c r="KJ24" s="16">
        <v>0</v>
      </c>
      <c r="KK24" s="16">
        <v>0</v>
      </c>
      <c r="KL24" s="16">
        <v>0</v>
      </c>
      <c r="KM24" s="16">
        <v>0</v>
      </c>
      <c r="KN24" s="16">
        <v>0</v>
      </c>
      <c r="KO24" s="16">
        <v>0</v>
      </c>
      <c r="KP24" s="16">
        <v>0</v>
      </c>
      <c r="KQ24" s="16">
        <v>0</v>
      </c>
      <c r="KR24" s="23">
        <v>0</v>
      </c>
      <c r="KS24" s="23"/>
      <c r="KT24" s="23">
        <v>0</v>
      </c>
      <c r="KU24" s="23">
        <v>0</v>
      </c>
      <c r="KV24" s="23">
        <v>4</v>
      </c>
      <c r="KW24" s="23"/>
      <c r="KX24" s="23">
        <v>511368</v>
      </c>
      <c r="KY24" s="23">
        <v>61364.2</v>
      </c>
    </row>
    <row r="25" spans="1:311" ht="16.95" customHeight="1" x14ac:dyDescent="0.4">
      <c r="A25" s="11"/>
      <c r="B25" s="11"/>
      <c r="C25" s="11" t="s">
        <v>23</v>
      </c>
      <c r="D25" s="9">
        <v>0</v>
      </c>
      <c r="E25" s="9">
        <v>0</v>
      </c>
      <c r="F25" s="9">
        <v>0</v>
      </c>
      <c r="G25" s="9">
        <v>0</v>
      </c>
      <c r="H25" s="22">
        <v>0</v>
      </c>
      <c r="I25" s="22"/>
      <c r="J25" s="22">
        <v>0</v>
      </c>
      <c r="K25" s="22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22">
        <v>0</v>
      </c>
      <c r="AC25" s="22"/>
      <c r="AD25" s="22">
        <v>0</v>
      </c>
      <c r="AE25" s="22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22">
        <v>0</v>
      </c>
      <c r="AW25" s="22"/>
      <c r="AX25" s="22">
        <v>0</v>
      </c>
      <c r="AY25" s="22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4</v>
      </c>
      <c r="BQ25" s="9">
        <v>59400</v>
      </c>
      <c r="BR25" s="9">
        <v>237600</v>
      </c>
      <c r="BS25" s="9">
        <v>28512</v>
      </c>
      <c r="BT25" s="22">
        <v>4</v>
      </c>
      <c r="BU25" s="22"/>
      <c r="BV25" s="22">
        <v>237600</v>
      </c>
      <c r="BW25" s="22">
        <v>28512</v>
      </c>
      <c r="BX25" s="9">
        <v>0</v>
      </c>
      <c r="BY25" s="9">
        <v>0</v>
      </c>
      <c r="BZ25" s="9">
        <v>0</v>
      </c>
      <c r="CA25" s="9">
        <v>0</v>
      </c>
      <c r="CB25" s="9">
        <v>4</v>
      </c>
      <c r="CC25" s="9">
        <v>59400</v>
      </c>
      <c r="CD25" s="9">
        <v>237600</v>
      </c>
      <c r="CE25" s="9">
        <v>28512</v>
      </c>
      <c r="CF25" s="9">
        <v>0</v>
      </c>
      <c r="CG25" s="9">
        <v>0</v>
      </c>
      <c r="CH25" s="9">
        <v>0</v>
      </c>
      <c r="CI25" s="9">
        <v>0</v>
      </c>
      <c r="CJ25" s="9">
        <v>7</v>
      </c>
      <c r="CK25" s="9">
        <v>59400</v>
      </c>
      <c r="CL25" s="9">
        <v>415800</v>
      </c>
      <c r="CM25" s="9">
        <v>49896</v>
      </c>
      <c r="CN25" s="22">
        <v>11</v>
      </c>
      <c r="CO25" s="22"/>
      <c r="CP25" s="22">
        <v>653400</v>
      </c>
      <c r="CQ25" s="22">
        <v>78408</v>
      </c>
      <c r="CR25" s="9">
        <v>5</v>
      </c>
      <c r="CS25" s="9">
        <v>59400</v>
      </c>
      <c r="CT25" s="9">
        <v>297000</v>
      </c>
      <c r="CU25" s="9">
        <v>35640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7</v>
      </c>
      <c r="DE25" s="9">
        <v>59400</v>
      </c>
      <c r="DF25" s="9">
        <v>415800</v>
      </c>
      <c r="DG25" s="9">
        <v>49896</v>
      </c>
      <c r="DH25" s="22">
        <v>12</v>
      </c>
      <c r="DI25" s="22"/>
      <c r="DJ25" s="22">
        <v>712800</v>
      </c>
      <c r="DK25" s="22">
        <v>85536</v>
      </c>
      <c r="DL25" s="9">
        <v>2</v>
      </c>
      <c r="DM25" s="9">
        <v>59400</v>
      </c>
      <c r="DN25" s="9">
        <v>118800</v>
      </c>
      <c r="DO25" s="9">
        <v>14256</v>
      </c>
      <c r="DP25" s="9">
        <v>7</v>
      </c>
      <c r="DQ25" s="9">
        <v>59400</v>
      </c>
      <c r="DR25" s="9">
        <v>415800</v>
      </c>
      <c r="DS25" s="9">
        <v>49896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6</v>
      </c>
      <c r="EC25" s="9">
        <v>59400</v>
      </c>
      <c r="ED25" s="9">
        <v>356400</v>
      </c>
      <c r="EE25" s="9">
        <v>42768</v>
      </c>
      <c r="EF25" s="22">
        <v>15</v>
      </c>
      <c r="EG25" s="22"/>
      <c r="EH25" s="22">
        <v>891000</v>
      </c>
      <c r="EI25" s="22">
        <v>106920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3</v>
      </c>
      <c r="EW25" s="9">
        <v>61050</v>
      </c>
      <c r="EX25" s="9">
        <v>183150</v>
      </c>
      <c r="EY25" s="9">
        <v>21978</v>
      </c>
      <c r="EZ25" s="22">
        <v>3</v>
      </c>
      <c r="FA25" s="22"/>
      <c r="FB25" s="22">
        <v>183150</v>
      </c>
      <c r="FC25" s="22">
        <v>21978</v>
      </c>
      <c r="FD25" s="9">
        <v>5</v>
      </c>
      <c r="FE25" s="9">
        <v>61050</v>
      </c>
      <c r="FF25" s="9">
        <v>305250</v>
      </c>
      <c r="FG25" s="9">
        <v>36630</v>
      </c>
      <c r="FH25" s="9">
        <v>0</v>
      </c>
      <c r="FI25" s="9">
        <v>0</v>
      </c>
      <c r="FJ25" s="9">
        <v>0</v>
      </c>
      <c r="FK25" s="9">
        <v>0</v>
      </c>
      <c r="FL25" s="9">
        <v>2</v>
      </c>
      <c r="FM25" s="9">
        <v>61050</v>
      </c>
      <c r="FN25" s="9">
        <v>122100</v>
      </c>
      <c r="FO25" s="9">
        <v>14652</v>
      </c>
      <c r="FP25" s="9">
        <v>3</v>
      </c>
      <c r="FQ25" s="9">
        <v>61050</v>
      </c>
      <c r="FR25" s="9">
        <v>183150</v>
      </c>
      <c r="FS25" s="9">
        <v>21978</v>
      </c>
      <c r="FT25" s="22">
        <v>10</v>
      </c>
      <c r="FU25" s="22"/>
      <c r="FV25" s="22">
        <v>610500</v>
      </c>
      <c r="FW25" s="22">
        <v>73260</v>
      </c>
      <c r="FX25" s="9">
        <v>4</v>
      </c>
      <c r="FY25" s="9">
        <v>61050</v>
      </c>
      <c r="FZ25" s="9">
        <v>244200</v>
      </c>
      <c r="GA25" s="9">
        <v>29304</v>
      </c>
      <c r="GB25" s="9">
        <v>0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  <c r="GJ25" s="9">
        <v>0</v>
      </c>
      <c r="GK25" s="9">
        <v>0</v>
      </c>
      <c r="GL25" s="9">
        <v>0</v>
      </c>
      <c r="GM25" s="9">
        <v>0</v>
      </c>
      <c r="GN25" s="9">
        <v>10</v>
      </c>
      <c r="GO25" s="9">
        <v>61050</v>
      </c>
      <c r="GP25" s="9">
        <v>610500</v>
      </c>
      <c r="GQ25" s="9">
        <v>73260</v>
      </c>
      <c r="GR25" s="22">
        <v>14</v>
      </c>
      <c r="GS25" s="22"/>
      <c r="GT25" s="22">
        <v>854700</v>
      </c>
      <c r="GU25" s="22">
        <v>102564</v>
      </c>
      <c r="GV25" s="9">
        <v>0</v>
      </c>
      <c r="GW25" s="9">
        <v>0</v>
      </c>
      <c r="GX25" s="9">
        <v>0</v>
      </c>
      <c r="GY25" s="9">
        <v>0</v>
      </c>
      <c r="GZ25" s="9">
        <v>0</v>
      </c>
      <c r="HA25" s="9">
        <v>0</v>
      </c>
      <c r="HB25" s="9">
        <v>0</v>
      </c>
      <c r="HC25" s="9">
        <v>0</v>
      </c>
      <c r="HD25" s="9">
        <v>0</v>
      </c>
      <c r="HE25" s="9">
        <v>0</v>
      </c>
      <c r="HF25" s="9">
        <v>0</v>
      </c>
      <c r="HG25" s="9">
        <v>0</v>
      </c>
      <c r="HH25" s="9">
        <v>2</v>
      </c>
      <c r="HI25" s="9">
        <v>61050</v>
      </c>
      <c r="HJ25" s="9">
        <v>122100</v>
      </c>
      <c r="HK25" s="9">
        <v>14652</v>
      </c>
      <c r="HL25" s="22">
        <v>2</v>
      </c>
      <c r="HM25" s="22"/>
      <c r="HN25" s="22">
        <v>122100</v>
      </c>
      <c r="HO25" s="22">
        <v>14652</v>
      </c>
      <c r="HP25" s="9">
        <v>0</v>
      </c>
      <c r="HQ25" s="9">
        <v>0</v>
      </c>
      <c r="HR25" s="9">
        <v>0</v>
      </c>
      <c r="HS25" s="9">
        <v>0</v>
      </c>
      <c r="HT25" s="9">
        <v>0</v>
      </c>
      <c r="HU25" s="9">
        <v>0</v>
      </c>
      <c r="HV25" s="9">
        <v>0</v>
      </c>
      <c r="HW25" s="9">
        <v>0</v>
      </c>
      <c r="HX25" s="9">
        <v>0</v>
      </c>
      <c r="HY25" s="9">
        <v>0</v>
      </c>
      <c r="HZ25" s="9">
        <v>0</v>
      </c>
      <c r="IA25" s="9">
        <v>0</v>
      </c>
      <c r="IB25" s="9">
        <v>0</v>
      </c>
      <c r="IC25" s="9">
        <v>0</v>
      </c>
      <c r="ID25" s="9">
        <v>0</v>
      </c>
      <c r="IE25" s="9">
        <v>0</v>
      </c>
      <c r="IF25" s="22">
        <v>0</v>
      </c>
      <c r="IG25" s="22"/>
      <c r="IH25" s="22">
        <v>0</v>
      </c>
      <c r="II25" s="22">
        <v>0</v>
      </c>
      <c r="IJ25" s="9">
        <v>0</v>
      </c>
      <c r="IK25" s="9">
        <v>0</v>
      </c>
      <c r="IL25" s="9">
        <v>0</v>
      </c>
      <c r="IM25" s="9">
        <v>0</v>
      </c>
      <c r="IN25" s="9">
        <v>0</v>
      </c>
      <c r="IO25" s="9">
        <v>0</v>
      </c>
      <c r="IP25" s="9">
        <v>0</v>
      </c>
      <c r="IQ25" s="9">
        <v>0</v>
      </c>
      <c r="IR25" s="9">
        <v>0</v>
      </c>
      <c r="IS25" s="9">
        <v>0</v>
      </c>
      <c r="IT25" s="9">
        <v>0</v>
      </c>
      <c r="IU25" s="9">
        <v>0</v>
      </c>
      <c r="IV25" s="9">
        <v>0</v>
      </c>
      <c r="IW25" s="9">
        <v>0</v>
      </c>
      <c r="IX25" s="9">
        <v>0</v>
      </c>
      <c r="IY25" s="9">
        <v>0</v>
      </c>
      <c r="IZ25" s="9">
        <v>0</v>
      </c>
      <c r="JA25" s="9">
        <v>0</v>
      </c>
      <c r="JB25" s="9">
        <v>0</v>
      </c>
      <c r="JC25" s="9">
        <v>0</v>
      </c>
      <c r="JD25" s="22">
        <v>0</v>
      </c>
      <c r="JE25" s="22"/>
      <c r="JF25" s="22">
        <v>0</v>
      </c>
      <c r="JG25" s="22">
        <v>0</v>
      </c>
      <c r="JH25" s="9">
        <v>0</v>
      </c>
      <c r="JI25" s="9">
        <v>0</v>
      </c>
      <c r="JJ25" s="9">
        <v>0</v>
      </c>
      <c r="JK25" s="9">
        <v>0</v>
      </c>
      <c r="JL25" s="9">
        <v>0</v>
      </c>
      <c r="JM25" s="9">
        <v>0</v>
      </c>
      <c r="JN25" s="9">
        <v>0</v>
      </c>
      <c r="JO25" s="9">
        <v>0</v>
      </c>
      <c r="JP25" s="9">
        <v>0</v>
      </c>
      <c r="JQ25" s="9">
        <v>0</v>
      </c>
      <c r="JR25" s="9">
        <v>0</v>
      </c>
      <c r="JS25" s="9">
        <v>0</v>
      </c>
      <c r="JT25" s="9">
        <v>0</v>
      </c>
      <c r="JU25" s="9">
        <v>0</v>
      </c>
      <c r="JV25" s="9">
        <v>0</v>
      </c>
      <c r="JW25" s="9">
        <v>0</v>
      </c>
      <c r="JX25" s="22">
        <v>0</v>
      </c>
      <c r="JY25" s="22"/>
      <c r="JZ25" s="22">
        <v>0</v>
      </c>
      <c r="KA25" s="22">
        <v>0</v>
      </c>
      <c r="KB25" s="9">
        <v>0</v>
      </c>
      <c r="KC25" s="9">
        <v>0</v>
      </c>
      <c r="KD25" s="9">
        <v>0</v>
      </c>
      <c r="KE25" s="9">
        <v>0</v>
      </c>
      <c r="KF25" s="9">
        <v>0</v>
      </c>
      <c r="KG25" s="9">
        <v>0</v>
      </c>
      <c r="KH25" s="9">
        <v>0</v>
      </c>
      <c r="KI25" s="9">
        <v>0</v>
      </c>
      <c r="KJ25" s="9">
        <v>0</v>
      </c>
      <c r="KK25" s="9">
        <v>0</v>
      </c>
      <c r="KL25" s="9">
        <v>0</v>
      </c>
      <c r="KM25" s="9">
        <v>0</v>
      </c>
      <c r="KN25" s="9">
        <v>0</v>
      </c>
      <c r="KO25" s="9">
        <v>0</v>
      </c>
      <c r="KP25" s="9">
        <v>0</v>
      </c>
      <c r="KQ25" s="9">
        <v>0</v>
      </c>
      <c r="KR25" s="22">
        <v>0</v>
      </c>
      <c r="KS25" s="22"/>
      <c r="KT25" s="22">
        <v>0</v>
      </c>
      <c r="KU25" s="22">
        <v>0</v>
      </c>
      <c r="KV25" s="22">
        <v>71</v>
      </c>
      <c r="KW25" s="22"/>
      <c r="KX25" s="22">
        <v>4265250</v>
      </c>
      <c r="KY25" s="22">
        <v>511830</v>
      </c>
    </row>
    <row r="26" spans="1:311" ht="16.95" customHeight="1" x14ac:dyDescent="0.4">
      <c r="A26" s="15"/>
      <c r="B26" s="15"/>
      <c r="C26" s="15" t="s">
        <v>51</v>
      </c>
      <c r="D26" s="16">
        <v>0</v>
      </c>
      <c r="E26" s="16">
        <v>0</v>
      </c>
      <c r="F26" s="16">
        <v>0</v>
      </c>
      <c r="G26" s="16">
        <v>0</v>
      </c>
      <c r="H26" s="23">
        <v>0</v>
      </c>
      <c r="I26" s="23"/>
      <c r="J26" s="23">
        <v>0</v>
      </c>
      <c r="K26" s="23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23">
        <v>0</v>
      </c>
      <c r="AC26" s="23"/>
      <c r="AD26" s="23">
        <v>0</v>
      </c>
      <c r="AE26" s="23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23">
        <v>0</v>
      </c>
      <c r="AW26" s="23"/>
      <c r="AX26" s="23">
        <v>0</v>
      </c>
      <c r="AY26" s="23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1</v>
      </c>
      <c r="BQ26" s="16">
        <v>78375</v>
      </c>
      <c r="BR26" s="16">
        <v>78375</v>
      </c>
      <c r="BS26" s="16">
        <v>9405</v>
      </c>
      <c r="BT26" s="23">
        <v>1</v>
      </c>
      <c r="BU26" s="23"/>
      <c r="BV26" s="23">
        <v>78375</v>
      </c>
      <c r="BW26" s="23">
        <v>9405</v>
      </c>
      <c r="BX26" s="16">
        <v>0</v>
      </c>
      <c r="BY26" s="16">
        <v>0</v>
      </c>
      <c r="BZ26" s="16">
        <v>0</v>
      </c>
      <c r="CA26" s="16">
        <v>0</v>
      </c>
      <c r="CB26" s="16">
        <v>1</v>
      </c>
      <c r="CC26" s="16">
        <v>78375</v>
      </c>
      <c r="CD26" s="16">
        <v>78375</v>
      </c>
      <c r="CE26" s="16">
        <v>9405</v>
      </c>
      <c r="CF26" s="16">
        <v>0</v>
      </c>
      <c r="CG26" s="16">
        <v>0</v>
      </c>
      <c r="CH26" s="16">
        <v>0</v>
      </c>
      <c r="CI26" s="16">
        <v>0</v>
      </c>
      <c r="CJ26" s="16">
        <v>1</v>
      </c>
      <c r="CK26" s="16">
        <v>78375</v>
      </c>
      <c r="CL26" s="16">
        <v>78375</v>
      </c>
      <c r="CM26" s="16">
        <v>9405</v>
      </c>
      <c r="CN26" s="23">
        <v>2</v>
      </c>
      <c r="CO26" s="23"/>
      <c r="CP26" s="23">
        <v>156750</v>
      </c>
      <c r="CQ26" s="23">
        <v>18810</v>
      </c>
      <c r="CR26" s="16">
        <v>1</v>
      </c>
      <c r="CS26" s="16">
        <v>78375</v>
      </c>
      <c r="CT26" s="16">
        <v>78375</v>
      </c>
      <c r="CU26" s="16">
        <v>9405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1</v>
      </c>
      <c r="DE26" s="16">
        <v>78375</v>
      </c>
      <c r="DF26" s="16">
        <v>78375</v>
      </c>
      <c r="DG26" s="16">
        <v>9405</v>
      </c>
      <c r="DH26" s="23">
        <v>2</v>
      </c>
      <c r="DI26" s="23"/>
      <c r="DJ26" s="23">
        <v>156750</v>
      </c>
      <c r="DK26" s="23">
        <v>18810</v>
      </c>
      <c r="DL26" s="16">
        <v>1</v>
      </c>
      <c r="DM26" s="16">
        <v>78375</v>
      </c>
      <c r="DN26" s="16">
        <v>78375</v>
      </c>
      <c r="DO26" s="16">
        <v>9405</v>
      </c>
      <c r="DP26" s="16">
        <v>1</v>
      </c>
      <c r="DQ26" s="16">
        <v>78375</v>
      </c>
      <c r="DR26" s="16">
        <v>78375</v>
      </c>
      <c r="DS26" s="16">
        <v>9405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3</v>
      </c>
      <c r="EC26" s="16">
        <v>78375</v>
      </c>
      <c r="ED26" s="16">
        <v>235125</v>
      </c>
      <c r="EE26" s="16">
        <v>28215</v>
      </c>
      <c r="EF26" s="23">
        <v>5</v>
      </c>
      <c r="EG26" s="23"/>
      <c r="EH26" s="23">
        <v>391875</v>
      </c>
      <c r="EI26" s="23">
        <v>47025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23">
        <v>0</v>
      </c>
      <c r="FA26" s="23"/>
      <c r="FB26" s="23">
        <v>0</v>
      </c>
      <c r="FC26" s="23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1</v>
      </c>
      <c r="FQ26" s="16">
        <v>80300</v>
      </c>
      <c r="FR26" s="16">
        <v>80300</v>
      </c>
      <c r="FS26" s="16">
        <v>9636</v>
      </c>
      <c r="FT26" s="23">
        <v>1</v>
      </c>
      <c r="FU26" s="23"/>
      <c r="FV26" s="23">
        <v>80300</v>
      </c>
      <c r="FW26" s="23">
        <v>9636</v>
      </c>
      <c r="FX26" s="16">
        <v>0</v>
      </c>
      <c r="FY26" s="16">
        <v>0</v>
      </c>
      <c r="FZ26" s="16">
        <v>0</v>
      </c>
      <c r="GA26" s="16">
        <v>0</v>
      </c>
      <c r="GB26" s="16">
        <v>2</v>
      </c>
      <c r="GC26" s="16">
        <v>80300</v>
      </c>
      <c r="GD26" s="16">
        <v>160600</v>
      </c>
      <c r="GE26" s="16">
        <v>19272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1</v>
      </c>
      <c r="GO26" s="16">
        <v>80300</v>
      </c>
      <c r="GP26" s="16">
        <v>80300</v>
      </c>
      <c r="GQ26" s="16">
        <v>9636</v>
      </c>
      <c r="GR26" s="23">
        <v>3</v>
      </c>
      <c r="GS26" s="23"/>
      <c r="GT26" s="23">
        <v>240900</v>
      </c>
      <c r="GU26" s="23">
        <v>28908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1</v>
      </c>
      <c r="HI26" s="16">
        <v>80300</v>
      </c>
      <c r="HJ26" s="16">
        <v>80300</v>
      </c>
      <c r="HK26" s="16">
        <v>9636</v>
      </c>
      <c r="HL26" s="23">
        <v>1</v>
      </c>
      <c r="HM26" s="23"/>
      <c r="HN26" s="23">
        <v>80300</v>
      </c>
      <c r="HO26" s="23">
        <v>9636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  <c r="IB26" s="16">
        <v>0</v>
      </c>
      <c r="IC26" s="16">
        <v>0</v>
      </c>
      <c r="ID26" s="16">
        <v>0</v>
      </c>
      <c r="IE26" s="16">
        <v>0</v>
      </c>
      <c r="IF26" s="23">
        <v>0</v>
      </c>
      <c r="IG26" s="23"/>
      <c r="IH26" s="23">
        <v>0</v>
      </c>
      <c r="II26" s="23">
        <v>0</v>
      </c>
      <c r="IJ26" s="16">
        <v>0</v>
      </c>
      <c r="IK26" s="16">
        <v>0</v>
      </c>
      <c r="IL26" s="16">
        <v>0</v>
      </c>
      <c r="IM26" s="16">
        <v>0</v>
      </c>
      <c r="IN26" s="16">
        <v>0</v>
      </c>
      <c r="IO26" s="16">
        <v>0</v>
      </c>
      <c r="IP26" s="16">
        <v>0</v>
      </c>
      <c r="IQ26" s="16">
        <v>0</v>
      </c>
      <c r="IR26" s="16">
        <v>0</v>
      </c>
      <c r="IS26" s="16">
        <v>0</v>
      </c>
      <c r="IT26" s="16">
        <v>0</v>
      </c>
      <c r="IU26" s="16">
        <v>0</v>
      </c>
      <c r="IV26" s="16">
        <v>0</v>
      </c>
      <c r="IW26" s="16">
        <v>0</v>
      </c>
      <c r="IX26" s="16">
        <v>0</v>
      </c>
      <c r="IY26" s="16">
        <v>0</v>
      </c>
      <c r="IZ26" s="16">
        <v>0</v>
      </c>
      <c r="JA26" s="16">
        <v>0</v>
      </c>
      <c r="JB26" s="16">
        <v>0</v>
      </c>
      <c r="JC26" s="16">
        <v>0</v>
      </c>
      <c r="JD26" s="23">
        <v>0</v>
      </c>
      <c r="JE26" s="23"/>
      <c r="JF26" s="23">
        <v>0</v>
      </c>
      <c r="JG26" s="23">
        <v>0</v>
      </c>
      <c r="JH26" s="16">
        <v>0</v>
      </c>
      <c r="JI26" s="16">
        <v>0</v>
      </c>
      <c r="JJ26" s="16">
        <v>0</v>
      </c>
      <c r="JK26" s="16">
        <v>0</v>
      </c>
      <c r="JL26" s="16">
        <v>0</v>
      </c>
      <c r="JM26" s="16">
        <v>0</v>
      </c>
      <c r="JN26" s="16">
        <v>0</v>
      </c>
      <c r="JO26" s="16">
        <v>0</v>
      </c>
      <c r="JP26" s="16">
        <v>0</v>
      </c>
      <c r="JQ26" s="16">
        <v>0</v>
      </c>
      <c r="JR26" s="16">
        <v>0</v>
      </c>
      <c r="JS26" s="16">
        <v>0</v>
      </c>
      <c r="JT26" s="16">
        <v>0</v>
      </c>
      <c r="JU26" s="16">
        <v>0</v>
      </c>
      <c r="JV26" s="16">
        <v>0</v>
      </c>
      <c r="JW26" s="16">
        <v>0</v>
      </c>
      <c r="JX26" s="23">
        <v>0</v>
      </c>
      <c r="JY26" s="23"/>
      <c r="JZ26" s="23">
        <v>0</v>
      </c>
      <c r="KA26" s="23">
        <v>0</v>
      </c>
      <c r="KB26" s="16">
        <v>0</v>
      </c>
      <c r="KC26" s="16">
        <v>0</v>
      </c>
      <c r="KD26" s="16">
        <v>0</v>
      </c>
      <c r="KE26" s="16">
        <v>0</v>
      </c>
      <c r="KF26" s="16">
        <v>0</v>
      </c>
      <c r="KG26" s="16">
        <v>0</v>
      </c>
      <c r="KH26" s="16">
        <v>0</v>
      </c>
      <c r="KI26" s="16">
        <v>0</v>
      </c>
      <c r="KJ26" s="16">
        <v>0</v>
      </c>
      <c r="KK26" s="16">
        <v>0</v>
      </c>
      <c r="KL26" s="16">
        <v>0</v>
      </c>
      <c r="KM26" s="16">
        <v>0</v>
      </c>
      <c r="KN26" s="16">
        <v>0</v>
      </c>
      <c r="KO26" s="16">
        <v>0</v>
      </c>
      <c r="KP26" s="16">
        <v>0</v>
      </c>
      <c r="KQ26" s="16">
        <v>0</v>
      </c>
      <c r="KR26" s="23">
        <v>0</v>
      </c>
      <c r="KS26" s="23"/>
      <c r="KT26" s="23">
        <v>0</v>
      </c>
      <c r="KU26" s="23">
        <v>0</v>
      </c>
      <c r="KV26" s="23">
        <v>15</v>
      </c>
      <c r="KW26" s="23"/>
      <c r="KX26" s="23">
        <v>1185250</v>
      </c>
      <c r="KY26" s="23">
        <v>142230</v>
      </c>
    </row>
    <row r="27" spans="1:311" ht="16.95" customHeight="1" x14ac:dyDescent="0.4">
      <c r="A27" s="12"/>
      <c r="B27" s="12" t="s">
        <v>60</v>
      </c>
      <c r="C27" s="12" t="s">
        <v>395</v>
      </c>
      <c r="D27" s="10">
        <v>0</v>
      </c>
      <c r="E27" s="10">
        <v>0</v>
      </c>
      <c r="F27" s="10">
        <v>0</v>
      </c>
      <c r="G27" s="10">
        <v>0</v>
      </c>
      <c r="H27" s="21">
        <v>0</v>
      </c>
      <c r="I27" s="21">
        <v>0</v>
      </c>
      <c r="J27" s="21">
        <v>0</v>
      </c>
      <c r="K27" s="21">
        <v>0</v>
      </c>
      <c r="L27" s="10">
        <v>10</v>
      </c>
      <c r="M27" s="10">
        <v>0</v>
      </c>
      <c r="N27" s="10">
        <v>594000</v>
      </c>
      <c r="O27" s="10">
        <v>71280</v>
      </c>
      <c r="P27" s="10">
        <v>0</v>
      </c>
      <c r="Q27" s="10">
        <v>0</v>
      </c>
      <c r="R27" s="10">
        <v>0</v>
      </c>
      <c r="S27" s="10">
        <v>0</v>
      </c>
      <c r="T27" s="10">
        <v>14</v>
      </c>
      <c r="U27" s="10">
        <v>0</v>
      </c>
      <c r="V27" s="10">
        <v>850575</v>
      </c>
      <c r="W27" s="10">
        <v>102069</v>
      </c>
      <c r="X27" s="10">
        <v>0</v>
      </c>
      <c r="Y27" s="10">
        <v>0</v>
      </c>
      <c r="Z27" s="10">
        <v>0</v>
      </c>
      <c r="AA27" s="10">
        <v>0</v>
      </c>
      <c r="AB27" s="21">
        <v>24</v>
      </c>
      <c r="AC27" s="21">
        <v>0</v>
      </c>
      <c r="AD27" s="21">
        <v>1444575</v>
      </c>
      <c r="AE27" s="21">
        <v>173349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10</v>
      </c>
      <c r="AO27" s="10">
        <v>0</v>
      </c>
      <c r="AP27" s="10">
        <v>799326</v>
      </c>
      <c r="AQ27" s="10">
        <v>95919.1</v>
      </c>
      <c r="AR27" s="10">
        <v>0</v>
      </c>
      <c r="AS27" s="10">
        <v>0</v>
      </c>
      <c r="AT27" s="10">
        <v>0</v>
      </c>
      <c r="AU27" s="10">
        <v>0</v>
      </c>
      <c r="AV27" s="21">
        <v>10</v>
      </c>
      <c r="AW27" s="21">
        <v>0</v>
      </c>
      <c r="AX27" s="21">
        <v>799326</v>
      </c>
      <c r="AY27" s="21">
        <v>95919.1</v>
      </c>
      <c r="AZ27" s="10">
        <v>0</v>
      </c>
      <c r="BA27" s="10">
        <v>0</v>
      </c>
      <c r="BB27" s="10">
        <v>0</v>
      </c>
      <c r="BC27" s="10">
        <v>0</v>
      </c>
      <c r="BD27" s="10">
        <v>12</v>
      </c>
      <c r="BE27" s="10">
        <v>0</v>
      </c>
      <c r="BF27" s="10">
        <v>986568</v>
      </c>
      <c r="BG27" s="10">
        <v>118388.2</v>
      </c>
      <c r="BH27" s="10">
        <v>0</v>
      </c>
      <c r="BI27" s="10">
        <v>0</v>
      </c>
      <c r="BJ27" s="10">
        <v>0</v>
      </c>
      <c r="BK27" s="10">
        <v>0</v>
      </c>
      <c r="BL27" s="10">
        <v>12</v>
      </c>
      <c r="BM27" s="10">
        <v>0</v>
      </c>
      <c r="BN27" s="10">
        <v>1005543</v>
      </c>
      <c r="BO27" s="10">
        <v>120665.2</v>
      </c>
      <c r="BP27" s="10">
        <v>0</v>
      </c>
      <c r="BQ27" s="10">
        <v>0</v>
      </c>
      <c r="BR27" s="10">
        <v>0</v>
      </c>
      <c r="BS27" s="10">
        <v>0</v>
      </c>
      <c r="BT27" s="21">
        <v>24</v>
      </c>
      <c r="BU27" s="21">
        <v>0</v>
      </c>
      <c r="BV27" s="21">
        <v>1992111</v>
      </c>
      <c r="BW27" s="21">
        <v>239053.3</v>
      </c>
      <c r="BX27" s="10">
        <v>9</v>
      </c>
      <c r="BY27" s="10">
        <v>0</v>
      </c>
      <c r="BZ27" s="10">
        <v>671484</v>
      </c>
      <c r="CA27" s="10">
        <v>80578.100000000006</v>
      </c>
      <c r="CB27" s="10">
        <v>0</v>
      </c>
      <c r="CC27" s="10">
        <v>0</v>
      </c>
      <c r="CD27" s="10">
        <v>0</v>
      </c>
      <c r="CE27" s="10">
        <v>0</v>
      </c>
      <c r="CF27" s="10">
        <v>12</v>
      </c>
      <c r="CG27" s="10">
        <v>0</v>
      </c>
      <c r="CH27" s="10">
        <v>849684</v>
      </c>
      <c r="CI27" s="10">
        <v>101962.1</v>
      </c>
      <c r="CJ27" s="10">
        <v>0</v>
      </c>
      <c r="CK27" s="10">
        <v>0</v>
      </c>
      <c r="CL27" s="10">
        <v>0</v>
      </c>
      <c r="CM27" s="10">
        <v>0</v>
      </c>
      <c r="CN27" s="21">
        <v>21</v>
      </c>
      <c r="CO27" s="21">
        <v>0</v>
      </c>
      <c r="CP27" s="21">
        <v>1521168</v>
      </c>
      <c r="CQ27" s="21">
        <v>182540.2</v>
      </c>
      <c r="CR27" s="10">
        <v>12</v>
      </c>
      <c r="CS27" s="10">
        <v>0</v>
      </c>
      <c r="CT27" s="10">
        <v>986568</v>
      </c>
      <c r="CU27" s="10">
        <v>118388.2</v>
      </c>
      <c r="CV27" s="10">
        <v>0</v>
      </c>
      <c r="CW27" s="10">
        <v>0</v>
      </c>
      <c r="CX27" s="10">
        <v>0</v>
      </c>
      <c r="CY27" s="10">
        <v>0</v>
      </c>
      <c r="CZ27" s="10">
        <v>14</v>
      </c>
      <c r="DA27" s="10">
        <v>0</v>
      </c>
      <c r="DB27" s="10">
        <v>1105368</v>
      </c>
      <c r="DC27" s="10">
        <v>132644.20000000001</v>
      </c>
      <c r="DD27" s="10">
        <v>0</v>
      </c>
      <c r="DE27" s="10">
        <v>0</v>
      </c>
      <c r="DF27" s="10">
        <v>0</v>
      </c>
      <c r="DG27" s="10">
        <v>0</v>
      </c>
      <c r="DH27" s="21">
        <v>26</v>
      </c>
      <c r="DI27" s="21">
        <v>0</v>
      </c>
      <c r="DJ27" s="21">
        <v>2091936</v>
      </c>
      <c r="DK27" s="21">
        <v>251032.3</v>
      </c>
      <c r="DL27" s="10">
        <v>16</v>
      </c>
      <c r="DM27" s="10">
        <v>0</v>
      </c>
      <c r="DN27" s="10">
        <v>1380027</v>
      </c>
      <c r="DO27" s="10">
        <v>165603.20000000001</v>
      </c>
      <c r="DP27" s="10">
        <v>11</v>
      </c>
      <c r="DQ27" s="10">
        <v>0</v>
      </c>
      <c r="DR27" s="10">
        <v>858726</v>
      </c>
      <c r="DS27" s="10">
        <v>103047.1</v>
      </c>
      <c r="DT27" s="10">
        <v>0</v>
      </c>
      <c r="DU27" s="10">
        <v>0</v>
      </c>
      <c r="DV27" s="10">
        <v>0</v>
      </c>
      <c r="DW27" s="10">
        <v>0</v>
      </c>
      <c r="DX27" s="10">
        <v>10</v>
      </c>
      <c r="DY27" s="10">
        <v>0</v>
      </c>
      <c r="DZ27" s="10">
        <v>594000</v>
      </c>
      <c r="EA27" s="10">
        <v>71280</v>
      </c>
      <c r="EB27" s="10">
        <v>14</v>
      </c>
      <c r="EC27" s="10">
        <v>0</v>
      </c>
      <c r="ED27" s="10">
        <v>1255452</v>
      </c>
      <c r="EE27" s="10">
        <v>150654.20000000001</v>
      </c>
      <c r="EF27" s="21">
        <v>51</v>
      </c>
      <c r="EG27" s="21">
        <v>0</v>
      </c>
      <c r="EH27" s="21">
        <v>4088205</v>
      </c>
      <c r="EI27" s="21">
        <v>490584.6</v>
      </c>
      <c r="EJ27" s="10">
        <v>11</v>
      </c>
      <c r="EK27" s="10">
        <v>0</v>
      </c>
      <c r="EL27" s="10">
        <v>690800</v>
      </c>
      <c r="EM27" s="10">
        <v>82896</v>
      </c>
      <c r="EN27" s="10">
        <v>4</v>
      </c>
      <c r="EO27" s="10">
        <v>0</v>
      </c>
      <c r="EP27" s="10">
        <v>511368</v>
      </c>
      <c r="EQ27" s="10">
        <v>61364.2</v>
      </c>
      <c r="ER27" s="10">
        <v>16</v>
      </c>
      <c r="ES27" s="10">
        <v>0</v>
      </c>
      <c r="ET27" s="10">
        <v>1377552</v>
      </c>
      <c r="EU27" s="10">
        <v>165306.20000000001</v>
      </c>
      <c r="EV27" s="10">
        <v>11</v>
      </c>
      <c r="EW27" s="10">
        <v>0</v>
      </c>
      <c r="EX27" s="10">
        <v>690800</v>
      </c>
      <c r="EY27" s="10">
        <v>82896</v>
      </c>
      <c r="EZ27" s="21">
        <v>42</v>
      </c>
      <c r="FA27" s="21">
        <v>0</v>
      </c>
      <c r="FB27" s="21">
        <v>3270520</v>
      </c>
      <c r="FC27" s="21">
        <v>392462.4</v>
      </c>
      <c r="FD27" s="10">
        <v>0</v>
      </c>
      <c r="FE27" s="10">
        <v>0</v>
      </c>
      <c r="FF27" s="10">
        <v>0</v>
      </c>
      <c r="FG27" s="10">
        <v>0</v>
      </c>
      <c r="FH27" s="10">
        <v>11</v>
      </c>
      <c r="FI27" s="10">
        <v>0</v>
      </c>
      <c r="FJ27" s="10">
        <v>738342</v>
      </c>
      <c r="FK27" s="10">
        <v>88601</v>
      </c>
      <c r="FL27" s="10">
        <v>9</v>
      </c>
      <c r="FM27" s="10">
        <v>0</v>
      </c>
      <c r="FN27" s="10">
        <v>816618</v>
      </c>
      <c r="FO27" s="10">
        <v>97994.2</v>
      </c>
      <c r="FP27" s="10">
        <v>13</v>
      </c>
      <c r="FQ27" s="10">
        <v>0</v>
      </c>
      <c r="FR27" s="10">
        <v>994026</v>
      </c>
      <c r="FS27" s="10">
        <v>119283.1</v>
      </c>
      <c r="FT27" s="21">
        <v>33</v>
      </c>
      <c r="FU27" s="21">
        <v>0</v>
      </c>
      <c r="FV27" s="21">
        <v>2548986</v>
      </c>
      <c r="FW27" s="21">
        <v>305878.3</v>
      </c>
      <c r="FX27" s="10">
        <v>0</v>
      </c>
      <c r="FY27" s="10">
        <v>0</v>
      </c>
      <c r="FZ27" s="10">
        <v>0</v>
      </c>
      <c r="GA27" s="10">
        <v>0</v>
      </c>
      <c r="GB27" s="10">
        <v>12</v>
      </c>
      <c r="GC27" s="10">
        <v>0</v>
      </c>
      <c r="GD27" s="10">
        <v>1019018</v>
      </c>
      <c r="GE27" s="10">
        <v>122282.2</v>
      </c>
      <c r="GF27" s="10">
        <v>0</v>
      </c>
      <c r="GG27" s="10">
        <v>0</v>
      </c>
      <c r="GH27" s="10">
        <v>0</v>
      </c>
      <c r="GI27" s="10">
        <v>0</v>
      </c>
      <c r="GJ27" s="10">
        <v>14</v>
      </c>
      <c r="GK27" s="10">
        <v>0</v>
      </c>
      <c r="GL27" s="10">
        <v>1121868</v>
      </c>
      <c r="GM27" s="10">
        <v>134624.20000000001</v>
      </c>
      <c r="GN27" s="10">
        <v>0</v>
      </c>
      <c r="GO27" s="10">
        <v>0</v>
      </c>
      <c r="GP27" s="10">
        <v>0</v>
      </c>
      <c r="GQ27" s="10">
        <v>0</v>
      </c>
      <c r="GR27" s="21">
        <v>26</v>
      </c>
      <c r="GS27" s="21">
        <v>0</v>
      </c>
      <c r="GT27" s="21">
        <v>2140886</v>
      </c>
      <c r="GU27" s="21">
        <v>256906.3</v>
      </c>
      <c r="GV27" s="10">
        <v>0</v>
      </c>
      <c r="GW27" s="10">
        <v>0</v>
      </c>
      <c r="GX27" s="10">
        <v>0</v>
      </c>
      <c r="GY27" s="10">
        <v>0</v>
      </c>
      <c r="GZ27" s="10">
        <v>13</v>
      </c>
      <c r="HA27" s="10">
        <v>0</v>
      </c>
      <c r="HB27" s="10">
        <v>1080068</v>
      </c>
      <c r="HC27" s="10">
        <v>129608.2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21">
        <v>13</v>
      </c>
      <c r="HM27" s="21">
        <v>0</v>
      </c>
      <c r="HN27" s="21">
        <v>1080068</v>
      </c>
      <c r="HO27" s="21">
        <v>129608.2</v>
      </c>
      <c r="HP27" s="10">
        <v>13</v>
      </c>
      <c r="HQ27" s="10">
        <v>0</v>
      </c>
      <c r="HR27" s="10">
        <v>994026</v>
      </c>
      <c r="HS27" s="10">
        <v>119283.1</v>
      </c>
      <c r="HT27" s="10">
        <v>0</v>
      </c>
      <c r="HU27" s="10">
        <v>0</v>
      </c>
      <c r="HV27" s="10">
        <v>0</v>
      </c>
      <c r="HW27" s="10">
        <v>0</v>
      </c>
      <c r="HX27" s="10">
        <v>9</v>
      </c>
      <c r="HY27" s="10">
        <v>0</v>
      </c>
      <c r="HZ27" s="10">
        <v>549450</v>
      </c>
      <c r="IA27" s="10">
        <v>65934</v>
      </c>
      <c r="IB27" s="10">
        <v>0</v>
      </c>
      <c r="IC27" s="10">
        <v>0</v>
      </c>
      <c r="ID27" s="10">
        <v>0</v>
      </c>
      <c r="IE27" s="10">
        <v>0</v>
      </c>
      <c r="IF27" s="21">
        <v>22</v>
      </c>
      <c r="IG27" s="21">
        <v>0</v>
      </c>
      <c r="IH27" s="21">
        <v>1543476</v>
      </c>
      <c r="II27" s="21">
        <v>185217.1</v>
      </c>
      <c r="IJ27" s="10">
        <v>0</v>
      </c>
      <c r="IK27" s="10">
        <v>0</v>
      </c>
      <c r="IL27" s="10">
        <v>0</v>
      </c>
      <c r="IM27" s="10">
        <v>0</v>
      </c>
      <c r="IN27" s="10">
        <v>0</v>
      </c>
      <c r="IO27" s="10">
        <v>0</v>
      </c>
      <c r="IP27" s="10">
        <v>0</v>
      </c>
      <c r="IQ27" s="10">
        <v>0</v>
      </c>
      <c r="IR27" s="10">
        <v>8</v>
      </c>
      <c r="IS27" s="10">
        <v>0</v>
      </c>
      <c r="IT27" s="10">
        <v>488400</v>
      </c>
      <c r="IU27" s="10">
        <v>58608</v>
      </c>
      <c r="IV27" s="10">
        <v>0</v>
      </c>
      <c r="IW27" s="10">
        <v>0</v>
      </c>
      <c r="IX27" s="10">
        <v>0</v>
      </c>
      <c r="IY27" s="10">
        <v>0</v>
      </c>
      <c r="IZ27" s="10">
        <v>0</v>
      </c>
      <c r="JA27" s="10">
        <v>0</v>
      </c>
      <c r="JB27" s="10">
        <v>0</v>
      </c>
      <c r="JC27" s="10">
        <v>0</v>
      </c>
      <c r="JD27" s="21">
        <v>8</v>
      </c>
      <c r="JE27" s="21">
        <v>0</v>
      </c>
      <c r="JF27" s="21">
        <v>488400</v>
      </c>
      <c r="JG27" s="21">
        <v>58608</v>
      </c>
      <c r="JH27" s="10">
        <v>11</v>
      </c>
      <c r="JI27" s="10">
        <v>0</v>
      </c>
      <c r="JJ27" s="10">
        <v>957968</v>
      </c>
      <c r="JK27" s="10">
        <v>114956.2</v>
      </c>
      <c r="JL27" s="10">
        <v>0</v>
      </c>
      <c r="JM27" s="10">
        <v>0</v>
      </c>
      <c r="JN27" s="10">
        <v>0</v>
      </c>
      <c r="JO27" s="10">
        <v>0</v>
      </c>
      <c r="JP27" s="10">
        <v>10</v>
      </c>
      <c r="JQ27" s="10">
        <v>0</v>
      </c>
      <c r="JR27" s="10">
        <v>610500</v>
      </c>
      <c r="JS27" s="10">
        <v>73260</v>
      </c>
      <c r="JT27" s="10">
        <v>0</v>
      </c>
      <c r="JU27" s="10">
        <v>0</v>
      </c>
      <c r="JV27" s="10">
        <v>0</v>
      </c>
      <c r="JW27" s="10">
        <v>0</v>
      </c>
      <c r="JX27" s="21">
        <v>21</v>
      </c>
      <c r="JY27" s="21">
        <v>0</v>
      </c>
      <c r="JZ27" s="21">
        <v>1568468</v>
      </c>
      <c r="KA27" s="21">
        <v>188216.2</v>
      </c>
      <c r="KB27" s="10">
        <v>0</v>
      </c>
      <c r="KC27" s="10">
        <v>0</v>
      </c>
      <c r="KD27" s="10">
        <v>0</v>
      </c>
      <c r="KE27" s="10">
        <v>0</v>
      </c>
      <c r="KF27" s="10">
        <v>7</v>
      </c>
      <c r="KG27" s="10">
        <v>0</v>
      </c>
      <c r="KH27" s="10">
        <v>427350</v>
      </c>
      <c r="KI27" s="10">
        <v>51282</v>
      </c>
      <c r="KJ27" s="10">
        <v>0</v>
      </c>
      <c r="KK27" s="10">
        <v>0</v>
      </c>
      <c r="KL27" s="10">
        <v>0</v>
      </c>
      <c r="KM27" s="10">
        <v>0</v>
      </c>
      <c r="KN27" s="10">
        <v>0</v>
      </c>
      <c r="KO27" s="10">
        <v>0</v>
      </c>
      <c r="KP27" s="10">
        <v>0</v>
      </c>
      <c r="KQ27" s="10">
        <v>0</v>
      </c>
      <c r="KR27" s="21">
        <v>7</v>
      </c>
      <c r="KS27" s="21">
        <v>0</v>
      </c>
      <c r="KT27" s="21">
        <v>427350</v>
      </c>
      <c r="KU27" s="21">
        <v>51282</v>
      </c>
      <c r="KV27" s="21">
        <v>328</v>
      </c>
      <c r="KW27" s="21">
        <v>0</v>
      </c>
      <c r="KX27" s="21">
        <v>25005475</v>
      </c>
      <c r="KY27" s="21">
        <v>3000657</v>
      </c>
    </row>
    <row r="28" spans="1:311" ht="16.95" customHeight="1" x14ac:dyDescent="0.4">
      <c r="A28" s="15"/>
      <c r="B28" s="15"/>
      <c r="C28" s="15" t="s">
        <v>35</v>
      </c>
      <c r="D28" s="16">
        <v>0</v>
      </c>
      <c r="E28" s="16">
        <v>0</v>
      </c>
      <c r="F28" s="16">
        <v>0</v>
      </c>
      <c r="G28" s="16">
        <v>0</v>
      </c>
      <c r="H28" s="23">
        <v>0</v>
      </c>
      <c r="I28" s="23"/>
      <c r="J28" s="23">
        <v>0</v>
      </c>
      <c r="K28" s="23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23">
        <v>0</v>
      </c>
      <c r="AC28" s="23"/>
      <c r="AD28" s="23">
        <v>0</v>
      </c>
      <c r="AE28" s="23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3</v>
      </c>
      <c r="AO28" s="16">
        <v>127842</v>
      </c>
      <c r="AP28" s="16">
        <v>383526</v>
      </c>
      <c r="AQ28" s="16">
        <v>46023.1</v>
      </c>
      <c r="AR28" s="16">
        <v>0</v>
      </c>
      <c r="AS28" s="16">
        <v>0</v>
      </c>
      <c r="AT28" s="16">
        <v>0</v>
      </c>
      <c r="AU28" s="16">
        <v>0</v>
      </c>
      <c r="AV28" s="23">
        <v>3</v>
      </c>
      <c r="AW28" s="23"/>
      <c r="AX28" s="23">
        <v>383526</v>
      </c>
      <c r="AY28" s="23">
        <v>46023.1</v>
      </c>
      <c r="AZ28" s="16">
        <v>0</v>
      </c>
      <c r="BA28" s="16">
        <v>0</v>
      </c>
      <c r="BB28" s="16">
        <v>0</v>
      </c>
      <c r="BC28" s="16">
        <v>0</v>
      </c>
      <c r="BD28" s="16">
        <v>4</v>
      </c>
      <c r="BE28" s="16">
        <v>127842</v>
      </c>
      <c r="BF28" s="16">
        <v>511368</v>
      </c>
      <c r="BG28" s="16">
        <v>61364.2</v>
      </c>
      <c r="BH28" s="16">
        <v>0</v>
      </c>
      <c r="BI28" s="16">
        <v>0</v>
      </c>
      <c r="BJ28" s="16">
        <v>0</v>
      </c>
      <c r="BK28" s="16">
        <v>0</v>
      </c>
      <c r="BL28" s="16">
        <v>4</v>
      </c>
      <c r="BM28" s="16">
        <v>127842</v>
      </c>
      <c r="BN28" s="16">
        <v>511368</v>
      </c>
      <c r="BO28" s="16">
        <v>61364.2</v>
      </c>
      <c r="BP28" s="16">
        <v>0</v>
      </c>
      <c r="BQ28" s="16">
        <v>0</v>
      </c>
      <c r="BR28" s="16">
        <v>0</v>
      </c>
      <c r="BS28" s="16">
        <v>0</v>
      </c>
      <c r="BT28" s="23">
        <v>8</v>
      </c>
      <c r="BU28" s="23"/>
      <c r="BV28" s="23">
        <v>1022736</v>
      </c>
      <c r="BW28" s="23">
        <v>122728.3</v>
      </c>
      <c r="BX28" s="16">
        <v>2</v>
      </c>
      <c r="BY28" s="16">
        <v>127842</v>
      </c>
      <c r="BZ28" s="16">
        <v>255684</v>
      </c>
      <c r="CA28" s="16">
        <v>30682.1</v>
      </c>
      <c r="CB28" s="16">
        <v>0</v>
      </c>
      <c r="CC28" s="16">
        <v>0</v>
      </c>
      <c r="CD28" s="16">
        <v>0</v>
      </c>
      <c r="CE28" s="16">
        <v>0</v>
      </c>
      <c r="CF28" s="16">
        <v>2</v>
      </c>
      <c r="CG28" s="16">
        <v>127842</v>
      </c>
      <c r="CH28" s="16">
        <v>255684</v>
      </c>
      <c r="CI28" s="16">
        <v>30682.1</v>
      </c>
      <c r="CJ28" s="16">
        <v>0</v>
      </c>
      <c r="CK28" s="16">
        <v>0</v>
      </c>
      <c r="CL28" s="16">
        <v>0</v>
      </c>
      <c r="CM28" s="16">
        <v>0</v>
      </c>
      <c r="CN28" s="23">
        <v>4</v>
      </c>
      <c r="CO28" s="23"/>
      <c r="CP28" s="23">
        <v>511368</v>
      </c>
      <c r="CQ28" s="23">
        <v>61364.2</v>
      </c>
      <c r="CR28" s="16">
        <v>4</v>
      </c>
      <c r="CS28" s="16">
        <v>127842</v>
      </c>
      <c r="CT28" s="16">
        <v>511368</v>
      </c>
      <c r="CU28" s="16">
        <v>61364.2</v>
      </c>
      <c r="CV28" s="16">
        <v>0</v>
      </c>
      <c r="CW28" s="16">
        <v>0</v>
      </c>
      <c r="CX28" s="16">
        <v>0</v>
      </c>
      <c r="CY28" s="16">
        <v>0</v>
      </c>
      <c r="CZ28" s="16">
        <v>4</v>
      </c>
      <c r="DA28" s="16">
        <v>127842</v>
      </c>
      <c r="DB28" s="16">
        <v>511368</v>
      </c>
      <c r="DC28" s="16">
        <v>61364.2</v>
      </c>
      <c r="DD28" s="16">
        <v>0</v>
      </c>
      <c r="DE28" s="16">
        <v>0</v>
      </c>
      <c r="DF28" s="16">
        <v>0</v>
      </c>
      <c r="DG28" s="16">
        <v>0</v>
      </c>
      <c r="DH28" s="23">
        <v>8</v>
      </c>
      <c r="DI28" s="23"/>
      <c r="DJ28" s="23">
        <v>1022736</v>
      </c>
      <c r="DK28" s="23">
        <v>122728.3</v>
      </c>
      <c r="DL28" s="16">
        <v>6</v>
      </c>
      <c r="DM28" s="16">
        <v>127842</v>
      </c>
      <c r="DN28" s="16">
        <v>767052</v>
      </c>
      <c r="DO28" s="16">
        <v>92046.2</v>
      </c>
      <c r="DP28" s="16">
        <v>3</v>
      </c>
      <c r="DQ28" s="16">
        <v>127842</v>
      </c>
      <c r="DR28" s="16">
        <v>383526</v>
      </c>
      <c r="DS28" s="16">
        <v>46023.1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6</v>
      </c>
      <c r="EC28" s="16">
        <v>127842</v>
      </c>
      <c r="ED28" s="16">
        <v>767052</v>
      </c>
      <c r="EE28" s="16">
        <v>92046.2</v>
      </c>
      <c r="EF28" s="23">
        <v>15</v>
      </c>
      <c r="EG28" s="23"/>
      <c r="EH28" s="23">
        <v>1917630</v>
      </c>
      <c r="EI28" s="23">
        <v>230115.6</v>
      </c>
      <c r="EJ28" s="16">
        <v>0</v>
      </c>
      <c r="EK28" s="16">
        <v>0</v>
      </c>
      <c r="EL28" s="16">
        <v>0</v>
      </c>
      <c r="EM28" s="16">
        <v>0</v>
      </c>
      <c r="EN28" s="16">
        <v>4</v>
      </c>
      <c r="EO28" s="16">
        <v>127842</v>
      </c>
      <c r="EP28" s="16">
        <v>511368</v>
      </c>
      <c r="EQ28" s="16">
        <v>61364.2</v>
      </c>
      <c r="ER28" s="16">
        <v>6</v>
      </c>
      <c r="ES28" s="16">
        <v>127842</v>
      </c>
      <c r="ET28" s="16">
        <v>767052</v>
      </c>
      <c r="EU28" s="16">
        <v>92046.2</v>
      </c>
      <c r="EV28" s="16">
        <v>0</v>
      </c>
      <c r="EW28" s="16">
        <v>0</v>
      </c>
      <c r="EX28" s="16">
        <v>0</v>
      </c>
      <c r="EY28" s="16">
        <v>0</v>
      </c>
      <c r="EZ28" s="23">
        <v>10</v>
      </c>
      <c r="FA28" s="23"/>
      <c r="FB28" s="23">
        <v>1278420</v>
      </c>
      <c r="FC28" s="23">
        <v>153410.4</v>
      </c>
      <c r="FD28" s="16">
        <v>0</v>
      </c>
      <c r="FE28" s="16">
        <v>0</v>
      </c>
      <c r="FF28" s="16">
        <v>0</v>
      </c>
      <c r="FG28" s="16">
        <v>0</v>
      </c>
      <c r="FH28" s="16">
        <v>1</v>
      </c>
      <c r="FI28" s="16">
        <v>127842</v>
      </c>
      <c r="FJ28" s="16">
        <v>127842</v>
      </c>
      <c r="FK28" s="16">
        <v>15341</v>
      </c>
      <c r="FL28" s="16">
        <v>4</v>
      </c>
      <c r="FM28" s="16">
        <v>127842</v>
      </c>
      <c r="FN28" s="16">
        <v>511368</v>
      </c>
      <c r="FO28" s="16">
        <v>61364.2</v>
      </c>
      <c r="FP28" s="16">
        <v>3</v>
      </c>
      <c r="FQ28" s="16">
        <v>127842</v>
      </c>
      <c r="FR28" s="16">
        <v>383526</v>
      </c>
      <c r="FS28" s="16">
        <v>46023.1</v>
      </c>
      <c r="FT28" s="23">
        <v>8</v>
      </c>
      <c r="FU28" s="23"/>
      <c r="FV28" s="23">
        <v>1022736</v>
      </c>
      <c r="FW28" s="23">
        <v>122728.3</v>
      </c>
      <c r="FX28" s="16">
        <v>0</v>
      </c>
      <c r="FY28" s="16">
        <v>0</v>
      </c>
      <c r="FZ28" s="16">
        <v>0</v>
      </c>
      <c r="GA28" s="16">
        <v>0</v>
      </c>
      <c r="GB28" s="16">
        <v>4</v>
      </c>
      <c r="GC28" s="16">
        <v>127842</v>
      </c>
      <c r="GD28" s="16">
        <v>511368</v>
      </c>
      <c r="GE28" s="16">
        <v>61364.2</v>
      </c>
      <c r="GF28" s="16">
        <v>0</v>
      </c>
      <c r="GG28" s="16">
        <v>0</v>
      </c>
      <c r="GH28" s="16">
        <v>0</v>
      </c>
      <c r="GI28" s="16">
        <v>0</v>
      </c>
      <c r="GJ28" s="16">
        <v>4</v>
      </c>
      <c r="GK28" s="16">
        <v>127842</v>
      </c>
      <c r="GL28" s="16">
        <v>511368</v>
      </c>
      <c r="GM28" s="16">
        <v>61364.2</v>
      </c>
      <c r="GN28" s="16">
        <v>0</v>
      </c>
      <c r="GO28" s="16">
        <v>0</v>
      </c>
      <c r="GP28" s="16">
        <v>0</v>
      </c>
      <c r="GQ28" s="16">
        <v>0</v>
      </c>
      <c r="GR28" s="23">
        <v>8</v>
      </c>
      <c r="GS28" s="23"/>
      <c r="GT28" s="23">
        <v>1022736</v>
      </c>
      <c r="GU28" s="23">
        <v>122728.3</v>
      </c>
      <c r="GV28" s="16">
        <v>0</v>
      </c>
      <c r="GW28" s="16">
        <v>0</v>
      </c>
      <c r="GX28" s="16">
        <v>0</v>
      </c>
      <c r="GY28" s="16">
        <v>0</v>
      </c>
      <c r="GZ28" s="16">
        <v>4</v>
      </c>
      <c r="HA28" s="16">
        <v>127842</v>
      </c>
      <c r="HB28" s="16">
        <v>511368</v>
      </c>
      <c r="HC28" s="16">
        <v>61364.2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23">
        <v>4</v>
      </c>
      <c r="HM28" s="23"/>
      <c r="HN28" s="23">
        <v>511368</v>
      </c>
      <c r="HO28" s="23">
        <v>61364.2</v>
      </c>
      <c r="HP28" s="16">
        <v>3</v>
      </c>
      <c r="HQ28" s="16">
        <v>127842</v>
      </c>
      <c r="HR28" s="16">
        <v>383526</v>
      </c>
      <c r="HS28" s="16">
        <v>46023.1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  <c r="IB28" s="16">
        <v>0</v>
      </c>
      <c r="IC28" s="16">
        <v>0</v>
      </c>
      <c r="ID28" s="16">
        <v>0</v>
      </c>
      <c r="IE28" s="16">
        <v>0</v>
      </c>
      <c r="IF28" s="23">
        <v>3</v>
      </c>
      <c r="IG28" s="23"/>
      <c r="IH28" s="23">
        <v>383526</v>
      </c>
      <c r="II28" s="23">
        <v>46023.1</v>
      </c>
      <c r="IJ28" s="16">
        <v>0</v>
      </c>
      <c r="IK28" s="16">
        <v>0</v>
      </c>
      <c r="IL28" s="16">
        <v>0</v>
      </c>
      <c r="IM28" s="16">
        <v>0</v>
      </c>
      <c r="IN28" s="16">
        <v>0</v>
      </c>
      <c r="IO28" s="16">
        <v>0</v>
      </c>
      <c r="IP28" s="16">
        <v>0</v>
      </c>
      <c r="IQ28" s="16">
        <v>0</v>
      </c>
      <c r="IR28" s="16">
        <v>0</v>
      </c>
      <c r="IS28" s="16">
        <v>0</v>
      </c>
      <c r="IT28" s="16">
        <v>0</v>
      </c>
      <c r="IU28" s="16">
        <v>0</v>
      </c>
      <c r="IV28" s="16">
        <v>0</v>
      </c>
      <c r="IW28" s="16">
        <v>0</v>
      </c>
      <c r="IX28" s="16">
        <v>0</v>
      </c>
      <c r="IY28" s="16">
        <v>0</v>
      </c>
      <c r="IZ28" s="16">
        <v>0</v>
      </c>
      <c r="JA28" s="16">
        <v>0</v>
      </c>
      <c r="JB28" s="16">
        <v>0</v>
      </c>
      <c r="JC28" s="16">
        <v>0</v>
      </c>
      <c r="JD28" s="23">
        <v>0</v>
      </c>
      <c r="JE28" s="23"/>
      <c r="JF28" s="23">
        <v>0</v>
      </c>
      <c r="JG28" s="23">
        <v>0</v>
      </c>
      <c r="JH28" s="16">
        <v>4</v>
      </c>
      <c r="JI28" s="16">
        <v>127842</v>
      </c>
      <c r="JJ28" s="16">
        <v>511368</v>
      </c>
      <c r="JK28" s="16">
        <v>61364.2</v>
      </c>
      <c r="JL28" s="16">
        <v>0</v>
      </c>
      <c r="JM28" s="16">
        <v>0</v>
      </c>
      <c r="JN28" s="16">
        <v>0</v>
      </c>
      <c r="JO28" s="16">
        <v>0</v>
      </c>
      <c r="JP28" s="16">
        <v>0</v>
      </c>
      <c r="JQ28" s="16">
        <v>0</v>
      </c>
      <c r="JR28" s="16">
        <v>0</v>
      </c>
      <c r="JS28" s="16">
        <v>0</v>
      </c>
      <c r="JT28" s="16">
        <v>0</v>
      </c>
      <c r="JU28" s="16">
        <v>0</v>
      </c>
      <c r="JV28" s="16">
        <v>0</v>
      </c>
      <c r="JW28" s="16">
        <v>0</v>
      </c>
      <c r="JX28" s="23">
        <v>4</v>
      </c>
      <c r="JY28" s="23"/>
      <c r="JZ28" s="23">
        <v>511368</v>
      </c>
      <c r="KA28" s="23">
        <v>61364.2</v>
      </c>
      <c r="KB28" s="16">
        <v>0</v>
      </c>
      <c r="KC28" s="16">
        <v>0</v>
      </c>
      <c r="KD28" s="16">
        <v>0</v>
      </c>
      <c r="KE28" s="16">
        <v>0</v>
      </c>
      <c r="KF28" s="16">
        <v>0</v>
      </c>
      <c r="KG28" s="16">
        <v>0</v>
      </c>
      <c r="KH28" s="16">
        <v>0</v>
      </c>
      <c r="KI28" s="16">
        <v>0</v>
      </c>
      <c r="KJ28" s="16">
        <v>0</v>
      </c>
      <c r="KK28" s="16">
        <v>0</v>
      </c>
      <c r="KL28" s="16">
        <v>0</v>
      </c>
      <c r="KM28" s="16">
        <v>0</v>
      </c>
      <c r="KN28" s="16">
        <v>0</v>
      </c>
      <c r="KO28" s="16">
        <v>0</v>
      </c>
      <c r="KP28" s="16">
        <v>0</v>
      </c>
      <c r="KQ28" s="16">
        <v>0</v>
      </c>
      <c r="KR28" s="23">
        <v>0</v>
      </c>
      <c r="KS28" s="23"/>
      <c r="KT28" s="23">
        <v>0</v>
      </c>
      <c r="KU28" s="23">
        <v>0</v>
      </c>
      <c r="KV28" s="23">
        <v>75</v>
      </c>
      <c r="KW28" s="23"/>
      <c r="KX28" s="23">
        <v>9588150</v>
      </c>
      <c r="KY28" s="23">
        <v>1150578</v>
      </c>
    </row>
    <row r="29" spans="1:311" ht="16.95" customHeight="1" x14ac:dyDescent="0.4">
      <c r="A29" s="11"/>
      <c r="B29" s="11"/>
      <c r="C29" s="11" t="s">
        <v>23</v>
      </c>
      <c r="D29" s="9">
        <v>0</v>
      </c>
      <c r="E29" s="9">
        <v>0</v>
      </c>
      <c r="F29" s="9">
        <v>0</v>
      </c>
      <c r="G29" s="9">
        <v>0</v>
      </c>
      <c r="H29" s="22">
        <v>0</v>
      </c>
      <c r="I29" s="22"/>
      <c r="J29" s="22">
        <v>0</v>
      </c>
      <c r="K29" s="22">
        <v>0</v>
      </c>
      <c r="L29" s="9">
        <v>10</v>
      </c>
      <c r="M29" s="9">
        <v>59400</v>
      </c>
      <c r="N29" s="9">
        <v>594000</v>
      </c>
      <c r="O29" s="9">
        <v>71280</v>
      </c>
      <c r="P29" s="9">
        <v>0</v>
      </c>
      <c r="Q29" s="9">
        <v>0</v>
      </c>
      <c r="R29" s="9">
        <v>0</v>
      </c>
      <c r="S29" s="9">
        <v>0</v>
      </c>
      <c r="T29" s="9">
        <v>13</v>
      </c>
      <c r="U29" s="9">
        <v>59400</v>
      </c>
      <c r="V29" s="9">
        <v>772200</v>
      </c>
      <c r="W29" s="9">
        <v>92664</v>
      </c>
      <c r="X29" s="9">
        <v>0</v>
      </c>
      <c r="Y29" s="9">
        <v>0</v>
      </c>
      <c r="Z29" s="9">
        <v>0</v>
      </c>
      <c r="AA29" s="9">
        <v>0</v>
      </c>
      <c r="AB29" s="22">
        <v>23</v>
      </c>
      <c r="AC29" s="22"/>
      <c r="AD29" s="22">
        <v>1366200</v>
      </c>
      <c r="AE29" s="22">
        <v>163944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7</v>
      </c>
      <c r="AO29" s="9">
        <v>59400</v>
      </c>
      <c r="AP29" s="9">
        <v>415800</v>
      </c>
      <c r="AQ29" s="9">
        <v>49896</v>
      </c>
      <c r="AR29" s="9">
        <v>0</v>
      </c>
      <c r="AS29" s="9">
        <v>0</v>
      </c>
      <c r="AT29" s="9">
        <v>0</v>
      </c>
      <c r="AU29" s="9">
        <v>0</v>
      </c>
      <c r="AV29" s="22">
        <v>7</v>
      </c>
      <c r="AW29" s="22"/>
      <c r="AX29" s="22">
        <v>415800</v>
      </c>
      <c r="AY29" s="22">
        <v>49896</v>
      </c>
      <c r="AZ29" s="9">
        <v>0</v>
      </c>
      <c r="BA29" s="9">
        <v>0</v>
      </c>
      <c r="BB29" s="9">
        <v>0</v>
      </c>
      <c r="BC29" s="9">
        <v>0</v>
      </c>
      <c r="BD29" s="9">
        <v>8</v>
      </c>
      <c r="BE29" s="9">
        <v>59400</v>
      </c>
      <c r="BF29" s="9">
        <v>475200</v>
      </c>
      <c r="BG29" s="9">
        <v>57024</v>
      </c>
      <c r="BH29" s="9">
        <v>0</v>
      </c>
      <c r="BI29" s="9">
        <v>0</v>
      </c>
      <c r="BJ29" s="9">
        <v>0</v>
      </c>
      <c r="BK29" s="9">
        <v>0</v>
      </c>
      <c r="BL29" s="9">
        <v>7</v>
      </c>
      <c r="BM29" s="9">
        <v>59400</v>
      </c>
      <c r="BN29" s="9">
        <v>415800</v>
      </c>
      <c r="BO29" s="9">
        <v>49896</v>
      </c>
      <c r="BP29" s="9">
        <v>0</v>
      </c>
      <c r="BQ29" s="9">
        <v>0</v>
      </c>
      <c r="BR29" s="9">
        <v>0</v>
      </c>
      <c r="BS29" s="9">
        <v>0</v>
      </c>
      <c r="BT29" s="22">
        <v>15</v>
      </c>
      <c r="BU29" s="22"/>
      <c r="BV29" s="22">
        <v>891000</v>
      </c>
      <c r="BW29" s="22">
        <v>106920</v>
      </c>
      <c r="BX29" s="9">
        <v>7</v>
      </c>
      <c r="BY29" s="9">
        <v>59400</v>
      </c>
      <c r="BZ29" s="9">
        <v>415800</v>
      </c>
      <c r="CA29" s="9">
        <v>49896</v>
      </c>
      <c r="CB29" s="9">
        <v>0</v>
      </c>
      <c r="CC29" s="9">
        <v>0</v>
      </c>
      <c r="CD29" s="9">
        <v>0</v>
      </c>
      <c r="CE29" s="9">
        <v>0</v>
      </c>
      <c r="CF29" s="9">
        <v>10</v>
      </c>
      <c r="CG29" s="9">
        <v>59400</v>
      </c>
      <c r="CH29" s="9">
        <v>594000</v>
      </c>
      <c r="CI29" s="9">
        <v>71280</v>
      </c>
      <c r="CJ29" s="9">
        <v>0</v>
      </c>
      <c r="CK29" s="9">
        <v>0</v>
      </c>
      <c r="CL29" s="9">
        <v>0</v>
      </c>
      <c r="CM29" s="9">
        <v>0</v>
      </c>
      <c r="CN29" s="22">
        <v>17</v>
      </c>
      <c r="CO29" s="22"/>
      <c r="CP29" s="22">
        <v>1009800</v>
      </c>
      <c r="CQ29" s="22">
        <v>121176</v>
      </c>
      <c r="CR29" s="9">
        <v>8</v>
      </c>
      <c r="CS29" s="9">
        <v>59400</v>
      </c>
      <c r="CT29" s="9">
        <v>475200</v>
      </c>
      <c r="CU29" s="9">
        <v>57024</v>
      </c>
      <c r="CV29" s="9">
        <v>0</v>
      </c>
      <c r="CW29" s="9">
        <v>0</v>
      </c>
      <c r="CX29" s="9">
        <v>0</v>
      </c>
      <c r="CY29" s="9">
        <v>0</v>
      </c>
      <c r="CZ29" s="9">
        <v>10</v>
      </c>
      <c r="DA29" s="9">
        <v>59400</v>
      </c>
      <c r="DB29" s="9">
        <v>594000</v>
      </c>
      <c r="DC29" s="9">
        <v>71280</v>
      </c>
      <c r="DD29" s="9">
        <v>0</v>
      </c>
      <c r="DE29" s="9">
        <v>0</v>
      </c>
      <c r="DF29" s="9">
        <v>0</v>
      </c>
      <c r="DG29" s="9">
        <v>0</v>
      </c>
      <c r="DH29" s="22">
        <v>18</v>
      </c>
      <c r="DI29" s="22"/>
      <c r="DJ29" s="22">
        <v>1069200</v>
      </c>
      <c r="DK29" s="22">
        <v>128304</v>
      </c>
      <c r="DL29" s="9">
        <v>9</v>
      </c>
      <c r="DM29" s="9">
        <v>59400</v>
      </c>
      <c r="DN29" s="9">
        <v>534600</v>
      </c>
      <c r="DO29" s="9">
        <v>64152</v>
      </c>
      <c r="DP29" s="9">
        <v>8</v>
      </c>
      <c r="DQ29" s="9">
        <v>59400</v>
      </c>
      <c r="DR29" s="9">
        <v>475200</v>
      </c>
      <c r="DS29" s="9">
        <v>57024</v>
      </c>
      <c r="DT29" s="9">
        <v>0</v>
      </c>
      <c r="DU29" s="9">
        <v>0</v>
      </c>
      <c r="DV29" s="9">
        <v>0</v>
      </c>
      <c r="DW29" s="9">
        <v>0</v>
      </c>
      <c r="DX29" s="9">
        <v>10</v>
      </c>
      <c r="DY29" s="9">
        <v>59400</v>
      </c>
      <c r="DZ29" s="9">
        <v>594000</v>
      </c>
      <c r="EA29" s="9">
        <v>71280</v>
      </c>
      <c r="EB29" s="9">
        <v>8</v>
      </c>
      <c r="EC29" s="9">
        <v>61050</v>
      </c>
      <c r="ED29" s="9">
        <v>488400</v>
      </c>
      <c r="EE29" s="9">
        <v>58608</v>
      </c>
      <c r="EF29" s="22">
        <v>35</v>
      </c>
      <c r="EG29" s="22"/>
      <c r="EH29" s="22">
        <v>2092200</v>
      </c>
      <c r="EI29" s="22">
        <v>251064</v>
      </c>
      <c r="EJ29" s="9">
        <v>10</v>
      </c>
      <c r="EK29" s="9">
        <v>61050</v>
      </c>
      <c r="EL29" s="9">
        <v>610500</v>
      </c>
      <c r="EM29" s="9">
        <v>73260</v>
      </c>
      <c r="EN29" s="9">
        <v>0</v>
      </c>
      <c r="EO29" s="9">
        <v>0</v>
      </c>
      <c r="EP29" s="9">
        <v>0</v>
      </c>
      <c r="EQ29" s="9">
        <v>0</v>
      </c>
      <c r="ER29" s="9">
        <v>10</v>
      </c>
      <c r="ES29" s="9">
        <v>61050</v>
      </c>
      <c r="ET29" s="9">
        <v>610500</v>
      </c>
      <c r="EU29" s="9">
        <v>73260</v>
      </c>
      <c r="EV29" s="9">
        <v>10</v>
      </c>
      <c r="EW29" s="9">
        <v>61050</v>
      </c>
      <c r="EX29" s="9">
        <v>610500</v>
      </c>
      <c r="EY29" s="9">
        <v>73260</v>
      </c>
      <c r="EZ29" s="22">
        <v>30</v>
      </c>
      <c r="FA29" s="22"/>
      <c r="FB29" s="22">
        <v>1831500</v>
      </c>
      <c r="FC29" s="22">
        <v>219780</v>
      </c>
      <c r="FD29" s="9">
        <v>0</v>
      </c>
      <c r="FE29" s="9">
        <v>0</v>
      </c>
      <c r="FF29" s="9">
        <v>0</v>
      </c>
      <c r="FG29" s="9">
        <v>0</v>
      </c>
      <c r="FH29" s="9">
        <v>10</v>
      </c>
      <c r="FI29" s="9">
        <v>61050</v>
      </c>
      <c r="FJ29" s="9">
        <v>610500</v>
      </c>
      <c r="FK29" s="9">
        <v>73260</v>
      </c>
      <c r="FL29" s="9">
        <v>5</v>
      </c>
      <c r="FM29" s="9">
        <v>61050</v>
      </c>
      <c r="FN29" s="9">
        <v>305250</v>
      </c>
      <c r="FO29" s="9">
        <v>36630</v>
      </c>
      <c r="FP29" s="9">
        <v>10</v>
      </c>
      <c r="FQ29" s="9">
        <v>61050</v>
      </c>
      <c r="FR29" s="9">
        <v>610500</v>
      </c>
      <c r="FS29" s="9">
        <v>73260</v>
      </c>
      <c r="FT29" s="22">
        <v>25</v>
      </c>
      <c r="FU29" s="22"/>
      <c r="FV29" s="22">
        <v>1526250</v>
      </c>
      <c r="FW29" s="22">
        <v>183150</v>
      </c>
      <c r="FX29" s="9">
        <v>0</v>
      </c>
      <c r="FY29" s="9">
        <v>0</v>
      </c>
      <c r="FZ29" s="9">
        <v>0</v>
      </c>
      <c r="GA29" s="9">
        <v>0</v>
      </c>
      <c r="GB29" s="9">
        <v>7</v>
      </c>
      <c r="GC29" s="9">
        <v>61050</v>
      </c>
      <c r="GD29" s="9">
        <v>427350</v>
      </c>
      <c r="GE29" s="9">
        <v>51282</v>
      </c>
      <c r="GF29" s="9">
        <v>0</v>
      </c>
      <c r="GG29" s="9">
        <v>0</v>
      </c>
      <c r="GH29" s="9">
        <v>0</v>
      </c>
      <c r="GI29" s="9">
        <v>0</v>
      </c>
      <c r="GJ29" s="9">
        <v>10</v>
      </c>
      <c r="GK29" s="9">
        <v>61050</v>
      </c>
      <c r="GL29" s="9">
        <v>610500</v>
      </c>
      <c r="GM29" s="9">
        <v>73260</v>
      </c>
      <c r="GN29" s="9">
        <v>0</v>
      </c>
      <c r="GO29" s="9">
        <v>0</v>
      </c>
      <c r="GP29" s="9">
        <v>0</v>
      </c>
      <c r="GQ29" s="9">
        <v>0</v>
      </c>
      <c r="GR29" s="22">
        <v>17</v>
      </c>
      <c r="GS29" s="22"/>
      <c r="GT29" s="22">
        <v>1037850</v>
      </c>
      <c r="GU29" s="22">
        <v>124542</v>
      </c>
      <c r="GV29" s="9">
        <v>0</v>
      </c>
      <c r="GW29" s="9">
        <v>0</v>
      </c>
      <c r="GX29" s="9">
        <v>0</v>
      </c>
      <c r="GY29" s="9">
        <v>0</v>
      </c>
      <c r="GZ29" s="9">
        <v>8</v>
      </c>
      <c r="HA29" s="9">
        <v>61050</v>
      </c>
      <c r="HB29" s="9">
        <v>488400</v>
      </c>
      <c r="HC29" s="9">
        <v>58608</v>
      </c>
      <c r="HD29" s="9">
        <v>0</v>
      </c>
      <c r="HE29" s="9">
        <v>0</v>
      </c>
      <c r="HF29" s="9">
        <v>0</v>
      </c>
      <c r="HG29" s="9">
        <v>0</v>
      </c>
      <c r="HH29" s="9">
        <v>0</v>
      </c>
      <c r="HI29" s="9">
        <v>0</v>
      </c>
      <c r="HJ29" s="9">
        <v>0</v>
      </c>
      <c r="HK29" s="9">
        <v>0</v>
      </c>
      <c r="HL29" s="22">
        <v>8</v>
      </c>
      <c r="HM29" s="22"/>
      <c r="HN29" s="22">
        <v>488400</v>
      </c>
      <c r="HO29" s="22">
        <v>58608</v>
      </c>
      <c r="HP29" s="9">
        <v>10</v>
      </c>
      <c r="HQ29" s="9">
        <v>61050</v>
      </c>
      <c r="HR29" s="9">
        <v>610500</v>
      </c>
      <c r="HS29" s="9">
        <v>73260</v>
      </c>
      <c r="HT29" s="9">
        <v>0</v>
      </c>
      <c r="HU29" s="9">
        <v>0</v>
      </c>
      <c r="HV29" s="9">
        <v>0</v>
      </c>
      <c r="HW29" s="9">
        <v>0</v>
      </c>
      <c r="HX29" s="9">
        <v>9</v>
      </c>
      <c r="HY29" s="9">
        <v>61050</v>
      </c>
      <c r="HZ29" s="9">
        <v>549450</v>
      </c>
      <c r="IA29" s="9">
        <v>65934</v>
      </c>
      <c r="IB29" s="9">
        <v>0</v>
      </c>
      <c r="IC29" s="9">
        <v>0</v>
      </c>
      <c r="ID29" s="9">
        <v>0</v>
      </c>
      <c r="IE29" s="9">
        <v>0</v>
      </c>
      <c r="IF29" s="22">
        <v>19</v>
      </c>
      <c r="IG29" s="22"/>
      <c r="IH29" s="22">
        <v>1159950</v>
      </c>
      <c r="II29" s="22">
        <v>139194</v>
      </c>
      <c r="IJ29" s="9">
        <v>0</v>
      </c>
      <c r="IK29" s="9">
        <v>0</v>
      </c>
      <c r="IL29" s="9">
        <v>0</v>
      </c>
      <c r="IM29" s="9">
        <v>0</v>
      </c>
      <c r="IN29" s="9">
        <v>0</v>
      </c>
      <c r="IO29" s="9">
        <v>0</v>
      </c>
      <c r="IP29" s="9">
        <v>0</v>
      </c>
      <c r="IQ29" s="9">
        <v>0</v>
      </c>
      <c r="IR29" s="9">
        <v>8</v>
      </c>
      <c r="IS29" s="9">
        <v>61050</v>
      </c>
      <c r="IT29" s="9">
        <v>488400</v>
      </c>
      <c r="IU29" s="9">
        <v>58608</v>
      </c>
      <c r="IV29" s="9">
        <v>0</v>
      </c>
      <c r="IW29" s="9">
        <v>0</v>
      </c>
      <c r="IX29" s="9">
        <v>0</v>
      </c>
      <c r="IY29" s="9">
        <v>0</v>
      </c>
      <c r="IZ29" s="9">
        <v>0</v>
      </c>
      <c r="JA29" s="9">
        <v>0</v>
      </c>
      <c r="JB29" s="9">
        <v>0</v>
      </c>
      <c r="JC29" s="9">
        <v>0</v>
      </c>
      <c r="JD29" s="22">
        <v>8</v>
      </c>
      <c r="JE29" s="22"/>
      <c r="JF29" s="22">
        <v>488400</v>
      </c>
      <c r="JG29" s="22">
        <v>58608</v>
      </c>
      <c r="JH29" s="9">
        <v>6</v>
      </c>
      <c r="JI29" s="9">
        <v>61050</v>
      </c>
      <c r="JJ29" s="9">
        <v>366300</v>
      </c>
      <c r="JK29" s="9">
        <v>43956</v>
      </c>
      <c r="JL29" s="9">
        <v>0</v>
      </c>
      <c r="JM29" s="9">
        <v>0</v>
      </c>
      <c r="JN29" s="9">
        <v>0</v>
      </c>
      <c r="JO29" s="9">
        <v>0</v>
      </c>
      <c r="JP29" s="9">
        <v>10</v>
      </c>
      <c r="JQ29" s="9">
        <v>61050</v>
      </c>
      <c r="JR29" s="9">
        <v>610500</v>
      </c>
      <c r="JS29" s="9">
        <v>73260</v>
      </c>
      <c r="JT29" s="9">
        <v>0</v>
      </c>
      <c r="JU29" s="9">
        <v>0</v>
      </c>
      <c r="JV29" s="9">
        <v>0</v>
      </c>
      <c r="JW29" s="9">
        <v>0</v>
      </c>
      <c r="JX29" s="22">
        <v>16</v>
      </c>
      <c r="JY29" s="22"/>
      <c r="JZ29" s="22">
        <v>976800</v>
      </c>
      <c r="KA29" s="22">
        <v>117216</v>
      </c>
      <c r="KB29" s="9">
        <v>0</v>
      </c>
      <c r="KC29" s="9">
        <v>0</v>
      </c>
      <c r="KD29" s="9">
        <v>0</v>
      </c>
      <c r="KE29" s="9">
        <v>0</v>
      </c>
      <c r="KF29" s="9">
        <v>7</v>
      </c>
      <c r="KG29" s="9">
        <v>61050</v>
      </c>
      <c r="KH29" s="9">
        <v>427350</v>
      </c>
      <c r="KI29" s="9">
        <v>51282</v>
      </c>
      <c r="KJ29" s="9">
        <v>0</v>
      </c>
      <c r="KK29" s="9">
        <v>0</v>
      </c>
      <c r="KL29" s="9">
        <v>0</v>
      </c>
      <c r="KM29" s="9">
        <v>0</v>
      </c>
      <c r="KN29" s="9">
        <v>0</v>
      </c>
      <c r="KO29" s="9">
        <v>0</v>
      </c>
      <c r="KP29" s="9">
        <v>0</v>
      </c>
      <c r="KQ29" s="9">
        <v>0</v>
      </c>
      <c r="KR29" s="22">
        <v>7</v>
      </c>
      <c r="KS29" s="22"/>
      <c r="KT29" s="22">
        <v>427350</v>
      </c>
      <c r="KU29" s="22">
        <v>51282</v>
      </c>
      <c r="KV29" s="22">
        <v>245</v>
      </c>
      <c r="KW29" s="22"/>
      <c r="KX29" s="22">
        <v>14780700</v>
      </c>
      <c r="KY29" s="22">
        <v>1773684</v>
      </c>
    </row>
    <row r="30" spans="1:311" ht="16.95" customHeight="1" x14ac:dyDescent="0.4">
      <c r="A30" s="15"/>
      <c r="B30" s="15"/>
      <c r="C30" s="15" t="s">
        <v>51</v>
      </c>
      <c r="D30" s="16">
        <v>0</v>
      </c>
      <c r="E30" s="16">
        <v>0</v>
      </c>
      <c r="F30" s="16">
        <v>0</v>
      </c>
      <c r="G30" s="16">
        <v>0</v>
      </c>
      <c r="H30" s="23">
        <v>0</v>
      </c>
      <c r="I30" s="23"/>
      <c r="J30" s="23">
        <v>0</v>
      </c>
      <c r="K30" s="23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1</v>
      </c>
      <c r="U30" s="16">
        <v>78375</v>
      </c>
      <c r="V30" s="16">
        <v>78375</v>
      </c>
      <c r="W30" s="16">
        <v>9405</v>
      </c>
      <c r="X30" s="16">
        <v>0</v>
      </c>
      <c r="Y30" s="16">
        <v>0</v>
      </c>
      <c r="Z30" s="16">
        <v>0</v>
      </c>
      <c r="AA30" s="16">
        <v>0</v>
      </c>
      <c r="AB30" s="23">
        <v>1</v>
      </c>
      <c r="AC30" s="23"/>
      <c r="AD30" s="23">
        <v>78375</v>
      </c>
      <c r="AE30" s="23">
        <v>9405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23">
        <v>0</v>
      </c>
      <c r="AW30" s="23"/>
      <c r="AX30" s="23">
        <v>0</v>
      </c>
      <c r="AY30" s="23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1</v>
      </c>
      <c r="BM30" s="16">
        <v>78375</v>
      </c>
      <c r="BN30" s="16">
        <v>78375</v>
      </c>
      <c r="BO30" s="16">
        <v>9405</v>
      </c>
      <c r="BP30" s="16">
        <v>0</v>
      </c>
      <c r="BQ30" s="16">
        <v>0</v>
      </c>
      <c r="BR30" s="16">
        <v>0</v>
      </c>
      <c r="BS30" s="16">
        <v>0</v>
      </c>
      <c r="BT30" s="23">
        <v>1</v>
      </c>
      <c r="BU30" s="23"/>
      <c r="BV30" s="23">
        <v>78375</v>
      </c>
      <c r="BW30" s="23">
        <v>9405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23">
        <v>0</v>
      </c>
      <c r="CO30" s="23"/>
      <c r="CP30" s="23">
        <v>0</v>
      </c>
      <c r="CQ30" s="23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23">
        <v>0</v>
      </c>
      <c r="DI30" s="23"/>
      <c r="DJ30" s="23">
        <v>0</v>
      </c>
      <c r="DK30" s="23">
        <v>0</v>
      </c>
      <c r="DL30" s="16">
        <v>1</v>
      </c>
      <c r="DM30" s="16">
        <v>78375</v>
      </c>
      <c r="DN30" s="16">
        <v>78375</v>
      </c>
      <c r="DO30" s="16">
        <v>9405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23">
        <v>1</v>
      </c>
      <c r="EG30" s="23"/>
      <c r="EH30" s="23">
        <v>78375</v>
      </c>
      <c r="EI30" s="23">
        <v>9405</v>
      </c>
      <c r="EJ30" s="16">
        <v>1</v>
      </c>
      <c r="EK30" s="16">
        <v>80300</v>
      </c>
      <c r="EL30" s="16">
        <v>80300</v>
      </c>
      <c r="EM30" s="16">
        <v>9636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1</v>
      </c>
      <c r="EW30" s="16">
        <v>80300</v>
      </c>
      <c r="EX30" s="16">
        <v>80300</v>
      </c>
      <c r="EY30" s="16">
        <v>9636</v>
      </c>
      <c r="EZ30" s="23">
        <v>2</v>
      </c>
      <c r="FA30" s="23"/>
      <c r="FB30" s="23">
        <v>160600</v>
      </c>
      <c r="FC30" s="23">
        <v>19272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23">
        <v>0</v>
      </c>
      <c r="FU30" s="23"/>
      <c r="FV30" s="23">
        <v>0</v>
      </c>
      <c r="FW30" s="23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1</v>
      </c>
      <c r="GC30" s="16">
        <v>80300</v>
      </c>
      <c r="GD30" s="16">
        <v>80300</v>
      </c>
      <c r="GE30" s="16">
        <v>9636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23">
        <v>1</v>
      </c>
      <c r="GS30" s="23"/>
      <c r="GT30" s="23">
        <v>80300</v>
      </c>
      <c r="GU30" s="23">
        <v>9636</v>
      </c>
      <c r="GV30" s="16">
        <v>0</v>
      </c>
      <c r="GW30" s="16">
        <v>0</v>
      </c>
      <c r="GX30" s="16">
        <v>0</v>
      </c>
      <c r="GY30" s="16">
        <v>0</v>
      </c>
      <c r="GZ30" s="16">
        <v>1</v>
      </c>
      <c r="HA30" s="16">
        <v>80300</v>
      </c>
      <c r="HB30" s="16">
        <v>80300</v>
      </c>
      <c r="HC30" s="16">
        <v>9636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23">
        <v>1</v>
      </c>
      <c r="HM30" s="23"/>
      <c r="HN30" s="23">
        <v>80300</v>
      </c>
      <c r="HO30" s="23">
        <v>9636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  <c r="IB30" s="16">
        <v>0</v>
      </c>
      <c r="IC30" s="16">
        <v>0</v>
      </c>
      <c r="ID30" s="16">
        <v>0</v>
      </c>
      <c r="IE30" s="16">
        <v>0</v>
      </c>
      <c r="IF30" s="23">
        <v>0</v>
      </c>
      <c r="IG30" s="23"/>
      <c r="IH30" s="23">
        <v>0</v>
      </c>
      <c r="II30" s="23">
        <v>0</v>
      </c>
      <c r="IJ30" s="16">
        <v>0</v>
      </c>
      <c r="IK30" s="16">
        <v>0</v>
      </c>
      <c r="IL30" s="16">
        <v>0</v>
      </c>
      <c r="IM30" s="16">
        <v>0</v>
      </c>
      <c r="IN30" s="16">
        <v>0</v>
      </c>
      <c r="IO30" s="16">
        <v>0</v>
      </c>
      <c r="IP30" s="16">
        <v>0</v>
      </c>
      <c r="IQ30" s="16">
        <v>0</v>
      </c>
      <c r="IR30" s="16">
        <v>0</v>
      </c>
      <c r="IS30" s="16">
        <v>0</v>
      </c>
      <c r="IT30" s="16">
        <v>0</v>
      </c>
      <c r="IU30" s="16">
        <v>0</v>
      </c>
      <c r="IV30" s="16">
        <v>0</v>
      </c>
      <c r="IW30" s="16">
        <v>0</v>
      </c>
      <c r="IX30" s="16">
        <v>0</v>
      </c>
      <c r="IY30" s="16">
        <v>0</v>
      </c>
      <c r="IZ30" s="16">
        <v>0</v>
      </c>
      <c r="JA30" s="16">
        <v>0</v>
      </c>
      <c r="JB30" s="16">
        <v>0</v>
      </c>
      <c r="JC30" s="16">
        <v>0</v>
      </c>
      <c r="JD30" s="23">
        <v>0</v>
      </c>
      <c r="JE30" s="23"/>
      <c r="JF30" s="23">
        <v>0</v>
      </c>
      <c r="JG30" s="23">
        <v>0</v>
      </c>
      <c r="JH30" s="16">
        <v>1</v>
      </c>
      <c r="JI30" s="16">
        <v>80300</v>
      </c>
      <c r="JJ30" s="16">
        <v>80300</v>
      </c>
      <c r="JK30" s="16">
        <v>9636</v>
      </c>
      <c r="JL30" s="16">
        <v>0</v>
      </c>
      <c r="JM30" s="16">
        <v>0</v>
      </c>
      <c r="JN30" s="16">
        <v>0</v>
      </c>
      <c r="JO30" s="16">
        <v>0</v>
      </c>
      <c r="JP30" s="16">
        <v>0</v>
      </c>
      <c r="JQ30" s="16">
        <v>0</v>
      </c>
      <c r="JR30" s="16">
        <v>0</v>
      </c>
      <c r="JS30" s="16">
        <v>0</v>
      </c>
      <c r="JT30" s="16">
        <v>0</v>
      </c>
      <c r="JU30" s="16">
        <v>0</v>
      </c>
      <c r="JV30" s="16">
        <v>0</v>
      </c>
      <c r="JW30" s="16">
        <v>0</v>
      </c>
      <c r="JX30" s="23">
        <v>1</v>
      </c>
      <c r="JY30" s="23"/>
      <c r="JZ30" s="23">
        <v>80300</v>
      </c>
      <c r="KA30" s="23">
        <v>9636</v>
      </c>
      <c r="KB30" s="16">
        <v>0</v>
      </c>
      <c r="KC30" s="16">
        <v>0</v>
      </c>
      <c r="KD30" s="16">
        <v>0</v>
      </c>
      <c r="KE30" s="16">
        <v>0</v>
      </c>
      <c r="KF30" s="16">
        <v>0</v>
      </c>
      <c r="KG30" s="16">
        <v>0</v>
      </c>
      <c r="KH30" s="16">
        <v>0</v>
      </c>
      <c r="KI30" s="16">
        <v>0</v>
      </c>
      <c r="KJ30" s="16">
        <v>0</v>
      </c>
      <c r="KK30" s="16">
        <v>0</v>
      </c>
      <c r="KL30" s="16">
        <v>0</v>
      </c>
      <c r="KM30" s="16">
        <v>0</v>
      </c>
      <c r="KN30" s="16">
        <v>0</v>
      </c>
      <c r="KO30" s="16">
        <v>0</v>
      </c>
      <c r="KP30" s="16">
        <v>0</v>
      </c>
      <c r="KQ30" s="16">
        <v>0</v>
      </c>
      <c r="KR30" s="23">
        <v>0</v>
      </c>
      <c r="KS30" s="23"/>
      <c r="KT30" s="23">
        <v>0</v>
      </c>
      <c r="KU30" s="23">
        <v>0</v>
      </c>
      <c r="KV30" s="23">
        <v>8</v>
      </c>
      <c r="KW30" s="23"/>
      <c r="KX30" s="23">
        <v>636625</v>
      </c>
      <c r="KY30" s="23">
        <v>76395</v>
      </c>
    </row>
    <row r="31" spans="1:311" ht="16.95" customHeight="1" x14ac:dyDescent="0.4">
      <c r="A31" s="12"/>
      <c r="B31" s="12" t="s">
        <v>49</v>
      </c>
      <c r="C31" s="12" t="s">
        <v>395</v>
      </c>
      <c r="D31" s="10">
        <v>18</v>
      </c>
      <c r="E31" s="10">
        <v>0</v>
      </c>
      <c r="F31" s="10">
        <v>985842</v>
      </c>
      <c r="G31" s="10">
        <v>118301</v>
      </c>
      <c r="H31" s="21">
        <v>18</v>
      </c>
      <c r="I31" s="21">
        <v>0</v>
      </c>
      <c r="J31" s="21">
        <v>985842</v>
      </c>
      <c r="K31" s="21">
        <v>118301</v>
      </c>
      <c r="L31" s="10">
        <v>16</v>
      </c>
      <c r="M31" s="10">
        <v>0</v>
      </c>
      <c r="N31" s="10">
        <v>905817</v>
      </c>
      <c r="O31" s="10">
        <v>108698</v>
      </c>
      <c r="P31" s="10">
        <v>17</v>
      </c>
      <c r="Q31" s="10">
        <v>0</v>
      </c>
      <c r="R31" s="10">
        <v>865975</v>
      </c>
      <c r="S31" s="10">
        <v>103917</v>
      </c>
      <c r="T31" s="10">
        <v>11</v>
      </c>
      <c r="U31" s="10">
        <v>0</v>
      </c>
      <c r="V31" s="10">
        <v>543400</v>
      </c>
      <c r="W31" s="10">
        <v>65208</v>
      </c>
      <c r="X31" s="10">
        <v>19</v>
      </c>
      <c r="Y31" s="10">
        <v>0</v>
      </c>
      <c r="Z31" s="10">
        <v>1070817</v>
      </c>
      <c r="AA31" s="10">
        <v>128498</v>
      </c>
      <c r="AB31" s="21">
        <v>63</v>
      </c>
      <c r="AC31" s="21">
        <v>0</v>
      </c>
      <c r="AD31" s="21">
        <v>3386009</v>
      </c>
      <c r="AE31" s="21">
        <v>406321.1</v>
      </c>
      <c r="AF31" s="10">
        <v>16</v>
      </c>
      <c r="AG31" s="10">
        <v>0</v>
      </c>
      <c r="AH31" s="10">
        <v>873642</v>
      </c>
      <c r="AI31" s="10">
        <v>104837</v>
      </c>
      <c r="AJ31" s="10">
        <v>13</v>
      </c>
      <c r="AK31" s="10">
        <v>0</v>
      </c>
      <c r="AL31" s="10">
        <v>721842</v>
      </c>
      <c r="AM31" s="10">
        <v>86621</v>
      </c>
      <c r="AN31" s="10">
        <v>18</v>
      </c>
      <c r="AO31" s="10">
        <v>0</v>
      </c>
      <c r="AP31" s="10">
        <v>1013617</v>
      </c>
      <c r="AQ31" s="10">
        <v>121634</v>
      </c>
      <c r="AR31" s="10">
        <v>16</v>
      </c>
      <c r="AS31" s="10">
        <v>0</v>
      </c>
      <c r="AT31" s="10">
        <v>873642</v>
      </c>
      <c r="AU31" s="10">
        <v>104837</v>
      </c>
      <c r="AV31" s="21">
        <v>63</v>
      </c>
      <c r="AW31" s="21">
        <v>0</v>
      </c>
      <c r="AX31" s="21">
        <v>3482743</v>
      </c>
      <c r="AY31" s="21">
        <v>417929.2</v>
      </c>
      <c r="AZ31" s="10">
        <v>31</v>
      </c>
      <c r="BA31" s="10">
        <v>0</v>
      </c>
      <c r="BB31" s="10">
        <v>1651617</v>
      </c>
      <c r="BC31" s="10">
        <v>198194</v>
      </c>
      <c r="BD31" s="10">
        <v>17</v>
      </c>
      <c r="BE31" s="10">
        <v>0</v>
      </c>
      <c r="BF31" s="10">
        <v>963017</v>
      </c>
      <c r="BG31" s="10">
        <v>115562</v>
      </c>
      <c r="BH31" s="10">
        <v>12</v>
      </c>
      <c r="BI31" s="10">
        <v>0</v>
      </c>
      <c r="BJ31" s="10">
        <v>692417</v>
      </c>
      <c r="BK31" s="10">
        <v>83090</v>
      </c>
      <c r="BL31" s="10">
        <v>27</v>
      </c>
      <c r="BM31" s="10">
        <v>0</v>
      </c>
      <c r="BN31" s="10">
        <v>1651276</v>
      </c>
      <c r="BO31" s="10">
        <v>198153.1</v>
      </c>
      <c r="BP31" s="10">
        <v>20</v>
      </c>
      <c r="BQ31" s="10">
        <v>0</v>
      </c>
      <c r="BR31" s="10">
        <v>1060642</v>
      </c>
      <c r="BS31" s="10">
        <v>127277</v>
      </c>
      <c r="BT31" s="21">
        <v>107</v>
      </c>
      <c r="BU31" s="21">
        <v>0</v>
      </c>
      <c r="BV31" s="21">
        <v>6018969</v>
      </c>
      <c r="BW31" s="21">
        <v>722276.3</v>
      </c>
      <c r="BX31" s="10">
        <v>37</v>
      </c>
      <c r="BY31" s="10">
        <v>0</v>
      </c>
      <c r="BZ31" s="10">
        <v>2010459</v>
      </c>
      <c r="CA31" s="10">
        <v>241255.1</v>
      </c>
      <c r="CB31" s="10">
        <v>8</v>
      </c>
      <c r="CC31" s="10">
        <v>0</v>
      </c>
      <c r="CD31" s="10">
        <v>582659</v>
      </c>
      <c r="CE31" s="10">
        <v>69919.100000000006</v>
      </c>
      <c r="CF31" s="10">
        <v>19</v>
      </c>
      <c r="CG31" s="10">
        <v>0</v>
      </c>
      <c r="CH31" s="10">
        <v>1034242</v>
      </c>
      <c r="CI31" s="10">
        <v>124109</v>
      </c>
      <c r="CJ31" s="10">
        <v>33</v>
      </c>
      <c r="CK31" s="10">
        <v>0</v>
      </c>
      <c r="CL31" s="10">
        <v>1987051</v>
      </c>
      <c r="CM31" s="10">
        <v>238446.1</v>
      </c>
      <c r="CN31" s="21">
        <v>97</v>
      </c>
      <c r="CO31" s="21">
        <v>0</v>
      </c>
      <c r="CP31" s="21">
        <v>5614411</v>
      </c>
      <c r="CQ31" s="21">
        <v>673729.3</v>
      </c>
      <c r="CR31" s="10">
        <v>30</v>
      </c>
      <c r="CS31" s="10">
        <v>0</v>
      </c>
      <c r="CT31" s="10">
        <v>1700259</v>
      </c>
      <c r="CU31" s="10">
        <v>204031.1</v>
      </c>
      <c r="CV31" s="10">
        <v>30</v>
      </c>
      <c r="CW31" s="10">
        <v>0</v>
      </c>
      <c r="CX31" s="10">
        <v>1680459</v>
      </c>
      <c r="CY31" s="10">
        <v>201655.1</v>
      </c>
      <c r="CZ31" s="10">
        <v>34</v>
      </c>
      <c r="DA31" s="10">
        <v>0</v>
      </c>
      <c r="DB31" s="10">
        <v>2000251</v>
      </c>
      <c r="DC31" s="10">
        <v>240030.1</v>
      </c>
      <c r="DD31" s="10">
        <v>42</v>
      </c>
      <c r="DE31" s="10">
        <v>0</v>
      </c>
      <c r="DF31" s="10">
        <v>2382501</v>
      </c>
      <c r="DG31" s="10">
        <v>285900.09999999998</v>
      </c>
      <c r="DH31" s="21">
        <v>136</v>
      </c>
      <c r="DI31" s="21">
        <v>0</v>
      </c>
      <c r="DJ31" s="21">
        <v>7763470</v>
      </c>
      <c r="DK31" s="21">
        <v>931616.4</v>
      </c>
      <c r="DL31" s="10">
        <v>33</v>
      </c>
      <c r="DM31" s="10">
        <v>0</v>
      </c>
      <c r="DN31" s="10">
        <v>2023318</v>
      </c>
      <c r="DO31" s="10">
        <v>242798.2</v>
      </c>
      <c r="DP31" s="10">
        <v>37</v>
      </c>
      <c r="DQ31" s="10">
        <v>0</v>
      </c>
      <c r="DR31" s="10">
        <v>2133076</v>
      </c>
      <c r="DS31" s="10">
        <v>255969.1</v>
      </c>
      <c r="DT31" s="10">
        <v>34</v>
      </c>
      <c r="DU31" s="10">
        <v>0</v>
      </c>
      <c r="DV31" s="10">
        <v>1921634</v>
      </c>
      <c r="DW31" s="10">
        <v>230596.1</v>
      </c>
      <c r="DX31" s="10">
        <v>49</v>
      </c>
      <c r="DY31" s="10">
        <v>0</v>
      </c>
      <c r="DZ31" s="10">
        <v>2920335</v>
      </c>
      <c r="EA31" s="10">
        <v>350440.2</v>
      </c>
      <c r="EB31" s="10">
        <v>49</v>
      </c>
      <c r="EC31" s="10">
        <v>0</v>
      </c>
      <c r="ED31" s="10">
        <v>2856293</v>
      </c>
      <c r="EE31" s="10">
        <v>342755.2</v>
      </c>
      <c r="EF31" s="21">
        <v>202</v>
      </c>
      <c r="EG31" s="21">
        <v>0</v>
      </c>
      <c r="EH31" s="21">
        <v>11854656</v>
      </c>
      <c r="EI31" s="21">
        <v>1422558.7</v>
      </c>
      <c r="EJ31" s="10">
        <v>51</v>
      </c>
      <c r="EK31" s="10">
        <v>0</v>
      </c>
      <c r="EL31" s="10">
        <v>2926726</v>
      </c>
      <c r="EM31" s="10">
        <v>351207.1</v>
      </c>
      <c r="EN31" s="10">
        <v>35</v>
      </c>
      <c r="EO31" s="10">
        <v>0</v>
      </c>
      <c r="EP31" s="10">
        <v>2073126</v>
      </c>
      <c r="EQ31" s="10">
        <v>248775.1</v>
      </c>
      <c r="ER31" s="10">
        <v>50</v>
      </c>
      <c r="ES31" s="10">
        <v>0</v>
      </c>
      <c r="ET31" s="10">
        <v>2991010</v>
      </c>
      <c r="EU31" s="10">
        <v>358921.2</v>
      </c>
      <c r="EV31" s="10">
        <v>54</v>
      </c>
      <c r="EW31" s="10">
        <v>0</v>
      </c>
      <c r="EX31" s="10">
        <v>3205510</v>
      </c>
      <c r="EY31" s="10">
        <v>384661.2</v>
      </c>
      <c r="EZ31" s="21">
        <v>190</v>
      </c>
      <c r="FA31" s="21">
        <v>0</v>
      </c>
      <c r="FB31" s="21">
        <v>11196372</v>
      </c>
      <c r="FC31" s="21">
        <v>1343564.6</v>
      </c>
      <c r="FD31" s="10">
        <v>56</v>
      </c>
      <c r="FE31" s="10">
        <v>0</v>
      </c>
      <c r="FF31" s="10">
        <v>3388352</v>
      </c>
      <c r="FG31" s="10">
        <v>406602.2</v>
      </c>
      <c r="FH31" s="10">
        <v>42</v>
      </c>
      <c r="FI31" s="10">
        <v>0</v>
      </c>
      <c r="FJ31" s="10">
        <v>2285184</v>
      </c>
      <c r="FK31" s="10">
        <v>274222.09999999998</v>
      </c>
      <c r="FL31" s="10">
        <v>63</v>
      </c>
      <c r="FM31" s="10">
        <v>0</v>
      </c>
      <c r="FN31" s="10">
        <v>3725810</v>
      </c>
      <c r="FO31" s="10">
        <v>447097.2</v>
      </c>
      <c r="FP31" s="10">
        <v>38</v>
      </c>
      <c r="FQ31" s="10">
        <v>0</v>
      </c>
      <c r="FR31" s="10">
        <v>2183676</v>
      </c>
      <c r="FS31" s="10">
        <v>262041.1</v>
      </c>
      <c r="FT31" s="21">
        <v>199</v>
      </c>
      <c r="FU31" s="21">
        <v>0</v>
      </c>
      <c r="FV31" s="21">
        <v>11583022</v>
      </c>
      <c r="FW31" s="21">
        <v>1389962.6</v>
      </c>
      <c r="FX31" s="10">
        <v>43</v>
      </c>
      <c r="FY31" s="10">
        <v>0</v>
      </c>
      <c r="FZ31" s="10">
        <v>2493876</v>
      </c>
      <c r="GA31" s="10">
        <v>299265.09999999998</v>
      </c>
      <c r="GB31" s="10">
        <v>36</v>
      </c>
      <c r="GC31" s="10">
        <v>0</v>
      </c>
      <c r="GD31" s="10">
        <v>2117126</v>
      </c>
      <c r="GE31" s="10">
        <v>254055.1</v>
      </c>
      <c r="GF31" s="10">
        <v>32</v>
      </c>
      <c r="GG31" s="10">
        <v>0</v>
      </c>
      <c r="GH31" s="10">
        <v>1829234</v>
      </c>
      <c r="GI31" s="10">
        <v>219508.1</v>
      </c>
      <c r="GJ31" s="10">
        <v>29</v>
      </c>
      <c r="GK31" s="10">
        <v>0</v>
      </c>
      <c r="GL31" s="10">
        <v>1643884</v>
      </c>
      <c r="GM31" s="10">
        <v>197266.1</v>
      </c>
      <c r="GN31" s="10">
        <v>36</v>
      </c>
      <c r="GO31" s="10">
        <v>0</v>
      </c>
      <c r="GP31" s="10">
        <v>2037684</v>
      </c>
      <c r="GQ31" s="10">
        <v>244522.1</v>
      </c>
      <c r="GR31" s="21">
        <v>176</v>
      </c>
      <c r="GS31" s="21">
        <v>0</v>
      </c>
      <c r="GT31" s="21">
        <v>10121804</v>
      </c>
      <c r="GU31" s="21">
        <v>1214616.5</v>
      </c>
      <c r="GV31" s="10">
        <v>11</v>
      </c>
      <c r="GW31" s="10">
        <v>0</v>
      </c>
      <c r="GX31" s="10">
        <v>660242</v>
      </c>
      <c r="GY31" s="10">
        <v>79229</v>
      </c>
      <c r="GZ31" s="10">
        <v>28</v>
      </c>
      <c r="HA31" s="10">
        <v>0</v>
      </c>
      <c r="HB31" s="10">
        <v>1570184</v>
      </c>
      <c r="HC31" s="10">
        <v>188422.1</v>
      </c>
      <c r="HD31" s="10">
        <v>20</v>
      </c>
      <c r="HE31" s="10">
        <v>0</v>
      </c>
      <c r="HF31" s="10">
        <v>1087042</v>
      </c>
      <c r="HG31" s="10">
        <v>130445</v>
      </c>
      <c r="HH31" s="10">
        <v>21</v>
      </c>
      <c r="HI31" s="10">
        <v>0</v>
      </c>
      <c r="HJ31" s="10">
        <v>1175592</v>
      </c>
      <c r="HK31" s="10">
        <v>141071</v>
      </c>
      <c r="HL31" s="21">
        <v>80</v>
      </c>
      <c r="HM31" s="21">
        <v>0</v>
      </c>
      <c r="HN31" s="21">
        <v>4493060</v>
      </c>
      <c r="HO31" s="21">
        <v>539167.19999999995</v>
      </c>
      <c r="HP31" s="10">
        <v>22</v>
      </c>
      <c r="HQ31" s="10">
        <v>0</v>
      </c>
      <c r="HR31" s="10">
        <v>1204742</v>
      </c>
      <c r="HS31" s="10">
        <v>144569</v>
      </c>
      <c r="HT31" s="10">
        <v>12</v>
      </c>
      <c r="HU31" s="10">
        <v>0</v>
      </c>
      <c r="HV31" s="10">
        <v>756184</v>
      </c>
      <c r="HW31" s="10">
        <v>90742.1</v>
      </c>
      <c r="HX31" s="10">
        <v>16</v>
      </c>
      <c r="HY31" s="10">
        <v>0</v>
      </c>
      <c r="HZ31" s="10">
        <v>897842</v>
      </c>
      <c r="IA31" s="10">
        <v>107741</v>
      </c>
      <c r="IB31" s="10">
        <v>14</v>
      </c>
      <c r="IC31" s="10">
        <v>0</v>
      </c>
      <c r="ID31" s="10">
        <v>717200</v>
      </c>
      <c r="IE31" s="10">
        <v>86064</v>
      </c>
      <c r="IF31" s="21">
        <v>64</v>
      </c>
      <c r="IG31" s="21">
        <v>0</v>
      </c>
      <c r="IH31" s="21">
        <v>3575968</v>
      </c>
      <c r="II31" s="21">
        <v>429116.2</v>
      </c>
      <c r="IJ31" s="10">
        <v>24</v>
      </c>
      <c r="IK31" s="10">
        <v>0</v>
      </c>
      <c r="IL31" s="10">
        <v>1316392</v>
      </c>
      <c r="IM31" s="10">
        <v>157967</v>
      </c>
      <c r="IN31" s="10">
        <v>14</v>
      </c>
      <c r="IO31" s="10">
        <v>0</v>
      </c>
      <c r="IP31" s="10">
        <v>717200</v>
      </c>
      <c r="IQ31" s="10">
        <v>86064</v>
      </c>
      <c r="IR31" s="10">
        <v>9</v>
      </c>
      <c r="IS31" s="10">
        <v>0</v>
      </c>
      <c r="IT31" s="10">
        <v>515042</v>
      </c>
      <c r="IU31" s="10">
        <v>61805</v>
      </c>
      <c r="IV31" s="10">
        <v>20</v>
      </c>
      <c r="IW31" s="10">
        <v>0</v>
      </c>
      <c r="IX31" s="10">
        <v>1127192</v>
      </c>
      <c r="IY31" s="10">
        <v>135263</v>
      </c>
      <c r="IZ31" s="10">
        <v>22</v>
      </c>
      <c r="JA31" s="10">
        <v>0</v>
      </c>
      <c r="JB31" s="10">
        <v>1241042</v>
      </c>
      <c r="JC31" s="10">
        <v>148925</v>
      </c>
      <c r="JD31" s="21">
        <v>89</v>
      </c>
      <c r="JE31" s="21">
        <v>0</v>
      </c>
      <c r="JF31" s="21">
        <v>4916868</v>
      </c>
      <c r="JG31" s="21">
        <v>590024.19999999995</v>
      </c>
      <c r="JH31" s="10">
        <v>30</v>
      </c>
      <c r="JI31" s="10">
        <v>0</v>
      </c>
      <c r="JJ31" s="10">
        <v>1595792</v>
      </c>
      <c r="JK31" s="10">
        <v>191495</v>
      </c>
      <c r="JL31" s="10">
        <v>14</v>
      </c>
      <c r="JM31" s="10">
        <v>0</v>
      </c>
      <c r="JN31" s="10">
        <v>818092</v>
      </c>
      <c r="JO31" s="10">
        <v>98171</v>
      </c>
      <c r="JP31" s="10">
        <v>15</v>
      </c>
      <c r="JQ31" s="10">
        <v>0</v>
      </c>
      <c r="JR31" s="10">
        <v>847242</v>
      </c>
      <c r="JS31" s="10">
        <v>101669</v>
      </c>
      <c r="JT31" s="10">
        <v>12</v>
      </c>
      <c r="JU31" s="10">
        <v>0</v>
      </c>
      <c r="JV31" s="10">
        <v>612150</v>
      </c>
      <c r="JW31" s="10">
        <v>73458</v>
      </c>
      <c r="JX31" s="21">
        <v>71</v>
      </c>
      <c r="JY31" s="21">
        <v>0</v>
      </c>
      <c r="JZ31" s="21">
        <v>3873276</v>
      </c>
      <c r="KA31" s="21">
        <v>464793.1</v>
      </c>
      <c r="KB31" s="10">
        <v>23</v>
      </c>
      <c r="KC31" s="10">
        <v>0</v>
      </c>
      <c r="KD31" s="10">
        <v>1242692</v>
      </c>
      <c r="KE31" s="10">
        <v>149123</v>
      </c>
      <c r="KF31" s="10">
        <v>14</v>
      </c>
      <c r="KG31" s="10">
        <v>0</v>
      </c>
      <c r="KH31" s="10">
        <v>783992</v>
      </c>
      <c r="KI31" s="10">
        <v>94079</v>
      </c>
      <c r="KJ31" s="10">
        <v>7</v>
      </c>
      <c r="KK31" s="10">
        <v>0</v>
      </c>
      <c r="KL31" s="10">
        <v>462792</v>
      </c>
      <c r="KM31" s="10">
        <v>55535</v>
      </c>
      <c r="KN31" s="10">
        <v>19</v>
      </c>
      <c r="KO31" s="10">
        <v>0</v>
      </c>
      <c r="KP31" s="10">
        <v>1014992</v>
      </c>
      <c r="KQ31" s="10">
        <v>121799</v>
      </c>
      <c r="KR31" s="21">
        <v>63</v>
      </c>
      <c r="KS31" s="21">
        <v>0</v>
      </c>
      <c r="KT31" s="21">
        <v>3504468</v>
      </c>
      <c r="KU31" s="21">
        <v>420536.2</v>
      </c>
      <c r="KV31" s="21">
        <v>1618</v>
      </c>
      <c r="KW31" s="21">
        <v>0</v>
      </c>
      <c r="KX31" s="21">
        <v>92370938</v>
      </c>
      <c r="KY31" s="21">
        <v>11084512.6</v>
      </c>
    </row>
    <row r="32" spans="1:311" ht="16.95" customHeight="1" x14ac:dyDescent="0.4">
      <c r="A32" s="15"/>
      <c r="B32" s="15"/>
      <c r="C32" s="15" t="s">
        <v>32</v>
      </c>
      <c r="D32" s="16">
        <v>9</v>
      </c>
      <c r="E32" s="16">
        <v>48400</v>
      </c>
      <c r="F32" s="16">
        <v>435600</v>
      </c>
      <c r="G32" s="16">
        <v>52272</v>
      </c>
      <c r="H32" s="23">
        <v>9</v>
      </c>
      <c r="I32" s="23"/>
      <c r="J32" s="23">
        <v>435600</v>
      </c>
      <c r="K32" s="23">
        <v>52272</v>
      </c>
      <c r="L32" s="16">
        <v>6</v>
      </c>
      <c r="M32" s="16">
        <v>48400</v>
      </c>
      <c r="N32" s="16">
        <v>290400</v>
      </c>
      <c r="O32" s="16">
        <v>34848</v>
      </c>
      <c r="P32" s="16">
        <v>10</v>
      </c>
      <c r="Q32" s="16">
        <v>48400</v>
      </c>
      <c r="R32" s="16">
        <v>484000</v>
      </c>
      <c r="S32" s="16">
        <v>58080</v>
      </c>
      <c r="T32" s="16">
        <v>4</v>
      </c>
      <c r="U32" s="16">
        <v>48400</v>
      </c>
      <c r="V32" s="16">
        <v>193600</v>
      </c>
      <c r="W32" s="16">
        <v>23232</v>
      </c>
      <c r="X32" s="16">
        <v>6</v>
      </c>
      <c r="Y32" s="16">
        <v>48400</v>
      </c>
      <c r="Z32" s="16">
        <v>290400</v>
      </c>
      <c r="AA32" s="16">
        <v>34848</v>
      </c>
      <c r="AB32" s="23">
        <v>26</v>
      </c>
      <c r="AC32" s="23"/>
      <c r="AD32" s="23">
        <v>1258400</v>
      </c>
      <c r="AE32" s="23">
        <v>151008</v>
      </c>
      <c r="AF32" s="16">
        <v>6</v>
      </c>
      <c r="AG32" s="16">
        <v>48400</v>
      </c>
      <c r="AH32" s="16">
        <v>290400</v>
      </c>
      <c r="AI32" s="16">
        <v>34848</v>
      </c>
      <c r="AJ32" s="16">
        <v>6</v>
      </c>
      <c r="AK32" s="16">
        <v>48400</v>
      </c>
      <c r="AL32" s="16">
        <v>290400</v>
      </c>
      <c r="AM32" s="16">
        <v>34848</v>
      </c>
      <c r="AN32" s="16">
        <v>7</v>
      </c>
      <c r="AO32" s="16">
        <v>48400</v>
      </c>
      <c r="AP32" s="16">
        <v>338800</v>
      </c>
      <c r="AQ32" s="16">
        <v>40656</v>
      </c>
      <c r="AR32" s="16">
        <v>6</v>
      </c>
      <c r="AS32" s="16">
        <v>48400</v>
      </c>
      <c r="AT32" s="16">
        <v>290400</v>
      </c>
      <c r="AU32" s="16">
        <v>34848</v>
      </c>
      <c r="AV32" s="23">
        <v>25</v>
      </c>
      <c r="AW32" s="23"/>
      <c r="AX32" s="23">
        <v>1210000</v>
      </c>
      <c r="AY32" s="23">
        <v>145200</v>
      </c>
      <c r="AZ32" s="16">
        <v>12</v>
      </c>
      <c r="BA32" s="16">
        <v>48400</v>
      </c>
      <c r="BB32" s="16">
        <v>580800</v>
      </c>
      <c r="BC32" s="16">
        <v>69696</v>
      </c>
      <c r="BD32" s="16">
        <v>5</v>
      </c>
      <c r="BE32" s="16">
        <v>48400</v>
      </c>
      <c r="BF32" s="16">
        <v>242000</v>
      </c>
      <c r="BG32" s="16">
        <v>29040</v>
      </c>
      <c r="BH32" s="16">
        <v>5</v>
      </c>
      <c r="BI32" s="16">
        <v>48400</v>
      </c>
      <c r="BJ32" s="16">
        <v>242000</v>
      </c>
      <c r="BK32" s="16">
        <v>29040</v>
      </c>
      <c r="BL32" s="16">
        <v>7</v>
      </c>
      <c r="BM32" s="16">
        <v>48400</v>
      </c>
      <c r="BN32" s="16">
        <v>338800</v>
      </c>
      <c r="BO32" s="16">
        <v>40656</v>
      </c>
      <c r="BP32" s="16">
        <v>7</v>
      </c>
      <c r="BQ32" s="16">
        <v>48400</v>
      </c>
      <c r="BR32" s="16">
        <v>338800</v>
      </c>
      <c r="BS32" s="16">
        <v>40656</v>
      </c>
      <c r="BT32" s="23">
        <v>36</v>
      </c>
      <c r="BU32" s="23"/>
      <c r="BV32" s="23">
        <v>1742400</v>
      </c>
      <c r="BW32" s="23">
        <v>209088</v>
      </c>
      <c r="BX32" s="16">
        <v>12</v>
      </c>
      <c r="BY32" s="16">
        <v>48400</v>
      </c>
      <c r="BZ32" s="16">
        <v>580800</v>
      </c>
      <c r="CA32" s="16">
        <v>69696</v>
      </c>
      <c r="CB32" s="16">
        <v>2</v>
      </c>
      <c r="CC32" s="16">
        <v>48400</v>
      </c>
      <c r="CD32" s="16">
        <v>96800</v>
      </c>
      <c r="CE32" s="16">
        <v>11616</v>
      </c>
      <c r="CF32" s="16">
        <v>4</v>
      </c>
      <c r="CG32" s="16">
        <v>48400</v>
      </c>
      <c r="CH32" s="16">
        <v>193600</v>
      </c>
      <c r="CI32" s="16">
        <v>23232</v>
      </c>
      <c r="CJ32" s="16">
        <v>7</v>
      </c>
      <c r="CK32" s="16">
        <v>48400</v>
      </c>
      <c r="CL32" s="16">
        <v>338800</v>
      </c>
      <c r="CM32" s="16">
        <v>40656</v>
      </c>
      <c r="CN32" s="23">
        <v>25</v>
      </c>
      <c r="CO32" s="23"/>
      <c r="CP32" s="23">
        <v>1210000</v>
      </c>
      <c r="CQ32" s="23">
        <v>145200</v>
      </c>
      <c r="CR32" s="16">
        <v>6</v>
      </c>
      <c r="CS32" s="16">
        <v>48400</v>
      </c>
      <c r="CT32" s="16">
        <v>290400</v>
      </c>
      <c r="CU32" s="16">
        <v>34848</v>
      </c>
      <c r="CV32" s="16">
        <v>9</v>
      </c>
      <c r="CW32" s="16">
        <v>48400</v>
      </c>
      <c r="CX32" s="16">
        <v>435600</v>
      </c>
      <c r="CY32" s="16">
        <v>52272</v>
      </c>
      <c r="CZ32" s="16">
        <v>10</v>
      </c>
      <c r="DA32" s="16">
        <v>48400</v>
      </c>
      <c r="DB32" s="16">
        <v>484000</v>
      </c>
      <c r="DC32" s="16">
        <v>58080</v>
      </c>
      <c r="DD32" s="16">
        <v>9</v>
      </c>
      <c r="DE32" s="16">
        <v>48400</v>
      </c>
      <c r="DF32" s="16">
        <v>435600</v>
      </c>
      <c r="DG32" s="16">
        <v>52272</v>
      </c>
      <c r="DH32" s="23">
        <v>34</v>
      </c>
      <c r="DI32" s="23"/>
      <c r="DJ32" s="23">
        <v>1645600</v>
      </c>
      <c r="DK32" s="23">
        <v>197472</v>
      </c>
      <c r="DL32" s="16">
        <v>7</v>
      </c>
      <c r="DM32" s="16">
        <v>48400</v>
      </c>
      <c r="DN32" s="16">
        <v>338800</v>
      </c>
      <c r="DO32" s="16">
        <v>40656</v>
      </c>
      <c r="DP32" s="16">
        <v>10</v>
      </c>
      <c r="DQ32" s="16">
        <v>48400</v>
      </c>
      <c r="DR32" s="16">
        <v>484000</v>
      </c>
      <c r="DS32" s="16">
        <v>58080</v>
      </c>
      <c r="DT32" s="16">
        <v>8</v>
      </c>
      <c r="DU32" s="16">
        <v>48400</v>
      </c>
      <c r="DV32" s="16">
        <v>387200</v>
      </c>
      <c r="DW32" s="16">
        <v>46464</v>
      </c>
      <c r="DX32" s="16">
        <v>9</v>
      </c>
      <c r="DY32" s="16">
        <v>48400</v>
      </c>
      <c r="DZ32" s="16">
        <v>435600</v>
      </c>
      <c r="EA32" s="16">
        <v>52272</v>
      </c>
      <c r="EB32" s="16">
        <v>8</v>
      </c>
      <c r="EC32" s="16">
        <v>48400</v>
      </c>
      <c r="ED32" s="16">
        <v>387200</v>
      </c>
      <c r="EE32" s="16">
        <v>46464</v>
      </c>
      <c r="EF32" s="23">
        <v>42</v>
      </c>
      <c r="EG32" s="23"/>
      <c r="EH32" s="23">
        <v>2032800</v>
      </c>
      <c r="EI32" s="23">
        <v>243936</v>
      </c>
      <c r="EJ32" s="16">
        <v>7</v>
      </c>
      <c r="EK32" s="16">
        <v>48400</v>
      </c>
      <c r="EL32" s="16">
        <v>338800</v>
      </c>
      <c r="EM32" s="16">
        <v>40656</v>
      </c>
      <c r="EN32" s="16">
        <v>11</v>
      </c>
      <c r="EO32" s="16">
        <v>48400</v>
      </c>
      <c r="EP32" s="16">
        <v>532400</v>
      </c>
      <c r="EQ32" s="16">
        <v>63888</v>
      </c>
      <c r="ER32" s="16">
        <v>10</v>
      </c>
      <c r="ES32" s="16">
        <v>48400</v>
      </c>
      <c r="ET32" s="16">
        <v>484000</v>
      </c>
      <c r="EU32" s="16">
        <v>58080</v>
      </c>
      <c r="EV32" s="16">
        <v>10</v>
      </c>
      <c r="EW32" s="16">
        <v>48400</v>
      </c>
      <c r="EX32" s="16">
        <v>484000</v>
      </c>
      <c r="EY32" s="16">
        <v>58080</v>
      </c>
      <c r="EZ32" s="23">
        <v>38</v>
      </c>
      <c r="FA32" s="23"/>
      <c r="FB32" s="23">
        <v>1839200</v>
      </c>
      <c r="FC32" s="23">
        <v>220704</v>
      </c>
      <c r="FD32" s="16">
        <v>14</v>
      </c>
      <c r="FE32" s="16">
        <v>48400</v>
      </c>
      <c r="FF32" s="16">
        <v>677600</v>
      </c>
      <c r="FG32" s="16">
        <v>81312</v>
      </c>
      <c r="FH32" s="16">
        <v>13</v>
      </c>
      <c r="FI32" s="16">
        <v>48400</v>
      </c>
      <c r="FJ32" s="16">
        <v>629200</v>
      </c>
      <c r="FK32" s="16">
        <v>75504</v>
      </c>
      <c r="FL32" s="16">
        <v>13</v>
      </c>
      <c r="FM32" s="16">
        <v>48400</v>
      </c>
      <c r="FN32" s="16">
        <v>629200</v>
      </c>
      <c r="FO32" s="16">
        <v>75504</v>
      </c>
      <c r="FP32" s="16">
        <v>7</v>
      </c>
      <c r="FQ32" s="16">
        <v>48400</v>
      </c>
      <c r="FR32" s="16">
        <v>338800</v>
      </c>
      <c r="FS32" s="16">
        <v>40656</v>
      </c>
      <c r="FT32" s="23">
        <v>47</v>
      </c>
      <c r="FU32" s="23"/>
      <c r="FV32" s="23">
        <v>2274800</v>
      </c>
      <c r="FW32" s="23">
        <v>272976</v>
      </c>
      <c r="FX32" s="16">
        <v>12</v>
      </c>
      <c r="FY32" s="16">
        <v>48400</v>
      </c>
      <c r="FZ32" s="16">
        <v>580800</v>
      </c>
      <c r="GA32" s="16">
        <v>69696</v>
      </c>
      <c r="GB32" s="16">
        <v>10</v>
      </c>
      <c r="GC32" s="16">
        <v>48400</v>
      </c>
      <c r="GD32" s="16">
        <v>484000</v>
      </c>
      <c r="GE32" s="16">
        <v>58080</v>
      </c>
      <c r="GF32" s="16">
        <v>9</v>
      </c>
      <c r="GG32" s="16">
        <v>48400</v>
      </c>
      <c r="GH32" s="16">
        <v>435600</v>
      </c>
      <c r="GI32" s="16">
        <v>52272</v>
      </c>
      <c r="GJ32" s="16">
        <v>8</v>
      </c>
      <c r="GK32" s="16">
        <v>48400</v>
      </c>
      <c r="GL32" s="16">
        <v>387200</v>
      </c>
      <c r="GM32" s="16">
        <v>46464</v>
      </c>
      <c r="GN32" s="16">
        <v>11</v>
      </c>
      <c r="GO32" s="16">
        <v>48400</v>
      </c>
      <c r="GP32" s="16">
        <v>532400</v>
      </c>
      <c r="GQ32" s="16">
        <v>63888</v>
      </c>
      <c r="GR32" s="23">
        <v>50</v>
      </c>
      <c r="GS32" s="23"/>
      <c r="GT32" s="23">
        <v>2420000</v>
      </c>
      <c r="GU32" s="23">
        <v>290400</v>
      </c>
      <c r="GV32" s="16">
        <v>3</v>
      </c>
      <c r="GW32" s="16">
        <v>48400</v>
      </c>
      <c r="GX32" s="16">
        <v>145200</v>
      </c>
      <c r="GY32" s="16">
        <v>17424</v>
      </c>
      <c r="GZ32" s="16">
        <v>9</v>
      </c>
      <c r="HA32" s="16">
        <v>48400</v>
      </c>
      <c r="HB32" s="16">
        <v>435600</v>
      </c>
      <c r="HC32" s="16">
        <v>52272</v>
      </c>
      <c r="HD32" s="16">
        <v>8</v>
      </c>
      <c r="HE32" s="16">
        <v>48400</v>
      </c>
      <c r="HF32" s="16">
        <v>387200</v>
      </c>
      <c r="HG32" s="16">
        <v>46464</v>
      </c>
      <c r="HH32" s="16">
        <v>9</v>
      </c>
      <c r="HI32" s="16">
        <v>48400</v>
      </c>
      <c r="HJ32" s="16">
        <v>435600</v>
      </c>
      <c r="HK32" s="16">
        <v>52272</v>
      </c>
      <c r="HL32" s="23">
        <v>29</v>
      </c>
      <c r="HM32" s="23"/>
      <c r="HN32" s="23">
        <v>1403600</v>
      </c>
      <c r="HO32" s="23">
        <v>168432</v>
      </c>
      <c r="HP32" s="16">
        <v>6</v>
      </c>
      <c r="HQ32" s="16">
        <v>48400</v>
      </c>
      <c r="HR32" s="16">
        <v>290400</v>
      </c>
      <c r="HS32" s="16">
        <v>34848</v>
      </c>
      <c r="HT32" s="16">
        <v>4</v>
      </c>
      <c r="HU32" s="16">
        <v>48400</v>
      </c>
      <c r="HV32" s="16">
        <v>193600</v>
      </c>
      <c r="HW32" s="16">
        <v>23232</v>
      </c>
      <c r="HX32" s="16">
        <v>6</v>
      </c>
      <c r="HY32" s="16">
        <v>48400</v>
      </c>
      <c r="HZ32" s="16">
        <v>290400</v>
      </c>
      <c r="IA32" s="16">
        <v>34848</v>
      </c>
      <c r="IB32" s="16">
        <v>5</v>
      </c>
      <c r="IC32" s="16">
        <v>48400</v>
      </c>
      <c r="ID32" s="16">
        <v>242000</v>
      </c>
      <c r="IE32" s="16">
        <v>29040</v>
      </c>
      <c r="IF32" s="23">
        <v>21</v>
      </c>
      <c r="IG32" s="23"/>
      <c r="IH32" s="23">
        <v>1016400</v>
      </c>
      <c r="II32" s="23">
        <v>121968</v>
      </c>
      <c r="IJ32" s="16">
        <v>8</v>
      </c>
      <c r="IK32" s="16">
        <v>48400</v>
      </c>
      <c r="IL32" s="16">
        <v>387200</v>
      </c>
      <c r="IM32" s="16">
        <v>46464</v>
      </c>
      <c r="IN32" s="16">
        <v>5</v>
      </c>
      <c r="IO32" s="16">
        <v>48400</v>
      </c>
      <c r="IP32" s="16">
        <v>242000</v>
      </c>
      <c r="IQ32" s="16">
        <v>29040</v>
      </c>
      <c r="IR32" s="16">
        <v>8</v>
      </c>
      <c r="IS32" s="16">
        <v>48400</v>
      </c>
      <c r="IT32" s="16">
        <v>387200</v>
      </c>
      <c r="IU32" s="16">
        <v>46464</v>
      </c>
      <c r="IV32" s="16">
        <v>6</v>
      </c>
      <c r="IW32" s="16">
        <v>48400</v>
      </c>
      <c r="IX32" s="16">
        <v>290400</v>
      </c>
      <c r="IY32" s="16">
        <v>34848</v>
      </c>
      <c r="IZ32" s="16">
        <v>9</v>
      </c>
      <c r="JA32" s="16">
        <v>48400</v>
      </c>
      <c r="JB32" s="16">
        <v>435600</v>
      </c>
      <c r="JC32" s="16">
        <v>52272</v>
      </c>
      <c r="JD32" s="23">
        <v>36</v>
      </c>
      <c r="JE32" s="23"/>
      <c r="JF32" s="23">
        <v>1742400</v>
      </c>
      <c r="JG32" s="23">
        <v>209088</v>
      </c>
      <c r="JH32" s="16">
        <v>11</v>
      </c>
      <c r="JI32" s="16">
        <v>48400</v>
      </c>
      <c r="JJ32" s="16">
        <v>532400</v>
      </c>
      <c r="JK32" s="16">
        <v>63888</v>
      </c>
      <c r="JL32" s="16">
        <v>5</v>
      </c>
      <c r="JM32" s="16">
        <v>48400</v>
      </c>
      <c r="JN32" s="16">
        <v>242000</v>
      </c>
      <c r="JO32" s="16">
        <v>29040</v>
      </c>
      <c r="JP32" s="16">
        <v>6</v>
      </c>
      <c r="JQ32" s="16">
        <v>48400</v>
      </c>
      <c r="JR32" s="16">
        <v>290400</v>
      </c>
      <c r="JS32" s="16">
        <v>34848</v>
      </c>
      <c r="JT32" s="16">
        <v>6</v>
      </c>
      <c r="JU32" s="16">
        <v>48400</v>
      </c>
      <c r="JV32" s="16">
        <v>290400</v>
      </c>
      <c r="JW32" s="16">
        <v>34848</v>
      </c>
      <c r="JX32" s="23">
        <v>28</v>
      </c>
      <c r="JY32" s="23"/>
      <c r="JZ32" s="23">
        <v>1355200</v>
      </c>
      <c r="KA32" s="23">
        <v>162624</v>
      </c>
      <c r="KB32" s="16">
        <v>9</v>
      </c>
      <c r="KC32" s="16">
        <v>48400</v>
      </c>
      <c r="KD32" s="16">
        <v>435600</v>
      </c>
      <c r="KE32" s="16">
        <v>52272</v>
      </c>
      <c r="KF32" s="16">
        <v>5</v>
      </c>
      <c r="KG32" s="16">
        <v>48400</v>
      </c>
      <c r="KH32" s="16">
        <v>242000</v>
      </c>
      <c r="KI32" s="16">
        <v>29040</v>
      </c>
      <c r="KJ32" s="16">
        <v>4</v>
      </c>
      <c r="KK32" s="16">
        <v>48400</v>
      </c>
      <c r="KL32" s="16">
        <v>193600</v>
      </c>
      <c r="KM32" s="16">
        <v>23232</v>
      </c>
      <c r="KN32" s="16">
        <v>5</v>
      </c>
      <c r="KO32" s="16">
        <v>48400</v>
      </c>
      <c r="KP32" s="16">
        <v>242000</v>
      </c>
      <c r="KQ32" s="16">
        <v>29040</v>
      </c>
      <c r="KR32" s="23">
        <v>23</v>
      </c>
      <c r="KS32" s="23"/>
      <c r="KT32" s="23">
        <v>1113200</v>
      </c>
      <c r="KU32" s="23">
        <v>133584</v>
      </c>
      <c r="KV32" s="23">
        <v>469</v>
      </c>
      <c r="KW32" s="23"/>
      <c r="KX32" s="23">
        <v>22699600</v>
      </c>
      <c r="KY32" s="23">
        <v>2723952</v>
      </c>
    </row>
    <row r="33" spans="1:311" ht="16.95" customHeight="1" x14ac:dyDescent="0.4">
      <c r="A33" s="11"/>
      <c r="B33" s="11"/>
      <c r="C33" s="11" t="s">
        <v>13</v>
      </c>
      <c r="D33" s="9">
        <v>4</v>
      </c>
      <c r="E33" s="9">
        <v>46200</v>
      </c>
      <c r="F33" s="9">
        <v>184800</v>
      </c>
      <c r="G33" s="9">
        <v>22176</v>
      </c>
      <c r="H33" s="22">
        <v>4</v>
      </c>
      <c r="I33" s="22"/>
      <c r="J33" s="22">
        <v>184800</v>
      </c>
      <c r="K33" s="22">
        <v>22176</v>
      </c>
      <c r="L33" s="9">
        <v>5</v>
      </c>
      <c r="M33" s="9">
        <v>46200</v>
      </c>
      <c r="N33" s="9">
        <v>231000</v>
      </c>
      <c r="O33" s="9">
        <v>27720</v>
      </c>
      <c r="P33" s="9">
        <v>4</v>
      </c>
      <c r="Q33" s="9">
        <v>46200</v>
      </c>
      <c r="R33" s="9">
        <v>184800</v>
      </c>
      <c r="S33" s="9">
        <v>22176</v>
      </c>
      <c r="T33" s="9">
        <v>5</v>
      </c>
      <c r="U33" s="9">
        <v>46200</v>
      </c>
      <c r="V33" s="9">
        <v>231000</v>
      </c>
      <c r="W33" s="9">
        <v>27720</v>
      </c>
      <c r="X33" s="9">
        <v>6</v>
      </c>
      <c r="Y33" s="9">
        <v>46200</v>
      </c>
      <c r="Z33" s="9">
        <v>277200</v>
      </c>
      <c r="AA33" s="9">
        <v>33264</v>
      </c>
      <c r="AB33" s="22">
        <v>20</v>
      </c>
      <c r="AC33" s="22"/>
      <c r="AD33" s="22">
        <v>924000</v>
      </c>
      <c r="AE33" s="22">
        <v>110880</v>
      </c>
      <c r="AF33" s="9">
        <v>6</v>
      </c>
      <c r="AG33" s="9">
        <v>46200</v>
      </c>
      <c r="AH33" s="9">
        <v>277200</v>
      </c>
      <c r="AI33" s="9">
        <v>33264</v>
      </c>
      <c r="AJ33" s="9">
        <v>4</v>
      </c>
      <c r="AK33" s="9">
        <v>46200</v>
      </c>
      <c r="AL33" s="9">
        <v>184800</v>
      </c>
      <c r="AM33" s="9">
        <v>22176</v>
      </c>
      <c r="AN33" s="9">
        <v>5</v>
      </c>
      <c r="AO33" s="9">
        <v>46200</v>
      </c>
      <c r="AP33" s="9">
        <v>231000</v>
      </c>
      <c r="AQ33" s="9">
        <v>27720</v>
      </c>
      <c r="AR33" s="9">
        <v>6</v>
      </c>
      <c r="AS33" s="9">
        <v>46200</v>
      </c>
      <c r="AT33" s="9">
        <v>277200</v>
      </c>
      <c r="AU33" s="9">
        <v>33264</v>
      </c>
      <c r="AV33" s="22">
        <v>21</v>
      </c>
      <c r="AW33" s="22"/>
      <c r="AX33" s="22">
        <v>970200</v>
      </c>
      <c r="AY33" s="22">
        <v>116424</v>
      </c>
      <c r="AZ33" s="9">
        <v>11</v>
      </c>
      <c r="BA33" s="9">
        <v>46200</v>
      </c>
      <c r="BB33" s="9">
        <v>508200</v>
      </c>
      <c r="BC33" s="9">
        <v>60984</v>
      </c>
      <c r="BD33" s="9">
        <v>6</v>
      </c>
      <c r="BE33" s="9">
        <v>46200</v>
      </c>
      <c r="BF33" s="9">
        <v>277200</v>
      </c>
      <c r="BG33" s="9">
        <v>33264</v>
      </c>
      <c r="BH33" s="9">
        <v>4</v>
      </c>
      <c r="BI33" s="9">
        <v>46200</v>
      </c>
      <c r="BJ33" s="9">
        <v>184800</v>
      </c>
      <c r="BK33" s="9">
        <v>22176</v>
      </c>
      <c r="BL33" s="9">
        <v>9</v>
      </c>
      <c r="BM33" s="9">
        <v>46200</v>
      </c>
      <c r="BN33" s="9">
        <v>415800</v>
      </c>
      <c r="BO33" s="9">
        <v>49896</v>
      </c>
      <c r="BP33" s="9">
        <v>9</v>
      </c>
      <c r="BQ33" s="9">
        <v>46200</v>
      </c>
      <c r="BR33" s="9">
        <v>415800</v>
      </c>
      <c r="BS33" s="9">
        <v>49896</v>
      </c>
      <c r="BT33" s="22">
        <v>39</v>
      </c>
      <c r="BU33" s="22"/>
      <c r="BV33" s="22">
        <v>1801800</v>
      </c>
      <c r="BW33" s="22">
        <v>216216</v>
      </c>
      <c r="BX33" s="9">
        <v>16</v>
      </c>
      <c r="BY33" s="9">
        <v>46200</v>
      </c>
      <c r="BZ33" s="9">
        <v>739200</v>
      </c>
      <c r="CA33" s="9">
        <v>88704</v>
      </c>
      <c r="CB33" s="9">
        <v>2</v>
      </c>
      <c r="CC33" s="9">
        <v>46200</v>
      </c>
      <c r="CD33" s="9">
        <v>92400</v>
      </c>
      <c r="CE33" s="9">
        <v>11088</v>
      </c>
      <c r="CF33" s="9">
        <v>9</v>
      </c>
      <c r="CG33" s="9">
        <v>46200</v>
      </c>
      <c r="CH33" s="9">
        <v>415800</v>
      </c>
      <c r="CI33" s="9">
        <v>49896</v>
      </c>
      <c r="CJ33" s="9">
        <v>12</v>
      </c>
      <c r="CK33" s="9">
        <v>46200</v>
      </c>
      <c r="CL33" s="9">
        <v>554400</v>
      </c>
      <c r="CM33" s="9">
        <v>66528</v>
      </c>
      <c r="CN33" s="22">
        <v>39</v>
      </c>
      <c r="CO33" s="22"/>
      <c r="CP33" s="22">
        <v>1801800</v>
      </c>
      <c r="CQ33" s="22">
        <v>216216</v>
      </c>
      <c r="CR33" s="9">
        <v>13</v>
      </c>
      <c r="CS33" s="9">
        <v>46200</v>
      </c>
      <c r="CT33" s="9">
        <v>600600</v>
      </c>
      <c r="CU33" s="9">
        <v>72072</v>
      </c>
      <c r="CV33" s="9">
        <v>12</v>
      </c>
      <c r="CW33" s="9">
        <v>46200</v>
      </c>
      <c r="CX33" s="9">
        <v>554400</v>
      </c>
      <c r="CY33" s="9">
        <v>66528</v>
      </c>
      <c r="CZ33" s="9">
        <v>13</v>
      </c>
      <c r="DA33" s="9">
        <v>46200</v>
      </c>
      <c r="DB33" s="9">
        <v>600600</v>
      </c>
      <c r="DC33" s="9">
        <v>72072</v>
      </c>
      <c r="DD33" s="9">
        <v>18</v>
      </c>
      <c r="DE33" s="9">
        <v>46200</v>
      </c>
      <c r="DF33" s="9">
        <v>831600</v>
      </c>
      <c r="DG33" s="9">
        <v>99792</v>
      </c>
      <c r="DH33" s="22">
        <v>56</v>
      </c>
      <c r="DI33" s="22"/>
      <c r="DJ33" s="22">
        <v>2587200</v>
      </c>
      <c r="DK33" s="22">
        <v>310464</v>
      </c>
      <c r="DL33" s="9">
        <v>13</v>
      </c>
      <c r="DM33" s="9">
        <v>46200</v>
      </c>
      <c r="DN33" s="9">
        <v>600600</v>
      </c>
      <c r="DO33" s="9">
        <v>72072</v>
      </c>
      <c r="DP33" s="9">
        <v>15</v>
      </c>
      <c r="DQ33" s="9">
        <v>46200</v>
      </c>
      <c r="DR33" s="9">
        <v>693000</v>
      </c>
      <c r="DS33" s="9">
        <v>83160</v>
      </c>
      <c r="DT33" s="9">
        <v>14</v>
      </c>
      <c r="DU33" s="9">
        <v>46200</v>
      </c>
      <c r="DV33" s="9">
        <v>646800</v>
      </c>
      <c r="DW33" s="9">
        <v>77616</v>
      </c>
      <c r="DX33" s="9">
        <v>22</v>
      </c>
      <c r="DY33" s="9">
        <v>46200</v>
      </c>
      <c r="DZ33" s="9">
        <v>1016400</v>
      </c>
      <c r="EA33" s="9">
        <v>121968</v>
      </c>
      <c r="EB33" s="9">
        <v>25</v>
      </c>
      <c r="EC33" s="9">
        <v>46200</v>
      </c>
      <c r="ED33" s="9">
        <v>1155000</v>
      </c>
      <c r="EE33" s="9">
        <v>138600</v>
      </c>
      <c r="EF33" s="22">
        <v>89</v>
      </c>
      <c r="EG33" s="22"/>
      <c r="EH33" s="22">
        <v>4111800</v>
      </c>
      <c r="EI33" s="22">
        <v>493416</v>
      </c>
      <c r="EJ33" s="9">
        <v>24</v>
      </c>
      <c r="EK33" s="9">
        <v>46200</v>
      </c>
      <c r="EL33" s="9">
        <v>1108800</v>
      </c>
      <c r="EM33" s="9">
        <v>133056</v>
      </c>
      <c r="EN33" s="9">
        <v>11</v>
      </c>
      <c r="EO33" s="9">
        <v>46200</v>
      </c>
      <c r="EP33" s="9">
        <v>508200</v>
      </c>
      <c r="EQ33" s="9">
        <v>60984</v>
      </c>
      <c r="ER33" s="9">
        <v>22</v>
      </c>
      <c r="ES33" s="9">
        <v>46200</v>
      </c>
      <c r="ET33" s="9">
        <v>1016400</v>
      </c>
      <c r="EU33" s="9">
        <v>121968</v>
      </c>
      <c r="EV33" s="9">
        <v>24</v>
      </c>
      <c r="EW33" s="9">
        <v>46200</v>
      </c>
      <c r="EX33" s="9">
        <v>1108800</v>
      </c>
      <c r="EY33" s="9">
        <v>133056</v>
      </c>
      <c r="EZ33" s="22">
        <v>81</v>
      </c>
      <c r="FA33" s="22"/>
      <c r="FB33" s="22">
        <v>3742200</v>
      </c>
      <c r="FC33" s="22">
        <v>449064</v>
      </c>
      <c r="FD33" s="9">
        <v>21</v>
      </c>
      <c r="FE33" s="9">
        <v>46200</v>
      </c>
      <c r="FF33" s="9">
        <v>970200</v>
      </c>
      <c r="FG33" s="9">
        <v>116424</v>
      </c>
      <c r="FH33" s="9">
        <v>18</v>
      </c>
      <c r="FI33" s="9">
        <v>46200</v>
      </c>
      <c r="FJ33" s="9">
        <v>831600</v>
      </c>
      <c r="FK33" s="9">
        <v>99792</v>
      </c>
      <c r="FL33" s="9">
        <v>26</v>
      </c>
      <c r="FM33" s="9">
        <v>46200</v>
      </c>
      <c r="FN33" s="9">
        <v>1201200</v>
      </c>
      <c r="FO33" s="9">
        <v>144144</v>
      </c>
      <c r="FP33" s="9">
        <v>18</v>
      </c>
      <c r="FQ33" s="9">
        <v>46200</v>
      </c>
      <c r="FR33" s="9">
        <v>831600</v>
      </c>
      <c r="FS33" s="9">
        <v>99792</v>
      </c>
      <c r="FT33" s="22">
        <v>83</v>
      </c>
      <c r="FU33" s="22"/>
      <c r="FV33" s="22">
        <v>3834600</v>
      </c>
      <c r="FW33" s="22">
        <v>460152</v>
      </c>
      <c r="FX33" s="9">
        <v>16</v>
      </c>
      <c r="FY33" s="9">
        <v>46200</v>
      </c>
      <c r="FZ33" s="9">
        <v>739200</v>
      </c>
      <c r="GA33" s="9">
        <v>88704</v>
      </c>
      <c r="GB33" s="9">
        <v>13</v>
      </c>
      <c r="GC33" s="9">
        <v>46200</v>
      </c>
      <c r="GD33" s="9">
        <v>600600</v>
      </c>
      <c r="GE33" s="9">
        <v>72072</v>
      </c>
      <c r="GF33" s="9">
        <v>11</v>
      </c>
      <c r="GG33" s="9">
        <v>46200</v>
      </c>
      <c r="GH33" s="9">
        <v>508200</v>
      </c>
      <c r="GI33" s="9">
        <v>60984</v>
      </c>
      <c r="GJ33" s="9">
        <v>12</v>
      </c>
      <c r="GK33" s="9">
        <v>46200</v>
      </c>
      <c r="GL33" s="9">
        <v>554400</v>
      </c>
      <c r="GM33" s="9">
        <v>66528</v>
      </c>
      <c r="GN33" s="9">
        <v>13</v>
      </c>
      <c r="GO33" s="9">
        <v>46200</v>
      </c>
      <c r="GP33" s="9">
        <v>600600</v>
      </c>
      <c r="GQ33" s="9">
        <v>72072</v>
      </c>
      <c r="GR33" s="22">
        <v>65</v>
      </c>
      <c r="GS33" s="22"/>
      <c r="GT33" s="22">
        <v>3003000</v>
      </c>
      <c r="GU33" s="22">
        <v>360360</v>
      </c>
      <c r="GV33" s="9">
        <v>4</v>
      </c>
      <c r="GW33" s="9">
        <v>46200</v>
      </c>
      <c r="GX33" s="9">
        <v>184800</v>
      </c>
      <c r="GY33" s="9">
        <v>22176</v>
      </c>
      <c r="GZ33" s="9">
        <v>12</v>
      </c>
      <c r="HA33" s="9">
        <v>46200</v>
      </c>
      <c r="HB33" s="9">
        <v>554400</v>
      </c>
      <c r="HC33" s="9">
        <v>66528</v>
      </c>
      <c r="HD33" s="9">
        <v>8</v>
      </c>
      <c r="HE33" s="9">
        <v>46200</v>
      </c>
      <c r="HF33" s="9">
        <v>369600</v>
      </c>
      <c r="HG33" s="9">
        <v>44352</v>
      </c>
      <c r="HH33" s="9">
        <v>4</v>
      </c>
      <c r="HI33" s="9">
        <v>46200</v>
      </c>
      <c r="HJ33" s="9">
        <v>184800</v>
      </c>
      <c r="HK33" s="9">
        <v>22176</v>
      </c>
      <c r="HL33" s="22">
        <v>28</v>
      </c>
      <c r="HM33" s="22"/>
      <c r="HN33" s="22">
        <v>1293600</v>
      </c>
      <c r="HO33" s="22">
        <v>155232</v>
      </c>
      <c r="HP33" s="9">
        <v>10</v>
      </c>
      <c r="HQ33" s="9">
        <v>46200</v>
      </c>
      <c r="HR33" s="9">
        <v>462000</v>
      </c>
      <c r="HS33" s="9">
        <v>55440</v>
      </c>
      <c r="HT33" s="9">
        <v>4</v>
      </c>
      <c r="HU33" s="9">
        <v>46200</v>
      </c>
      <c r="HV33" s="9">
        <v>184800</v>
      </c>
      <c r="HW33" s="9">
        <v>22176</v>
      </c>
      <c r="HX33" s="9">
        <v>6</v>
      </c>
      <c r="HY33" s="9">
        <v>46200</v>
      </c>
      <c r="HZ33" s="9">
        <v>277200</v>
      </c>
      <c r="IA33" s="9">
        <v>33264</v>
      </c>
      <c r="IB33" s="9">
        <v>5</v>
      </c>
      <c r="IC33" s="9">
        <v>46200</v>
      </c>
      <c r="ID33" s="9">
        <v>231000</v>
      </c>
      <c r="IE33" s="9">
        <v>27720</v>
      </c>
      <c r="IF33" s="22">
        <v>25</v>
      </c>
      <c r="IG33" s="22"/>
      <c r="IH33" s="22">
        <v>1155000</v>
      </c>
      <c r="II33" s="22">
        <v>138600</v>
      </c>
      <c r="IJ33" s="9">
        <v>9</v>
      </c>
      <c r="IK33" s="9">
        <v>46200</v>
      </c>
      <c r="IL33" s="9">
        <v>415800</v>
      </c>
      <c r="IM33" s="9">
        <v>49896</v>
      </c>
      <c r="IN33" s="9">
        <v>5</v>
      </c>
      <c r="IO33" s="9">
        <v>46200</v>
      </c>
      <c r="IP33" s="9">
        <v>231000</v>
      </c>
      <c r="IQ33" s="9">
        <v>27720</v>
      </c>
      <c r="IR33" s="9">
        <v>0</v>
      </c>
      <c r="IS33" s="9">
        <v>0</v>
      </c>
      <c r="IT33" s="9">
        <v>0</v>
      </c>
      <c r="IU33" s="9">
        <v>0</v>
      </c>
      <c r="IV33" s="9">
        <v>7</v>
      </c>
      <c r="IW33" s="9">
        <v>46200</v>
      </c>
      <c r="IX33" s="9">
        <v>323400</v>
      </c>
      <c r="IY33" s="9">
        <v>38808</v>
      </c>
      <c r="IZ33" s="9">
        <v>5</v>
      </c>
      <c r="JA33" s="9">
        <v>46200</v>
      </c>
      <c r="JB33" s="9">
        <v>231000</v>
      </c>
      <c r="JC33" s="9">
        <v>27720</v>
      </c>
      <c r="JD33" s="22">
        <v>26</v>
      </c>
      <c r="JE33" s="22"/>
      <c r="JF33" s="22">
        <v>1201200</v>
      </c>
      <c r="JG33" s="22">
        <v>144144</v>
      </c>
      <c r="JH33" s="9">
        <v>11</v>
      </c>
      <c r="JI33" s="9">
        <v>46200</v>
      </c>
      <c r="JJ33" s="9">
        <v>508200</v>
      </c>
      <c r="JK33" s="9">
        <v>60984</v>
      </c>
      <c r="JL33" s="9">
        <v>4</v>
      </c>
      <c r="JM33" s="9">
        <v>46200</v>
      </c>
      <c r="JN33" s="9">
        <v>184800</v>
      </c>
      <c r="JO33" s="9">
        <v>22176</v>
      </c>
      <c r="JP33" s="9">
        <v>4</v>
      </c>
      <c r="JQ33" s="9">
        <v>46200</v>
      </c>
      <c r="JR33" s="9">
        <v>184800</v>
      </c>
      <c r="JS33" s="9">
        <v>22176</v>
      </c>
      <c r="JT33" s="9">
        <v>3</v>
      </c>
      <c r="JU33" s="9">
        <v>46200</v>
      </c>
      <c r="JV33" s="9">
        <v>138600</v>
      </c>
      <c r="JW33" s="9">
        <v>16632</v>
      </c>
      <c r="JX33" s="22">
        <v>22</v>
      </c>
      <c r="JY33" s="22"/>
      <c r="JZ33" s="22">
        <v>1016400</v>
      </c>
      <c r="KA33" s="22">
        <v>121968</v>
      </c>
      <c r="KB33" s="9">
        <v>9</v>
      </c>
      <c r="KC33" s="9">
        <v>46200</v>
      </c>
      <c r="KD33" s="9">
        <v>415800</v>
      </c>
      <c r="KE33" s="9">
        <v>49896</v>
      </c>
      <c r="KF33" s="9">
        <v>5</v>
      </c>
      <c r="KG33" s="9">
        <v>46200</v>
      </c>
      <c r="KH33" s="9">
        <v>231000</v>
      </c>
      <c r="KI33" s="9">
        <v>27720</v>
      </c>
      <c r="KJ33" s="9">
        <v>0</v>
      </c>
      <c r="KK33" s="9">
        <v>0</v>
      </c>
      <c r="KL33" s="9">
        <v>0</v>
      </c>
      <c r="KM33" s="9">
        <v>0</v>
      </c>
      <c r="KN33" s="9">
        <v>10</v>
      </c>
      <c r="KO33" s="9">
        <v>46200</v>
      </c>
      <c r="KP33" s="9">
        <v>462000</v>
      </c>
      <c r="KQ33" s="9">
        <v>55440</v>
      </c>
      <c r="KR33" s="22">
        <v>24</v>
      </c>
      <c r="KS33" s="22"/>
      <c r="KT33" s="22">
        <v>1108800</v>
      </c>
      <c r="KU33" s="22">
        <v>133056</v>
      </c>
      <c r="KV33" s="22">
        <v>622</v>
      </c>
      <c r="KW33" s="22"/>
      <c r="KX33" s="22">
        <v>28736400</v>
      </c>
      <c r="KY33" s="22">
        <v>3448368</v>
      </c>
    </row>
    <row r="34" spans="1:311" ht="16.95" customHeight="1" x14ac:dyDescent="0.4">
      <c r="A34" s="15"/>
      <c r="B34" s="15"/>
      <c r="C34" s="15" t="s">
        <v>35</v>
      </c>
      <c r="D34" s="16">
        <v>1</v>
      </c>
      <c r="E34" s="16">
        <v>127842</v>
      </c>
      <c r="F34" s="16">
        <v>127842</v>
      </c>
      <c r="G34" s="16">
        <v>15341</v>
      </c>
      <c r="H34" s="23">
        <v>1</v>
      </c>
      <c r="I34" s="23"/>
      <c r="J34" s="23">
        <v>127842</v>
      </c>
      <c r="K34" s="23">
        <v>15341</v>
      </c>
      <c r="L34" s="16">
        <v>1</v>
      </c>
      <c r="M34" s="16">
        <v>127842</v>
      </c>
      <c r="N34" s="16">
        <v>127842</v>
      </c>
      <c r="O34" s="16">
        <v>15341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1</v>
      </c>
      <c r="Y34" s="16">
        <v>127842</v>
      </c>
      <c r="Z34" s="16">
        <v>127842</v>
      </c>
      <c r="AA34" s="16">
        <v>15341</v>
      </c>
      <c r="AB34" s="23">
        <v>2</v>
      </c>
      <c r="AC34" s="23"/>
      <c r="AD34" s="23">
        <v>255684</v>
      </c>
      <c r="AE34" s="23">
        <v>30682.1</v>
      </c>
      <c r="AF34" s="16">
        <v>1</v>
      </c>
      <c r="AG34" s="16">
        <v>127842</v>
      </c>
      <c r="AH34" s="16">
        <v>127842</v>
      </c>
      <c r="AI34" s="16">
        <v>15341</v>
      </c>
      <c r="AJ34" s="16">
        <v>1</v>
      </c>
      <c r="AK34" s="16">
        <v>127842</v>
      </c>
      <c r="AL34" s="16">
        <v>127842</v>
      </c>
      <c r="AM34" s="16">
        <v>15341</v>
      </c>
      <c r="AN34" s="16">
        <v>1</v>
      </c>
      <c r="AO34" s="16">
        <v>127842</v>
      </c>
      <c r="AP34" s="16">
        <v>127842</v>
      </c>
      <c r="AQ34" s="16">
        <v>15341</v>
      </c>
      <c r="AR34" s="16">
        <v>1</v>
      </c>
      <c r="AS34" s="16">
        <v>127842</v>
      </c>
      <c r="AT34" s="16">
        <v>127842</v>
      </c>
      <c r="AU34" s="16">
        <v>15341</v>
      </c>
      <c r="AV34" s="23">
        <v>4</v>
      </c>
      <c r="AW34" s="23"/>
      <c r="AX34" s="23">
        <v>511368</v>
      </c>
      <c r="AY34" s="23">
        <v>61364.2</v>
      </c>
      <c r="AZ34" s="16">
        <v>1</v>
      </c>
      <c r="BA34" s="16">
        <v>127842</v>
      </c>
      <c r="BB34" s="16">
        <v>127842</v>
      </c>
      <c r="BC34" s="16">
        <v>15341</v>
      </c>
      <c r="BD34" s="16">
        <v>1</v>
      </c>
      <c r="BE34" s="16">
        <v>127842</v>
      </c>
      <c r="BF34" s="16">
        <v>127842</v>
      </c>
      <c r="BG34" s="16">
        <v>15341</v>
      </c>
      <c r="BH34" s="16">
        <v>1</v>
      </c>
      <c r="BI34" s="16">
        <v>127842</v>
      </c>
      <c r="BJ34" s="16">
        <v>127842</v>
      </c>
      <c r="BK34" s="16">
        <v>15341</v>
      </c>
      <c r="BL34" s="16">
        <v>3</v>
      </c>
      <c r="BM34" s="16">
        <v>127842</v>
      </c>
      <c r="BN34" s="16">
        <v>383526</v>
      </c>
      <c r="BO34" s="16">
        <v>46023.1</v>
      </c>
      <c r="BP34" s="16">
        <v>1</v>
      </c>
      <c r="BQ34" s="16">
        <v>127842</v>
      </c>
      <c r="BR34" s="16">
        <v>127842</v>
      </c>
      <c r="BS34" s="16">
        <v>15341</v>
      </c>
      <c r="BT34" s="23">
        <v>7</v>
      </c>
      <c r="BU34" s="23"/>
      <c r="BV34" s="23">
        <v>894894</v>
      </c>
      <c r="BW34" s="23">
        <v>107387.3</v>
      </c>
      <c r="BX34" s="16">
        <v>2</v>
      </c>
      <c r="BY34" s="16">
        <v>127842</v>
      </c>
      <c r="BZ34" s="16">
        <v>255684</v>
      </c>
      <c r="CA34" s="16">
        <v>30682.1</v>
      </c>
      <c r="CB34" s="16">
        <v>2</v>
      </c>
      <c r="CC34" s="16">
        <v>127842</v>
      </c>
      <c r="CD34" s="16">
        <v>255684</v>
      </c>
      <c r="CE34" s="16">
        <v>30682.1</v>
      </c>
      <c r="CF34" s="16">
        <v>1</v>
      </c>
      <c r="CG34" s="16">
        <v>127842</v>
      </c>
      <c r="CH34" s="16">
        <v>127842</v>
      </c>
      <c r="CI34" s="16">
        <v>15341</v>
      </c>
      <c r="CJ34" s="16">
        <v>3</v>
      </c>
      <c r="CK34" s="16">
        <v>127842</v>
      </c>
      <c r="CL34" s="16">
        <v>383526</v>
      </c>
      <c r="CM34" s="16">
        <v>46023.1</v>
      </c>
      <c r="CN34" s="23">
        <v>8</v>
      </c>
      <c r="CO34" s="23"/>
      <c r="CP34" s="23">
        <v>1022736</v>
      </c>
      <c r="CQ34" s="23">
        <v>122728.3</v>
      </c>
      <c r="CR34" s="16">
        <v>2</v>
      </c>
      <c r="CS34" s="16">
        <v>127842</v>
      </c>
      <c r="CT34" s="16">
        <v>255684</v>
      </c>
      <c r="CU34" s="16">
        <v>30682.1</v>
      </c>
      <c r="CV34" s="16">
        <v>2</v>
      </c>
      <c r="CW34" s="16">
        <v>127842</v>
      </c>
      <c r="CX34" s="16">
        <v>255684</v>
      </c>
      <c r="CY34" s="16">
        <v>30682.1</v>
      </c>
      <c r="CZ34" s="16">
        <v>3</v>
      </c>
      <c r="DA34" s="16">
        <v>127842</v>
      </c>
      <c r="DB34" s="16">
        <v>383526</v>
      </c>
      <c r="DC34" s="16">
        <v>46023.1</v>
      </c>
      <c r="DD34" s="16">
        <v>3</v>
      </c>
      <c r="DE34" s="16">
        <v>127842</v>
      </c>
      <c r="DF34" s="16">
        <v>383526</v>
      </c>
      <c r="DG34" s="16">
        <v>46023.1</v>
      </c>
      <c r="DH34" s="23">
        <v>10</v>
      </c>
      <c r="DI34" s="23"/>
      <c r="DJ34" s="23">
        <v>1278420</v>
      </c>
      <c r="DK34" s="23">
        <v>153410.4</v>
      </c>
      <c r="DL34" s="16">
        <v>4</v>
      </c>
      <c r="DM34" s="16">
        <v>127842</v>
      </c>
      <c r="DN34" s="16">
        <v>511368</v>
      </c>
      <c r="DO34" s="16">
        <v>61364.2</v>
      </c>
      <c r="DP34" s="16">
        <v>3</v>
      </c>
      <c r="DQ34" s="16">
        <v>127842</v>
      </c>
      <c r="DR34" s="16">
        <v>383526</v>
      </c>
      <c r="DS34" s="16">
        <v>46023.1</v>
      </c>
      <c r="DT34" s="16">
        <v>2</v>
      </c>
      <c r="DU34" s="16">
        <v>127842</v>
      </c>
      <c r="DV34" s="16">
        <v>255684</v>
      </c>
      <c r="DW34" s="16">
        <v>30682.1</v>
      </c>
      <c r="DX34" s="16">
        <v>5</v>
      </c>
      <c r="DY34" s="16">
        <v>127842</v>
      </c>
      <c r="DZ34" s="16">
        <v>639210</v>
      </c>
      <c r="EA34" s="16">
        <v>76705.2</v>
      </c>
      <c r="EB34" s="16">
        <v>4</v>
      </c>
      <c r="EC34" s="16">
        <v>127842</v>
      </c>
      <c r="ED34" s="16">
        <v>511368</v>
      </c>
      <c r="EE34" s="16">
        <v>61364.2</v>
      </c>
      <c r="EF34" s="23">
        <v>18</v>
      </c>
      <c r="EG34" s="23"/>
      <c r="EH34" s="23">
        <v>2301156</v>
      </c>
      <c r="EI34" s="23">
        <v>276138.7</v>
      </c>
      <c r="EJ34" s="16">
        <v>3</v>
      </c>
      <c r="EK34" s="16">
        <v>127842</v>
      </c>
      <c r="EL34" s="16">
        <v>383526</v>
      </c>
      <c r="EM34" s="16">
        <v>46023.1</v>
      </c>
      <c r="EN34" s="16">
        <v>3</v>
      </c>
      <c r="EO34" s="16">
        <v>127842</v>
      </c>
      <c r="EP34" s="16">
        <v>383526</v>
      </c>
      <c r="EQ34" s="16">
        <v>46023.1</v>
      </c>
      <c r="ER34" s="16">
        <v>5</v>
      </c>
      <c r="ES34" s="16">
        <v>127842</v>
      </c>
      <c r="ET34" s="16">
        <v>639210</v>
      </c>
      <c r="EU34" s="16">
        <v>76705.2</v>
      </c>
      <c r="EV34" s="16">
        <v>5</v>
      </c>
      <c r="EW34" s="16">
        <v>127842</v>
      </c>
      <c r="EX34" s="16">
        <v>639210</v>
      </c>
      <c r="EY34" s="16">
        <v>76705.2</v>
      </c>
      <c r="EZ34" s="23">
        <v>16</v>
      </c>
      <c r="FA34" s="23"/>
      <c r="FB34" s="23">
        <v>2045472</v>
      </c>
      <c r="FC34" s="23">
        <v>245456.6</v>
      </c>
      <c r="FD34" s="16">
        <v>6</v>
      </c>
      <c r="FE34" s="16">
        <v>127842</v>
      </c>
      <c r="FF34" s="16">
        <v>767052</v>
      </c>
      <c r="FG34" s="16">
        <v>92046.2</v>
      </c>
      <c r="FH34" s="16">
        <v>2</v>
      </c>
      <c r="FI34" s="16">
        <v>127842</v>
      </c>
      <c r="FJ34" s="16">
        <v>255684</v>
      </c>
      <c r="FK34" s="16">
        <v>30682.1</v>
      </c>
      <c r="FL34" s="16">
        <v>5</v>
      </c>
      <c r="FM34" s="16">
        <v>127842</v>
      </c>
      <c r="FN34" s="16">
        <v>639210</v>
      </c>
      <c r="FO34" s="16">
        <v>76705.2</v>
      </c>
      <c r="FP34" s="16">
        <v>3</v>
      </c>
      <c r="FQ34" s="16">
        <v>127842</v>
      </c>
      <c r="FR34" s="16">
        <v>383526</v>
      </c>
      <c r="FS34" s="16">
        <v>46023.1</v>
      </c>
      <c r="FT34" s="23">
        <v>16</v>
      </c>
      <c r="FU34" s="23"/>
      <c r="FV34" s="23">
        <v>2045472</v>
      </c>
      <c r="FW34" s="23">
        <v>245456.6</v>
      </c>
      <c r="FX34" s="16">
        <v>3</v>
      </c>
      <c r="FY34" s="16">
        <v>127842</v>
      </c>
      <c r="FZ34" s="16">
        <v>383526</v>
      </c>
      <c r="GA34" s="16">
        <v>46023.1</v>
      </c>
      <c r="GB34" s="16">
        <v>3</v>
      </c>
      <c r="GC34" s="16">
        <v>127842</v>
      </c>
      <c r="GD34" s="16">
        <v>383526</v>
      </c>
      <c r="GE34" s="16">
        <v>46023.1</v>
      </c>
      <c r="GF34" s="16">
        <v>2</v>
      </c>
      <c r="GG34" s="16">
        <v>127842</v>
      </c>
      <c r="GH34" s="16">
        <v>255684</v>
      </c>
      <c r="GI34" s="16">
        <v>30682.1</v>
      </c>
      <c r="GJ34" s="16">
        <v>2</v>
      </c>
      <c r="GK34" s="16">
        <v>127842</v>
      </c>
      <c r="GL34" s="16">
        <v>255684</v>
      </c>
      <c r="GM34" s="16">
        <v>30682.1</v>
      </c>
      <c r="GN34" s="16">
        <v>2</v>
      </c>
      <c r="GO34" s="16">
        <v>127842</v>
      </c>
      <c r="GP34" s="16">
        <v>255684</v>
      </c>
      <c r="GQ34" s="16">
        <v>30682.1</v>
      </c>
      <c r="GR34" s="23">
        <v>12</v>
      </c>
      <c r="GS34" s="23"/>
      <c r="GT34" s="23">
        <v>1534104</v>
      </c>
      <c r="GU34" s="23">
        <v>184092.5</v>
      </c>
      <c r="GV34" s="16">
        <v>1</v>
      </c>
      <c r="GW34" s="16">
        <v>127842</v>
      </c>
      <c r="GX34" s="16">
        <v>127842</v>
      </c>
      <c r="GY34" s="16">
        <v>15341</v>
      </c>
      <c r="GZ34" s="16">
        <v>2</v>
      </c>
      <c r="HA34" s="16">
        <v>127842</v>
      </c>
      <c r="HB34" s="16">
        <v>255684</v>
      </c>
      <c r="HC34" s="16">
        <v>30682.1</v>
      </c>
      <c r="HD34" s="16">
        <v>1</v>
      </c>
      <c r="HE34" s="16">
        <v>127842</v>
      </c>
      <c r="HF34" s="16">
        <v>127842</v>
      </c>
      <c r="HG34" s="16">
        <v>15341</v>
      </c>
      <c r="HH34" s="16">
        <v>1</v>
      </c>
      <c r="HI34" s="16">
        <v>127842</v>
      </c>
      <c r="HJ34" s="16">
        <v>127842</v>
      </c>
      <c r="HK34" s="16">
        <v>15341</v>
      </c>
      <c r="HL34" s="23">
        <v>5</v>
      </c>
      <c r="HM34" s="23"/>
      <c r="HN34" s="23">
        <v>639210</v>
      </c>
      <c r="HO34" s="23">
        <v>76705.2</v>
      </c>
      <c r="HP34" s="16">
        <v>1</v>
      </c>
      <c r="HQ34" s="16">
        <v>127842</v>
      </c>
      <c r="HR34" s="16">
        <v>127842</v>
      </c>
      <c r="HS34" s="16">
        <v>15341</v>
      </c>
      <c r="HT34" s="16">
        <v>2</v>
      </c>
      <c r="HU34" s="16">
        <v>127842</v>
      </c>
      <c r="HV34" s="16">
        <v>255684</v>
      </c>
      <c r="HW34" s="16">
        <v>30682.1</v>
      </c>
      <c r="HX34" s="16">
        <v>1</v>
      </c>
      <c r="HY34" s="16">
        <v>127842</v>
      </c>
      <c r="HZ34" s="16">
        <v>127842</v>
      </c>
      <c r="IA34" s="16">
        <v>15341</v>
      </c>
      <c r="IB34" s="16">
        <v>0</v>
      </c>
      <c r="IC34" s="16">
        <v>0</v>
      </c>
      <c r="ID34" s="16">
        <v>0</v>
      </c>
      <c r="IE34" s="16">
        <v>0</v>
      </c>
      <c r="IF34" s="23">
        <v>4</v>
      </c>
      <c r="IG34" s="23"/>
      <c r="IH34" s="23">
        <v>511368</v>
      </c>
      <c r="II34" s="23">
        <v>61364.2</v>
      </c>
      <c r="IJ34" s="16">
        <v>1</v>
      </c>
      <c r="IK34" s="16">
        <v>127842</v>
      </c>
      <c r="IL34" s="16">
        <v>127842</v>
      </c>
      <c r="IM34" s="16">
        <v>15341</v>
      </c>
      <c r="IN34" s="16">
        <v>0</v>
      </c>
      <c r="IO34" s="16">
        <v>0</v>
      </c>
      <c r="IP34" s="16">
        <v>0</v>
      </c>
      <c r="IQ34" s="16">
        <v>0</v>
      </c>
      <c r="IR34" s="16">
        <v>1</v>
      </c>
      <c r="IS34" s="16">
        <v>127842</v>
      </c>
      <c r="IT34" s="16">
        <v>127842</v>
      </c>
      <c r="IU34" s="16">
        <v>15341</v>
      </c>
      <c r="IV34" s="16">
        <v>1</v>
      </c>
      <c r="IW34" s="16">
        <v>127842</v>
      </c>
      <c r="IX34" s="16">
        <v>127842</v>
      </c>
      <c r="IY34" s="16">
        <v>15341</v>
      </c>
      <c r="IZ34" s="16">
        <v>1</v>
      </c>
      <c r="JA34" s="16">
        <v>127842</v>
      </c>
      <c r="JB34" s="16">
        <v>127842</v>
      </c>
      <c r="JC34" s="16">
        <v>15341</v>
      </c>
      <c r="JD34" s="23">
        <v>4</v>
      </c>
      <c r="JE34" s="23"/>
      <c r="JF34" s="23">
        <v>511368</v>
      </c>
      <c r="JG34" s="23">
        <v>61364.2</v>
      </c>
      <c r="JH34" s="16">
        <v>1</v>
      </c>
      <c r="JI34" s="16">
        <v>127842</v>
      </c>
      <c r="JJ34" s="16">
        <v>127842</v>
      </c>
      <c r="JK34" s="16">
        <v>15341</v>
      </c>
      <c r="JL34" s="16">
        <v>1</v>
      </c>
      <c r="JM34" s="16">
        <v>127842</v>
      </c>
      <c r="JN34" s="16">
        <v>127842</v>
      </c>
      <c r="JO34" s="16">
        <v>15341</v>
      </c>
      <c r="JP34" s="16">
        <v>1</v>
      </c>
      <c r="JQ34" s="16">
        <v>127842</v>
      </c>
      <c r="JR34" s="16">
        <v>127842</v>
      </c>
      <c r="JS34" s="16">
        <v>15341</v>
      </c>
      <c r="JT34" s="16">
        <v>0</v>
      </c>
      <c r="JU34" s="16">
        <v>0</v>
      </c>
      <c r="JV34" s="16">
        <v>0</v>
      </c>
      <c r="JW34" s="16">
        <v>0</v>
      </c>
      <c r="JX34" s="23">
        <v>3</v>
      </c>
      <c r="JY34" s="23"/>
      <c r="JZ34" s="23">
        <v>383526</v>
      </c>
      <c r="KA34" s="23">
        <v>46023.1</v>
      </c>
      <c r="KB34" s="16">
        <v>1</v>
      </c>
      <c r="KC34" s="16">
        <v>127842</v>
      </c>
      <c r="KD34" s="16">
        <v>127842</v>
      </c>
      <c r="KE34" s="16">
        <v>15341</v>
      </c>
      <c r="KF34" s="16">
        <v>1</v>
      </c>
      <c r="KG34" s="16">
        <v>127842</v>
      </c>
      <c r="KH34" s="16">
        <v>127842</v>
      </c>
      <c r="KI34" s="16">
        <v>15341</v>
      </c>
      <c r="KJ34" s="16">
        <v>1</v>
      </c>
      <c r="KK34" s="16">
        <v>127842</v>
      </c>
      <c r="KL34" s="16">
        <v>127842</v>
      </c>
      <c r="KM34" s="16">
        <v>15341</v>
      </c>
      <c r="KN34" s="16">
        <v>1</v>
      </c>
      <c r="KO34" s="16">
        <v>127842</v>
      </c>
      <c r="KP34" s="16">
        <v>127842</v>
      </c>
      <c r="KQ34" s="16">
        <v>15341</v>
      </c>
      <c r="KR34" s="23">
        <v>4</v>
      </c>
      <c r="KS34" s="23"/>
      <c r="KT34" s="23">
        <v>511368</v>
      </c>
      <c r="KU34" s="23">
        <v>61364.2</v>
      </c>
      <c r="KV34" s="23">
        <v>114</v>
      </c>
      <c r="KW34" s="23"/>
      <c r="KX34" s="23">
        <v>14573988</v>
      </c>
      <c r="KY34" s="23">
        <v>1748878.6</v>
      </c>
    </row>
    <row r="35" spans="1:311" ht="16.95" customHeight="1" x14ac:dyDescent="0.4">
      <c r="A35" s="11"/>
      <c r="B35" s="11"/>
      <c r="C35" s="11" t="s">
        <v>23</v>
      </c>
      <c r="D35" s="9">
        <v>4</v>
      </c>
      <c r="E35" s="9">
        <v>59400</v>
      </c>
      <c r="F35" s="9">
        <v>237600</v>
      </c>
      <c r="G35" s="9">
        <v>28512</v>
      </c>
      <c r="H35" s="22">
        <v>4</v>
      </c>
      <c r="I35" s="22"/>
      <c r="J35" s="22">
        <v>237600</v>
      </c>
      <c r="K35" s="22">
        <v>28512</v>
      </c>
      <c r="L35" s="9">
        <v>3</v>
      </c>
      <c r="M35" s="9">
        <v>59400</v>
      </c>
      <c r="N35" s="9">
        <v>178200</v>
      </c>
      <c r="O35" s="9">
        <v>21384</v>
      </c>
      <c r="P35" s="9">
        <v>2</v>
      </c>
      <c r="Q35" s="9">
        <v>59400</v>
      </c>
      <c r="R35" s="9">
        <v>118800</v>
      </c>
      <c r="S35" s="9">
        <v>14256</v>
      </c>
      <c r="T35" s="9">
        <v>2</v>
      </c>
      <c r="U35" s="9">
        <v>59400</v>
      </c>
      <c r="V35" s="9">
        <v>118800</v>
      </c>
      <c r="W35" s="9">
        <v>14256</v>
      </c>
      <c r="X35" s="9">
        <v>5</v>
      </c>
      <c r="Y35" s="9">
        <v>59400</v>
      </c>
      <c r="Z35" s="9">
        <v>297000</v>
      </c>
      <c r="AA35" s="9">
        <v>35640</v>
      </c>
      <c r="AB35" s="22">
        <v>12</v>
      </c>
      <c r="AC35" s="22"/>
      <c r="AD35" s="22">
        <v>712800</v>
      </c>
      <c r="AE35" s="22">
        <v>85536</v>
      </c>
      <c r="AF35" s="9">
        <v>3</v>
      </c>
      <c r="AG35" s="9">
        <v>59400</v>
      </c>
      <c r="AH35" s="9">
        <v>178200</v>
      </c>
      <c r="AI35" s="9">
        <v>21384</v>
      </c>
      <c r="AJ35" s="9">
        <v>2</v>
      </c>
      <c r="AK35" s="9">
        <v>59400</v>
      </c>
      <c r="AL35" s="9">
        <v>118800</v>
      </c>
      <c r="AM35" s="9">
        <v>14256</v>
      </c>
      <c r="AN35" s="9">
        <v>4</v>
      </c>
      <c r="AO35" s="9">
        <v>59400</v>
      </c>
      <c r="AP35" s="9">
        <v>237600</v>
      </c>
      <c r="AQ35" s="9">
        <v>28512</v>
      </c>
      <c r="AR35" s="9">
        <v>3</v>
      </c>
      <c r="AS35" s="9">
        <v>59400</v>
      </c>
      <c r="AT35" s="9">
        <v>178200</v>
      </c>
      <c r="AU35" s="9">
        <v>21384</v>
      </c>
      <c r="AV35" s="22">
        <v>12</v>
      </c>
      <c r="AW35" s="22"/>
      <c r="AX35" s="22">
        <v>712800</v>
      </c>
      <c r="AY35" s="22">
        <v>85536</v>
      </c>
      <c r="AZ35" s="9">
        <v>6</v>
      </c>
      <c r="BA35" s="9">
        <v>59400</v>
      </c>
      <c r="BB35" s="9">
        <v>356400</v>
      </c>
      <c r="BC35" s="9">
        <v>42768</v>
      </c>
      <c r="BD35" s="9">
        <v>4</v>
      </c>
      <c r="BE35" s="9">
        <v>59400</v>
      </c>
      <c r="BF35" s="9">
        <v>237600</v>
      </c>
      <c r="BG35" s="9">
        <v>28512</v>
      </c>
      <c r="BH35" s="9">
        <v>1</v>
      </c>
      <c r="BI35" s="9">
        <v>59400</v>
      </c>
      <c r="BJ35" s="9">
        <v>59400</v>
      </c>
      <c r="BK35" s="9">
        <v>7128</v>
      </c>
      <c r="BL35" s="9">
        <v>6</v>
      </c>
      <c r="BM35" s="9">
        <v>59400</v>
      </c>
      <c r="BN35" s="9">
        <v>356400</v>
      </c>
      <c r="BO35" s="9">
        <v>42768</v>
      </c>
      <c r="BP35" s="9">
        <v>3</v>
      </c>
      <c r="BQ35" s="9">
        <v>59400</v>
      </c>
      <c r="BR35" s="9">
        <v>178200</v>
      </c>
      <c r="BS35" s="9">
        <v>21384</v>
      </c>
      <c r="BT35" s="22">
        <v>20</v>
      </c>
      <c r="BU35" s="22"/>
      <c r="BV35" s="22">
        <v>1188000</v>
      </c>
      <c r="BW35" s="22">
        <v>142560</v>
      </c>
      <c r="BX35" s="9">
        <v>6</v>
      </c>
      <c r="BY35" s="9">
        <v>59400</v>
      </c>
      <c r="BZ35" s="9">
        <v>356400</v>
      </c>
      <c r="CA35" s="9">
        <v>42768</v>
      </c>
      <c r="CB35" s="9">
        <v>1</v>
      </c>
      <c r="CC35" s="9">
        <v>59400</v>
      </c>
      <c r="CD35" s="9">
        <v>59400</v>
      </c>
      <c r="CE35" s="9">
        <v>7128</v>
      </c>
      <c r="CF35" s="9">
        <v>5</v>
      </c>
      <c r="CG35" s="9">
        <v>59400</v>
      </c>
      <c r="CH35" s="9">
        <v>297000</v>
      </c>
      <c r="CI35" s="9">
        <v>35640</v>
      </c>
      <c r="CJ35" s="9">
        <v>8</v>
      </c>
      <c r="CK35" s="9">
        <v>59400</v>
      </c>
      <c r="CL35" s="9">
        <v>475200</v>
      </c>
      <c r="CM35" s="9">
        <v>57024</v>
      </c>
      <c r="CN35" s="22">
        <v>20</v>
      </c>
      <c r="CO35" s="22"/>
      <c r="CP35" s="22">
        <v>1188000</v>
      </c>
      <c r="CQ35" s="22">
        <v>142560</v>
      </c>
      <c r="CR35" s="9">
        <v>8</v>
      </c>
      <c r="CS35" s="9">
        <v>59400</v>
      </c>
      <c r="CT35" s="9">
        <v>475200</v>
      </c>
      <c r="CU35" s="9">
        <v>57024</v>
      </c>
      <c r="CV35" s="9">
        <v>6</v>
      </c>
      <c r="CW35" s="9">
        <v>59400</v>
      </c>
      <c r="CX35" s="9">
        <v>356400</v>
      </c>
      <c r="CY35" s="9">
        <v>42768</v>
      </c>
      <c r="CZ35" s="9">
        <v>5</v>
      </c>
      <c r="DA35" s="9">
        <v>59400</v>
      </c>
      <c r="DB35" s="9">
        <v>297000</v>
      </c>
      <c r="DC35" s="9">
        <v>35640</v>
      </c>
      <c r="DD35" s="9">
        <v>11</v>
      </c>
      <c r="DE35" s="9">
        <v>59400</v>
      </c>
      <c r="DF35" s="9">
        <v>653400</v>
      </c>
      <c r="DG35" s="9">
        <v>78408</v>
      </c>
      <c r="DH35" s="22">
        <v>30</v>
      </c>
      <c r="DI35" s="22"/>
      <c r="DJ35" s="22">
        <v>1782000</v>
      </c>
      <c r="DK35" s="22">
        <v>213840</v>
      </c>
      <c r="DL35" s="9">
        <v>7</v>
      </c>
      <c r="DM35" s="9">
        <v>59400</v>
      </c>
      <c r="DN35" s="9">
        <v>415800</v>
      </c>
      <c r="DO35" s="9">
        <v>49896</v>
      </c>
      <c r="DP35" s="9">
        <v>7</v>
      </c>
      <c r="DQ35" s="9">
        <v>59400</v>
      </c>
      <c r="DR35" s="9">
        <v>415800</v>
      </c>
      <c r="DS35" s="9">
        <v>49896</v>
      </c>
      <c r="DT35" s="9">
        <v>8</v>
      </c>
      <c r="DU35" s="9">
        <v>59400</v>
      </c>
      <c r="DV35" s="9">
        <v>475200</v>
      </c>
      <c r="DW35" s="9">
        <v>57024</v>
      </c>
      <c r="DX35" s="9">
        <v>10</v>
      </c>
      <c r="DY35" s="9">
        <v>59400</v>
      </c>
      <c r="DZ35" s="9">
        <v>594000</v>
      </c>
      <c r="EA35" s="9">
        <v>71280</v>
      </c>
      <c r="EB35" s="9">
        <v>8</v>
      </c>
      <c r="EC35" s="9">
        <v>61050</v>
      </c>
      <c r="ED35" s="9">
        <v>483450</v>
      </c>
      <c r="EE35" s="9">
        <v>58014</v>
      </c>
      <c r="EF35" s="22">
        <v>40</v>
      </c>
      <c r="EG35" s="22"/>
      <c r="EH35" s="22">
        <v>2384250</v>
      </c>
      <c r="EI35" s="22">
        <v>286110</v>
      </c>
      <c r="EJ35" s="9">
        <v>14</v>
      </c>
      <c r="EK35" s="9">
        <v>61050</v>
      </c>
      <c r="EL35" s="9">
        <v>854700</v>
      </c>
      <c r="EM35" s="9">
        <v>102564</v>
      </c>
      <c r="EN35" s="9">
        <v>8</v>
      </c>
      <c r="EO35" s="9">
        <v>61050</v>
      </c>
      <c r="EP35" s="9">
        <v>488400</v>
      </c>
      <c r="EQ35" s="9">
        <v>58608</v>
      </c>
      <c r="ER35" s="9">
        <v>10</v>
      </c>
      <c r="ES35" s="9">
        <v>61050</v>
      </c>
      <c r="ET35" s="9">
        <v>610500</v>
      </c>
      <c r="EU35" s="9">
        <v>73260</v>
      </c>
      <c r="EV35" s="9">
        <v>12</v>
      </c>
      <c r="EW35" s="9">
        <v>61050</v>
      </c>
      <c r="EX35" s="9">
        <v>732600</v>
      </c>
      <c r="EY35" s="9">
        <v>87912</v>
      </c>
      <c r="EZ35" s="22">
        <v>44</v>
      </c>
      <c r="FA35" s="22"/>
      <c r="FB35" s="22">
        <v>2686200</v>
      </c>
      <c r="FC35" s="22">
        <v>322344</v>
      </c>
      <c r="FD35" s="9">
        <v>12</v>
      </c>
      <c r="FE35" s="9">
        <v>61050</v>
      </c>
      <c r="FF35" s="9">
        <v>732600</v>
      </c>
      <c r="FG35" s="9">
        <v>87912</v>
      </c>
      <c r="FH35" s="9">
        <v>8</v>
      </c>
      <c r="FI35" s="9">
        <v>61050</v>
      </c>
      <c r="FJ35" s="9">
        <v>488400</v>
      </c>
      <c r="FK35" s="9">
        <v>58608</v>
      </c>
      <c r="FL35" s="9">
        <v>14</v>
      </c>
      <c r="FM35" s="9">
        <v>61050</v>
      </c>
      <c r="FN35" s="9">
        <v>854700</v>
      </c>
      <c r="FO35" s="9">
        <v>102564</v>
      </c>
      <c r="FP35" s="9">
        <v>9</v>
      </c>
      <c r="FQ35" s="9">
        <v>61050</v>
      </c>
      <c r="FR35" s="9">
        <v>549450</v>
      </c>
      <c r="FS35" s="9">
        <v>65934</v>
      </c>
      <c r="FT35" s="22">
        <v>43</v>
      </c>
      <c r="FU35" s="22"/>
      <c r="FV35" s="22">
        <v>2625150</v>
      </c>
      <c r="FW35" s="22">
        <v>315018</v>
      </c>
      <c r="FX35" s="9">
        <v>9</v>
      </c>
      <c r="FY35" s="9">
        <v>61050</v>
      </c>
      <c r="FZ35" s="9">
        <v>549450</v>
      </c>
      <c r="GA35" s="9">
        <v>65934</v>
      </c>
      <c r="GB35" s="9">
        <v>8</v>
      </c>
      <c r="GC35" s="9">
        <v>61050</v>
      </c>
      <c r="GD35" s="9">
        <v>488400</v>
      </c>
      <c r="GE35" s="9">
        <v>58608</v>
      </c>
      <c r="GF35" s="9">
        <v>9</v>
      </c>
      <c r="GG35" s="9">
        <v>61050</v>
      </c>
      <c r="GH35" s="9">
        <v>549450</v>
      </c>
      <c r="GI35" s="9">
        <v>65934</v>
      </c>
      <c r="GJ35" s="9">
        <v>6</v>
      </c>
      <c r="GK35" s="9">
        <v>61050</v>
      </c>
      <c r="GL35" s="9">
        <v>366300</v>
      </c>
      <c r="GM35" s="9">
        <v>43956</v>
      </c>
      <c r="GN35" s="9">
        <v>8</v>
      </c>
      <c r="GO35" s="9">
        <v>61050</v>
      </c>
      <c r="GP35" s="9">
        <v>488400</v>
      </c>
      <c r="GQ35" s="9">
        <v>58608</v>
      </c>
      <c r="GR35" s="22">
        <v>40</v>
      </c>
      <c r="GS35" s="22"/>
      <c r="GT35" s="22">
        <v>2442000</v>
      </c>
      <c r="GU35" s="22">
        <v>293040</v>
      </c>
      <c r="GV35" s="9">
        <v>2</v>
      </c>
      <c r="GW35" s="9">
        <v>61050</v>
      </c>
      <c r="GX35" s="9">
        <v>122100</v>
      </c>
      <c r="GY35" s="9">
        <v>14652</v>
      </c>
      <c r="GZ35" s="9">
        <v>4</v>
      </c>
      <c r="HA35" s="9">
        <v>61050</v>
      </c>
      <c r="HB35" s="9">
        <v>244200</v>
      </c>
      <c r="HC35" s="9">
        <v>29304</v>
      </c>
      <c r="HD35" s="9">
        <v>2</v>
      </c>
      <c r="HE35" s="9">
        <v>61050</v>
      </c>
      <c r="HF35" s="9">
        <v>122100</v>
      </c>
      <c r="HG35" s="9">
        <v>14652</v>
      </c>
      <c r="HH35" s="9">
        <v>7</v>
      </c>
      <c r="HI35" s="9">
        <v>61050</v>
      </c>
      <c r="HJ35" s="9">
        <v>427350</v>
      </c>
      <c r="HK35" s="9">
        <v>51282</v>
      </c>
      <c r="HL35" s="22">
        <v>15</v>
      </c>
      <c r="HM35" s="22"/>
      <c r="HN35" s="22">
        <v>915750</v>
      </c>
      <c r="HO35" s="22">
        <v>109890</v>
      </c>
      <c r="HP35" s="9">
        <v>4</v>
      </c>
      <c r="HQ35" s="9">
        <v>61050</v>
      </c>
      <c r="HR35" s="9">
        <v>244200</v>
      </c>
      <c r="HS35" s="9">
        <v>29304</v>
      </c>
      <c r="HT35" s="9">
        <v>2</v>
      </c>
      <c r="HU35" s="9">
        <v>61050</v>
      </c>
      <c r="HV35" s="9">
        <v>122100</v>
      </c>
      <c r="HW35" s="9">
        <v>14652</v>
      </c>
      <c r="HX35" s="9">
        <v>2</v>
      </c>
      <c r="HY35" s="9">
        <v>61050</v>
      </c>
      <c r="HZ35" s="9">
        <v>122100</v>
      </c>
      <c r="IA35" s="9">
        <v>14652</v>
      </c>
      <c r="IB35" s="9">
        <v>4</v>
      </c>
      <c r="IC35" s="9">
        <v>61050</v>
      </c>
      <c r="ID35" s="9">
        <v>244200</v>
      </c>
      <c r="IE35" s="9">
        <v>29304</v>
      </c>
      <c r="IF35" s="22">
        <v>12</v>
      </c>
      <c r="IG35" s="22"/>
      <c r="IH35" s="22">
        <v>732600</v>
      </c>
      <c r="II35" s="22">
        <v>87912</v>
      </c>
      <c r="IJ35" s="9">
        <v>5</v>
      </c>
      <c r="IK35" s="9">
        <v>61050</v>
      </c>
      <c r="IL35" s="9">
        <v>305250</v>
      </c>
      <c r="IM35" s="9">
        <v>36630</v>
      </c>
      <c r="IN35" s="9">
        <v>4</v>
      </c>
      <c r="IO35" s="9">
        <v>61050</v>
      </c>
      <c r="IP35" s="9">
        <v>244200</v>
      </c>
      <c r="IQ35" s="9">
        <v>29304</v>
      </c>
      <c r="IR35" s="9">
        <v>0</v>
      </c>
      <c r="IS35" s="9">
        <v>0</v>
      </c>
      <c r="IT35" s="9">
        <v>0</v>
      </c>
      <c r="IU35" s="9">
        <v>0</v>
      </c>
      <c r="IV35" s="9">
        <v>5</v>
      </c>
      <c r="IW35" s="9">
        <v>61050</v>
      </c>
      <c r="IX35" s="9">
        <v>305250</v>
      </c>
      <c r="IY35" s="9">
        <v>36630</v>
      </c>
      <c r="IZ35" s="9">
        <v>6</v>
      </c>
      <c r="JA35" s="9">
        <v>61050</v>
      </c>
      <c r="JB35" s="9">
        <v>366300</v>
      </c>
      <c r="JC35" s="9">
        <v>43956</v>
      </c>
      <c r="JD35" s="22">
        <v>20</v>
      </c>
      <c r="JE35" s="22"/>
      <c r="JF35" s="22">
        <v>1221000</v>
      </c>
      <c r="JG35" s="22">
        <v>146520</v>
      </c>
      <c r="JH35" s="9">
        <v>7</v>
      </c>
      <c r="JI35" s="9">
        <v>61050</v>
      </c>
      <c r="JJ35" s="9">
        <v>427350</v>
      </c>
      <c r="JK35" s="9">
        <v>51282</v>
      </c>
      <c r="JL35" s="9">
        <v>3</v>
      </c>
      <c r="JM35" s="9">
        <v>61050</v>
      </c>
      <c r="JN35" s="9">
        <v>183150</v>
      </c>
      <c r="JO35" s="9">
        <v>21978</v>
      </c>
      <c r="JP35" s="9">
        <v>4</v>
      </c>
      <c r="JQ35" s="9">
        <v>61050</v>
      </c>
      <c r="JR35" s="9">
        <v>244200</v>
      </c>
      <c r="JS35" s="9">
        <v>29304</v>
      </c>
      <c r="JT35" s="9">
        <v>3</v>
      </c>
      <c r="JU35" s="9">
        <v>61050</v>
      </c>
      <c r="JV35" s="9">
        <v>183150</v>
      </c>
      <c r="JW35" s="9">
        <v>21978</v>
      </c>
      <c r="JX35" s="22">
        <v>17</v>
      </c>
      <c r="JY35" s="22"/>
      <c r="JZ35" s="22">
        <v>1037850</v>
      </c>
      <c r="KA35" s="22">
        <v>124542</v>
      </c>
      <c r="KB35" s="9">
        <v>3</v>
      </c>
      <c r="KC35" s="9">
        <v>61050</v>
      </c>
      <c r="KD35" s="9">
        <v>183150</v>
      </c>
      <c r="KE35" s="9">
        <v>21978</v>
      </c>
      <c r="KF35" s="9">
        <v>3</v>
      </c>
      <c r="KG35" s="9">
        <v>61050</v>
      </c>
      <c r="KH35" s="9">
        <v>183150</v>
      </c>
      <c r="KI35" s="9">
        <v>21978</v>
      </c>
      <c r="KJ35" s="9">
        <v>1</v>
      </c>
      <c r="KK35" s="9">
        <v>61050</v>
      </c>
      <c r="KL35" s="9">
        <v>61050</v>
      </c>
      <c r="KM35" s="9">
        <v>7326</v>
      </c>
      <c r="KN35" s="9">
        <v>3</v>
      </c>
      <c r="KO35" s="9">
        <v>61050</v>
      </c>
      <c r="KP35" s="9">
        <v>183150</v>
      </c>
      <c r="KQ35" s="9">
        <v>21978</v>
      </c>
      <c r="KR35" s="22">
        <v>10</v>
      </c>
      <c r="KS35" s="22"/>
      <c r="KT35" s="22">
        <v>610500</v>
      </c>
      <c r="KU35" s="22">
        <v>73260</v>
      </c>
      <c r="KV35" s="22">
        <v>339</v>
      </c>
      <c r="KW35" s="22"/>
      <c r="KX35" s="22">
        <v>20476500</v>
      </c>
      <c r="KY35" s="22">
        <v>2457180</v>
      </c>
    </row>
    <row r="36" spans="1:311" ht="16.95" customHeight="1" x14ac:dyDescent="0.4">
      <c r="A36" s="15"/>
      <c r="B36" s="15"/>
      <c r="C36" s="15" t="s">
        <v>51</v>
      </c>
      <c r="D36" s="16">
        <v>0</v>
      </c>
      <c r="E36" s="16">
        <v>0</v>
      </c>
      <c r="F36" s="16">
        <v>0</v>
      </c>
      <c r="G36" s="16">
        <v>0</v>
      </c>
      <c r="H36" s="23">
        <v>0</v>
      </c>
      <c r="I36" s="23"/>
      <c r="J36" s="23">
        <v>0</v>
      </c>
      <c r="K36" s="23">
        <v>0</v>
      </c>
      <c r="L36" s="16">
        <v>1</v>
      </c>
      <c r="M36" s="16">
        <v>78375</v>
      </c>
      <c r="N36" s="16">
        <v>78375</v>
      </c>
      <c r="O36" s="16">
        <v>9405</v>
      </c>
      <c r="P36" s="16">
        <v>1</v>
      </c>
      <c r="Q36" s="16">
        <v>78375</v>
      </c>
      <c r="R36" s="16">
        <v>78375</v>
      </c>
      <c r="S36" s="16">
        <v>9405</v>
      </c>
      <c r="T36" s="16">
        <v>0</v>
      </c>
      <c r="U36" s="16">
        <v>0</v>
      </c>
      <c r="V36" s="16">
        <v>0</v>
      </c>
      <c r="W36" s="16">
        <v>0</v>
      </c>
      <c r="X36" s="16">
        <v>1</v>
      </c>
      <c r="Y36" s="16">
        <v>78375</v>
      </c>
      <c r="Z36" s="16">
        <v>78375</v>
      </c>
      <c r="AA36" s="16">
        <v>9405</v>
      </c>
      <c r="AB36" s="23">
        <v>3</v>
      </c>
      <c r="AC36" s="23"/>
      <c r="AD36" s="23">
        <v>235125</v>
      </c>
      <c r="AE36" s="23">
        <v>28215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1</v>
      </c>
      <c r="AO36" s="16">
        <v>78375</v>
      </c>
      <c r="AP36" s="16">
        <v>78375</v>
      </c>
      <c r="AQ36" s="16">
        <v>9405</v>
      </c>
      <c r="AR36" s="16">
        <v>0</v>
      </c>
      <c r="AS36" s="16">
        <v>0</v>
      </c>
      <c r="AT36" s="16">
        <v>0</v>
      </c>
      <c r="AU36" s="16">
        <v>0</v>
      </c>
      <c r="AV36" s="23">
        <v>1</v>
      </c>
      <c r="AW36" s="23"/>
      <c r="AX36" s="23">
        <v>78375</v>
      </c>
      <c r="AY36" s="23">
        <v>9405</v>
      </c>
      <c r="AZ36" s="16">
        <v>1</v>
      </c>
      <c r="BA36" s="16">
        <v>78375</v>
      </c>
      <c r="BB36" s="16">
        <v>78375</v>
      </c>
      <c r="BC36" s="16">
        <v>9405</v>
      </c>
      <c r="BD36" s="16">
        <v>1</v>
      </c>
      <c r="BE36" s="16">
        <v>78375</v>
      </c>
      <c r="BF36" s="16">
        <v>78375</v>
      </c>
      <c r="BG36" s="16">
        <v>9405</v>
      </c>
      <c r="BH36" s="16">
        <v>1</v>
      </c>
      <c r="BI36" s="16">
        <v>78375</v>
      </c>
      <c r="BJ36" s="16">
        <v>78375</v>
      </c>
      <c r="BK36" s="16">
        <v>9405</v>
      </c>
      <c r="BL36" s="16">
        <v>2</v>
      </c>
      <c r="BM36" s="16">
        <v>78375</v>
      </c>
      <c r="BN36" s="16">
        <v>156750</v>
      </c>
      <c r="BO36" s="16">
        <v>18810</v>
      </c>
      <c r="BP36" s="16">
        <v>0</v>
      </c>
      <c r="BQ36" s="16">
        <v>0</v>
      </c>
      <c r="BR36" s="16">
        <v>0</v>
      </c>
      <c r="BS36" s="16">
        <v>0</v>
      </c>
      <c r="BT36" s="23">
        <v>5</v>
      </c>
      <c r="BU36" s="23"/>
      <c r="BV36" s="23">
        <v>391875</v>
      </c>
      <c r="BW36" s="23">
        <v>47025</v>
      </c>
      <c r="BX36" s="16">
        <v>1</v>
      </c>
      <c r="BY36" s="16">
        <v>78375</v>
      </c>
      <c r="BZ36" s="16">
        <v>78375</v>
      </c>
      <c r="CA36" s="16">
        <v>9405</v>
      </c>
      <c r="CB36" s="16">
        <v>1</v>
      </c>
      <c r="CC36" s="16">
        <v>78375</v>
      </c>
      <c r="CD36" s="16">
        <v>78375</v>
      </c>
      <c r="CE36" s="16">
        <v>9405</v>
      </c>
      <c r="CF36" s="16">
        <v>0</v>
      </c>
      <c r="CG36" s="16">
        <v>0</v>
      </c>
      <c r="CH36" s="16">
        <v>0</v>
      </c>
      <c r="CI36" s="16">
        <v>0</v>
      </c>
      <c r="CJ36" s="16">
        <v>3</v>
      </c>
      <c r="CK36" s="16">
        <v>78375</v>
      </c>
      <c r="CL36" s="16">
        <v>235125</v>
      </c>
      <c r="CM36" s="16">
        <v>28215</v>
      </c>
      <c r="CN36" s="23">
        <v>5</v>
      </c>
      <c r="CO36" s="23"/>
      <c r="CP36" s="23">
        <v>391875</v>
      </c>
      <c r="CQ36" s="23">
        <v>47025</v>
      </c>
      <c r="CR36" s="16">
        <v>1</v>
      </c>
      <c r="CS36" s="16">
        <v>78375</v>
      </c>
      <c r="CT36" s="16">
        <v>78375</v>
      </c>
      <c r="CU36" s="16">
        <v>9405</v>
      </c>
      <c r="CV36" s="16">
        <v>1</v>
      </c>
      <c r="CW36" s="16">
        <v>78375</v>
      </c>
      <c r="CX36" s="16">
        <v>78375</v>
      </c>
      <c r="CY36" s="16">
        <v>9405</v>
      </c>
      <c r="CZ36" s="16">
        <v>3</v>
      </c>
      <c r="DA36" s="16">
        <v>78375</v>
      </c>
      <c r="DB36" s="16">
        <v>235125</v>
      </c>
      <c r="DC36" s="16">
        <v>28215</v>
      </c>
      <c r="DD36" s="16">
        <v>1</v>
      </c>
      <c r="DE36" s="16">
        <v>78375</v>
      </c>
      <c r="DF36" s="16">
        <v>78375</v>
      </c>
      <c r="DG36" s="16">
        <v>9405</v>
      </c>
      <c r="DH36" s="23">
        <v>6</v>
      </c>
      <c r="DI36" s="23"/>
      <c r="DJ36" s="23">
        <v>470250</v>
      </c>
      <c r="DK36" s="23">
        <v>56430</v>
      </c>
      <c r="DL36" s="16">
        <v>2</v>
      </c>
      <c r="DM36" s="16">
        <v>78375</v>
      </c>
      <c r="DN36" s="16">
        <v>156750</v>
      </c>
      <c r="DO36" s="16">
        <v>18810</v>
      </c>
      <c r="DP36" s="16">
        <v>2</v>
      </c>
      <c r="DQ36" s="16">
        <v>78375</v>
      </c>
      <c r="DR36" s="16">
        <v>156750</v>
      </c>
      <c r="DS36" s="16">
        <v>18810</v>
      </c>
      <c r="DT36" s="16">
        <v>2</v>
      </c>
      <c r="DU36" s="16">
        <v>78375</v>
      </c>
      <c r="DV36" s="16">
        <v>156750</v>
      </c>
      <c r="DW36" s="16">
        <v>18810</v>
      </c>
      <c r="DX36" s="16">
        <v>3</v>
      </c>
      <c r="DY36" s="16">
        <v>78375</v>
      </c>
      <c r="DZ36" s="16">
        <v>235125</v>
      </c>
      <c r="EA36" s="16">
        <v>28215</v>
      </c>
      <c r="EB36" s="16">
        <v>4</v>
      </c>
      <c r="EC36" s="16">
        <v>80300</v>
      </c>
      <c r="ED36" s="16">
        <v>319275</v>
      </c>
      <c r="EE36" s="16">
        <v>38313</v>
      </c>
      <c r="EF36" s="23">
        <v>13</v>
      </c>
      <c r="EG36" s="23"/>
      <c r="EH36" s="23">
        <v>1024650</v>
      </c>
      <c r="EI36" s="23">
        <v>122958</v>
      </c>
      <c r="EJ36" s="16">
        <v>3</v>
      </c>
      <c r="EK36" s="16">
        <v>80300</v>
      </c>
      <c r="EL36" s="16">
        <v>240900</v>
      </c>
      <c r="EM36" s="16">
        <v>28908</v>
      </c>
      <c r="EN36" s="16">
        <v>2</v>
      </c>
      <c r="EO36" s="16">
        <v>80300</v>
      </c>
      <c r="EP36" s="16">
        <v>160600</v>
      </c>
      <c r="EQ36" s="16">
        <v>19272</v>
      </c>
      <c r="ER36" s="16">
        <v>3</v>
      </c>
      <c r="ES36" s="16">
        <v>80300</v>
      </c>
      <c r="ET36" s="16">
        <v>240900</v>
      </c>
      <c r="EU36" s="16">
        <v>28908</v>
      </c>
      <c r="EV36" s="16">
        <v>3</v>
      </c>
      <c r="EW36" s="16">
        <v>80300</v>
      </c>
      <c r="EX36" s="16">
        <v>240900</v>
      </c>
      <c r="EY36" s="16">
        <v>28908</v>
      </c>
      <c r="EZ36" s="23">
        <v>11</v>
      </c>
      <c r="FA36" s="23"/>
      <c r="FB36" s="23">
        <v>883300</v>
      </c>
      <c r="FC36" s="23">
        <v>105996</v>
      </c>
      <c r="FD36" s="16">
        <v>3</v>
      </c>
      <c r="FE36" s="16">
        <v>80300</v>
      </c>
      <c r="FF36" s="16">
        <v>240900</v>
      </c>
      <c r="FG36" s="16">
        <v>28908</v>
      </c>
      <c r="FH36" s="16">
        <v>1</v>
      </c>
      <c r="FI36" s="16">
        <v>80300</v>
      </c>
      <c r="FJ36" s="16">
        <v>80300</v>
      </c>
      <c r="FK36" s="16">
        <v>9636</v>
      </c>
      <c r="FL36" s="16">
        <v>5</v>
      </c>
      <c r="FM36" s="16">
        <v>80300</v>
      </c>
      <c r="FN36" s="16">
        <v>401500</v>
      </c>
      <c r="FO36" s="16">
        <v>48180</v>
      </c>
      <c r="FP36" s="16">
        <v>1</v>
      </c>
      <c r="FQ36" s="16">
        <v>80300</v>
      </c>
      <c r="FR36" s="16">
        <v>80300</v>
      </c>
      <c r="FS36" s="16">
        <v>9636</v>
      </c>
      <c r="FT36" s="23">
        <v>10</v>
      </c>
      <c r="FU36" s="23"/>
      <c r="FV36" s="23">
        <v>803000</v>
      </c>
      <c r="FW36" s="23">
        <v>96360</v>
      </c>
      <c r="FX36" s="16">
        <v>3</v>
      </c>
      <c r="FY36" s="16">
        <v>80300</v>
      </c>
      <c r="FZ36" s="16">
        <v>240900</v>
      </c>
      <c r="GA36" s="16">
        <v>28908</v>
      </c>
      <c r="GB36" s="16">
        <v>2</v>
      </c>
      <c r="GC36" s="16">
        <v>80300</v>
      </c>
      <c r="GD36" s="16">
        <v>160600</v>
      </c>
      <c r="GE36" s="16">
        <v>19272</v>
      </c>
      <c r="GF36" s="16">
        <v>1</v>
      </c>
      <c r="GG36" s="16">
        <v>80300</v>
      </c>
      <c r="GH36" s="16">
        <v>80300</v>
      </c>
      <c r="GI36" s="16">
        <v>9636</v>
      </c>
      <c r="GJ36" s="16">
        <v>1</v>
      </c>
      <c r="GK36" s="16">
        <v>80300</v>
      </c>
      <c r="GL36" s="16">
        <v>80300</v>
      </c>
      <c r="GM36" s="16">
        <v>9636</v>
      </c>
      <c r="GN36" s="16">
        <v>2</v>
      </c>
      <c r="GO36" s="16">
        <v>80300</v>
      </c>
      <c r="GP36" s="16">
        <v>160600</v>
      </c>
      <c r="GQ36" s="16">
        <v>19272</v>
      </c>
      <c r="GR36" s="23">
        <v>9</v>
      </c>
      <c r="GS36" s="23"/>
      <c r="GT36" s="23">
        <v>722700</v>
      </c>
      <c r="GU36" s="23">
        <v>86724</v>
      </c>
      <c r="GV36" s="16">
        <v>1</v>
      </c>
      <c r="GW36" s="16">
        <v>80300</v>
      </c>
      <c r="GX36" s="16">
        <v>80300</v>
      </c>
      <c r="GY36" s="16">
        <v>9636</v>
      </c>
      <c r="GZ36" s="16">
        <v>1</v>
      </c>
      <c r="HA36" s="16">
        <v>80300</v>
      </c>
      <c r="HB36" s="16">
        <v>80300</v>
      </c>
      <c r="HC36" s="16">
        <v>9636</v>
      </c>
      <c r="HD36" s="16">
        <v>1</v>
      </c>
      <c r="HE36" s="16">
        <v>80300</v>
      </c>
      <c r="HF36" s="16">
        <v>80300</v>
      </c>
      <c r="HG36" s="16">
        <v>9636</v>
      </c>
      <c r="HH36" s="16">
        <v>0</v>
      </c>
      <c r="HI36" s="16">
        <v>0</v>
      </c>
      <c r="HJ36" s="16">
        <v>0</v>
      </c>
      <c r="HK36" s="16">
        <v>0</v>
      </c>
      <c r="HL36" s="23">
        <v>3</v>
      </c>
      <c r="HM36" s="23"/>
      <c r="HN36" s="23">
        <v>240900</v>
      </c>
      <c r="HO36" s="23">
        <v>28908</v>
      </c>
      <c r="HP36" s="16">
        <v>1</v>
      </c>
      <c r="HQ36" s="16">
        <v>80300</v>
      </c>
      <c r="HR36" s="16">
        <v>80300</v>
      </c>
      <c r="HS36" s="16">
        <v>9636</v>
      </c>
      <c r="HT36" s="16">
        <v>0</v>
      </c>
      <c r="HU36" s="16">
        <v>0</v>
      </c>
      <c r="HV36" s="16">
        <v>0</v>
      </c>
      <c r="HW36" s="16">
        <v>0</v>
      </c>
      <c r="HX36" s="16">
        <v>1</v>
      </c>
      <c r="HY36" s="16">
        <v>80300</v>
      </c>
      <c r="HZ36" s="16">
        <v>80300</v>
      </c>
      <c r="IA36" s="16">
        <v>9636</v>
      </c>
      <c r="IB36" s="16">
        <v>0</v>
      </c>
      <c r="IC36" s="16">
        <v>0</v>
      </c>
      <c r="ID36" s="16">
        <v>0</v>
      </c>
      <c r="IE36" s="16">
        <v>0</v>
      </c>
      <c r="IF36" s="23">
        <v>2</v>
      </c>
      <c r="IG36" s="23"/>
      <c r="IH36" s="23">
        <v>160600</v>
      </c>
      <c r="II36" s="23">
        <v>19272</v>
      </c>
      <c r="IJ36" s="16">
        <v>1</v>
      </c>
      <c r="IK36" s="16">
        <v>80300</v>
      </c>
      <c r="IL36" s="16">
        <v>80300</v>
      </c>
      <c r="IM36" s="16">
        <v>9636</v>
      </c>
      <c r="IN36" s="16">
        <v>0</v>
      </c>
      <c r="IO36" s="16">
        <v>0</v>
      </c>
      <c r="IP36" s="16">
        <v>0</v>
      </c>
      <c r="IQ36" s="16">
        <v>0</v>
      </c>
      <c r="IR36" s="16">
        <v>0</v>
      </c>
      <c r="IS36" s="16">
        <v>0</v>
      </c>
      <c r="IT36" s="16">
        <v>0</v>
      </c>
      <c r="IU36" s="16">
        <v>0</v>
      </c>
      <c r="IV36" s="16">
        <v>1</v>
      </c>
      <c r="IW36" s="16">
        <v>80300</v>
      </c>
      <c r="IX36" s="16">
        <v>80300</v>
      </c>
      <c r="IY36" s="16">
        <v>9636</v>
      </c>
      <c r="IZ36" s="16">
        <v>1</v>
      </c>
      <c r="JA36" s="16">
        <v>80300</v>
      </c>
      <c r="JB36" s="16">
        <v>80300</v>
      </c>
      <c r="JC36" s="16">
        <v>9636</v>
      </c>
      <c r="JD36" s="23">
        <v>3</v>
      </c>
      <c r="JE36" s="23"/>
      <c r="JF36" s="23">
        <v>240900</v>
      </c>
      <c r="JG36" s="23">
        <v>28908</v>
      </c>
      <c r="JH36" s="16">
        <v>0</v>
      </c>
      <c r="JI36" s="16">
        <v>0</v>
      </c>
      <c r="JJ36" s="16">
        <v>0</v>
      </c>
      <c r="JK36" s="16">
        <v>0</v>
      </c>
      <c r="JL36" s="16">
        <v>1</v>
      </c>
      <c r="JM36" s="16">
        <v>80300</v>
      </c>
      <c r="JN36" s="16">
        <v>80300</v>
      </c>
      <c r="JO36" s="16">
        <v>9636</v>
      </c>
      <c r="JP36" s="16">
        <v>0</v>
      </c>
      <c r="JQ36" s="16">
        <v>0</v>
      </c>
      <c r="JR36" s="16">
        <v>0</v>
      </c>
      <c r="JS36" s="16">
        <v>0</v>
      </c>
      <c r="JT36" s="16">
        <v>0</v>
      </c>
      <c r="JU36" s="16">
        <v>0</v>
      </c>
      <c r="JV36" s="16">
        <v>0</v>
      </c>
      <c r="JW36" s="16">
        <v>0</v>
      </c>
      <c r="JX36" s="23">
        <v>1</v>
      </c>
      <c r="JY36" s="23"/>
      <c r="JZ36" s="23">
        <v>80300</v>
      </c>
      <c r="KA36" s="23">
        <v>9636</v>
      </c>
      <c r="KB36" s="16">
        <v>1</v>
      </c>
      <c r="KC36" s="16">
        <v>80300</v>
      </c>
      <c r="KD36" s="16">
        <v>80300</v>
      </c>
      <c r="KE36" s="16">
        <v>9636</v>
      </c>
      <c r="KF36" s="16">
        <v>0</v>
      </c>
      <c r="KG36" s="16">
        <v>0</v>
      </c>
      <c r="KH36" s="16">
        <v>0</v>
      </c>
      <c r="KI36" s="16">
        <v>0</v>
      </c>
      <c r="KJ36" s="16">
        <v>1</v>
      </c>
      <c r="KK36" s="16">
        <v>80300</v>
      </c>
      <c r="KL36" s="16">
        <v>80300</v>
      </c>
      <c r="KM36" s="16">
        <v>9636</v>
      </c>
      <c r="KN36" s="16">
        <v>0</v>
      </c>
      <c r="KO36" s="16">
        <v>0</v>
      </c>
      <c r="KP36" s="16">
        <v>0</v>
      </c>
      <c r="KQ36" s="16">
        <v>0</v>
      </c>
      <c r="KR36" s="23">
        <v>2</v>
      </c>
      <c r="KS36" s="23"/>
      <c r="KT36" s="23">
        <v>160600</v>
      </c>
      <c r="KU36" s="23">
        <v>19272</v>
      </c>
      <c r="KV36" s="23">
        <v>74</v>
      </c>
      <c r="KW36" s="23"/>
      <c r="KX36" s="23">
        <v>5884450</v>
      </c>
      <c r="KY36" s="23">
        <v>706134</v>
      </c>
    </row>
    <row r="37" spans="1:311" ht="16.95" customHeight="1" x14ac:dyDescent="0.4">
      <c r="A37" s="12"/>
      <c r="B37" s="12" t="s">
        <v>50</v>
      </c>
      <c r="C37" s="12" t="s">
        <v>395</v>
      </c>
      <c r="D37" s="10">
        <v>9</v>
      </c>
      <c r="E37" s="10">
        <v>0</v>
      </c>
      <c r="F37" s="10">
        <v>476575</v>
      </c>
      <c r="G37" s="10">
        <v>57189</v>
      </c>
      <c r="H37" s="21">
        <v>9</v>
      </c>
      <c r="I37" s="21">
        <v>0</v>
      </c>
      <c r="J37" s="21">
        <v>476575</v>
      </c>
      <c r="K37" s="21">
        <v>57189</v>
      </c>
      <c r="L37" s="10">
        <v>9</v>
      </c>
      <c r="M37" s="10">
        <v>0</v>
      </c>
      <c r="N37" s="10">
        <v>541442</v>
      </c>
      <c r="O37" s="10">
        <v>64973</v>
      </c>
      <c r="P37" s="10">
        <v>11</v>
      </c>
      <c r="Q37" s="10">
        <v>0</v>
      </c>
      <c r="R37" s="10">
        <v>568975</v>
      </c>
      <c r="S37" s="10">
        <v>68277</v>
      </c>
      <c r="T37" s="10">
        <v>17</v>
      </c>
      <c r="U37" s="10">
        <v>0</v>
      </c>
      <c r="V37" s="10">
        <v>893750</v>
      </c>
      <c r="W37" s="10">
        <v>107250</v>
      </c>
      <c r="X37" s="10">
        <v>15</v>
      </c>
      <c r="Y37" s="10">
        <v>0</v>
      </c>
      <c r="Z37" s="10">
        <v>766975</v>
      </c>
      <c r="AA37" s="10">
        <v>92037</v>
      </c>
      <c r="AB37" s="21">
        <v>52</v>
      </c>
      <c r="AC37" s="21">
        <v>0</v>
      </c>
      <c r="AD37" s="21">
        <v>2771142</v>
      </c>
      <c r="AE37" s="21">
        <v>332537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10</v>
      </c>
      <c r="AO37" s="10">
        <v>0</v>
      </c>
      <c r="AP37" s="10">
        <v>506000</v>
      </c>
      <c r="AQ37" s="10">
        <v>60720</v>
      </c>
      <c r="AR37" s="10">
        <v>12</v>
      </c>
      <c r="AS37" s="10">
        <v>0</v>
      </c>
      <c r="AT37" s="10">
        <v>628375</v>
      </c>
      <c r="AU37" s="10">
        <v>75405</v>
      </c>
      <c r="AV37" s="21">
        <v>22</v>
      </c>
      <c r="AW37" s="21">
        <v>0</v>
      </c>
      <c r="AX37" s="21">
        <v>1134375</v>
      </c>
      <c r="AY37" s="21">
        <v>136125</v>
      </c>
      <c r="AZ37" s="10">
        <v>14</v>
      </c>
      <c r="BA37" s="10">
        <v>0</v>
      </c>
      <c r="BB37" s="10">
        <v>804617</v>
      </c>
      <c r="BC37" s="10">
        <v>96554</v>
      </c>
      <c r="BD37" s="10">
        <v>18</v>
      </c>
      <c r="BE37" s="10">
        <v>0</v>
      </c>
      <c r="BF37" s="10">
        <v>934175</v>
      </c>
      <c r="BG37" s="10">
        <v>112101</v>
      </c>
      <c r="BH37" s="10">
        <v>10</v>
      </c>
      <c r="BI37" s="10">
        <v>0</v>
      </c>
      <c r="BJ37" s="10">
        <v>535975</v>
      </c>
      <c r="BK37" s="10">
        <v>64317</v>
      </c>
      <c r="BL37" s="10">
        <v>17</v>
      </c>
      <c r="BM37" s="10">
        <v>0</v>
      </c>
      <c r="BN37" s="10">
        <v>885775</v>
      </c>
      <c r="BO37" s="10">
        <v>106293</v>
      </c>
      <c r="BP37" s="10">
        <v>22</v>
      </c>
      <c r="BQ37" s="10">
        <v>0</v>
      </c>
      <c r="BR37" s="10">
        <v>1175350</v>
      </c>
      <c r="BS37" s="10">
        <v>141042</v>
      </c>
      <c r="BT37" s="21">
        <v>81</v>
      </c>
      <c r="BU37" s="21">
        <v>0</v>
      </c>
      <c r="BV37" s="21">
        <v>4335892</v>
      </c>
      <c r="BW37" s="21">
        <v>520307</v>
      </c>
      <c r="BX37" s="10">
        <v>17</v>
      </c>
      <c r="BY37" s="10">
        <v>0</v>
      </c>
      <c r="BZ37" s="10">
        <v>885775</v>
      </c>
      <c r="CA37" s="10">
        <v>106293</v>
      </c>
      <c r="CB37" s="10">
        <v>20</v>
      </c>
      <c r="CC37" s="10">
        <v>0</v>
      </c>
      <c r="CD37" s="10">
        <v>1106017</v>
      </c>
      <c r="CE37" s="10">
        <v>132722</v>
      </c>
      <c r="CF37" s="10">
        <v>23</v>
      </c>
      <c r="CG37" s="10">
        <v>0</v>
      </c>
      <c r="CH37" s="10">
        <v>1195150</v>
      </c>
      <c r="CI37" s="10">
        <v>143418</v>
      </c>
      <c r="CJ37" s="10">
        <v>42</v>
      </c>
      <c r="CK37" s="10">
        <v>0</v>
      </c>
      <c r="CL37" s="10">
        <v>2287142</v>
      </c>
      <c r="CM37" s="10">
        <v>274457</v>
      </c>
      <c r="CN37" s="21">
        <v>102</v>
      </c>
      <c r="CO37" s="21">
        <v>0</v>
      </c>
      <c r="CP37" s="21">
        <v>5474084</v>
      </c>
      <c r="CQ37" s="21">
        <v>656890.1</v>
      </c>
      <c r="CR37" s="10">
        <v>22</v>
      </c>
      <c r="CS37" s="10">
        <v>0</v>
      </c>
      <c r="CT37" s="10">
        <v>1116775</v>
      </c>
      <c r="CU37" s="10">
        <v>134013</v>
      </c>
      <c r="CV37" s="10">
        <v>17</v>
      </c>
      <c r="CW37" s="10">
        <v>0</v>
      </c>
      <c r="CX37" s="10">
        <v>885775</v>
      </c>
      <c r="CY37" s="10">
        <v>106293</v>
      </c>
      <c r="CZ37" s="10">
        <v>35</v>
      </c>
      <c r="DA37" s="10">
        <v>0</v>
      </c>
      <c r="DB37" s="10">
        <v>1899392</v>
      </c>
      <c r="DC37" s="10">
        <v>227927</v>
      </c>
      <c r="DD37" s="10">
        <v>31</v>
      </c>
      <c r="DE37" s="10">
        <v>0</v>
      </c>
      <c r="DF37" s="10">
        <v>1670900</v>
      </c>
      <c r="DG37" s="10">
        <v>200508</v>
      </c>
      <c r="DH37" s="21">
        <v>105</v>
      </c>
      <c r="DI37" s="21">
        <v>0</v>
      </c>
      <c r="DJ37" s="21">
        <v>5572842</v>
      </c>
      <c r="DK37" s="21">
        <v>668741</v>
      </c>
      <c r="DL37" s="10">
        <v>39</v>
      </c>
      <c r="DM37" s="10">
        <v>0</v>
      </c>
      <c r="DN37" s="10">
        <v>2081992</v>
      </c>
      <c r="DO37" s="10">
        <v>249839</v>
      </c>
      <c r="DP37" s="10">
        <v>42</v>
      </c>
      <c r="DQ37" s="10">
        <v>0</v>
      </c>
      <c r="DR37" s="10">
        <v>2207700</v>
      </c>
      <c r="DS37" s="10">
        <v>264924</v>
      </c>
      <c r="DT37" s="10">
        <v>12</v>
      </c>
      <c r="DU37" s="10">
        <v>0</v>
      </c>
      <c r="DV37" s="10">
        <v>742192</v>
      </c>
      <c r="DW37" s="10">
        <v>89063</v>
      </c>
      <c r="DX37" s="10">
        <v>44</v>
      </c>
      <c r="DY37" s="10">
        <v>0</v>
      </c>
      <c r="DZ37" s="10">
        <v>2329525</v>
      </c>
      <c r="EA37" s="10">
        <v>279543</v>
      </c>
      <c r="EB37" s="10">
        <v>51</v>
      </c>
      <c r="EC37" s="10">
        <v>0</v>
      </c>
      <c r="ED37" s="10">
        <v>2729375</v>
      </c>
      <c r="EE37" s="10">
        <v>327525</v>
      </c>
      <c r="EF37" s="21">
        <v>188</v>
      </c>
      <c r="EG37" s="21">
        <v>0</v>
      </c>
      <c r="EH37" s="21">
        <v>10090784</v>
      </c>
      <c r="EI37" s="21">
        <v>1210894.1000000001</v>
      </c>
      <c r="EJ37" s="10">
        <v>45</v>
      </c>
      <c r="EK37" s="10">
        <v>0</v>
      </c>
      <c r="EL37" s="10">
        <v>2366100</v>
      </c>
      <c r="EM37" s="10">
        <v>283932</v>
      </c>
      <c r="EN37" s="10">
        <v>14</v>
      </c>
      <c r="EO37" s="10">
        <v>0</v>
      </c>
      <c r="EP37" s="10">
        <v>725450</v>
      </c>
      <c r="EQ37" s="10">
        <v>87054</v>
      </c>
      <c r="ER37" s="10">
        <v>41</v>
      </c>
      <c r="ES37" s="10">
        <v>0</v>
      </c>
      <c r="ET37" s="10">
        <v>2185700</v>
      </c>
      <c r="EU37" s="10">
        <v>262284</v>
      </c>
      <c r="EV37" s="10">
        <v>41</v>
      </c>
      <c r="EW37" s="10">
        <v>0</v>
      </c>
      <c r="EX37" s="10">
        <v>2183500</v>
      </c>
      <c r="EY37" s="10">
        <v>262020</v>
      </c>
      <c r="EZ37" s="21">
        <v>141</v>
      </c>
      <c r="FA37" s="21">
        <v>0</v>
      </c>
      <c r="FB37" s="21">
        <v>7460750</v>
      </c>
      <c r="FC37" s="21">
        <v>895290</v>
      </c>
      <c r="FD37" s="10">
        <v>33</v>
      </c>
      <c r="FE37" s="10">
        <v>0</v>
      </c>
      <c r="FF37" s="10">
        <v>1743500</v>
      </c>
      <c r="FG37" s="10">
        <v>209220</v>
      </c>
      <c r="FH37" s="10">
        <v>32</v>
      </c>
      <c r="FI37" s="10">
        <v>0</v>
      </c>
      <c r="FJ37" s="10">
        <v>1701700</v>
      </c>
      <c r="FK37" s="10">
        <v>204204</v>
      </c>
      <c r="FL37" s="10">
        <v>33</v>
      </c>
      <c r="FM37" s="10">
        <v>0</v>
      </c>
      <c r="FN37" s="10">
        <v>1782000</v>
      </c>
      <c r="FO37" s="10">
        <v>213840</v>
      </c>
      <c r="FP37" s="10">
        <v>27</v>
      </c>
      <c r="FQ37" s="10">
        <v>0</v>
      </c>
      <c r="FR37" s="10">
        <v>1438800</v>
      </c>
      <c r="FS37" s="10">
        <v>172656</v>
      </c>
      <c r="FT37" s="21">
        <v>125</v>
      </c>
      <c r="FU37" s="21">
        <v>0</v>
      </c>
      <c r="FV37" s="21">
        <v>6666000</v>
      </c>
      <c r="FW37" s="21">
        <v>799920</v>
      </c>
      <c r="FX37" s="10">
        <v>32</v>
      </c>
      <c r="FY37" s="10">
        <v>0</v>
      </c>
      <c r="FZ37" s="10">
        <v>1703900</v>
      </c>
      <c r="GA37" s="10">
        <v>204468</v>
      </c>
      <c r="GB37" s="10">
        <v>16</v>
      </c>
      <c r="GC37" s="10">
        <v>0</v>
      </c>
      <c r="GD37" s="10">
        <v>847550</v>
      </c>
      <c r="GE37" s="10">
        <v>101706</v>
      </c>
      <c r="GF37" s="10">
        <v>15</v>
      </c>
      <c r="GG37" s="10">
        <v>0</v>
      </c>
      <c r="GH37" s="10">
        <v>773850</v>
      </c>
      <c r="GI37" s="10">
        <v>92862</v>
      </c>
      <c r="GJ37" s="10">
        <v>17</v>
      </c>
      <c r="GK37" s="10">
        <v>0</v>
      </c>
      <c r="GL37" s="10">
        <v>902550</v>
      </c>
      <c r="GM37" s="10">
        <v>108306</v>
      </c>
      <c r="GN37" s="10">
        <v>29</v>
      </c>
      <c r="GO37" s="10">
        <v>0</v>
      </c>
      <c r="GP37" s="10">
        <v>1531200</v>
      </c>
      <c r="GQ37" s="10">
        <v>183744</v>
      </c>
      <c r="GR37" s="21">
        <v>109</v>
      </c>
      <c r="GS37" s="21">
        <v>0</v>
      </c>
      <c r="GT37" s="21">
        <v>5759050</v>
      </c>
      <c r="GU37" s="21">
        <v>691086</v>
      </c>
      <c r="GV37" s="10">
        <v>0</v>
      </c>
      <c r="GW37" s="10">
        <v>0</v>
      </c>
      <c r="GX37" s="10">
        <v>0</v>
      </c>
      <c r="GY37" s="10">
        <v>0</v>
      </c>
      <c r="GZ37" s="10">
        <v>24</v>
      </c>
      <c r="HA37" s="10">
        <v>0</v>
      </c>
      <c r="HB37" s="10">
        <v>1255650</v>
      </c>
      <c r="HC37" s="10">
        <v>150678</v>
      </c>
      <c r="HD37" s="10">
        <v>11</v>
      </c>
      <c r="HE37" s="10">
        <v>0</v>
      </c>
      <c r="HF37" s="10">
        <v>554950</v>
      </c>
      <c r="HG37" s="10">
        <v>66594</v>
      </c>
      <c r="HH37" s="10">
        <v>15</v>
      </c>
      <c r="HI37" s="10">
        <v>0</v>
      </c>
      <c r="HJ37" s="10">
        <v>805750</v>
      </c>
      <c r="HK37" s="10">
        <v>96690</v>
      </c>
      <c r="HL37" s="21">
        <v>50</v>
      </c>
      <c r="HM37" s="21">
        <v>0</v>
      </c>
      <c r="HN37" s="21">
        <v>2616350</v>
      </c>
      <c r="HO37" s="21">
        <v>313962</v>
      </c>
      <c r="HP37" s="10">
        <v>0</v>
      </c>
      <c r="HQ37" s="10">
        <v>0</v>
      </c>
      <c r="HR37" s="10">
        <v>0</v>
      </c>
      <c r="HS37" s="10">
        <v>0</v>
      </c>
      <c r="HT37" s="10">
        <v>11</v>
      </c>
      <c r="HU37" s="10">
        <v>0</v>
      </c>
      <c r="HV37" s="10">
        <v>591250</v>
      </c>
      <c r="HW37" s="10">
        <v>70950</v>
      </c>
      <c r="HX37" s="10">
        <v>10</v>
      </c>
      <c r="HY37" s="10">
        <v>0</v>
      </c>
      <c r="HZ37" s="10">
        <v>542850</v>
      </c>
      <c r="IA37" s="10">
        <v>65142</v>
      </c>
      <c r="IB37" s="10">
        <v>10</v>
      </c>
      <c r="IC37" s="10">
        <v>0</v>
      </c>
      <c r="ID37" s="10">
        <v>542850</v>
      </c>
      <c r="IE37" s="10">
        <v>65142</v>
      </c>
      <c r="IF37" s="21">
        <v>31</v>
      </c>
      <c r="IG37" s="21">
        <v>0</v>
      </c>
      <c r="IH37" s="21">
        <v>1676950</v>
      </c>
      <c r="II37" s="21">
        <v>201234</v>
      </c>
      <c r="IJ37" s="10">
        <v>10</v>
      </c>
      <c r="IK37" s="10">
        <v>0</v>
      </c>
      <c r="IL37" s="10">
        <v>542850</v>
      </c>
      <c r="IM37" s="10">
        <v>65142</v>
      </c>
      <c r="IN37" s="10">
        <v>13</v>
      </c>
      <c r="IO37" s="10">
        <v>0</v>
      </c>
      <c r="IP37" s="10">
        <v>607200</v>
      </c>
      <c r="IQ37" s="10">
        <v>72864</v>
      </c>
      <c r="IR37" s="10">
        <v>9</v>
      </c>
      <c r="IS37" s="10">
        <v>0</v>
      </c>
      <c r="IT37" s="10">
        <v>473550</v>
      </c>
      <c r="IU37" s="10">
        <v>56826</v>
      </c>
      <c r="IV37" s="10">
        <v>0</v>
      </c>
      <c r="IW37" s="10">
        <v>0</v>
      </c>
      <c r="IX37" s="10">
        <v>0</v>
      </c>
      <c r="IY37" s="10">
        <v>0</v>
      </c>
      <c r="IZ37" s="10">
        <v>0</v>
      </c>
      <c r="JA37" s="10">
        <v>0</v>
      </c>
      <c r="JB37" s="10">
        <v>0</v>
      </c>
      <c r="JC37" s="10">
        <v>0</v>
      </c>
      <c r="JD37" s="21">
        <v>32</v>
      </c>
      <c r="JE37" s="21">
        <v>0</v>
      </c>
      <c r="JF37" s="21">
        <v>1623600</v>
      </c>
      <c r="JG37" s="21">
        <v>194832</v>
      </c>
      <c r="JH37" s="10">
        <v>15</v>
      </c>
      <c r="JI37" s="10">
        <v>0</v>
      </c>
      <c r="JJ37" s="10">
        <v>773850</v>
      </c>
      <c r="JK37" s="10">
        <v>92862</v>
      </c>
      <c r="JL37" s="10">
        <v>15</v>
      </c>
      <c r="JM37" s="10">
        <v>0</v>
      </c>
      <c r="JN37" s="10">
        <v>773850</v>
      </c>
      <c r="JO37" s="10">
        <v>92862</v>
      </c>
      <c r="JP37" s="10">
        <v>0</v>
      </c>
      <c r="JQ37" s="10">
        <v>0</v>
      </c>
      <c r="JR37" s="10">
        <v>0</v>
      </c>
      <c r="JS37" s="10">
        <v>0</v>
      </c>
      <c r="JT37" s="10">
        <v>22</v>
      </c>
      <c r="JU37" s="10">
        <v>0</v>
      </c>
      <c r="JV37" s="10">
        <v>1165450</v>
      </c>
      <c r="JW37" s="10">
        <v>139854</v>
      </c>
      <c r="JX37" s="21">
        <v>52</v>
      </c>
      <c r="JY37" s="21">
        <v>0</v>
      </c>
      <c r="JZ37" s="21">
        <v>2713150</v>
      </c>
      <c r="KA37" s="21">
        <v>325578</v>
      </c>
      <c r="KB37" s="10">
        <v>8</v>
      </c>
      <c r="KC37" s="10">
        <v>0</v>
      </c>
      <c r="KD37" s="10">
        <v>387200</v>
      </c>
      <c r="KE37" s="10">
        <v>46464</v>
      </c>
      <c r="KF37" s="10">
        <v>22</v>
      </c>
      <c r="KG37" s="10">
        <v>0</v>
      </c>
      <c r="KH37" s="10">
        <v>1190750</v>
      </c>
      <c r="KI37" s="10">
        <v>142890</v>
      </c>
      <c r="KJ37" s="10">
        <v>0</v>
      </c>
      <c r="KK37" s="10">
        <v>0</v>
      </c>
      <c r="KL37" s="10">
        <v>0</v>
      </c>
      <c r="KM37" s="10">
        <v>0</v>
      </c>
      <c r="KN37" s="10">
        <v>17</v>
      </c>
      <c r="KO37" s="10">
        <v>0</v>
      </c>
      <c r="KP37" s="10">
        <v>866250</v>
      </c>
      <c r="KQ37" s="10">
        <v>103950</v>
      </c>
      <c r="KR37" s="21">
        <v>47</v>
      </c>
      <c r="KS37" s="21">
        <v>0</v>
      </c>
      <c r="KT37" s="21">
        <v>2444200</v>
      </c>
      <c r="KU37" s="21">
        <v>293304</v>
      </c>
      <c r="KV37" s="21">
        <v>1146</v>
      </c>
      <c r="KW37" s="21">
        <v>0</v>
      </c>
      <c r="KX37" s="21">
        <v>60815744</v>
      </c>
      <c r="KY37" s="21">
        <v>7297889.2999999998</v>
      </c>
    </row>
    <row r="38" spans="1:311" ht="16.95" customHeight="1" x14ac:dyDescent="0.4">
      <c r="A38" s="15"/>
      <c r="B38" s="15"/>
      <c r="C38" s="15" t="s">
        <v>32</v>
      </c>
      <c r="D38" s="16">
        <v>1</v>
      </c>
      <c r="E38" s="16">
        <v>48400</v>
      </c>
      <c r="F38" s="16">
        <v>48400</v>
      </c>
      <c r="G38" s="16">
        <v>5808</v>
      </c>
      <c r="H38" s="23">
        <v>1</v>
      </c>
      <c r="I38" s="23"/>
      <c r="J38" s="23">
        <v>48400</v>
      </c>
      <c r="K38" s="23">
        <v>5808</v>
      </c>
      <c r="L38" s="16">
        <v>2</v>
      </c>
      <c r="M38" s="16">
        <v>48400</v>
      </c>
      <c r="N38" s="16">
        <v>96800</v>
      </c>
      <c r="O38" s="16">
        <v>11616</v>
      </c>
      <c r="P38" s="16">
        <v>1</v>
      </c>
      <c r="Q38" s="16">
        <v>48400</v>
      </c>
      <c r="R38" s="16">
        <v>48400</v>
      </c>
      <c r="S38" s="16">
        <v>5808</v>
      </c>
      <c r="T38" s="16">
        <v>2</v>
      </c>
      <c r="U38" s="16">
        <v>48400</v>
      </c>
      <c r="V38" s="16">
        <v>96800</v>
      </c>
      <c r="W38" s="16">
        <v>11616</v>
      </c>
      <c r="X38" s="16">
        <v>1</v>
      </c>
      <c r="Y38" s="16">
        <v>48400</v>
      </c>
      <c r="Z38" s="16">
        <v>48400</v>
      </c>
      <c r="AA38" s="16">
        <v>5808</v>
      </c>
      <c r="AB38" s="23">
        <v>6</v>
      </c>
      <c r="AC38" s="23"/>
      <c r="AD38" s="23">
        <v>290400</v>
      </c>
      <c r="AE38" s="23">
        <v>34848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2</v>
      </c>
      <c r="AO38" s="16">
        <v>48400</v>
      </c>
      <c r="AP38" s="16">
        <v>96800</v>
      </c>
      <c r="AQ38" s="16">
        <v>11616</v>
      </c>
      <c r="AR38" s="16">
        <v>1</v>
      </c>
      <c r="AS38" s="16">
        <v>48400</v>
      </c>
      <c r="AT38" s="16">
        <v>48400</v>
      </c>
      <c r="AU38" s="16">
        <v>5808</v>
      </c>
      <c r="AV38" s="23">
        <v>3</v>
      </c>
      <c r="AW38" s="23"/>
      <c r="AX38" s="23">
        <v>145200</v>
      </c>
      <c r="AY38" s="23">
        <v>17424</v>
      </c>
      <c r="AZ38" s="16">
        <v>2</v>
      </c>
      <c r="BA38" s="16">
        <v>48400</v>
      </c>
      <c r="BB38" s="16">
        <v>96800</v>
      </c>
      <c r="BC38" s="16">
        <v>11616</v>
      </c>
      <c r="BD38" s="16">
        <v>2</v>
      </c>
      <c r="BE38" s="16">
        <v>48400</v>
      </c>
      <c r="BF38" s="16">
        <v>96800</v>
      </c>
      <c r="BG38" s="16">
        <v>11616</v>
      </c>
      <c r="BH38" s="16">
        <v>1</v>
      </c>
      <c r="BI38" s="16">
        <v>48400</v>
      </c>
      <c r="BJ38" s="16">
        <v>48400</v>
      </c>
      <c r="BK38" s="16">
        <v>5808</v>
      </c>
      <c r="BL38" s="16">
        <v>1</v>
      </c>
      <c r="BM38" s="16">
        <v>48400</v>
      </c>
      <c r="BN38" s="16">
        <v>48400</v>
      </c>
      <c r="BO38" s="16">
        <v>5808</v>
      </c>
      <c r="BP38" s="16">
        <v>1</v>
      </c>
      <c r="BQ38" s="16">
        <v>48400</v>
      </c>
      <c r="BR38" s="16">
        <v>48400</v>
      </c>
      <c r="BS38" s="16">
        <v>5808</v>
      </c>
      <c r="BT38" s="23">
        <v>7</v>
      </c>
      <c r="BU38" s="23"/>
      <c r="BV38" s="23">
        <v>338800</v>
      </c>
      <c r="BW38" s="23">
        <v>40656</v>
      </c>
      <c r="BX38" s="16">
        <v>1</v>
      </c>
      <c r="BY38" s="16">
        <v>48400</v>
      </c>
      <c r="BZ38" s="16">
        <v>48400</v>
      </c>
      <c r="CA38" s="16">
        <v>5808</v>
      </c>
      <c r="CB38" s="16">
        <v>1</v>
      </c>
      <c r="CC38" s="16">
        <v>48400</v>
      </c>
      <c r="CD38" s="16">
        <v>48400</v>
      </c>
      <c r="CE38" s="16">
        <v>5808</v>
      </c>
      <c r="CF38" s="16">
        <v>1</v>
      </c>
      <c r="CG38" s="16">
        <v>48400</v>
      </c>
      <c r="CH38" s="16">
        <v>48400</v>
      </c>
      <c r="CI38" s="16">
        <v>5808</v>
      </c>
      <c r="CJ38" s="16">
        <v>2</v>
      </c>
      <c r="CK38" s="16">
        <v>48400</v>
      </c>
      <c r="CL38" s="16">
        <v>96800</v>
      </c>
      <c r="CM38" s="16">
        <v>11616</v>
      </c>
      <c r="CN38" s="23">
        <v>5</v>
      </c>
      <c r="CO38" s="23"/>
      <c r="CP38" s="23">
        <v>242000</v>
      </c>
      <c r="CQ38" s="23">
        <v>29040</v>
      </c>
      <c r="CR38" s="16">
        <v>1</v>
      </c>
      <c r="CS38" s="16">
        <v>48400</v>
      </c>
      <c r="CT38" s="16">
        <v>48400</v>
      </c>
      <c r="CU38" s="16">
        <v>5808</v>
      </c>
      <c r="CV38" s="16">
        <v>1</v>
      </c>
      <c r="CW38" s="16">
        <v>48400</v>
      </c>
      <c r="CX38" s="16">
        <v>48400</v>
      </c>
      <c r="CY38" s="16">
        <v>5808</v>
      </c>
      <c r="CZ38" s="16">
        <v>2</v>
      </c>
      <c r="DA38" s="16">
        <v>48400</v>
      </c>
      <c r="DB38" s="16">
        <v>96800</v>
      </c>
      <c r="DC38" s="16">
        <v>11616</v>
      </c>
      <c r="DD38" s="16">
        <v>2</v>
      </c>
      <c r="DE38" s="16">
        <v>48400</v>
      </c>
      <c r="DF38" s="16">
        <v>96800</v>
      </c>
      <c r="DG38" s="16">
        <v>11616</v>
      </c>
      <c r="DH38" s="23">
        <v>6</v>
      </c>
      <c r="DI38" s="23"/>
      <c r="DJ38" s="23">
        <v>290400</v>
      </c>
      <c r="DK38" s="23">
        <v>34848</v>
      </c>
      <c r="DL38" s="16">
        <v>1</v>
      </c>
      <c r="DM38" s="16">
        <v>48400</v>
      </c>
      <c r="DN38" s="16">
        <v>48400</v>
      </c>
      <c r="DO38" s="16">
        <v>5808</v>
      </c>
      <c r="DP38" s="16">
        <v>3</v>
      </c>
      <c r="DQ38" s="16">
        <v>48400</v>
      </c>
      <c r="DR38" s="16">
        <v>145200</v>
      </c>
      <c r="DS38" s="16">
        <v>17424</v>
      </c>
      <c r="DT38" s="16">
        <v>1</v>
      </c>
      <c r="DU38" s="16">
        <v>48400</v>
      </c>
      <c r="DV38" s="16">
        <v>48400</v>
      </c>
      <c r="DW38" s="16">
        <v>5808</v>
      </c>
      <c r="DX38" s="16">
        <v>1</v>
      </c>
      <c r="DY38" s="16">
        <v>48400</v>
      </c>
      <c r="DZ38" s="16">
        <v>48400</v>
      </c>
      <c r="EA38" s="16">
        <v>5808</v>
      </c>
      <c r="EB38" s="16">
        <v>1</v>
      </c>
      <c r="EC38" s="16">
        <v>48400</v>
      </c>
      <c r="ED38" s="16">
        <v>48400</v>
      </c>
      <c r="EE38" s="16">
        <v>5808</v>
      </c>
      <c r="EF38" s="23">
        <v>7</v>
      </c>
      <c r="EG38" s="23"/>
      <c r="EH38" s="23">
        <v>338800</v>
      </c>
      <c r="EI38" s="23">
        <v>40656</v>
      </c>
      <c r="EJ38" s="16">
        <v>1</v>
      </c>
      <c r="EK38" s="16">
        <v>48400</v>
      </c>
      <c r="EL38" s="16">
        <v>48400</v>
      </c>
      <c r="EM38" s="16">
        <v>5808</v>
      </c>
      <c r="EN38" s="16">
        <v>0</v>
      </c>
      <c r="EO38" s="16">
        <v>0</v>
      </c>
      <c r="EP38" s="16">
        <v>0</v>
      </c>
      <c r="EQ38" s="16">
        <v>0</v>
      </c>
      <c r="ER38" s="16">
        <v>3</v>
      </c>
      <c r="ES38" s="16">
        <v>48400</v>
      </c>
      <c r="ET38" s="16">
        <v>145200</v>
      </c>
      <c r="EU38" s="16">
        <v>17424</v>
      </c>
      <c r="EV38" s="16">
        <v>2</v>
      </c>
      <c r="EW38" s="16">
        <v>48400</v>
      </c>
      <c r="EX38" s="16">
        <v>96800</v>
      </c>
      <c r="EY38" s="16">
        <v>11616</v>
      </c>
      <c r="EZ38" s="23">
        <v>6</v>
      </c>
      <c r="FA38" s="23"/>
      <c r="FB38" s="23">
        <v>290400</v>
      </c>
      <c r="FC38" s="23">
        <v>34848</v>
      </c>
      <c r="FD38" s="16">
        <v>1</v>
      </c>
      <c r="FE38" s="16">
        <v>48400</v>
      </c>
      <c r="FF38" s="16">
        <v>48400</v>
      </c>
      <c r="FG38" s="16">
        <v>5808</v>
      </c>
      <c r="FH38" s="16">
        <v>1</v>
      </c>
      <c r="FI38" s="16">
        <v>48400</v>
      </c>
      <c r="FJ38" s="16">
        <v>48400</v>
      </c>
      <c r="FK38" s="16">
        <v>5808</v>
      </c>
      <c r="FL38" s="16">
        <v>1</v>
      </c>
      <c r="FM38" s="16">
        <v>48400</v>
      </c>
      <c r="FN38" s="16">
        <v>48400</v>
      </c>
      <c r="FO38" s="16">
        <v>5808</v>
      </c>
      <c r="FP38" s="16">
        <v>2</v>
      </c>
      <c r="FQ38" s="16">
        <v>48400</v>
      </c>
      <c r="FR38" s="16">
        <v>96800</v>
      </c>
      <c r="FS38" s="16">
        <v>11616</v>
      </c>
      <c r="FT38" s="23">
        <v>5</v>
      </c>
      <c r="FU38" s="23"/>
      <c r="FV38" s="23">
        <v>242000</v>
      </c>
      <c r="FW38" s="23">
        <v>29040</v>
      </c>
      <c r="FX38" s="16">
        <v>2</v>
      </c>
      <c r="FY38" s="16">
        <v>48400</v>
      </c>
      <c r="FZ38" s="16">
        <v>96800</v>
      </c>
      <c r="GA38" s="16">
        <v>11616</v>
      </c>
      <c r="GB38" s="16">
        <v>0</v>
      </c>
      <c r="GC38" s="16">
        <v>0</v>
      </c>
      <c r="GD38" s="16">
        <v>0</v>
      </c>
      <c r="GE38" s="16">
        <v>0</v>
      </c>
      <c r="GF38" s="16">
        <v>1</v>
      </c>
      <c r="GG38" s="16">
        <v>48400</v>
      </c>
      <c r="GH38" s="16">
        <v>48400</v>
      </c>
      <c r="GI38" s="16">
        <v>5808</v>
      </c>
      <c r="GJ38" s="16">
        <v>2</v>
      </c>
      <c r="GK38" s="16">
        <v>48400</v>
      </c>
      <c r="GL38" s="16">
        <v>96800</v>
      </c>
      <c r="GM38" s="16">
        <v>11616</v>
      </c>
      <c r="GN38" s="16">
        <v>2</v>
      </c>
      <c r="GO38" s="16">
        <v>48400</v>
      </c>
      <c r="GP38" s="16">
        <v>96800</v>
      </c>
      <c r="GQ38" s="16">
        <v>11616</v>
      </c>
      <c r="GR38" s="23">
        <v>7</v>
      </c>
      <c r="GS38" s="23"/>
      <c r="GT38" s="23">
        <v>338800</v>
      </c>
      <c r="GU38" s="23">
        <v>40656</v>
      </c>
      <c r="GV38" s="16">
        <v>0</v>
      </c>
      <c r="GW38" s="16">
        <v>0</v>
      </c>
      <c r="GX38" s="16">
        <v>0</v>
      </c>
      <c r="GY38" s="16">
        <v>0</v>
      </c>
      <c r="GZ38" s="16">
        <v>2</v>
      </c>
      <c r="HA38" s="16">
        <v>48400</v>
      </c>
      <c r="HB38" s="16">
        <v>96800</v>
      </c>
      <c r="HC38" s="16">
        <v>11616</v>
      </c>
      <c r="HD38" s="16">
        <v>1</v>
      </c>
      <c r="HE38" s="16">
        <v>48400</v>
      </c>
      <c r="HF38" s="16">
        <v>48400</v>
      </c>
      <c r="HG38" s="16">
        <v>5808</v>
      </c>
      <c r="HH38" s="16">
        <v>2</v>
      </c>
      <c r="HI38" s="16">
        <v>48400</v>
      </c>
      <c r="HJ38" s="16">
        <v>96800</v>
      </c>
      <c r="HK38" s="16">
        <v>11616</v>
      </c>
      <c r="HL38" s="23">
        <v>5</v>
      </c>
      <c r="HM38" s="23"/>
      <c r="HN38" s="23">
        <v>242000</v>
      </c>
      <c r="HO38" s="23">
        <v>29040</v>
      </c>
      <c r="HP38" s="16">
        <v>0</v>
      </c>
      <c r="HQ38" s="16">
        <v>0</v>
      </c>
      <c r="HR38" s="16">
        <v>0</v>
      </c>
      <c r="HS38" s="16">
        <v>0</v>
      </c>
      <c r="HT38" s="16">
        <v>2</v>
      </c>
      <c r="HU38" s="16">
        <v>48400</v>
      </c>
      <c r="HV38" s="16">
        <v>96800</v>
      </c>
      <c r="HW38" s="16">
        <v>11616</v>
      </c>
      <c r="HX38" s="16">
        <v>1</v>
      </c>
      <c r="HY38" s="16">
        <v>48400</v>
      </c>
      <c r="HZ38" s="16">
        <v>48400</v>
      </c>
      <c r="IA38" s="16">
        <v>5808</v>
      </c>
      <c r="IB38" s="16">
        <v>1</v>
      </c>
      <c r="IC38" s="16">
        <v>48400</v>
      </c>
      <c r="ID38" s="16">
        <v>48400</v>
      </c>
      <c r="IE38" s="16">
        <v>5808</v>
      </c>
      <c r="IF38" s="23">
        <v>4</v>
      </c>
      <c r="IG38" s="23"/>
      <c r="IH38" s="23">
        <v>193600</v>
      </c>
      <c r="II38" s="23">
        <v>23232</v>
      </c>
      <c r="IJ38" s="16">
        <v>1</v>
      </c>
      <c r="IK38" s="16">
        <v>48400</v>
      </c>
      <c r="IL38" s="16">
        <v>48400</v>
      </c>
      <c r="IM38" s="16">
        <v>5808</v>
      </c>
      <c r="IN38" s="16">
        <v>3</v>
      </c>
      <c r="IO38" s="16">
        <v>48400</v>
      </c>
      <c r="IP38" s="16">
        <v>145200</v>
      </c>
      <c r="IQ38" s="16">
        <v>17424</v>
      </c>
      <c r="IR38" s="16">
        <v>6</v>
      </c>
      <c r="IS38" s="16">
        <v>48400</v>
      </c>
      <c r="IT38" s="16">
        <v>290400</v>
      </c>
      <c r="IU38" s="16">
        <v>34848</v>
      </c>
      <c r="IV38" s="16">
        <v>0</v>
      </c>
      <c r="IW38" s="16">
        <v>0</v>
      </c>
      <c r="IX38" s="16">
        <v>0</v>
      </c>
      <c r="IY38" s="16">
        <v>0</v>
      </c>
      <c r="IZ38" s="16">
        <v>0</v>
      </c>
      <c r="JA38" s="16">
        <v>0</v>
      </c>
      <c r="JB38" s="16">
        <v>0</v>
      </c>
      <c r="JC38" s="16">
        <v>0</v>
      </c>
      <c r="JD38" s="23">
        <v>10</v>
      </c>
      <c r="JE38" s="23"/>
      <c r="JF38" s="23">
        <v>484000</v>
      </c>
      <c r="JG38" s="23">
        <v>58080</v>
      </c>
      <c r="JH38" s="16">
        <v>1</v>
      </c>
      <c r="JI38" s="16">
        <v>48400</v>
      </c>
      <c r="JJ38" s="16">
        <v>48400</v>
      </c>
      <c r="JK38" s="16">
        <v>5808</v>
      </c>
      <c r="JL38" s="16">
        <v>1</v>
      </c>
      <c r="JM38" s="16">
        <v>48400</v>
      </c>
      <c r="JN38" s="16">
        <v>48400</v>
      </c>
      <c r="JO38" s="16">
        <v>5808</v>
      </c>
      <c r="JP38" s="16">
        <v>0</v>
      </c>
      <c r="JQ38" s="16">
        <v>0</v>
      </c>
      <c r="JR38" s="16">
        <v>0</v>
      </c>
      <c r="JS38" s="16">
        <v>0</v>
      </c>
      <c r="JT38" s="16">
        <v>3</v>
      </c>
      <c r="JU38" s="16">
        <v>48400</v>
      </c>
      <c r="JV38" s="16">
        <v>145200</v>
      </c>
      <c r="JW38" s="16">
        <v>17424</v>
      </c>
      <c r="JX38" s="23">
        <v>5</v>
      </c>
      <c r="JY38" s="23"/>
      <c r="JZ38" s="23">
        <v>242000</v>
      </c>
      <c r="KA38" s="23">
        <v>29040</v>
      </c>
      <c r="KB38" s="16">
        <v>8</v>
      </c>
      <c r="KC38" s="16">
        <v>48400</v>
      </c>
      <c r="KD38" s="16">
        <v>387200</v>
      </c>
      <c r="KE38" s="16">
        <v>46464</v>
      </c>
      <c r="KF38" s="16">
        <v>1</v>
      </c>
      <c r="KG38" s="16">
        <v>48400</v>
      </c>
      <c r="KH38" s="16">
        <v>48400</v>
      </c>
      <c r="KI38" s="16">
        <v>5808</v>
      </c>
      <c r="KJ38" s="16">
        <v>0</v>
      </c>
      <c r="KK38" s="16">
        <v>0</v>
      </c>
      <c r="KL38" s="16">
        <v>0</v>
      </c>
      <c r="KM38" s="16">
        <v>0</v>
      </c>
      <c r="KN38" s="16">
        <v>1</v>
      </c>
      <c r="KO38" s="16">
        <v>48400</v>
      </c>
      <c r="KP38" s="16">
        <v>48400</v>
      </c>
      <c r="KQ38" s="16">
        <v>5808</v>
      </c>
      <c r="KR38" s="23">
        <v>10</v>
      </c>
      <c r="KS38" s="23"/>
      <c r="KT38" s="23">
        <v>484000</v>
      </c>
      <c r="KU38" s="23">
        <v>58080</v>
      </c>
      <c r="KV38" s="23">
        <v>87</v>
      </c>
      <c r="KW38" s="23"/>
      <c r="KX38" s="23">
        <v>4210800</v>
      </c>
      <c r="KY38" s="23">
        <v>505296</v>
      </c>
    </row>
    <row r="39" spans="1:311" ht="16.95" customHeight="1" x14ac:dyDescent="0.4">
      <c r="A39" s="11"/>
      <c r="B39" s="11"/>
      <c r="C39" s="11" t="s">
        <v>13</v>
      </c>
      <c r="D39" s="9">
        <v>5</v>
      </c>
      <c r="E39" s="9">
        <v>46200</v>
      </c>
      <c r="F39" s="9">
        <v>231000</v>
      </c>
      <c r="G39" s="9">
        <v>27720</v>
      </c>
      <c r="H39" s="22">
        <v>5</v>
      </c>
      <c r="I39" s="22"/>
      <c r="J39" s="22">
        <v>231000</v>
      </c>
      <c r="K39" s="22">
        <v>27720</v>
      </c>
      <c r="L39" s="9">
        <v>3</v>
      </c>
      <c r="M39" s="9">
        <v>46200</v>
      </c>
      <c r="N39" s="9">
        <v>138600</v>
      </c>
      <c r="O39" s="9">
        <v>16632</v>
      </c>
      <c r="P39" s="9">
        <v>7</v>
      </c>
      <c r="Q39" s="9">
        <v>46200</v>
      </c>
      <c r="R39" s="9">
        <v>323400</v>
      </c>
      <c r="S39" s="9">
        <v>38808</v>
      </c>
      <c r="T39" s="9">
        <v>10</v>
      </c>
      <c r="U39" s="9">
        <v>46200</v>
      </c>
      <c r="V39" s="9">
        <v>462000</v>
      </c>
      <c r="W39" s="9">
        <v>55440</v>
      </c>
      <c r="X39" s="9">
        <v>10</v>
      </c>
      <c r="Y39" s="9">
        <v>46200</v>
      </c>
      <c r="Z39" s="9">
        <v>462000</v>
      </c>
      <c r="AA39" s="9">
        <v>55440</v>
      </c>
      <c r="AB39" s="22">
        <v>30</v>
      </c>
      <c r="AC39" s="22"/>
      <c r="AD39" s="22">
        <v>1386000</v>
      </c>
      <c r="AE39" s="22">
        <v>166320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5</v>
      </c>
      <c r="AO39" s="9">
        <v>46200</v>
      </c>
      <c r="AP39" s="9">
        <v>231000</v>
      </c>
      <c r="AQ39" s="9">
        <v>27720</v>
      </c>
      <c r="AR39" s="9">
        <v>7</v>
      </c>
      <c r="AS39" s="9">
        <v>46200</v>
      </c>
      <c r="AT39" s="9">
        <v>323400</v>
      </c>
      <c r="AU39" s="9">
        <v>38808</v>
      </c>
      <c r="AV39" s="22">
        <v>12</v>
      </c>
      <c r="AW39" s="22"/>
      <c r="AX39" s="22">
        <v>554400</v>
      </c>
      <c r="AY39" s="22">
        <v>66528</v>
      </c>
      <c r="AZ39" s="9">
        <v>7</v>
      </c>
      <c r="BA39" s="9">
        <v>46200</v>
      </c>
      <c r="BB39" s="9">
        <v>323400</v>
      </c>
      <c r="BC39" s="9">
        <v>38808</v>
      </c>
      <c r="BD39" s="9">
        <v>10</v>
      </c>
      <c r="BE39" s="9">
        <v>46200</v>
      </c>
      <c r="BF39" s="9">
        <v>462000</v>
      </c>
      <c r="BG39" s="9">
        <v>55440</v>
      </c>
      <c r="BH39" s="9">
        <v>5</v>
      </c>
      <c r="BI39" s="9">
        <v>46200</v>
      </c>
      <c r="BJ39" s="9">
        <v>231000</v>
      </c>
      <c r="BK39" s="9">
        <v>27720</v>
      </c>
      <c r="BL39" s="9">
        <v>10</v>
      </c>
      <c r="BM39" s="9">
        <v>46200</v>
      </c>
      <c r="BN39" s="9">
        <v>462000</v>
      </c>
      <c r="BO39" s="9">
        <v>55440</v>
      </c>
      <c r="BP39" s="9">
        <v>12</v>
      </c>
      <c r="BQ39" s="9">
        <v>46200</v>
      </c>
      <c r="BR39" s="9">
        <v>554400</v>
      </c>
      <c r="BS39" s="9">
        <v>66528</v>
      </c>
      <c r="BT39" s="22">
        <v>44</v>
      </c>
      <c r="BU39" s="22"/>
      <c r="BV39" s="22">
        <v>2032800</v>
      </c>
      <c r="BW39" s="22">
        <v>243936</v>
      </c>
      <c r="BX39" s="9">
        <v>10</v>
      </c>
      <c r="BY39" s="9">
        <v>46200</v>
      </c>
      <c r="BZ39" s="9">
        <v>462000</v>
      </c>
      <c r="CA39" s="9">
        <v>55440</v>
      </c>
      <c r="CB39" s="9">
        <v>12</v>
      </c>
      <c r="CC39" s="9">
        <v>46200</v>
      </c>
      <c r="CD39" s="9">
        <v>554400</v>
      </c>
      <c r="CE39" s="9">
        <v>66528</v>
      </c>
      <c r="CF39" s="9">
        <v>15</v>
      </c>
      <c r="CG39" s="9">
        <v>46200</v>
      </c>
      <c r="CH39" s="9">
        <v>693000</v>
      </c>
      <c r="CI39" s="9">
        <v>83160</v>
      </c>
      <c r="CJ39" s="9">
        <v>25</v>
      </c>
      <c r="CK39" s="9">
        <v>46200</v>
      </c>
      <c r="CL39" s="9">
        <v>1155000</v>
      </c>
      <c r="CM39" s="9">
        <v>138600</v>
      </c>
      <c r="CN39" s="22">
        <v>62</v>
      </c>
      <c r="CO39" s="22"/>
      <c r="CP39" s="22">
        <v>2864400</v>
      </c>
      <c r="CQ39" s="22">
        <v>343728</v>
      </c>
      <c r="CR39" s="9">
        <v>15</v>
      </c>
      <c r="CS39" s="9">
        <v>46200</v>
      </c>
      <c r="CT39" s="9">
        <v>693000</v>
      </c>
      <c r="CU39" s="9">
        <v>83160</v>
      </c>
      <c r="CV39" s="9">
        <v>10</v>
      </c>
      <c r="CW39" s="9">
        <v>46200</v>
      </c>
      <c r="CX39" s="9">
        <v>462000</v>
      </c>
      <c r="CY39" s="9">
        <v>55440</v>
      </c>
      <c r="CZ39" s="9">
        <v>20</v>
      </c>
      <c r="DA39" s="9">
        <v>46200</v>
      </c>
      <c r="DB39" s="9">
        <v>924000</v>
      </c>
      <c r="DC39" s="9">
        <v>110880</v>
      </c>
      <c r="DD39" s="9">
        <v>17</v>
      </c>
      <c r="DE39" s="9">
        <v>46200</v>
      </c>
      <c r="DF39" s="9">
        <v>785400</v>
      </c>
      <c r="DG39" s="9">
        <v>94248</v>
      </c>
      <c r="DH39" s="22">
        <v>62</v>
      </c>
      <c r="DI39" s="22"/>
      <c r="DJ39" s="22">
        <v>2864400</v>
      </c>
      <c r="DK39" s="22">
        <v>343728</v>
      </c>
      <c r="DL39" s="9">
        <v>25</v>
      </c>
      <c r="DM39" s="9">
        <v>46200</v>
      </c>
      <c r="DN39" s="9">
        <v>1155000</v>
      </c>
      <c r="DO39" s="9">
        <v>138600</v>
      </c>
      <c r="DP39" s="9">
        <v>25</v>
      </c>
      <c r="DQ39" s="9">
        <v>46200</v>
      </c>
      <c r="DR39" s="9">
        <v>1155000</v>
      </c>
      <c r="DS39" s="9">
        <v>138600</v>
      </c>
      <c r="DT39" s="9">
        <v>5</v>
      </c>
      <c r="DU39" s="9">
        <v>46200</v>
      </c>
      <c r="DV39" s="9">
        <v>231000</v>
      </c>
      <c r="DW39" s="9">
        <v>27720</v>
      </c>
      <c r="DX39" s="9">
        <v>25</v>
      </c>
      <c r="DY39" s="9">
        <v>46200</v>
      </c>
      <c r="DZ39" s="9">
        <v>1155000</v>
      </c>
      <c r="EA39" s="9">
        <v>138600</v>
      </c>
      <c r="EB39" s="9">
        <v>30</v>
      </c>
      <c r="EC39" s="9">
        <v>46200</v>
      </c>
      <c r="ED39" s="9">
        <v>1386000</v>
      </c>
      <c r="EE39" s="9">
        <v>166320</v>
      </c>
      <c r="EF39" s="22">
        <v>110</v>
      </c>
      <c r="EG39" s="22"/>
      <c r="EH39" s="22">
        <v>5082000</v>
      </c>
      <c r="EI39" s="22">
        <v>609840</v>
      </c>
      <c r="EJ39" s="9">
        <v>30</v>
      </c>
      <c r="EK39" s="9">
        <v>46200</v>
      </c>
      <c r="EL39" s="9">
        <v>1386000</v>
      </c>
      <c r="EM39" s="9">
        <v>166320</v>
      </c>
      <c r="EN39" s="9">
        <v>10</v>
      </c>
      <c r="EO39" s="9">
        <v>46200</v>
      </c>
      <c r="EP39" s="9">
        <v>462000</v>
      </c>
      <c r="EQ39" s="9">
        <v>55440</v>
      </c>
      <c r="ER39" s="9">
        <v>24</v>
      </c>
      <c r="ES39" s="9">
        <v>46200</v>
      </c>
      <c r="ET39" s="9">
        <v>1108800</v>
      </c>
      <c r="EU39" s="9">
        <v>133056</v>
      </c>
      <c r="EV39" s="9">
        <v>25</v>
      </c>
      <c r="EW39" s="9">
        <v>46200</v>
      </c>
      <c r="EX39" s="9">
        <v>1155000</v>
      </c>
      <c r="EY39" s="9">
        <v>138600</v>
      </c>
      <c r="EZ39" s="22">
        <v>89</v>
      </c>
      <c r="FA39" s="22"/>
      <c r="FB39" s="22">
        <v>4111800</v>
      </c>
      <c r="FC39" s="22">
        <v>493416</v>
      </c>
      <c r="FD39" s="9">
        <v>20</v>
      </c>
      <c r="FE39" s="9">
        <v>46200</v>
      </c>
      <c r="FF39" s="9">
        <v>924000</v>
      </c>
      <c r="FG39" s="9">
        <v>110880</v>
      </c>
      <c r="FH39" s="9">
        <v>20</v>
      </c>
      <c r="FI39" s="9">
        <v>46200</v>
      </c>
      <c r="FJ39" s="9">
        <v>924000</v>
      </c>
      <c r="FK39" s="9">
        <v>110880</v>
      </c>
      <c r="FL39" s="9">
        <v>20</v>
      </c>
      <c r="FM39" s="9">
        <v>46200</v>
      </c>
      <c r="FN39" s="9">
        <v>924000</v>
      </c>
      <c r="FO39" s="9">
        <v>110880</v>
      </c>
      <c r="FP39" s="9">
        <v>15</v>
      </c>
      <c r="FQ39" s="9">
        <v>46200</v>
      </c>
      <c r="FR39" s="9">
        <v>693000</v>
      </c>
      <c r="FS39" s="9">
        <v>83160</v>
      </c>
      <c r="FT39" s="22">
        <v>75</v>
      </c>
      <c r="FU39" s="22"/>
      <c r="FV39" s="22">
        <v>3465000</v>
      </c>
      <c r="FW39" s="22">
        <v>415800</v>
      </c>
      <c r="FX39" s="9">
        <v>19</v>
      </c>
      <c r="FY39" s="9">
        <v>46200</v>
      </c>
      <c r="FZ39" s="9">
        <v>877800</v>
      </c>
      <c r="GA39" s="9">
        <v>105336</v>
      </c>
      <c r="GB39" s="9">
        <v>10</v>
      </c>
      <c r="GC39" s="9">
        <v>46200</v>
      </c>
      <c r="GD39" s="9">
        <v>462000</v>
      </c>
      <c r="GE39" s="9">
        <v>55440</v>
      </c>
      <c r="GF39" s="9">
        <v>10</v>
      </c>
      <c r="GG39" s="9">
        <v>46200</v>
      </c>
      <c r="GH39" s="9">
        <v>462000</v>
      </c>
      <c r="GI39" s="9">
        <v>55440</v>
      </c>
      <c r="GJ39" s="9">
        <v>10</v>
      </c>
      <c r="GK39" s="9">
        <v>46200</v>
      </c>
      <c r="GL39" s="9">
        <v>462000</v>
      </c>
      <c r="GM39" s="9">
        <v>55440</v>
      </c>
      <c r="GN39" s="9">
        <v>17</v>
      </c>
      <c r="GO39" s="9">
        <v>46200</v>
      </c>
      <c r="GP39" s="9">
        <v>785400</v>
      </c>
      <c r="GQ39" s="9">
        <v>94248</v>
      </c>
      <c r="GR39" s="22">
        <v>66</v>
      </c>
      <c r="GS39" s="22"/>
      <c r="GT39" s="22">
        <v>3049200</v>
      </c>
      <c r="GU39" s="22">
        <v>365904</v>
      </c>
      <c r="GV39" s="9">
        <v>0</v>
      </c>
      <c r="GW39" s="9">
        <v>0</v>
      </c>
      <c r="GX39" s="9">
        <v>0</v>
      </c>
      <c r="GY39" s="9">
        <v>0</v>
      </c>
      <c r="GZ39" s="9">
        <v>15</v>
      </c>
      <c r="HA39" s="9">
        <v>46200</v>
      </c>
      <c r="HB39" s="9">
        <v>693000</v>
      </c>
      <c r="HC39" s="9">
        <v>83160</v>
      </c>
      <c r="HD39" s="9">
        <v>7</v>
      </c>
      <c r="HE39" s="9">
        <v>46200</v>
      </c>
      <c r="HF39" s="9">
        <v>323400</v>
      </c>
      <c r="HG39" s="9">
        <v>38808</v>
      </c>
      <c r="HH39" s="9">
        <v>7</v>
      </c>
      <c r="HI39" s="9">
        <v>46200</v>
      </c>
      <c r="HJ39" s="9">
        <v>323400</v>
      </c>
      <c r="HK39" s="9">
        <v>38808</v>
      </c>
      <c r="HL39" s="22">
        <v>29</v>
      </c>
      <c r="HM39" s="22"/>
      <c r="HN39" s="22">
        <v>1339800</v>
      </c>
      <c r="HO39" s="22">
        <v>160776</v>
      </c>
      <c r="HP39" s="9">
        <v>0</v>
      </c>
      <c r="HQ39" s="9">
        <v>0</v>
      </c>
      <c r="HR39" s="9">
        <v>0</v>
      </c>
      <c r="HS39" s="9">
        <v>0</v>
      </c>
      <c r="HT39" s="9">
        <v>5</v>
      </c>
      <c r="HU39" s="9">
        <v>46200</v>
      </c>
      <c r="HV39" s="9">
        <v>231000</v>
      </c>
      <c r="HW39" s="9">
        <v>27720</v>
      </c>
      <c r="HX39" s="9">
        <v>5</v>
      </c>
      <c r="HY39" s="9">
        <v>46200</v>
      </c>
      <c r="HZ39" s="9">
        <v>231000</v>
      </c>
      <c r="IA39" s="9">
        <v>27720</v>
      </c>
      <c r="IB39" s="9">
        <v>5</v>
      </c>
      <c r="IC39" s="9">
        <v>46200</v>
      </c>
      <c r="ID39" s="9">
        <v>231000</v>
      </c>
      <c r="IE39" s="9">
        <v>27720</v>
      </c>
      <c r="IF39" s="22">
        <v>15</v>
      </c>
      <c r="IG39" s="22"/>
      <c r="IH39" s="22">
        <v>693000</v>
      </c>
      <c r="II39" s="22">
        <v>83160</v>
      </c>
      <c r="IJ39" s="9">
        <v>5</v>
      </c>
      <c r="IK39" s="9">
        <v>46200</v>
      </c>
      <c r="IL39" s="9">
        <v>231000</v>
      </c>
      <c r="IM39" s="9">
        <v>27720</v>
      </c>
      <c r="IN39" s="9">
        <v>10</v>
      </c>
      <c r="IO39" s="9">
        <v>46200</v>
      </c>
      <c r="IP39" s="9">
        <v>462000</v>
      </c>
      <c r="IQ39" s="9">
        <v>55440</v>
      </c>
      <c r="IR39" s="9">
        <v>0</v>
      </c>
      <c r="IS39" s="9">
        <v>0</v>
      </c>
      <c r="IT39" s="9">
        <v>0</v>
      </c>
      <c r="IU39" s="9">
        <v>0</v>
      </c>
      <c r="IV39" s="9">
        <v>0</v>
      </c>
      <c r="IW39" s="9">
        <v>0</v>
      </c>
      <c r="IX39" s="9">
        <v>0</v>
      </c>
      <c r="IY39" s="9">
        <v>0</v>
      </c>
      <c r="IZ39" s="9">
        <v>0</v>
      </c>
      <c r="JA39" s="9">
        <v>0</v>
      </c>
      <c r="JB39" s="9">
        <v>0</v>
      </c>
      <c r="JC39" s="9">
        <v>0</v>
      </c>
      <c r="JD39" s="22">
        <v>15</v>
      </c>
      <c r="JE39" s="22"/>
      <c r="JF39" s="22">
        <v>693000</v>
      </c>
      <c r="JG39" s="22">
        <v>83160</v>
      </c>
      <c r="JH39" s="9">
        <v>10</v>
      </c>
      <c r="JI39" s="9">
        <v>46200</v>
      </c>
      <c r="JJ39" s="9">
        <v>462000</v>
      </c>
      <c r="JK39" s="9">
        <v>55440</v>
      </c>
      <c r="JL39" s="9">
        <v>10</v>
      </c>
      <c r="JM39" s="9">
        <v>46200</v>
      </c>
      <c r="JN39" s="9">
        <v>462000</v>
      </c>
      <c r="JO39" s="9">
        <v>55440</v>
      </c>
      <c r="JP39" s="9">
        <v>0</v>
      </c>
      <c r="JQ39" s="9">
        <v>0</v>
      </c>
      <c r="JR39" s="9">
        <v>0</v>
      </c>
      <c r="JS39" s="9">
        <v>0</v>
      </c>
      <c r="JT39" s="9">
        <v>12</v>
      </c>
      <c r="JU39" s="9">
        <v>46200</v>
      </c>
      <c r="JV39" s="9">
        <v>554400</v>
      </c>
      <c r="JW39" s="9">
        <v>66528</v>
      </c>
      <c r="JX39" s="22">
        <v>32</v>
      </c>
      <c r="JY39" s="22"/>
      <c r="JZ39" s="22">
        <v>1478400</v>
      </c>
      <c r="KA39" s="22">
        <v>177408</v>
      </c>
      <c r="KB39" s="9">
        <v>0</v>
      </c>
      <c r="KC39" s="9">
        <v>0</v>
      </c>
      <c r="KD39" s="9">
        <v>0</v>
      </c>
      <c r="KE39" s="9">
        <v>0</v>
      </c>
      <c r="KF39" s="9">
        <v>12</v>
      </c>
      <c r="KG39" s="9">
        <v>46200</v>
      </c>
      <c r="KH39" s="9">
        <v>554400</v>
      </c>
      <c r="KI39" s="9">
        <v>66528</v>
      </c>
      <c r="KJ39" s="9">
        <v>0</v>
      </c>
      <c r="KK39" s="9">
        <v>0</v>
      </c>
      <c r="KL39" s="9">
        <v>0</v>
      </c>
      <c r="KM39" s="9">
        <v>0</v>
      </c>
      <c r="KN39" s="9">
        <v>12</v>
      </c>
      <c r="KO39" s="9">
        <v>46200</v>
      </c>
      <c r="KP39" s="9">
        <v>554400</v>
      </c>
      <c r="KQ39" s="9">
        <v>66528</v>
      </c>
      <c r="KR39" s="22">
        <v>24</v>
      </c>
      <c r="KS39" s="22"/>
      <c r="KT39" s="22">
        <v>1108800</v>
      </c>
      <c r="KU39" s="22">
        <v>133056</v>
      </c>
      <c r="KV39" s="22">
        <v>670</v>
      </c>
      <c r="KW39" s="22"/>
      <c r="KX39" s="22">
        <v>30954000</v>
      </c>
      <c r="KY39" s="22">
        <v>3714480</v>
      </c>
    </row>
    <row r="40" spans="1:311" ht="16.95" customHeight="1" x14ac:dyDescent="0.4">
      <c r="A40" s="15"/>
      <c r="B40" s="15"/>
      <c r="C40" s="15" t="s">
        <v>35</v>
      </c>
      <c r="D40" s="16">
        <v>0</v>
      </c>
      <c r="E40" s="16">
        <v>0</v>
      </c>
      <c r="F40" s="16">
        <v>0</v>
      </c>
      <c r="G40" s="16">
        <v>0</v>
      </c>
      <c r="H40" s="23">
        <v>0</v>
      </c>
      <c r="I40" s="23"/>
      <c r="J40" s="23">
        <v>0</v>
      </c>
      <c r="K40" s="23">
        <v>0</v>
      </c>
      <c r="L40" s="16">
        <v>1</v>
      </c>
      <c r="M40" s="16">
        <v>127842</v>
      </c>
      <c r="N40" s="16">
        <v>127842</v>
      </c>
      <c r="O40" s="16">
        <v>15341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23">
        <v>1</v>
      </c>
      <c r="AC40" s="23"/>
      <c r="AD40" s="23">
        <v>127842</v>
      </c>
      <c r="AE40" s="23">
        <v>15341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23">
        <v>0</v>
      </c>
      <c r="AW40" s="23"/>
      <c r="AX40" s="23">
        <v>0</v>
      </c>
      <c r="AY40" s="23">
        <v>0</v>
      </c>
      <c r="AZ40" s="16">
        <v>1</v>
      </c>
      <c r="BA40" s="16">
        <v>127842</v>
      </c>
      <c r="BB40" s="16">
        <v>127842</v>
      </c>
      <c r="BC40" s="16">
        <v>15341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23">
        <v>1</v>
      </c>
      <c r="BU40" s="23"/>
      <c r="BV40" s="23">
        <v>127842</v>
      </c>
      <c r="BW40" s="23">
        <v>15341</v>
      </c>
      <c r="BX40" s="16">
        <v>0</v>
      </c>
      <c r="BY40" s="16">
        <v>0</v>
      </c>
      <c r="BZ40" s="16">
        <v>0</v>
      </c>
      <c r="CA40" s="16">
        <v>0</v>
      </c>
      <c r="CB40" s="16">
        <v>1</v>
      </c>
      <c r="CC40" s="16">
        <v>127842</v>
      </c>
      <c r="CD40" s="16">
        <v>127842</v>
      </c>
      <c r="CE40" s="16">
        <v>15341</v>
      </c>
      <c r="CF40" s="16">
        <v>0</v>
      </c>
      <c r="CG40" s="16">
        <v>0</v>
      </c>
      <c r="CH40" s="16">
        <v>0</v>
      </c>
      <c r="CI40" s="16">
        <v>0</v>
      </c>
      <c r="CJ40" s="16">
        <v>1</v>
      </c>
      <c r="CK40" s="16">
        <v>127842</v>
      </c>
      <c r="CL40" s="16">
        <v>127842</v>
      </c>
      <c r="CM40" s="16">
        <v>15341</v>
      </c>
      <c r="CN40" s="23">
        <v>2</v>
      </c>
      <c r="CO40" s="23"/>
      <c r="CP40" s="23">
        <v>255684</v>
      </c>
      <c r="CQ40" s="23">
        <v>30682.1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1</v>
      </c>
      <c r="DA40" s="16">
        <v>127842</v>
      </c>
      <c r="DB40" s="16">
        <v>127842</v>
      </c>
      <c r="DC40" s="16">
        <v>15341</v>
      </c>
      <c r="DD40" s="16">
        <v>0</v>
      </c>
      <c r="DE40" s="16">
        <v>0</v>
      </c>
      <c r="DF40" s="16">
        <v>0</v>
      </c>
      <c r="DG40" s="16">
        <v>0</v>
      </c>
      <c r="DH40" s="23">
        <v>1</v>
      </c>
      <c r="DI40" s="23"/>
      <c r="DJ40" s="23">
        <v>127842</v>
      </c>
      <c r="DK40" s="23">
        <v>15341</v>
      </c>
      <c r="DL40" s="16">
        <v>1</v>
      </c>
      <c r="DM40" s="16">
        <v>127842</v>
      </c>
      <c r="DN40" s="16">
        <v>127842</v>
      </c>
      <c r="DO40" s="16">
        <v>15341</v>
      </c>
      <c r="DP40" s="16">
        <v>0</v>
      </c>
      <c r="DQ40" s="16">
        <v>0</v>
      </c>
      <c r="DR40" s="16">
        <v>0</v>
      </c>
      <c r="DS40" s="16">
        <v>0</v>
      </c>
      <c r="DT40" s="16">
        <v>1</v>
      </c>
      <c r="DU40" s="16">
        <v>127842</v>
      </c>
      <c r="DV40" s="16">
        <v>127842</v>
      </c>
      <c r="DW40" s="16">
        <v>15341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23">
        <v>2</v>
      </c>
      <c r="EG40" s="23"/>
      <c r="EH40" s="23">
        <v>255684</v>
      </c>
      <c r="EI40" s="23">
        <v>30682.1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23">
        <v>0</v>
      </c>
      <c r="FA40" s="23"/>
      <c r="FB40" s="23">
        <v>0</v>
      </c>
      <c r="FC40" s="23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23">
        <v>0</v>
      </c>
      <c r="FU40" s="23"/>
      <c r="FV40" s="23">
        <v>0</v>
      </c>
      <c r="FW40" s="23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23">
        <v>0</v>
      </c>
      <c r="GS40" s="23"/>
      <c r="GT40" s="23">
        <v>0</v>
      </c>
      <c r="GU40" s="23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23">
        <v>0</v>
      </c>
      <c r="HM40" s="23"/>
      <c r="HN40" s="23">
        <v>0</v>
      </c>
      <c r="HO40" s="23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  <c r="IB40" s="16">
        <v>0</v>
      </c>
      <c r="IC40" s="16">
        <v>0</v>
      </c>
      <c r="ID40" s="16">
        <v>0</v>
      </c>
      <c r="IE40" s="16">
        <v>0</v>
      </c>
      <c r="IF40" s="23">
        <v>0</v>
      </c>
      <c r="IG40" s="23"/>
      <c r="IH40" s="23">
        <v>0</v>
      </c>
      <c r="II40" s="23">
        <v>0</v>
      </c>
      <c r="IJ40" s="16">
        <v>0</v>
      </c>
      <c r="IK40" s="16">
        <v>0</v>
      </c>
      <c r="IL40" s="16">
        <v>0</v>
      </c>
      <c r="IM40" s="16">
        <v>0</v>
      </c>
      <c r="IN40" s="16">
        <v>0</v>
      </c>
      <c r="IO40" s="16">
        <v>0</v>
      </c>
      <c r="IP40" s="16">
        <v>0</v>
      </c>
      <c r="IQ40" s="16">
        <v>0</v>
      </c>
      <c r="IR40" s="16">
        <v>0</v>
      </c>
      <c r="IS40" s="16">
        <v>0</v>
      </c>
      <c r="IT40" s="16">
        <v>0</v>
      </c>
      <c r="IU40" s="16">
        <v>0</v>
      </c>
      <c r="IV40" s="16">
        <v>0</v>
      </c>
      <c r="IW40" s="16">
        <v>0</v>
      </c>
      <c r="IX40" s="16">
        <v>0</v>
      </c>
      <c r="IY40" s="16">
        <v>0</v>
      </c>
      <c r="IZ40" s="16">
        <v>0</v>
      </c>
      <c r="JA40" s="16">
        <v>0</v>
      </c>
      <c r="JB40" s="16">
        <v>0</v>
      </c>
      <c r="JC40" s="16">
        <v>0</v>
      </c>
      <c r="JD40" s="23">
        <v>0</v>
      </c>
      <c r="JE40" s="23"/>
      <c r="JF40" s="23">
        <v>0</v>
      </c>
      <c r="JG40" s="23">
        <v>0</v>
      </c>
      <c r="JH40" s="16">
        <v>0</v>
      </c>
      <c r="JI40" s="16">
        <v>0</v>
      </c>
      <c r="JJ40" s="16">
        <v>0</v>
      </c>
      <c r="JK40" s="16">
        <v>0</v>
      </c>
      <c r="JL40" s="16">
        <v>0</v>
      </c>
      <c r="JM40" s="16">
        <v>0</v>
      </c>
      <c r="JN40" s="16">
        <v>0</v>
      </c>
      <c r="JO40" s="16">
        <v>0</v>
      </c>
      <c r="JP40" s="16">
        <v>0</v>
      </c>
      <c r="JQ40" s="16">
        <v>0</v>
      </c>
      <c r="JR40" s="16">
        <v>0</v>
      </c>
      <c r="JS40" s="16">
        <v>0</v>
      </c>
      <c r="JT40" s="16">
        <v>0</v>
      </c>
      <c r="JU40" s="16">
        <v>0</v>
      </c>
      <c r="JV40" s="16">
        <v>0</v>
      </c>
      <c r="JW40" s="16">
        <v>0</v>
      </c>
      <c r="JX40" s="23">
        <v>0</v>
      </c>
      <c r="JY40" s="23"/>
      <c r="JZ40" s="23">
        <v>0</v>
      </c>
      <c r="KA40" s="23">
        <v>0</v>
      </c>
      <c r="KB40" s="16">
        <v>0</v>
      </c>
      <c r="KC40" s="16">
        <v>0</v>
      </c>
      <c r="KD40" s="16">
        <v>0</v>
      </c>
      <c r="KE40" s="16">
        <v>0</v>
      </c>
      <c r="KF40" s="16">
        <v>0</v>
      </c>
      <c r="KG40" s="16">
        <v>0</v>
      </c>
      <c r="KH40" s="16">
        <v>0</v>
      </c>
      <c r="KI40" s="16">
        <v>0</v>
      </c>
      <c r="KJ40" s="16">
        <v>0</v>
      </c>
      <c r="KK40" s="16">
        <v>0</v>
      </c>
      <c r="KL40" s="16">
        <v>0</v>
      </c>
      <c r="KM40" s="16">
        <v>0</v>
      </c>
      <c r="KN40" s="16">
        <v>0</v>
      </c>
      <c r="KO40" s="16">
        <v>0</v>
      </c>
      <c r="KP40" s="16">
        <v>0</v>
      </c>
      <c r="KQ40" s="16">
        <v>0</v>
      </c>
      <c r="KR40" s="23">
        <v>0</v>
      </c>
      <c r="KS40" s="23"/>
      <c r="KT40" s="23">
        <v>0</v>
      </c>
      <c r="KU40" s="23">
        <v>0</v>
      </c>
      <c r="KV40" s="23">
        <v>7</v>
      </c>
      <c r="KW40" s="23"/>
      <c r="KX40" s="23">
        <v>894894</v>
      </c>
      <c r="KY40" s="23">
        <v>107387.3</v>
      </c>
    </row>
    <row r="41" spans="1:311" ht="16.95" customHeight="1" x14ac:dyDescent="0.4">
      <c r="A41" s="11"/>
      <c r="B41" s="11"/>
      <c r="C41" s="11" t="s">
        <v>23</v>
      </c>
      <c r="D41" s="9">
        <v>2</v>
      </c>
      <c r="E41" s="9">
        <v>59400</v>
      </c>
      <c r="F41" s="9">
        <v>118800</v>
      </c>
      <c r="G41" s="9">
        <v>14256</v>
      </c>
      <c r="H41" s="22">
        <v>2</v>
      </c>
      <c r="I41" s="22"/>
      <c r="J41" s="22">
        <v>118800</v>
      </c>
      <c r="K41" s="22">
        <v>14256</v>
      </c>
      <c r="L41" s="9">
        <v>3</v>
      </c>
      <c r="M41" s="9">
        <v>59400</v>
      </c>
      <c r="N41" s="9">
        <v>178200</v>
      </c>
      <c r="O41" s="9">
        <v>21384</v>
      </c>
      <c r="P41" s="9">
        <v>2</v>
      </c>
      <c r="Q41" s="9">
        <v>59400</v>
      </c>
      <c r="R41" s="9">
        <v>118800</v>
      </c>
      <c r="S41" s="9">
        <v>14256</v>
      </c>
      <c r="T41" s="9">
        <v>3</v>
      </c>
      <c r="U41" s="9">
        <v>59400</v>
      </c>
      <c r="V41" s="9">
        <v>178200</v>
      </c>
      <c r="W41" s="9">
        <v>21384</v>
      </c>
      <c r="X41" s="9">
        <v>3</v>
      </c>
      <c r="Y41" s="9">
        <v>59400</v>
      </c>
      <c r="Z41" s="9">
        <v>178200</v>
      </c>
      <c r="AA41" s="9">
        <v>21384</v>
      </c>
      <c r="AB41" s="22">
        <v>11</v>
      </c>
      <c r="AC41" s="22"/>
      <c r="AD41" s="22">
        <v>653400</v>
      </c>
      <c r="AE41" s="22">
        <v>78408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3</v>
      </c>
      <c r="AO41" s="9">
        <v>59400</v>
      </c>
      <c r="AP41" s="9">
        <v>178200</v>
      </c>
      <c r="AQ41" s="9">
        <v>21384</v>
      </c>
      <c r="AR41" s="9">
        <v>3</v>
      </c>
      <c r="AS41" s="9">
        <v>59400</v>
      </c>
      <c r="AT41" s="9">
        <v>178200</v>
      </c>
      <c r="AU41" s="9">
        <v>21384</v>
      </c>
      <c r="AV41" s="22">
        <v>6</v>
      </c>
      <c r="AW41" s="22"/>
      <c r="AX41" s="22">
        <v>356400</v>
      </c>
      <c r="AY41" s="22">
        <v>42768</v>
      </c>
      <c r="AZ41" s="9">
        <v>3</v>
      </c>
      <c r="BA41" s="9">
        <v>59400</v>
      </c>
      <c r="BB41" s="9">
        <v>178200</v>
      </c>
      <c r="BC41" s="9">
        <v>21384</v>
      </c>
      <c r="BD41" s="9">
        <v>5</v>
      </c>
      <c r="BE41" s="9">
        <v>59400</v>
      </c>
      <c r="BF41" s="9">
        <v>297000</v>
      </c>
      <c r="BG41" s="9">
        <v>35640</v>
      </c>
      <c r="BH41" s="9">
        <v>3</v>
      </c>
      <c r="BI41" s="9">
        <v>59400</v>
      </c>
      <c r="BJ41" s="9">
        <v>178200</v>
      </c>
      <c r="BK41" s="9">
        <v>21384</v>
      </c>
      <c r="BL41" s="9">
        <v>5</v>
      </c>
      <c r="BM41" s="9">
        <v>59400</v>
      </c>
      <c r="BN41" s="9">
        <v>297000</v>
      </c>
      <c r="BO41" s="9">
        <v>35640</v>
      </c>
      <c r="BP41" s="9">
        <v>7</v>
      </c>
      <c r="BQ41" s="9">
        <v>59400</v>
      </c>
      <c r="BR41" s="9">
        <v>415800</v>
      </c>
      <c r="BS41" s="9">
        <v>49896</v>
      </c>
      <c r="BT41" s="22">
        <v>23</v>
      </c>
      <c r="BU41" s="22"/>
      <c r="BV41" s="22">
        <v>1366200</v>
      </c>
      <c r="BW41" s="22">
        <v>163944</v>
      </c>
      <c r="BX41" s="9">
        <v>5</v>
      </c>
      <c r="BY41" s="9">
        <v>59400</v>
      </c>
      <c r="BZ41" s="9">
        <v>297000</v>
      </c>
      <c r="CA41" s="9">
        <v>35640</v>
      </c>
      <c r="CB41" s="9">
        <v>5</v>
      </c>
      <c r="CC41" s="9">
        <v>59400</v>
      </c>
      <c r="CD41" s="9">
        <v>297000</v>
      </c>
      <c r="CE41" s="9">
        <v>35640</v>
      </c>
      <c r="CF41" s="9">
        <v>5</v>
      </c>
      <c r="CG41" s="9">
        <v>59400</v>
      </c>
      <c r="CH41" s="9">
        <v>297000</v>
      </c>
      <c r="CI41" s="9">
        <v>35640</v>
      </c>
      <c r="CJ41" s="9">
        <v>10</v>
      </c>
      <c r="CK41" s="9">
        <v>59400</v>
      </c>
      <c r="CL41" s="9">
        <v>594000</v>
      </c>
      <c r="CM41" s="9">
        <v>71280</v>
      </c>
      <c r="CN41" s="22">
        <v>25</v>
      </c>
      <c r="CO41" s="22"/>
      <c r="CP41" s="22">
        <v>1485000</v>
      </c>
      <c r="CQ41" s="22">
        <v>178200</v>
      </c>
      <c r="CR41" s="9">
        <v>5</v>
      </c>
      <c r="CS41" s="9">
        <v>59400</v>
      </c>
      <c r="CT41" s="9">
        <v>297000</v>
      </c>
      <c r="CU41" s="9">
        <v>35640</v>
      </c>
      <c r="CV41" s="9">
        <v>5</v>
      </c>
      <c r="CW41" s="9">
        <v>59400</v>
      </c>
      <c r="CX41" s="9">
        <v>297000</v>
      </c>
      <c r="CY41" s="9">
        <v>35640</v>
      </c>
      <c r="CZ41" s="9">
        <v>10</v>
      </c>
      <c r="DA41" s="9">
        <v>59400</v>
      </c>
      <c r="DB41" s="9">
        <v>594000</v>
      </c>
      <c r="DC41" s="9">
        <v>71280</v>
      </c>
      <c r="DD41" s="9">
        <v>8</v>
      </c>
      <c r="DE41" s="9">
        <v>59400</v>
      </c>
      <c r="DF41" s="9">
        <v>475200</v>
      </c>
      <c r="DG41" s="9">
        <v>57024</v>
      </c>
      <c r="DH41" s="22">
        <v>28</v>
      </c>
      <c r="DI41" s="22"/>
      <c r="DJ41" s="22">
        <v>1663200</v>
      </c>
      <c r="DK41" s="22">
        <v>199584</v>
      </c>
      <c r="DL41" s="9">
        <v>10</v>
      </c>
      <c r="DM41" s="9">
        <v>59400</v>
      </c>
      <c r="DN41" s="9">
        <v>594000</v>
      </c>
      <c r="DO41" s="9">
        <v>71280</v>
      </c>
      <c r="DP41" s="9">
        <v>10</v>
      </c>
      <c r="DQ41" s="9">
        <v>59400</v>
      </c>
      <c r="DR41" s="9">
        <v>594000</v>
      </c>
      <c r="DS41" s="9">
        <v>71280</v>
      </c>
      <c r="DT41" s="9">
        <v>3</v>
      </c>
      <c r="DU41" s="9">
        <v>59400</v>
      </c>
      <c r="DV41" s="9">
        <v>178200</v>
      </c>
      <c r="DW41" s="9">
        <v>21384</v>
      </c>
      <c r="DX41" s="9">
        <v>15</v>
      </c>
      <c r="DY41" s="9">
        <v>59400</v>
      </c>
      <c r="DZ41" s="9">
        <v>891000</v>
      </c>
      <c r="EA41" s="9">
        <v>106920</v>
      </c>
      <c r="EB41" s="9">
        <v>15</v>
      </c>
      <c r="EC41" s="9">
        <v>61050</v>
      </c>
      <c r="ED41" s="9">
        <v>899250</v>
      </c>
      <c r="EE41" s="9">
        <v>107910</v>
      </c>
      <c r="EF41" s="22">
        <v>53</v>
      </c>
      <c r="EG41" s="22"/>
      <c r="EH41" s="22">
        <v>3156450</v>
      </c>
      <c r="EI41" s="22">
        <v>378774</v>
      </c>
      <c r="EJ41" s="9">
        <v>10</v>
      </c>
      <c r="EK41" s="9">
        <v>61050</v>
      </c>
      <c r="EL41" s="9">
        <v>610500</v>
      </c>
      <c r="EM41" s="9">
        <v>73260</v>
      </c>
      <c r="EN41" s="9">
        <v>3</v>
      </c>
      <c r="EO41" s="9">
        <v>61050</v>
      </c>
      <c r="EP41" s="9">
        <v>183150</v>
      </c>
      <c r="EQ41" s="9">
        <v>21978</v>
      </c>
      <c r="ER41" s="9">
        <v>10</v>
      </c>
      <c r="ES41" s="9">
        <v>61050</v>
      </c>
      <c r="ET41" s="9">
        <v>610500</v>
      </c>
      <c r="EU41" s="9">
        <v>73260</v>
      </c>
      <c r="EV41" s="9">
        <v>10</v>
      </c>
      <c r="EW41" s="9">
        <v>61050</v>
      </c>
      <c r="EX41" s="9">
        <v>610500</v>
      </c>
      <c r="EY41" s="9">
        <v>73260</v>
      </c>
      <c r="EZ41" s="22">
        <v>33</v>
      </c>
      <c r="FA41" s="22"/>
      <c r="FB41" s="22">
        <v>2014650</v>
      </c>
      <c r="FC41" s="22">
        <v>241758</v>
      </c>
      <c r="FD41" s="9">
        <v>10</v>
      </c>
      <c r="FE41" s="9">
        <v>61050</v>
      </c>
      <c r="FF41" s="9">
        <v>610500</v>
      </c>
      <c r="FG41" s="9">
        <v>73260</v>
      </c>
      <c r="FH41" s="9">
        <v>8</v>
      </c>
      <c r="FI41" s="9">
        <v>61050</v>
      </c>
      <c r="FJ41" s="9">
        <v>488400</v>
      </c>
      <c r="FK41" s="9">
        <v>58608</v>
      </c>
      <c r="FL41" s="9">
        <v>8</v>
      </c>
      <c r="FM41" s="9">
        <v>61050</v>
      </c>
      <c r="FN41" s="9">
        <v>488400</v>
      </c>
      <c r="FO41" s="9">
        <v>58608</v>
      </c>
      <c r="FP41" s="9">
        <v>8</v>
      </c>
      <c r="FQ41" s="9">
        <v>61050</v>
      </c>
      <c r="FR41" s="9">
        <v>488400</v>
      </c>
      <c r="FS41" s="9">
        <v>58608</v>
      </c>
      <c r="FT41" s="22">
        <v>34</v>
      </c>
      <c r="FU41" s="22"/>
      <c r="FV41" s="22">
        <v>2075700</v>
      </c>
      <c r="FW41" s="22">
        <v>249084</v>
      </c>
      <c r="FX41" s="9">
        <v>8</v>
      </c>
      <c r="FY41" s="9">
        <v>61050</v>
      </c>
      <c r="FZ41" s="9">
        <v>488400</v>
      </c>
      <c r="GA41" s="9">
        <v>58608</v>
      </c>
      <c r="GB41" s="9">
        <v>5</v>
      </c>
      <c r="GC41" s="9">
        <v>61050</v>
      </c>
      <c r="GD41" s="9">
        <v>305250</v>
      </c>
      <c r="GE41" s="9">
        <v>36630</v>
      </c>
      <c r="GF41" s="9">
        <v>3</v>
      </c>
      <c r="GG41" s="9">
        <v>61050</v>
      </c>
      <c r="GH41" s="9">
        <v>183150</v>
      </c>
      <c r="GI41" s="9">
        <v>21978</v>
      </c>
      <c r="GJ41" s="9">
        <v>3</v>
      </c>
      <c r="GK41" s="9">
        <v>61050</v>
      </c>
      <c r="GL41" s="9">
        <v>183150</v>
      </c>
      <c r="GM41" s="9">
        <v>21978</v>
      </c>
      <c r="GN41" s="9">
        <v>8</v>
      </c>
      <c r="GO41" s="9">
        <v>61050</v>
      </c>
      <c r="GP41" s="9">
        <v>488400</v>
      </c>
      <c r="GQ41" s="9">
        <v>58608</v>
      </c>
      <c r="GR41" s="22">
        <v>27</v>
      </c>
      <c r="GS41" s="22"/>
      <c r="GT41" s="22">
        <v>1648350</v>
      </c>
      <c r="GU41" s="22">
        <v>197802</v>
      </c>
      <c r="GV41" s="9">
        <v>0</v>
      </c>
      <c r="GW41" s="9">
        <v>0</v>
      </c>
      <c r="GX41" s="9">
        <v>0</v>
      </c>
      <c r="GY41" s="9">
        <v>0</v>
      </c>
      <c r="GZ41" s="9">
        <v>5</v>
      </c>
      <c r="HA41" s="9">
        <v>61050</v>
      </c>
      <c r="HB41" s="9">
        <v>305250</v>
      </c>
      <c r="HC41" s="9">
        <v>36630</v>
      </c>
      <c r="HD41" s="9">
        <v>3</v>
      </c>
      <c r="HE41" s="9">
        <v>61050</v>
      </c>
      <c r="HF41" s="9">
        <v>183150</v>
      </c>
      <c r="HG41" s="9">
        <v>21978</v>
      </c>
      <c r="HH41" s="9">
        <v>5</v>
      </c>
      <c r="HI41" s="9">
        <v>61050</v>
      </c>
      <c r="HJ41" s="9">
        <v>305250</v>
      </c>
      <c r="HK41" s="9">
        <v>36630</v>
      </c>
      <c r="HL41" s="22">
        <v>13</v>
      </c>
      <c r="HM41" s="22"/>
      <c r="HN41" s="22">
        <v>793650</v>
      </c>
      <c r="HO41" s="22">
        <v>95238</v>
      </c>
      <c r="HP41" s="9">
        <v>0</v>
      </c>
      <c r="HQ41" s="9">
        <v>0</v>
      </c>
      <c r="HR41" s="9">
        <v>0</v>
      </c>
      <c r="HS41" s="9">
        <v>0</v>
      </c>
      <c r="HT41" s="9">
        <v>3</v>
      </c>
      <c r="HU41" s="9">
        <v>61050</v>
      </c>
      <c r="HV41" s="9">
        <v>183150</v>
      </c>
      <c r="HW41" s="9">
        <v>21978</v>
      </c>
      <c r="HX41" s="9">
        <v>3</v>
      </c>
      <c r="HY41" s="9">
        <v>61050</v>
      </c>
      <c r="HZ41" s="9">
        <v>183150</v>
      </c>
      <c r="IA41" s="9">
        <v>21978</v>
      </c>
      <c r="IB41" s="9">
        <v>3</v>
      </c>
      <c r="IC41" s="9">
        <v>61050</v>
      </c>
      <c r="ID41" s="9">
        <v>183150</v>
      </c>
      <c r="IE41" s="9">
        <v>21978</v>
      </c>
      <c r="IF41" s="22">
        <v>9</v>
      </c>
      <c r="IG41" s="22"/>
      <c r="IH41" s="22">
        <v>549450</v>
      </c>
      <c r="II41" s="22">
        <v>65934</v>
      </c>
      <c r="IJ41" s="9">
        <v>3</v>
      </c>
      <c r="IK41" s="9">
        <v>61050</v>
      </c>
      <c r="IL41" s="9">
        <v>183150</v>
      </c>
      <c r="IM41" s="9">
        <v>21978</v>
      </c>
      <c r="IN41" s="9">
        <v>0</v>
      </c>
      <c r="IO41" s="9">
        <v>0</v>
      </c>
      <c r="IP41" s="9">
        <v>0</v>
      </c>
      <c r="IQ41" s="9">
        <v>0</v>
      </c>
      <c r="IR41" s="9">
        <v>3</v>
      </c>
      <c r="IS41" s="9">
        <v>61050</v>
      </c>
      <c r="IT41" s="9">
        <v>183150</v>
      </c>
      <c r="IU41" s="9">
        <v>21978</v>
      </c>
      <c r="IV41" s="9">
        <v>0</v>
      </c>
      <c r="IW41" s="9">
        <v>0</v>
      </c>
      <c r="IX41" s="9">
        <v>0</v>
      </c>
      <c r="IY41" s="9">
        <v>0</v>
      </c>
      <c r="IZ41" s="9">
        <v>0</v>
      </c>
      <c r="JA41" s="9">
        <v>0</v>
      </c>
      <c r="JB41" s="9">
        <v>0</v>
      </c>
      <c r="JC41" s="9">
        <v>0</v>
      </c>
      <c r="JD41" s="22">
        <v>6</v>
      </c>
      <c r="JE41" s="22"/>
      <c r="JF41" s="22">
        <v>366300</v>
      </c>
      <c r="JG41" s="22">
        <v>43956</v>
      </c>
      <c r="JH41" s="9">
        <v>3</v>
      </c>
      <c r="JI41" s="9">
        <v>61050</v>
      </c>
      <c r="JJ41" s="9">
        <v>183150</v>
      </c>
      <c r="JK41" s="9">
        <v>21978</v>
      </c>
      <c r="JL41" s="9">
        <v>3</v>
      </c>
      <c r="JM41" s="9">
        <v>61050</v>
      </c>
      <c r="JN41" s="9">
        <v>183150</v>
      </c>
      <c r="JO41" s="9">
        <v>21978</v>
      </c>
      <c r="JP41" s="9">
        <v>0</v>
      </c>
      <c r="JQ41" s="9">
        <v>0</v>
      </c>
      <c r="JR41" s="9">
        <v>0</v>
      </c>
      <c r="JS41" s="9">
        <v>0</v>
      </c>
      <c r="JT41" s="9">
        <v>5</v>
      </c>
      <c r="JU41" s="9">
        <v>61050</v>
      </c>
      <c r="JV41" s="9">
        <v>305250</v>
      </c>
      <c r="JW41" s="9">
        <v>36630</v>
      </c>
      <c r="JX41" s="22">
        <v>11</v>
      </c>
      <c r="JY41" s="22"/>
      <c r="JZ41" s="22">
        <v>671550</v>
      </c>
      <c r="KA41" s="22">
        <v>80586</v>
      </c>
      <c r="KB41" s="9">
        <v>0</v>
      </c>
      <c r="KC41" s="9">
        <v>0</v>
      </c>
      <c r="KD41" s="9">
        <v>0</v>
      </c>
      <c r="KE41" s="9">
        <v>0</v>
      </c>
      <c r="KF41" s="9">
        <v>7</v>
      </c>
      <c r="KG41" s="9">
        <v>61050</v>
      </c>
      <c r="KH41" s="9">
        <v>427350</v>
      </c>
      <c r="KI41" s="9">
        <v>51282</v>
      </c>
      <c r="KJ41" s="9">
        <v>0</v>
      </c>
      <c r="KK41" s="9">
        <v>0</v>
      </c>
      <c r="KL41" s="9">
        <v>0</v>
      </c>
      <c r="KM41" s="9">
        <v>0</v>
      </c>
      <c r="KN41" s="9">
        <v>3</v>
      </c>
      <c r="KO41" s="9">
        <v>61050</v>
      </c>
      <c r="KP41" s="9">
        <v>183150</v>
      </c>
      <c r="KQ41" s="9">
        <v>21978</v>
      </c>
      <c r="KR41" s="22">
        <v>10</v>
      </c>
      <c r="KS41" s="22"/>
      <c r="KT41" s="22">
        <v>610500</v>
      </c>
      <c r="KU41" s="22">
        <v>73260</v>
      </c>
      <c r="KV41" s="22">
        <v>291</v>
      </c>
      <c r="KW41" s="22"/>
      <c r="KX41" s="22">
        <v>17529600</v>
      </c>
      <c r="KY41" s="22">
        <v>2103552</v>
      </c>
    </row>
    <row r="42" spans="1:311" ht="16.95" customHeight="1" x14ac:dyDescent="0.4">
      <c r="A42" s="15"/>
      <c r="B42" s="15"/>
      <c r="C42" s="15" t="s">
        <v>51</v>
      </c>
      <c r="D42" s="16">
        <v>1</v>
      </c>
      <c r="E42" s="16">
        <v>78375</v>
      </c>
      <c r="F42" s="16">
        <v>78375</v>
      </c>
      <c r="G42" s="16">
        <v>9405</v>
      </c>
      <c r="H42" s="23">
        <v>1</v>
      </c>
      <c r="I42" s="23"/>
      <c r="J42" s="23">
        <v>78375</v>
      </c>
      <c r="K42" s="23">
        <v>9405</v>
      </c>
      <c r="L42" s="16">
        <v>0</v>
      </c>
      <c r="M42" s="16">
        <v>0</v>
      </c>
      <c r="N42" s="16">
        <v>0</v>
      </c>
      <c r="O42" s="16">
        <v>0</v>
      </c>
      <c r="P42" s="16">
        <v>1</v>
      </c>
      <c r="Q42" s="16">
        <v>78375</v>
      </c>
      <c r="R42" s="16">
        <v>78375</v>
      </c>
      <c r="S42" s="16">
        <v>9405</v>
      </c>
      <c r="T42" s="16">
        <v>2</v>
      </c>
      <c r="U42" s="16">
        <v>78375</v>
      </c>
      <c r="V42" s="16">
        <v>156750</v>
      </c>
      <c r="W42" s="16">
        <v>18810</v>
      </c>
      <c r="X42" s="16">
        <v>1</v>
      </c>
      <c r="Y42" s="16">
        <v>78375</v>
      </c>
      <c r="Z42" s="16">
        <v>78375</v>
      </c>
      <c r="AA42" s="16">
        <v>9405</v>
      </c>
      <c r="AB42" s="23">
        <v>4</v>
      </c>
      <c r="AC42" s="23"/>
      <c r="AD42" s="23">
        <v>313500</v>
      </c>
      <c r="AE42" s="23">
        <v>37620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1</v>
      </c>
      <c r="AS42" s="16">
        <v>78375</v>
      </c>
      <c r="AT42" s="16">
        <v>78375</v>
      </c>
      <c r="AU42" s="16">
        <v>9405</v>
      </c>
      <c r="AV42" s="23">
        <v>1</v>
      </c>
      <c r="AW42" s="23"/>
      <c r="AX42" s="23">
        <v>78375</v>
      </c>
      <c r="AY42" s="23">
        <v>9405</v>
      </c>
      <c r="AZ42" s="16">
        <v>1</v>
      </c>
      <c r="BA42" s="16">
        <v>78375</v>
      </c>
      <c r="BB42" s="16">
        <v>78375</v>
      </c>
      <c r="BC42" s="16">
        <v>9405</v>
      </c>
      <c r="BD42" s="16">
        <v>1</v>
      </c>
      <c r="BE42" s="16">
        <v>78375</v>
      </c>
      <c r="BF42" s="16">
        <v>78375</v>
      </c>
      <c r="BG42" s="16">
        <v>9405</v>
      </c>
      <c r="BH42" s="16">
        <v>1</v>
      </c>
      <c r="BI42" s="16">
        <v>78375</v>
      </c>
      <c r="BJ42" s="16">
        <v>78375</v>
      </c>
      <c r="BK42" s="16">
        <v>9405</v>
      </c>
      <c r="BL42" s="16">
        <v>1</v>
      </c>
      <c r="BM42" s="16">
        <v>78375</v>
      </c>
      <c r="BN42" s="16">
        <v>78375</v>
      </c>
      <c r="BO42" s="16">
        <v>9405</v>
      </c>
      <c r="BP42" s="16">
        <v>2</v>
      </c>
      <c r="BQ42" s="16">
        <v>78375</v>
      </c>
      <c r="BR42" s="16">
        <v>156750</v>
      </c>
      <c r="BS42" s="16">
        <v>18810</v>
      </c>
      <c r="BT42" s="23">
        <v>6</v>
      </c>
      <c r="BU42" s="23"/>
      <c r="BV42" s="23">
        <v>470250</v>
      </c>
      <c r="BW42" s="23">
        <v>56430</v>
      </c>
      <c r="BX42" s="16">
        <v>1</v>
      </c>
      <c r="BY42" s="16">
        <v>78375</v>
      </c>
      <c r="BZ42" s="16">
        <v>78375</v>
      </c>
      <c r="CA42" s="16">
        <v>9405</v>
      </c>
      <c r="CB42" s="16">
        <v>1</v>
      </c>
      <c r="CC42" s="16">
        <v>78375</v>
      </c>
      <c r="CD42" s="16">
        <v>78375</v>
      </c>
      <c r="CE42" s="16">
        <v>9405</v>
      </c>
      <c r="CF42" s="16">
        <v>2</v>
      </c>
      <c r="CG42" s="16">
        <v>78375</v>
      </c>
      <c r="CH42" s="16">
        <v>156750</v>
      </c>
      <c r="CI42" s="16">
        <v>18810</v>
      </c>
      <c r="CJ42" s="16">
        <v>4</v>
      </c>
      <c r="CK42" s="16">
        <v>78375</v>
      </c>
      <c r="CL42" s="16">
        <v>313500</v>
      </c>
      <c r="CM42" s="16">
        <v>37620</v>
      </c>
      <c r="CN42" s="23">
        <v>8</v>
      </c>
      <c r="CO42" s="23"/>
      <c r="CP42" s="23">
        <v>627000</v>
      </c>
      <c r="CQ42" s="23">
        <v>75240</v>
      </c>
      <c r="CR42" s="16">
        <v>1</v>
      </c>
      <c r="CS42" s="16">
        <v>78375</v>
      </c>
      <c r="CT42" s="16">
        <v>78375</v>
      </c>
      <c r="CU42" s="16">
        <v>9405</v>
      </c>
      <c r="CV42" s="16">
        <v>1</v>
      </c>
      <c r="CW42" s="16">
        <v>78375</v>
      </c>
      <c r="CX42" s="16">
        <v>78375</v>
      </c>
      <c r="CY42" s="16">
        <v>9405</v>
      </c>
      <c r="CZ42" s="16">
        <v>2</v>
      </c>
      <c r="DA42" s="16">
        <v>78375</v>
      </c>
      <c r="DB42" s="16">
        <v>156750</v>
      </c>
      <c r="DC42" s="16">
        <v>18810</v>
      </c>
      <c r="DD42" s="16">
        <v>4</v>
      </c>
      <c r="DE42" s="16">
        <v>78375</v>
      </c>
      <c r="DF42" s="16">
        <v>313500</v>
      </c>
      <c r="DG42" s="16">
        <v>37620</v>
      </c>
      <c r="DH42" s="23">
        <v>8</v>
      </c>
      <c r="DI42" s="23"/>
      <c r="DJ42" s="23">
        <v>627000</v>
      </c>
      <c r="DK42" s="23">
        <v>75240</v>
      </c>
      <c r="DL42" s="16">
        <v>2</v>
      </c>
      <c r="DM42" s="16">
        <v>78375</v>
      </c>
      <c r="DN42" s="16">
        <v>156750</v>
      </c>
      <c r="DO42" s="16">
        <v>18810</v>
      </c>
      <c r="DP42" s="16">
        <v>4</v>
      </c>
      <c r="DQ42" s="16">
        <v>78375</v>
      </c>
      <c r="DR42" s="16">
        <v>313500</v>
      </c>
      <c r="DS42" s="16">
        <v>37620</v>
      </c>
      <c r="DT42" s="16">
        <v>2</v>
      </c>
      <c r="DU42" s="16">
        <v>78375</v>
      </c>
      <c r="DV42" s="16">
        <v>156750</v>
      </c>
      <c r="DW42" s="16">
        <v>18810</v>
      </c>
      <c r="DX42" s="16">
        <v>3</v>
      </c>
      <c r="DY42" s="16">
        <v>78375</v>
      </c>
      <c r="DZ42" s="16">
        <v>235125</v>
      </c>
      <c r="EA42" s="16">
        <v>28215</v>
      </c>
      <c r="EB42" s="16">
        <v>5</v>
      </c>
      <c r="EC42" s="16">
        <v>80300</v>
      </c>
      <c r="ED42" s="16">
        <v>395725</v>
      </c>
      <c r="EE42" s="16">
        <v>47487</v>
      </c>
      <c r="EF42" s="23">
        <v>16</v>
      </c>
      <c r="EG42" s="23"/>
      <c r="EH42" s="23">
        <v>1257850</v>
      </c>
      <c r="EI42" s="23">
        <v>150942</v>
      </c>
      <c r="EJ42" s="16">
        <v>4</v>
      </c>
      <c r="EK42" s="16">
        <v>80300</v>
      </c>
      <c r="EL42" s="16">
        <v>321200</v>
      </c>
      <c r="EM42" s="16">
        <v>38544</v>
      </c>
      <c r="EN42" s="16">
        <v>1</v>
      </c>
      <c r="EO42" s="16">
        <v>80300</v>
      </c>
      <c r="EP42" s="16">
        <v>80300</v>
      </c>
      <c r="EQ42" s="16">
        <v>9636</v>
      </c>
      <c r="ER42" s="16">
        <v>4</v>
      </c>
      <c r="ES42" s="16">
        <v>80300</v>
      </c>
      <c r="ET42" s="16">
        <v>321200</v>
      </c>
      <c r="EU42" s="16">
        <v>38544</v>
      </c>
      <c r="EV42" s="16">
        <v>4</v>
      </c>
      <c r="EW42" s="16">
        <v>80300</v>
      </c>
      <c r="EX42" s="16">
        <v>321200</v>
      </c>
      <c r="EY42" s="16">
        <v>38544</v>
      </c>
      <c r="EZ42" s="23">
        <v>13</v>
      </c>
      <c r="FA42" s="23"/>
      <c r="FB42" s="23">
        <v>1043900</v>
      </c>
      <c r="FC42" s="23">
        <v>125268</v>
      </c>
      <c r="FD42" s="16">
        <v>2</v>
      </c>
      <c r="FE42" s="16">
        <v>80300</v>
      </c>
      <c r="FF42" s="16">
        <v>160600</v>
      </c>
      <c r="FG42" s="16">
        <v>19272</v>
      </c>
      <c r="FH42" s="16">
        <v>3</v>
      </c>
      <c r="FI42" s="16">
        <v>80300</v>
      </c>
      <c r="FJ42" s="16">
        <v>240900</v>
      </c>
      <c r="FK42" s="16">
        <v>28908</v>
      </c>
      <c r="FL42" s="16">
        <v>4</v>
      </c>
      <c r="FM42" s="16">
        <v>80300</v>
      </c>
      <c r="FN42" s="16">
        <v>321200</v>
      </c>
      <c r="FO42" s="16">
        <v>38544</v>
      </c>
      <c r="FP42" s="16">
        <v>2</v>
      </c>
      <c r="FQ42" s="16">
        <v>80300</v>
      </c>
      <c r="FR42" s="16">
        <v>160600</v>
      </c>
      <c r="FS42" s="16">
        <v>19272</v>
      </c>
      <c r="FT42" s="23">
        <v>11</v>
      </c>
      <c r="FU42" s="23"/>
      <c r="FV42" s="23">
        <v>883300</v>
      </c>
      <c r="FW42" s="23">
        <v>105996</v>
      </c>
      <c r="FX42" s="16">
        <v>3</v>
      </c>
      <c r="FY42" s="16">
        <v>80300</v>
      </c>
      <c r="FZ42" s="16">
        <v>240900</v>
      </c>
      <c r="GA42" s="16">
        <v>28908</v>
      </c>
      <c r="GB42" s="16">
        <v>1</v>
      </c>
      <c r="GC42" s="16">
        <v>80300</v>
      </c>
      <c r="GD42" s="16">
        <v>80300</v>
      </c>
      <c r="GE42" s="16">
        <v>9636</v>
      </c>
      <c r="GF42" s="16">
        <v>1</v>
      </c>
      <c r="GG42" s="16">
        <v>80300</v>
      </c>
      <c r="GH42" s="16">
        <v>80300</v>
      </c>
      <c r="GI42" s="16">
        <v>9636</v>
      </c>
      <c r="GJ42" s="16">
        <v>2</v>
      </c>
      <c r="GK42" s="16">
        <v>80300</v>
      </c>
      <c r="GL42" s="16">
        <v>160600</v>
      </c>
      <c r="GM42" s="16">
        <v>19272</v>
      </c>
      <c r="GN42" s="16">
        <v>2</v>
      </c>
      <c r="GO42" s="16">
        <v>80300</v>
      </c>
      <c r="GP42" s="16">
        <v>160600</v>
      </c>
      <c r="GQ42" s="16">
        <v>19272</v>
      </c>
      <c r="GR42" s="23">
        <v>9</v>
      </c>
      <c r="GS42" s="23"/>
      <c r="GT42" s="23">
        <v>722700</v>
      </c>
      <c r="GU42" s="23">
        <v>86724</v>
      </c>
      <c r="GV42" s="16">
        <v>0</v>
      </c>
      <c r="GW42" s="16">
        <v>0</v>
      </c>
      <c r="GX42" s="16">
        <v>0</v>
      </c>
      <c r="GY42" s="16">
        <v>0</v>
      </c>
      <c r="GZ42" s="16">
        <v>2</v>
      </c>
      <c r="HA42" s="16">
        <v>80300</v>
      </c>
      <c r="HB42" s="16">
        <v>160600</v>
      </c>
      <c r="HC42" s="16">
        <v>19272</v>
      </c>
      <c r="HD42" s="16">
        <v>0</v>
      </c>
      <c r="HE42" s="16">
        <v>0</v>
      </c>
      <c r="HF42" s="16">
        <v>0</v>
      </c>
      <c r="HG42" s="16">
        <v>0</v>
      </c>
      <c r="HH42" s="16">
        <v>1</v>
      </c>
      <c r="HI42" s="16">
        <v>80300</v>
      </c>
      <c r="HJ42" s="16">
        <v>80300</v>
      </c>
      <c r="HK42" s="16">
        <v>9636</v>
      </c>
      <c r="HL42" s="23">
        <v>3</v>
      </c>
      <c r="HM42" s="23"/>
      <c r="HN42" s="23">
        <v>240900</v>
      </c>
      <c r="HO42" s="23">
        <v>28908</v>
      </c>
      <c r="HP42" s="16">
        <v>0</v>
      </c>
      <c r="HQ42" s="16">
        <v>0</v>
      </c>
      <c r="HR42" s="16">
        <v>0</v>
      </c>
      <c r="HS42" s="16">
        <v>0</v>
      </c>
      <c r="HT42" s="16">
        <v>1</v>
      </c>
      <c r="HU42" s="16">
        <v>80300</v>
      </c>
      <c r="HV42" s="16">
        <v>80300</v>
      </c>
      <c r="HW42" s="16">
        <v>9636</v>
      </c>
      <c r="HX42" s="16">
        <v>1</v>
      </c>
      <c r="HY42" s="16">
        <v>80300</v>
      </c>
      <c r="HZ42" s="16">
        <v>80300</v>
      </c>
      <c r="IA42" s="16">
        <v>9636</v>
      </c>
      <c r="IB42" s="16">
        <v>1</v>
      </c>
      <c r="IC42" s="16">
        <v>80300</v>
      </c>
      <c r="ID42" s="16">
        <v>80300</v>
      </c>
      <c r="IE42" s="16">
        <v>9636</v>
      </c>
      <c r="IF42" s="23">
        <v>3</v>
      </c>
      <c r="IG42" s="23"/>
      <c r="IH42" s="23">
        <v>240900</v>
      </c>
      <c r="II42" s="23">
        <v>28908</v>
      </c>
      <c r="IJ42" s="16">
        <v>1</v>
      </c>
      <c r="IK42" s="16">
        <v>80300</v>
      </c>
      <c r="IL42" s="16">
        <v>80300</v>
      </c>
      <c r="IM42" s="16">
        <v>9636</v>
      </c>
      <c r="IN42" s="16">
        <v>0</v>
      </c>
      <c r="IO42" s="16">
        <v>0</v>
      </c>
      <c r="IP42" s="16">
        <v>0</v>
      </c>
      <c r="IQ42" s="16">
        <v>0</v>
      </c>
      <c r="IR42" s="16">
        <v>0</v>
      </c>
      <c r="IS42" s="16">
        <v>0</v>
      </c>
      <c r="IT42" s="16">
        <v>0</v>
      </c>
      <c r="IU42" s="16">
        <v>0</v>
      </c>
      <c r="IV42" s="16">
        <v>0</v>
      </c>
      <c r="IW42" s="16">
        <v>0</v>
      </c>
      <c r="IX42" s="16">
        <v>0</v>
      </c>
      <c r="IY42" s="16">
        <v>0</v>
      </c>
      <c r="IZ42" s="16">
        <v>0</v>
      </c>
      <c r="JA42" s="16">
        <v>0</v>
      </c>
      <c r="JB42" s="16">
        <v>0</v>
      </c>
      <c r="JC42" s="16">
        <v>0</v>
      </c>
      <c r="JD42" s="23">
        <v>1</v>
      </c>
      <c r="JE42" s="23"/>
      <c r="JF42" s="23">
        <v>80300</v>
      </c>
      <c r="JG42" s="23">
        <v>9636</v>
      </c>
      <c r="JH42" s="16">
        <v>1</v>
      </c>
      <c r="JI42" s="16">
        <v>80300</v>
      </c>
      <c r="JJ42" s="16">
        <v>80300</v>
      </c>
      <c r="JK42" s="16">
        <v>9636</v>
      </c>
      <c r="JL42" s="16">
        <v>1</v>
      </c>
      <c r="JM42" s="16">
        <v>80300</v>
      </c>
      <c r="JN42" s="16">
        <v>80300</v>
      </c>
      <c r="JO42" s="16">
        <v>9636</v>
      </c>
      <c r="JP42" s="16">
        <v>0</v>
      </c>
      <c r="JQ42" s="16">
        <v>0</v>
      </c>
      <c r="JR42" s="16">
        <v>0</v>
      </c>
      <c r="JS42" s="16">
        <v>0</v>
      </c>
      <c r="JT42" s="16">
        <v>2</v>
      </c>
      <c r="JU42" s="16">
        <v>80300</v>
      </c>
      <c r="JV42" s="16">
        <v>160600</v>
      </c>
      <c r="JW42" s="16">
        <v>19272</v>
      </c>
      <c r="JX42" s="23">
        <v>4</v>
      </c>
      <c r="JY42" s="23"/>
      <c r="JZ42" s="23">
        <v>321200</v>
      </c>
      <c r="KA42" s="23">
        <v>38544</v>
      </c>
      <c r="KB42" s="16">
        <v>0</v>
      </c>
      <c r="KC42" s="16">
        <v>0</v>
      </c>
      <c r="KD42" s="16">
        <v>0</v>
      </c>
      <c r="KE42" s="16">
        <v>0</v>
      </c>
      <c r="KF42" s="16">
        <v>2</v>
      </c>
      <c r="KG42" s="16">
        <v>80300</v>
      </c>
      <c r="KH42" s="16">
        <v>160600</v>
      </c>
      <c r="KI42" s="16">
        <v>19272</v>
      </c>
      <c r="KJ42" s="16">
        <v>0</v>
      </c>
      <c r="KK42" s="16">
        <v>0</v>
      </c>
      <c r="KL42" s="16">
        <v>0</v>
      </c>
      <c r="KM42" s="16">
        <v>0</v>
      </c>
      <c r="KN42" s="16">
        <v>1</v>
      </c>
      <c r="KO42" s="16">
        <v>80300</v>
      </c>
      <c r="KP42" s="16">
        <v>80300</v>
      </c>
      <c r="KQ42" s="16">
        <v>9636</v>
      </c>
      <c r="KR42" s="23">
        <v>3</v>
      </c>
      <c r="KS42" s="23"/>
      <c r="KT42" s="23">
        <v>240900</v>
      </c>
      <c r="KU42" s="23">
        <v>28908</v>
      </c>
      <c r="KV42" s="23">
        <v>91</v>
      </c>
      <c r="KW42" s="23"/>
      <c r="KX42" s="23">
        <v>7226450</v>
      </c>
      <c r="KY42" s="23">
        <v>867174</v>
      </c>
    </row>
    <row r="43" spans="1:311" ht="16.95" customHeight="1" x14ac:dyDescent="0.4">
      <c r="A43" s="6" t="s">
        <v>12</v>
      </c>
      <c r="B43" s="6"/>
      <c r="C43" s="6"/>
      <c r="D43" s="17">
        <v>27</v>
      </c>
      <c r="E43" s="17">
        <v>0</v>
      </c>
      <c r="F43" s="17">
        <v>1462417</v>
      </c>
      <c r="G43" s="17">
        <v>175490</v>
      </c>
      <c r="H43" s="17">
        <v>27</v>
      </c>
      <c r="I43" s="17">
        <v>0</v>
      </c>
      <c r="J43" s="17">
        <v>1462417</v>
      </c>
      <c r="K43" s="17">
        <v>175490</v>
      </c>
      <c r="L43" s="17">
        <v>45</v>
      </c>
      <c r="M43" s="17">
        <v>0</v>
      </c>
      <c r="N43" s="17">
        <v>2568434</v>
      </c>
      <c r="O43" s="17">
        <v>308212.09999999998</v>
      </c>
      <c r="P43" s="17">
        <v>37</v>
      </c>
      <c r="Q43" s="17">
        <v>0</v>
      </c>
      <c r="R43" s="17">
        <v>1913725</v>
      </c>
      <c r="S43" s="17">
        <v>229647</v>
      </c>
      <c r="T43" s="17">
        <v>42</v>
      </c>
      <c r="U43" s="17">
        <v>0</v>
      </c>
      <c r="V43" s="17">
        <v>2287725</v>
      </c>
      <c r="W43" s="17">
        <v>274527</v>
      </c>
      <c r="X43" s="17">
        <v>42</v>
      </c>
      <c r="Y43" s="17">
        <v>0</v>
      </c>
      <c r="Z43" s="17">
        <v>2317634</v>
      </c>
      <c r="AA43" s="17">
        <v>278116.09999999998</v>
      </c>
      <c r="AB43" s="17">
        <v>166</v>
      </c>
      <c r="AC43" s="17">
        <v>0</v>
      </c>
      <c r="AD43" s="17">
        <v>9087518</v>
      </c>
      <c r="AE43" s="17">
        <v>1090502.2</v>
      </c>
      <c r="AF43" s="17">
        <v>24</v>
      </c>
      <c r="AG43" s="17">
        <v>0</v>
      </c>
      <c r="AH43" s="17">
        <v>1372459</v>
      </c>
      <c r="AI43" s="17">
        <v>164695.1</v>
      </c>
      <c r="AJ43" s="17">
        <v>45</v>
      </c>
      <c r="AK43" s="17">
        <v>0</v>
      </c>
      <c r="AL43" s="17">
        <v>1154498</v>
      </c>
      <c r="AM43" s="17">
        <v>138539.79999999999</v>
      </c>
      <c r="AN43" s="17">
        <v>46</v>
      </c>
      <c r="AO43" s="17">
        <v>0</v>
      </c>
      <c r="AP43" s="17">
        <v>2817760</v>
      </c>
      <c r="AQ43" s="17">
        <v>338131.20000000001</v>
      </c>
      <c r="AR43" s="17">
        <v>34</v>
      </c>
      <c r="AS43" s="17">
        <v>0</v>
      </c>
      <c r="AT43" s="17">
        <v>1794617</v>
      </c>
      <c r="AU43" s="17">
        <v>215354</v>
      </c>
      <c r="AV43" s="17">
        <v>149</v>
      </c>
      <c r="AW43" s="17">
        <v>0</v>
      </c>
      <c r="AX43" s="17">
        <v>7139334</v>
      </c>
      <c r="AY43" s="17">
        <v>856720.1</v>
      </c>
      <c r="AZ43" s="17">
        <v>53</v>
      </c>
      <c r="BA43" s="17">
        <v>0</v>
      </c>
      <c r="BB43" s="17">
        <v>2970451</v>
      </c>
      <c r="BC43" s="17">
        <v>356454.1</v>
      </c>
      <c r="BD43" s="17">
        <v>47</v>
      </c>
      <c r="BE43" s="17">
        <v>0</v>
      </c>
      <c r="BF43" s="17">
        <v>2883760</v>
      </c>
      <c r="BG43" s="17">
        <v>346051.2</v>
      </c>
      <c r="BH43" s="17">
        <v>27</v>
      </c>
      <c r="BI43" s="17">
        <v>0</v>
      </c>
      <c r="BJ43" s="17">
        <v>1476992</v>
      </c>
      <c r="BK43" s="17">
        <v>177239</v>
      </c>
      <c r="BL43" s="17">
        <v>75</v>
      </c>
      <c r="BM43" s="17">
        <v>0</v>
      </c>
      <c r="BN43" s="17">
        <v>4714028</v>
      </c>
      <c r="BO43" s="17">
        <v>565683.4</v>
      </c>
      <c r="BP43" s="17">
        <v>77</v>
      </c>
      <c r="BQ43" s="17">
        <v>0</v>
      </c>
      <c r="BR43" s="17">
        <v>3683057</v>
      </c>
      <c r="BS43" s="17">
        <v>441966.8</v>
      </c>
      <c r="BT43" s="17">
        <v>279</v>
      </c>
      <c r="BU43" s="17">
        <v>0</v>
      </c>
      <c r="BV43" s="17">
        <v>15728288</v>
      </c>
      <c r="BW43" s="17">
        <v>1887394.6</v>
      </c>
      <c r="BX43" s="17">
        <v>97</v>
      </c>
      <c r="BY43" s="17">
        <v>0</v>
      </c>
      <c r="BZ43" s="17">
        <v>4389385</v>
      </c>
      <c r="CA43" s="17">
        <v>526726.19999999995</v>
      </c>
      <c r="CB43" s="17">
        <v>54</v>
      </c>
      <c r="CC43" s="17">
        <v>0</v>
      </c>
      <c r="CD43" s="17">
        <v>3136606</v>
      </c>
      <c r="CE43" s="17">
        <v>376392.7</v>
      </c>
      <c r="CF43" s="17">
        <v>76</v>
      </c>
      <c r="CG43" s="17">
        <v>0</v>
      </c>
      <c r="CH43" s="17">
        <v>4489727</v>
      </c>
      <c r="CI43" s="17">
        <v>538767.19999999995</v>
      </c>
      <c r="CJ43" s="17">
        <v>111</v>
      </c>
      <c r="CK43" s="17">
        <v>0</v>
      </c>
      <c r="CL43" s="17">
        <v>6178656</v>
      </c>
      <c r="CM43" s="17">
        <v>741438.7</v>
      </c>
      <c r="CN43" s="17">
        <v>338</v>
      </c>
      <c r="CO43" s="17">
        <v>0</v>
      </c>
      <c r="CP43" s="17">
        <v>18194374</v>
      </c>
      <c r="CQ43" s="17">
        <v>2183324.9</v>
      </c>
      <c r="CR43" s="17">
        <v>87</v>
      </c>
      <c r="CS43" s="17">
        <v>0</v>
      </c>
      <c r="CT43" s="17">
        <v>5193562</v>
      </c>
      <c r="CU43" s="17">
        <v>623227.4</v>
      </c>
      <c r="CV43" s="17">
        <v>70</v>
      </c>
      <c r="CW43" s="17">
        <v>0</v>
      </c>
      <c r="CX43" s="17">
        <v>3468258</v>
      </c>
      <c r="CY43" s="17">
        <v>416191</v>
      </c>
      <c r="CZ43" s="17">
        <v>131</v>
      </c>
      <c r="DA43" s="17">
        <v>0</v>
      </c>
      <c r="DB43" s="17">
        <v>6668937</v>
      </c>
      <c r="DC43" s="17">
        <v>800272.4</v>
      </c>
      <c r="DD43" s="17">
        <v>121</v>
      </c>
      <c r="DE43" s="17">
        <v>0</v>
      </c>
      <c r="DF43" s="17">
        <v>5575339</v>
      </c>
      <c r="DG43" s="17">
        <v>669040.69999999995</v>
      </c>
      <c r="DH43" s="17">
        <v>409</v>
      </c>
      <c r="DI43" s="17">
        <v>0</v>
      </c>
      <c r="DJ43" s="17">
        <v>20906096</v>
      </c>
      <c r="DK43" s="17">
        <v>2508731.5</v>
      </c>
      <c r="DL43" s="17">
        <v>118</v>
      </c>
      <c r="DM43" s="17">
        <v>0</v>
      </c>
      <c r="DN43" s="17">
        <v>7059633</v>
      </c>
      <c r="DO43" s="17">
        <v>847156</v>
      </c>
      <c r="DP43" s="17">
        <v>135</v>
      </c>
      <c r="DQ43" s="17">
        <v>0</v>
      </c>
      <c r="DR43" s="17">
        <v>7992138</v>
      </c>
      <c r="DS43" s="17">
        <v>959056.6</v>
      </c>
      <c r="DT43" s="17">
        <v>62</v>
      </c>
      <c r="DU43" s="17">
        <v>0</v>
      </c>
      <c r="DV43" s="17">
        <v>3664485</v>
      </c>
      <c r="DW43" s="17">
        <v>439738.2</v>
      </c>
      <c r="DX43" s="17">
        <v>124</v>
      </c>
      <c r="DY43" s="17">
        <v>0</v>
      </c>
      <c r="DZ43" s="17">
        <v>7026052</v>
      </c>
      <c r="EA43" s="17">
        <v>843126.2</v>
      </c>
      <c r="EB43" s="17">
        <v>178</v>
      </c>
      <c r="EC43" s="17">
        <v>0</v>
      </c>
      <c r="ED43" s="17">
        <v>9300190</v>
      </c>
      <c r="EE43" s="17">
        <v>1116022.8</v>
      </c>
      <c r="EF43" s="17">
        <v>617</v>
      </c>
      <c r="EG43" s="17">
        <v>0</v>
      </c>
      <c r="EH43" s="17">
        <v>35042498</v>
      </c>
      <c r="EI43" s="17">
        <v>4205099.8</v>
      </c>
      <c r="EJ43" s="17">
        <v>154</v>
      </c>
      <c r="EK43" s="17">
        <v>0</v>
      </c>
      <c r="EL43" s="17">
        <v>8410644</v>
      </c>
      <c r="EM43" s="17">
        <v>1009277.3</v>
      </c>
      <c r="EN43" s="17">
        <v>96</v>
      </c>
      <c r="EO43" s="17">
        <v>0</v>
      </c>
      <c r="EP43" s="17">
        <v>3794153</v>
      </c>
      <c r="EQ43" s="17">
        <v>455298.4</v>
      </c>
      <c r="ER43" s="17">
        <v>137</v>
      </c>
      <c r="ES43" s="17">
        <v>0</v>
      </c>
      <c r="ET43" s="17">
        <v>7871473</v>
      </c>
      <c r="EU43" s="17">
        <v>944576.8</v>
      </c>
      <c r="EV43" s="17">
        <v>146</v>
      </c>
      <c r="EW43" s="17">
        <v>0</v>
      </c>
      <c r="EX43" s="17">
        <v>8510304</v>
      </c>
      <c r="EY43" s="17">
        <v>1021236.5</v>
      </c>
      <c r="EZ43" s="17">
        <v>533</v>
      </c>
      <c r="FA43" s="17">
        <v>0</v>
      </c>
      <c r="FB43" s="17">
        <v>28586574</v>
      </c>
      <c r="FC43" s="17">
        <v>3430388.9</v>
      </c>
      <c r="FD43" s="17">
        <v>160</v>
      </c>
      <c r="FE43" s="17">
        <v>0</v>
      </c>
      <c r="FF43" s="17">
        <v>6917022</v>
      </c>
      <c r="FG43" s="17">
        <v>830042.6</v>
      </c>
      <c r="FH43" s="17">
        <v>119</v>
      </c>
      <c r="FI43" s="17">
        <v>0</v>
      </c>
      <c r="FJ43" s="17">
        <v>5558898</v>
      </c>
      <c r="FK43" s="17">
        <v>667067.80000000005</v>
      </c>
      <c r="FL43" s="17">
        <v>127</v>
      </c>
      <c r="FM43" s="17">
        <v>0</v>
      </c>
      <c r="FN43" s="17">
        <v>7632438</v>
      </c>
      <c r="FO43" s="17">
        <v>915892.6</v>
      </c>
      <c r="FP43" s="17">
        <v>124</v>
      </c>
      <c r="FQ43" s="17">
        <v>0</v>
      </c>
      <c r="FR43" s="17">
        <v>6851055</v>
      </c>
      <c r="FS43" s="17">
        <v>822126.6</v>
      </c>
      <c r="FT43" s="17">
        <v>530</v>
      </c>
      <c r="FU43" s="17">
        <v>0</v>
      </c>
      <c r="FV43" s="17">
        <v>26959413</v>
      </c>
      <c r="FW43" s="17">
        <v>3235129.6</v>
      </c>
      <c r="FX43" s="17">
        <v>105</v>
      </c>
      <c r="FY43" s="17">
        <v>0</v>
      </c>
      <c r="FZ43" s="17">
        <v>6016428</v>
      </c>
      <c r="GA43" s="17">
        <v>721971.4</v>
      </c>
      <c r="GB43" s="17">
        <v>87</v>
      </c>
      <c r="GC43" s="17">
        <v>0</v>
      </c>
      <c r="GD43" s="17">
        <v>5196356</v>
      </c>
      <c r="GE43" s="17">
        <v>623562.69999999995</v>
      </c>
      <c r="GF43" s="17">
        <v>67</v>
      </c>
      <c r="GG43" s="17">
        <v>0</v>
      </c>
      <c r="GH43" s="17">
        <v>3375033</v>
      </c>
      <c r="GI43" s="17">
        <v>405004</v>
      </c>
      <c r="GJ43" s="17">
        <v>93</v>
      </c>
      <c r="GK43" s="17">
        <v>0</v>
      </c>
      <c r="GL43" s="17">
        <v>4441844</v>
      </c>
      <c r="GM43" s="17">
        <v>533021.30000000005</v>
      </c>
      <c r="GN43" s="17">
        <v>102</v>
      </c>
      <c r="GO43" s="17">
        <v>0</v>
      </c>
      <c r="GP43" s="17">
        <v>5648544</v>
      </c>
      <c r="GQ43" s="17">
        <v>677825.3</v>
      </c>
      <c r="GR43" s="17">
        <v>454</v>
      </c>
      <c r="GS43" s="17">
        <v>0</v>
      </c>
      <c r="GT43" s="17">
        <v>24678205</v>
      </c>
      <c r="GU43" s="17">
        <v>2961384.6</v>
      </c>
      <c r="GV43" s="17">
        <v>19</v>
      </c>
      <c r="GW43" s="17">
        <v>0</v>
      </c>
      <c r="GX43" s="17">
        <v>1095842</v>
      </c>
      <c r="GY43" s="17">
        <v>131501</v>
      </c>
      <c r="GZ43" s="17">
        <v>75</v>
      </c>
      <c r="HA43" s="17">
        <v>0</v>
      </c>
      <c r="HB43" s="17">
        <v>4597186</v>
      </c>
      <c r="HC43" s="17">
        <v>551662.30000000005</v>
      </c>
      <c r="HD43" s="17">
        <v>64</v>
      </c>
      <c r="HE43" s="17">
        <v>0</v>
      </c>
      <c r="HF43" s="17">
        <v>2115621</v>
      </c>
      <c r="HG43" s="17">
        <v>253874.5</v>
      </c>
      <c r="HH43" s="17">
        <v>45</v>
      </c>
      <c r="HI43" s="17">
        <v>0</v>
      </c>
      <c r="HJ43" s="17">
        <v>2566960</v>
      </c>
      <c r="HK43" s="17">
        <v>308035.20000000001</v>
      </c>
      <c r="HL43" s="17">
        <v>203</v>
      </c>
      <c r="HM43" s="17">
        <v>0</v>
      </c>
      <c r="HN43" s="17">
        <v>10375609</v>
      </c>
      <c r="HO43" s="17">
        <v>1245073.1000000001</v>
      </c>
      <c r="HP43" s="17">
        <v>35</v>
      </c>
      <c r="HQ43" s="17">
        <v>0</v>
      </c>
      <c r="HR43" s="17">
        <v>2198768</v>
      </c>
      <c r="HS43" s="17">
        <v>263852.2</v>
      </c>
      <c r="HT43" s="17">
        <v>37</v>
      </c>
      <c r="HU43" s="17">
        <v>0</v>
      </c>
      <c r="HV43" s="17">
        <v>1978953</v>
      </c>
      <c r="HW43" s="17">
        <v>237474.4</v>
      </c>
      <c r="HX43" s="17">
        <v>46</v>
      </c>
      <c r="HY43" s="17">
        <v>0</v>
      </c>
      <c r="HZ43" s="17">
        <v>2650384</v>
      </c>
      <c r="IA43" s="17">
        <v>318046.09999999998</v>
      </c>
      <c r="IB43" s="17">
        <v>37</v>
      </c>
      <c r="IC43" s="17">
        <v>0</v>
      </c>
      <c r="ID43" s="17">
        <v>1768778</v>
      </c>
      <c r="IE43" s="17">
        <v>212253.4</v>
      </c>
      <c r="IF43" s="17">
        <v>155</v>
      </c>
      <c r="IG43" s="17">
        <v>0</v>
      </c>
      <c r="IH43" s="17">
        <v>8596883</v>
      </c>
      <c r="II43" s="17">
        <v>1031626</v>
      </c>
      <c r="IJ43" s="17">
        <v>42</v>
      </c>
      <c r="IK43" s="17">
        <v>0</v>
      </c>
      <c r="IL43" s="17">
        <v>2329734</v>
      </c>
      <c r="IM43" s="17">
        <v>279568.09999999998</v>
      </c>
      <c r="IN43" s="17">
        <v>40</v>
      </c>
      <c r="IO43" s="17">
        <v>0</v>
      </c>
      <c r="IP43" s="17">
        <v>1696499</v>
      </c>
      <c r="IQ43" s="17">
        <v>203579.9</v>
      </c>
      <c r="IR43" s="17">
        <v>41</v>
      </c>
      <c r="IS43" s="17">
        <v>0</v>
      </c>
      <c r="IT43" s="17">
        <v>2090119</v>
      </c>
      <c r="IU43" s="17">
        <v>250814.3</v>
      </c>
      <c r="IV43" s="17">
        <v>20</v>
      </c>
      <c r="IW43" s="17">
        <v>0</v>
      </c>
      <c r="IX43" s="17">
        <v>1127192</v>
      </c>
      <c r="IY43" s="17">
        <v>135263</v>
      </c>
      <c r="IZ43" s="17">
        <v>26</v>
      </c>
      <c r="JA43" s="17">
        <v>0</v>
      </c>
      <c r="JB43" s="17">
        <v>1430242</v>
      </c>
      <c r="JC43" s="17">
        <v>171629</v>
      </c>
      <c r="JD43" s="17">
        <v>169</v>
      </c>
      <c r="JE43" s="17">
        <v>0</v>
      </c>
      <c r="JF43" s="17">
        <v>8673786</v>
      </c>
      <c r="JG43" s="17">
        <v>1040854.3</v>
      </c>
      <c r="JH43" s="17">
        <v>68</v>
      </c>
      <c r="JI43" s="17">
        <v>0</v>
      </c>
      <c r="JJ43" s="17">
        <v>4046702</v>
      </c>
      <c r="JK43" s="17">
        <v>485604.2</v>
      </c>
      <c r="JL43" s="17">
        <v>36</v>
      </c>
      <c r="JM43" s="17">
        <v>0</v>
      </c>
      <c r="JN43" s="17">
        <v>1968692</v>
      </c>
      <c r="JO43" s="17">
        <v>236243</v>
      </c>
      <c r="JP43" s="17">
        <v>34</v>
      </c>
      <c r="JQ43" s="17">
        <v>0</v>
      </c>
      <c r="JR43" s="17">
        <v>1989284</v>
      </c>
      <c r="JS43" s="17">
        <v>238714.1</v>
      </c>
      <c r="JT43" s="17">
        <v>38</v>
      </c>
      <c r="JU43" s="17">
        <v>0</v>
      </c>
      <c r="JV43" s="17">
        <v>1979450</v>
      </c>
      <c r="JW43" s="17">
        <v>237534</v>
      </c>
      <c r="JX43" s="17">
        <v>176</v>
      </c>
      <c r="JY43" s="17">
        <v>0</v>
      </c>
      <c r="JZ43" s="17">
        <v>9984128</v>
      </c>
      <c r="KA43" s="17">
        <v>1198095.3999999999</v>
      </c>
      <c r="KB43" s="17">
        <v>31</v>
      </c>
      <c r="KC43" s="17">
        <v>0</v>
      </c>
      <c r="KD43" s="17">
        <v>1629892</v>
      </c>
      <c r="KE43" s="17">
        <v>195587</v>
      </c>
      <c r="KF43" s="17">
        <v>43</v>
      </c>
      <c r="KG43" s="17">
        <v>0</v>
      </c>
      <c r="KH43" s="17">
        <v>2402092</v>
      </c>
      <c r="KI43" s="17">
        <v>288251</v>
      </c>
      <c r="KJ43" s="17">
        <v>7</v>
      </c>
      <c r="KK43" s="17">
        <v>0</v>
      </c>
      <c r="KL43" s="17">
        <v>462792</v>
      </c>
      <c r="KM43" s="17">
        <v>55535</v>
      </c>
      <c r="KN43" s="17">
        <v>64</v>
      </c>
      <c r="KO43" s="17">
        <v>0</v>
      </c>
      <c r="KP43" s="17">
        <v>2374020</v>
      </c>
      <c r="KQ43" s="17">
        <v>284882.40000000002</v>
      </c>
      <c r="KR43" s="17">
        <v>145</v>
      </c>
      <c r="KS43" s="17">
        <v>0</v>
      </c>
      <c r="KT43" s="17">
        <v>6868796</v>
      </c>
      <c r="KU43" s="17">
        <v>824255.5</v>
      </c>
      <c r="KV43" s="17">
        <v>4350</v>
      </c>
      <c r="KW43" s="17">
        <v>0</v>
      </c>
      <c r="KX43" s="17">
        <v>232283919</v>
      </c>
      <c r="KY43" s="17">
        <v>27874070.300000001</v>
      </c>
    </row>
  </sheetData>
  <mergeCells count="1">
    <mergeCell ref="A1:KY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FF0A-6839-41EE-8B1D-FB86BC4637B5}">
  <dimension ref="A1:KY100"/>
  <sheetViews>
    <sheetView zoomScale="70" zoomScaleNormal="70" workbookViewId="0">
      <pane xSplit="4" ySplit="4" topLeftCell="KM77" activePane="bottomRight" state="frozen"/>
      <selection pane="topRight" activeCell="E1" sqref="E1"/>
      <selection pane="bottomLeft" activeCell="A5" sqref="A5"/>
      <selection pane="bottomRight" activeCell="KA86" sqref="KA86"/>
    </sheetView>
  </sheetViews>
  <sheetFormatPr defaultRowHeight="17.399999999999999" x14ac:dyDescent="0.4"/>
  <cols>
    <col min="1" max="1" width="9.19921875" customWidth="1"/>
    <col min="2" max="2" width="26.69921875" customWidth="1"/>
    <col min="3" max="3" width="36.69921875" customWidth="1"/>
    <col min="4" max="4" width="7.69921875" customWidth="1"/>
    <col min="5" max="5" width="12" customWidth="1"/>
    <col min="6" max="6" width="12.296875" customWidth="1"/>
    <col min="7" max="7" width="11.296875" customWidth="1"/>
    <col min="8" max="8" width="8.69921875" customWidth="1"/>
    <col min="9" max="9" width="13" customWidth="1"/>
    <col min="10" max="10" width="13.296875" customWidth="1"/>
    <col min="11" max="11" width="12.296875" customWidth="1"/>
    <col min="12" max="12" width="7.69921875" customWidth="1"/>
    <col min="13" max="13" width="12" customWidth="1"/>
    <col min="14" max="14" width="12.296875" customWidth="1"/>
    <col min="15" max="15" width="11.296875" customWidth="1"/>
    <col min="16" max="16" width="7.69921875" customWidth="1"/>
    <col min="17" max="17" width="12" customWidth="1"/>
    <col min="18" max="18" width="12.296875" customWidth="1"/>
    <col min="19" max="19" width="11.296875" customWidth="1"/>
    <col min="20" max="20" width="7.69921875" customWidth="1"/>
    <col min="21" max="21" width="12" customWidth="1"/>
    <col min="22" max="22" width="12.296875" customWidth="1"/>
    <col min="23" max="23" width="11.296875" customWidth="1"/>
    <col min="24" max="24" width="7.69921875" customWidth="1"/>
    <col min="25" max="25" width="12" customWidth="1"/>
    <col min="26" max="26" width="12.296875" customWidth="1"/>
    <col min="27" max="27" width="11.296875" customWidth="1"/>
    <col min="28" max="28" width="8.69921875" customWidth="1"/>
    <col min="29" max="29" width="13" customWidth="1"/>
    <col min="30" max="30" width="13.296875" customWidth="1"/>
    <col min="31" max="31" width="12.296875" customWidth="1"/>
    <col min="32" max="32" width="7.69921875" customWidth="1"/>
    <col min="33" max="33" width="12" customWidth="1"/>
    <col min="34" max="34" width="12.296875" customWidth="1"/>
    <col min="35" max="35" width="11.296875" customWidth="1"/>
    <col min="36" max="36" width="7.69921875" customWidth="1"/>
    <col min="37" max="37" width="12" customWidth="1"/>
    <col min="38" max="38" width="12.296875" customWidth="1"/>
    <col min="39" max="39" width="11.296875" customWidth="1"/>
    <col min="40" max="40" width="7.69921875" customWidth="1"/>
    <col min="41" max="41" width="12" customWidth="1"/>
    <col min="42" max="42" width="12.296875" customWidth="1"/>
    <col min="43" max="43" width="11.296875" customWidth="1"/>
    <col min="44" max="44" width="7.69921875" customWidth="1"/>
    <col min="45" max="45" width="12" customWidth="1"/>
    <col min="46" max="46" width="12.296875" customWidth="1"/>
    <col min="47" max="47" width="11.296875" customWidth="1"/>
    <col min="48" max="48" width="8.69921875" customWidth="1"/>
    <col min="49" max="49" width="13" customWidth="1"/>
    <col min="50" max="50" width="13.296875" customWidth="1"/>
    <col min="51" max="51" width="12.296875" customWidth="1"/>
    <col min="52" max="52" width="7.69921875" customWidth="1"/>
    <col min="53" max="53" width="12" customWidth="1"/>
    <col min="54" max="54" width="12.296875" customWidth="1"/>
    <col min="55" max="55" width="11.296875" customWidth="1"/>
    <col min="56" max="56" width="7.69921875" customWidth="1"/>
    <col min="57" max="57" width="12" customWidth="1"/>
    <col min="58" max="58" width="12.296875" customWidth="1"/>
    <col min="59" max="59" width="11.296875" customWidth="1"/>
    <col min="60" max="60" width="7.69921875" customWidth="1"/>
    <col min="61" max="61" width="12" customWidth="1"/>
    <col min="62" max="62" width="12.296875" customWidth="1"/>
    <col min="63" max="63" width="11.296875" customWidth="1"/>
    <col min="64" max="64" width="7.69921875" customWidth="1"/>
    <col min="65" max="65" width="12" customWidth="1"/>
    <col min="66" max="66" width="12.296875" customWidth="1"/>
    <col min="67" max="67" width="11.296875" customWidth="1"/>
    <col min="68" max="68" width="7.69921875" customWidth="1"/>
    <col min="69" max="69" width="12" customWidth="1"/>
    <col min="70" max="70" width="12.296875" customWidth="1"/>
    <col min="71" max="71" width="11.296875" customWidth="1"/>
    <col min="72" max="72" width="8.69921875" customWidth="1"/>
    <col min="73" max="73" width="13" customWidth="1"/>
    <col min="74" max="74" width="13.296875" customWidth="1"/>
    <col min="75" max="75" width="12.296875" customWidth="1"/>
    <col min="76" max="76" width="7.69921875" customWidth="1"/>
    <col min="77" max="77" width="12" customWidth="1"/>
    <col min="78" max="78" width="12.296875" customWidth="1"/>
    <col min="79" max="79" width="11.296875" customWidth="1"/>
    <col min="80" max="80" width="7.69921875" customWidth="1"/>
    <col min="81" max="81" width="12" customWidth="1"/>
    <col min="82" max="82" width="12.296875" customWidth="1"/>
    <col min="83" max="83" width="11.296875" customWidth="1"/>
    <col min="84" max="84" width="7.69921875" customWidth="1"/>
    <col min="85" max="85" width="12" customWidth="1"/>
    <col min="86" max="86" width="12.296875" customWidth="1"/>
    <col min="87" max="87" width="11.296875" customWidth="1"/>
    <col min="88" max="88" width="7.69921875" customWidth="1"/>
    <col min="89" max="89" width="12" customWidth="1"/>
    <col min="90" max="90" width="12.296875" customWidth="1"/>
    <col min="91" max="91" width="11.296875" customWidth="1"/>
    <col min="92" max="92" width="8.69921875" customWidth="1"/>
    <col min="93" max="93" width="13" customWidth="1"/>
    <col min="94" max="94" width="13.296875" customWidth="1"/>
    <col min="95" max="95" width="12.296875" customWidth="1"/>
    <col min="96" max="96" width="7.69921875" customWidth="1"/>
    <col min="97" max="97" width="12" customWidth="1"/>
    <col min="98" max="98" width="12.296875" customWidth="1"/>
    <col min="99" max="99" width="11.296875" customWidth="1"/>
    <col min="100" max="100" width="7.69921875" customWidth="1"/>
    <col min="101" max="101" width="12" customWidth="1"/>
    <col min="102" max="102" width="12.296875" customWidth="1"/>
    <col min="103" max="103" width="11.296875" customWidth="1"/>
    <col min="104" max="104" width="7.69921875" customWidth="1"/>
    <col min="105" max="105" width="12" customWidth="1"/>
    <col min="106" max="106" width="12.296875" customWidth="1"/>
    <col min="107" max="107" width="11.296875" customWidth="1"/>
    <col min="108" max="108" width="7.69921875" customWidth="1"/>
    <col min="109" max="109" width="12" customWidth="1"/>
    <col min="110" max="110" width="12.296875" customWidth="1"/>
    <col min="111" max="111" width="11.296875" customWidth="1"/>
    <col min="112" max="112" width="8.69921875" customWidth="1"/>
    <col min="113" max="113" width="13" customWidth="1"/>
    <col min="114" max="114" width="13.296875" customWidth="1"/>
    <col min="115" max="115" width="12.296875" customWidth="1"/>
    <col min="116" max="116" width="7.69921875" customWidth="1"/>
    <col min="117" max="117" width="12" customWidth="1"/>
    <col min="118" max="118" width="12.296875" customWidth="1"/>
    <col min="119" max="119" width="11.296875" customWidth="1"/>
    <col min="120" max="120" width="7.69921875" customWidth="1"/>
    <col min="121" max="121" width="12" customWidth="1"/>
    <col min="122" max="122" width="12.296875" customWidth="1"/>
    <col min="123" max="123" width="11.296875" customWidth="1"/>
    <col min="124" max="124" width="7.69921875" customWidth="1"/>
    <col min="125" max="125" width="12" customWidth="1"/>
    <col min="126" max="126" width="12.296875" customWidth="1"/>
    <col min="127" max="127" width="11.296875" customWidth="1"/>
    <col min="128" max="128" width="7.69921875" customWidth="1"/>
    <col min="129" max="129" width="12" customWidth="1"/>
    <col min="130" max="130" width="12.296875" customWidth="1"/>
    <col min="131" max="131" width="11.296875" customWidth="1"/>
    <col min="132" max="132" width="7.69921875" customWidth="1"/>
    <col min="133" max="133" width="12" customWidth="1"/>
    <col min="134" max="134" width="12.296875" customWidth="1"/>
    <col min="135" max="135" width="11.296875" customWidth="1"/>
    <col min="136" max="136" width="8.69921875" customWidth="1"/>
    <col min="137" max="137" width="13" customWidth="1"/>
    <col min="138" max="138" width="13.296875" customWidth="1"/>
    <col min="139" max="139" width="12.296875" customWidth="1"/>
    <col min="140" max="140" width="7.69921875" customWidth="1"/>
    <col min="141" max="141" width="12" customWidth="1"/>
    <col min="142" max="142" width="12.296875" customWidth="1"/>
    <col min="143" max="143" width="11.296875" customWidth="1"/>
    <col min="144" max="144" width="7.69921875" customWidth="1"/>
    <col min="145" max="145" width="12" customWidth="1"/>
    <col min="146" max="146" width="12.296875" customWidth="1"/>
    <col min="147" max="147" width="11.296875" customWidth="1"/>
    <col min="148" max="148" width="7.69921875" customWidth="1"/>
    <col min="149" max="149" width="12" customWidth="1"/>
    <col min="150" max="150" width="12.296875" customWidth="1"/>
    <col min="151" max="151" width="11.296875" customWidth="1"/>
    <col min="152" max="152" width="7.69921875" customWidth="1"/>
    <col min="153" max="153" width="12" customWidth="1"/>
    <col min="154" max="154" width="12.296875" customWidth="1"/>
    <col min="155" max="155" width="11.296875" customWidth="1"/>
    <col min="156" max="156" width="8.69921875" customWidth="1"/>
    <col min="157" max="157" width="13" customWidth="1"/>
    <col min="158" max="158" width="13.296875" customWidth="1"/>
    <col min="159" max="159" width="12.296875" customWidth="1"/>
    <col min="160" max="160" width="7.69921875" customWidth="1"/>
    <col min="161" max="161" width="12" customWidth="1"/>
    <col min="162" max="162" width="12.296875" customWidth="1"/>
    <col min="163" max="163" width="11.296875" customWidth="1"/>
    <col min="164" max="164" width="7.69921875" customWidth="1"/>
    <col min="165" max="165" width="12" customWidth="1"/>
    <col min="166" max="166" width="12.296875" customWidth="1"/>
    <col min="167" max="167" width="11.296875" customWidth="1"/>
    <col min="168" max="168" width="7.69921875" customWidth="1"/>
    <col min="169" max="169" width="12" customWidth="1"/>
    <col min="170" max="170" width="12.296875" customWidth="1"/>
    <col min="171" max="171" width="11.296875" customWidth="1"/>
    <col min="172" max="172" width="7.69921875" customWidth="1"/>
    <col min="173" max="173" width="12" customWidth="1"/>
    <col min="174" max="174" width="12.296875" customWidth="1"/>
    <col min="175" max="175" width="11.296875" customWidth="1"/>
    <col min="176" max="176" width="8.69921875" customWidth="1"/>
    <col min="177" max="177" width="13" customWidth="1"/>
    <col min="178" max="178" width="13.296875" customWidth="1"/>
    <col min="179" max="179" width="12.296875" customWidth="1"/>
    <col min="180" max="180" width="7.69921875" customWidth="1"/>
    <col min="181" max="181" width="12" customWidth="1"/>
    <col min="182" max="182" width="12.296875" customWidth="1"/>
    <col min="183" max="183" width="11.296875" customWidth="1"/>
    <col min="184" max="184" width="7.69921875" customWidth="1"/>
    <col min="185" max="185" width="12" customWidth="1"/>
    <col min="186" max="186" width="12.296875" customWidth="1"/>
    <col min="187" max="187" width="11.296875" customWidth="1"/>
    <col min="188" max="188" width="7.69921875" customWidth="1"/>
    <col min="189" max="189" width="12" customWidth="1"/>
    <col min="190" max="190" width="12.296875" customWidth="1"/>
    <col min="191" max="191" width="11.296875" customWidth="1"/>
    <col min="192" max="192" width="7.69921875" customWidth="1"/>
    <col min="193" max="193" width="12" customWidth="1"/>
    <col min="194" max="194" width="12.296875" customWidth="1"/>
    <col min="195" max="195" width="11.296875" customWidth="1"/>
    <col min="196" max="196" width="7.69921875" customWidth="1"/>
    <col min="197" max="197" width="12" customWidth="1"/>
    <col min="198" max="198" width="12.296875" customWidth="1"/>
    <col min="199" max="199" width="11.296875" customWidth="1"/>
    <col min="200" max="200" width="8.69921875" customWidth="1"/>
    <col min="201" max="201" width="13" customWidth="1"/>
    <col min="202" max="202" width="13.296875" customWidth="1"/>
    <col min="203" max="203" width="12.296875" customWidth="1"/>
    <col min="204" max="204" width="7.69921875" customWidth="1"/>
    <col min="205" max="205" width="12" customWidth="1"/>
    <col min="206" max="206" width="12.296875" customWidth="1"/>
    <col min="207" max="207" width="11.296875" customWidth="1"/>
    <col min="208" max="208" width="7.69921875" customWidth="1"/>
    <col min="209" max="209" width="12" customWidth="1"/>
    <col min="210" max="210" width="12.296875" customWidth="1"/>
    <col min="211" max="211" width="11.296875" customWidth="1"/>
    <col min="212" max="212" width="7.69921875" customWidth="1"/>
    <col min="213" max="213" width="12" customWidth="1"/>
    <col min="214" max="214" width="12.296875" customWidth="1"/>
    <col min="215" max="215" width="11.296875" customWidth="1"/>
    <col min="216" max="216" width="7.69921875" customWidth="1"/>
    <col min="217" max="217" width="12" customWidth="1"/>
    <col min="218" max="218" width="12.296875" customWidth="1"/>
    <col min="219" max="219" width="11.296875" customWidth="1"/>
    <col min="220" max="220" width="8.69921875" customWidth="1"/>
    <col min="221" max="221" width="13" customWidth="1"/>
    <col min="222" max="222" width="13.296875" customWidth="1"/>
    <col min="223" max="223" width="12.296875" customWidth="1"/>
    <col min="224" max="224" width="7.69921875" customWidth="1"/>
    <col min="225" max="225" width="12" customWidth="1"/>
    <col min="226" max="226" width="12.296875" customWidth="1"/>
    <col min="227" max="227" width="11.296875" customWidth="1"/>
    <col min="228" max="228" width="7.69921875" customWidth="1"/>
    <col min="229" max="229" width="12" customWidth="1"/>
    <col min="230" max="230" width="12.296875" customWidth="1"/>
    <col min="231" max="231" width="11.296875" customWidth="1"/>
    <col min="232" max="232" width="7.69921875" customWidth="1"/>
    <col min="233" max="233" width="12" customWidth="1"/>
    <col min="234" max="234" width="12.296875" customWidth="1"/>
    <col min="235" max="235" width="11.296875" customWidth="1"/>
    <col min="236" max="236" width="7.69921875" customWidth="1"/>
    <col min="237" max="237" width="12" customWidth="1"/>
    <col min="238" max="238" width="12.296875" customWidth="1"/>
    <col min="239" max="239" width="11.296875" customWidth="1"/>
    <col min="240" max="240" width="8.69921875" customWidth="1"/>
    <col min="241" max="241" width="13" customWidth="1"/>
    <col min="242" max="242" width="13.296875" customWidth="1"/>
    <col min="243" max="243" width="12.296875" customWidth="1"/>
    <col min="244" max="244" width="7.69921875" customWidth="1"/>
    <col min="245" max="245" width="12" customWidth="1"/>
    <col min="246" max="246" width="12.296875" customWidth="1"/>
    <col min="247" max="247" width="11.296875" customWidth="1"/>
    <col min="248" max="248" width="7.69921875" customWidth="1"/>
    <col min="249" max="249" width="12" customWidth="1"/>
    <col min="250" max="250" width="12.296875" customWidth="1"/>
    <col min="251" max="251" width="11.296875" customWidth="1"/>
    <col min="252" max="252" width="7.69921875" customWidth="1"/>
    <col min="253" max="253" width="12" customWidth="1"/>
    <col min="254" max="254" width="12.296875" customWidth="1"/>
    <col min="255" max="255" width="11.296875" customWidth="1"/>
    <col min="256" max="256" width="7.69921875" customWidth="1"/>
    <col min="257" max="257" width="12" customWidth="1"/>
    <col min="258" max="258" width="12.296875" customWidth="1"/>
    <col min="259" max="259" width="11.296875" customWidth="1"/>
    <col min="260" max="260" width="7.69921875" customWidth="1"/>
    <col min="261" max="261" width="12" customWidth="1"/>
    <col min="262" max="262" width="12.296875" customWidth="1"/>
    <col min="263" max="263" width="11.296875" customWidth="1"/>
    <col min="264" max="264" width="8.69921875" customWidth="1"/>
    <col min="265" max="265" width="13" customWidth="1"/>
    <col min="266" max="266" width="13.296875" customWidth="1"/>
    <col min="267" max="267" width="12.296875" customWidth="1"/>
    <col min="268" max="268" width="7.69921875" customWidth="1"/>
    <col min="269" max="269" width="12" customWidth="1"/>
    <col min="270" max="270" width="12.296875" customWidth="1"/>
    <col min="271" max="271" width="11.296875" customWidth="1"/>
    <col min="272" max="272" width="7.69921875" customWidth="1"/>
    <col min="273" max="273" width="12" customWidth="1"/>
    <col min="274" max="274" width="12.296875" customWidth="1"/>
    <col min="275" max="275" width="11.296875" customWidth="1"/>
    <col min="276" max="276" width="7.69921875" customWidth="1"/>
    <col min="277" max="277" width="12" customWidth="1"/>
    <col min="278" max="278" width="12.296875" customWidth="1"/>
    <col min="279" max="279" width="11.296875" customWidth="1"/>
    <col min="280" max="280" width="7.69921875" customWidth="1"/>
    <col min="281" max="281" width="12" customWidth="1"/>
    <col min="282" max="282" width="12.296875" customWidth="1"/>
    <col min="283" max="283" width="11.296875" customWidth="1"/>
    <col min="284" max="284" width="8.69921875" customWidth="1"/>
    <col min="285" max="285" width="13" customWidth="1"/>
    <col min="286" max="286" width="13.296875" customWidth="1"/>
    <col min="287" max="287" width="12.296875" customWidth="1"/>
    <col min="288" max="288" width="7.69921875" customWidth="1"/>
    <col min="289" max="289" width="12" customWidth="1"/>
    <col min="290" max="290" width="12.296875" customWidth="1"/>
    <col min="291" max="291" width="11.296875" customWidth="1"/>
    <col min="292" max="292" width="7.69921875" customWidth="1"/>
    <col min="293" max="293" width="12" customWidth="1"/>
    <col min="294" max="294" width="12.296875" customWidth="1"/>
    <col min="295" max="295" width="11.296875" customWidth="1"/>
    <col min="296" max="296" width="7.69921875" customWidth="1"/>
    <col min="297" max="297" width="12" customWidth="1"/>
    <col min="298" max="298" width="12.296875" customWidth="1"/>
    <col min="299" max="299" width="11.296875" customWidth="1"/>
    <col min="300" max="300" width="7.69921875" customWidth="1"/>
    <col min="301" max="301" width="12" customWidth="1"/>
    <col min="302" max="302" width="12.296875" customWidth="1"/>
    <col min="303" max="303" width="11.296875" customWidth="1"/>
    <col min="304" max="304" width="8.69921875" customWidth="1"/>
    <col min="305" max="305" width="13" customWidth="1"/>
    <col min="306" max="306" width="13.296875" customWidth="1"/>
    <col min="307" max="307" width="12.296875" customWidth="1"/>
    <col min="308" max="308" width="8.69921875" customWidth="1"/>
    <col min="309" max="309" width="13" customWidth="1"/>
    <col min="310" max="310" width="13.296875" customWidth="1"/>
    <col min="311" max="311" width="12.296875" customWidth="1"/>
  </cols>
  <sheetData>
    <row r="1" spans="1:311" ht="28.05" customHeight="1" x14ac:dyDescent="0.4">
      <c r="A1" s="26" t="s">
        <v>415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</row>
    <row r="2" spans="1:311" ht="19.2" x14ac:dyDescent="0.4">
      <c r="A2" s="28" t="s">
        <v>417</v>
      </c>
    </row>
    <row r="3" spans="1:311" ht="43.95" customHeight="1" x14ac:dyDescent="0.4">
      <c r="A3" s="13" t="s">
        <v>346</v>
      </c>
      <c r="B3" s="13" t="s">
        <v>7</v>
      </c>
      <c r="C3" s="13" t="s">
        <v>0</v>
      </c>
      <c r="D3" s="13" t="s">
        <v>419</v>
      </c>
      <c r="E3" s="13"/>
      <c r="F3" s="13"/>
      <c r="G3" s="13"/>
      <c r="H3" s="18" t="s">
        <v>396</v>
      </c>
      <c r="I3" s="18"/>
      <c r="J3" s="18"/>
      <c r="K3" s="18"/>
      <c r="L3" s="13" t="s">
        <v>347</v>
      </c>
      <c r="M3" s="13"/>
      <c r="N3" s="13"/>
      <c r="O3" s="13"/>
      <c r="P3" s="13" t="s">
        <v>348</v>
      </c>
      <c r="Q3" s="13"/>
      <c r="R3" s="13"/>
      <c r="S3" s="13"/>
      <c r="T3" s="13" t="s">
        <v>349</v>
      </c>
      <c r="U3" s="13"/>
      <c r="V3" s="13"/>
      <c r="W3" s="13"/>
      <c r="X3" s="13" t="s">
        <v>420</v>
      </c>
      <c r="Y3" s="13"/>
      <c r="Z3" s="13"/>
      <c r="AA3" s="13"/>
      <c r="AB3" s="18" t="s">
        <v>397</v>
      </c>
      <c r="AC3" s="18"/>
      <c r="AD3" s="18"/>
      <c r="AE3" s="18"/>
      <c r="AF3" s="13" t="s">
        <v>350</v>
      </c>
      <c r="AG3" s="13"/>
      <c r="AH3" s="13"/>
      <c r="AI3" s="13"/>
      <c r="AJ3" s="13" t="s">
        <v>351</v>
      </c>
      <c r="AK3" s="13"/>
      <c r="AL3" s="13"/>
      <c r="AM3" s="13"/>
      <c r="AN3" s="13" t="s">
        <v>352</v>
      </c>
      <c r="AO3" s="13"/>
      <c r="AP3" s="13"/>
      <c r="AQ3" s="13"/>
      <c r="AR3" s="13" t="s">
        <v>421</v>
      </c>
      <c r="AS3" s="13"/>
      <c r="AT3" s="13"/>
      <c r="AU3" s="13"/>
      <c r="AV3" s="18" t="s">
        <v>398</v>
      </c>
      <c r="AW3" s="18"/>
      <c r="AX3" s="18"/>
      <c r="AY3" s="18"/>
      <c r="AZ3" s="13" t="s">
        <v>353</v>
      </c>
      <c r="BA3" s="13"/>
      <c r="BB3" s="13"/>
      <c r="BC3" s="13"/>
      <c r="BD3" s="13" t="s">
        <v>354</v>
      </c>
      <c r="BE3" s="13"/>
      <c r="BF3" s="13"/>
      <c r="BG3" s="13"/>
      <c r="BH3" s="13" t="s">
        <v>355</v>
      </c>
      <c r="BI3" s="13"/>
      <c r="BJ3" s="13"/>
      <c r="BK3" s="13"/>
      <c r="BL3" s="13" t="s">
        <v>356</v>
      </c>
      <c r="BM3" s="13"/>
      <c r="BN3" s="13"/>
      <c r="BO3" s="13"/>
      <c r="BP3" s="13" t="s">
        <v>422</v>
      </c>
      <c r="BQ3" s="13"/>
      <c r="BR3" s="13"/>
      <c r="BS3" s="13"/>
      <c r="BT3" s="18" t="s">
        <v>399</v>
      </c>
      <c r="BU3" s="18"/>
      <c r="BV3" s="18"/>
      <c r="BW3" s="18"/>
      <c r="BX3" s="13" t="s">
        <v>357</v>
      </c>
      <c r="BY3" s="13"/>
      <c r="BZ3" s="13"/>
      <c r="CA3" s="13"/>
      <c r="CB3" s="13" t="s">
        <v>358</v>
      </c>
      <c r="CC3" s="13"/>
      <c r="CD3" s="13"/>
      <c r="CE3" s="13"/>
      <c r="CF3" s="13" t="s">
        <v>359</v>
      </c>
      <c r="CG3" s="13"/>
      <c r="CH3" s="13"/>
      <c r="CI3" s="13"/>
      <c r="CJ3" s="13" t="s">
        <v>423</v>
      </c>
      <c r="CK3" s="13"/>
      <c r="CL3" s="13"/>
      <c r="CM3" s="13"/>
      <c r="CN3" s="18" t="s">
        <v>400</v>
      </c>
      <c r="CO3" s="18"/>
      <c r="CP3" s="18"/>
      <c r="CQ3" s="18"/>
      <c r="CR3" s="13" t="s">
        <v>360</v>
      </c>
      <c r="CS3" s="13"/>
      <c r="CT3" s="13"/>
      <c r="CU3" s="13"/>
      <c r="CV3" s="13" t="s">
        <v>361</v>
      </c>
      <c r="CW3" s="13"/>
      <c r="CX3" s="13"/>
      <c r="CY3" s="13"/>
      <c r="CZ3" s="13" t="s">
        <v>362</v>
      </c>
      <c r="DA3" s="13"/>
      <c r="DB3" s="13"/>
      <c r="DC3" s="13"/>
      <c r="DD3" s="13" t="s">
        <v>424</v>
      </c>
      <c r="DE3" s="13"/>
      <c r="DF3" s="13"/>
      <c r="DG3" s="13"/>
      <c r="DH3" s="18" t="s">
        <v>401</v>
      </c>
      <c r="DI3" s="18"/>
      <c r="DJ3" s="18"/>
      <c r="DK3" s="18"/>
      <c r="DL3" s="13" t="s">
        <v>363</v>
      </c>
      <c r="DM3" s="13"/>
      <c r="DN3" s="13"/>
      <c r="DO3" s="13"/>
      <c r="DP3" s="13" t="s">
        <v>364</v>
      </c>
      <c r="DQ3" s="13"/>
      <c r="DR3" s="13"/>
      <c r="DS3" s="13"/>
      <c r="DT3" s="13" t="s">
        <v>365</v>
      </c>
      <c r="DU3" s="13"/>
      <c r="DV3" s="13"/>
      <c r="DW3" s="13"/>
      <c r="DX3" s="13" t="s">
        <v>366</v>
      </c>
      <c r="DY3" s="13"/>
      <c r="DZ3" s="13"/>
      <c r="EA3" s="13"/>
      <c r="EB3" s="13" t="s">
        <v>425</v>
      </c>
      <c r="EC3" s="13"/>
      <c r="ED3" s="13"/>
      <c r="EE3" s="13"/>
      <c r="EF3" s="18" t="s">
        <v>402</v>
      </c>
      <c r="EG3" s="18"/>
      <c r="EH3" s="18"/>
      <c r="EI3" s="18"/>
      <c r="EJ3" s="13" t="s">
        <v>367</v>
      </c>
      <c r="EK3" s="13"/>
      <c r="EL3" s="13"/>
      <c r="EM3" s="13"/>
      <c r="EN3" s="13" t="s">
        <v>368</v>
      </c>
      <c r="EO3" s="13"/>
      <c r="EP3" s="13"/>
      <c r="EQ3" s="13"/>
      <c r="ER3" s="13" t="s">
        <v>369</v>
      </c>
      <c r="ES3" s="13"/>
      <c r="ET3" s="13"/>
      <c r="EU3" s="13"/>
      <c r="EV3" s="13" t="s">
        <v>426</v>
      </c>
      <c r="EW3" s="13"/>
      <c r="EX3" s="13"/>
      <c r="EY3" s="13"/>
      <c r="EZ3" s="18" t="s">
        <v>403</v>
      </c>
      <c r="FA3" s="18"/>
      <c r="FB3" s="18"/>
      <c r="FC3" s="18"/>
      <c r="FD3" s="13" t="s">
        <v>370</v>
      </c>
      <c r="FE3" s="13"/>
      <c r="FF3" s="13"/>
      <c r="FG3" s="13"/>
      <c r="FH3" s="13" t="s">
        <v>371</v>
      </c>
      <c r="FI3" s="13"/>
      <c r="FJ3" s="13"/>
      <c r="FK3" s="13"/>
      <c r="FL3" s="13" t="s">
        <v>372</v>
      </c>
      <c r="FM3" s="13"/>
      <c r="FN3" s="13"/>
      <c r="FO3" s="13"/>
      <c r="FP3" s="13" t="s">
        <v>373</v>
      </c>
      <c r="FQ3" s="13"/>
      <c r="FR3" s="13"/>
      <c r="FS3" s="13"/>
      <c r="FT3" s="18" t="s">
        <v>404</v>
      </c>
      <c r="FU3" s="18"/>
      <c r="FV3" s="18"/>
      <c r="FW3" s="18"/>
      <c r="FX3" s="13" t="s">
        <v>374</v>
      </c>
      <c r="FY3" s="13"/>
      <c r="FZ3" s="13"/>
      <c r="GA3" s="13"/>
      <c r="GB3" s="13" t="s">
        <v>375</v>
      </c>
      <c r="GC3" s="13"/>
      <c r="GD3" s="13"/>
      <c r="GE3" s="13"/>
      <c r="GF3" s="13" t="s">
        <v>376</v>
      </c>
      <c r="GG3" s="13"/>
      <c r="GH3" s="13"/>
      <c r="GI3" s="13"/>
      <c r="GJ3" s="13" t="s">
        <v>377</v>
      </c>
      <c r="GK3" s="13"/>
      <c r="GL3" s="13"/>
      <c r="GM3" s="13"/>
      <c r="GN3" s="13" t="s">
        <v>427</v>
      </c>
      <c r="GO3" s="13"/>
      <c r="GP3" s="13"/>
      <c r="GQ3" s="13"/>
      <c r="GR3" s="18" t="s">
        <v>405</v>
      </c>
      <c r="GS3" s="18"/>
      <c r="GT3" s="18"/>
      <c r="GU3" s="18"/>
      <c r="GV3" s="13" t="s">
        <v>378</v>
      </c>
      <c r="GW3" s="13"/>
      <c r="GX3" s="13"/>
      <c r="GY3" s="13"/>
      <c r="GZ3" s="13" t="s">
        <v>379</v>
      </c>
      <c r="HA3" s="13"/>
      <c r="HB3" s="13"/>
      <c r="HC3" s="13"/>
      <c r="HD3" s="13" t="s">
        <v>380</v>
      </c>
      <c r="HE3" s="13"/>
      <c r="HF3" s="13"/>
      <c r="HG3" s="13"/>
      <c r="HH3" s="13" t="s">
        <v>428</v>
      </c>
      <c r="HI3" s="13"/>
      <c r="HJ3" s="13"/>
      <c r="HK3" s="13"/>
      <c r="HL3" s="18" t="s">
        <v>406</v>
      </c>
      <c r="HM3" s="18"/>
      <c r="HN3" s="18"/>
      <c r="HO3" s="18"/>
      <c r="HP3" s="13" t="s">
        <v>381</v>
      </c>
      <c r="HQ3" s="13"/>
      <c r="HR3" s="13"/>
      <c r="HS3" s="13"/>
      <c r="HT3" s="13" t="s">
        <v>382</v>
      </c>
      <c r="HU3" s="13"/>
      <c r="HV3" s="13"/>
      <c r="HW3" s="13"/>
      <c r="HX3" s="13" t="s">
        <v>383</v>
      </c>
      <c r="HY3" s="13"/>
      <c r="HZ3" s="13"/>
      <c r="IA3" s="13"/>
      <c r="IB3" s="13" t="s">
        <v>384</v>
      </c>
      <c r="IC3" s="13"/>
      <c r="ID3" s="13"/>
      <c r="IE3" s="13"/>
      <c r="IF3" s="18" t="s">
        <v>407</v>
      </c>
      <c r="IG3" s="18"/>
      <c r="IH3" s="18"/>
      <c r="II3" s="18"/>
      <c r="IJ3" s="13" t="s">
        <v>385</v>
      </c>
      <c r="IK3" s="13"/>
      <c r="IL3" s="13"/>
      <c r="IM3" s="13"/>
      <c r="IN3" s="13" t="s">
        <v>386</v>
      </c>
      <c r="IO3" s="13"/>
      <c r="IP3" s="13"/>
      <c r="IQ3" s="13"/>
      <c r="IR3" s="13" t="s">
        <v>387</v>
      </c>
      <c r="IS3" s="13"/>
      <c r="IT3" s="13"/>
      <c r="IU3" s="13"/>
      <c r="IV3" s="13" t="s">
        <v>388</v>
      </c>
      <c r="IW3" s="13"/>
      <c r="IX3" s="13"/>
      <c r="IY3" s="13"/>
      <c r="IZ3" s="13" t="s">
        <v>429</v>
      </c>
      <c r="JA3" s="13"/>
      <c r="JB3" s="13"/>
      <c r="JC3" s="13"/>
      <c r="JD3" s="18" t="s">
        <v>408</v>
      </c>
      <c r="JE3" s="18"/>
      <c r="JF3" s="18"/>
      <c r="JG3" s="18"/>
      <c r="JH3" s="13" t="s">
        <v>389</v>
      </c>
      <c r="JI3" s="13"/>
      <c r="JJ3" s="13"/>
      <c r="JK3" s="13"/>
      <c r="JL3" s="13" t="s">
        <v>390</v>
      </c>
      <c r="JM3" s="13"/>
      <c r="JN3" s="13"/>
      <c r="JO3" s="13"/>
      <c r="JP3" s="13" t="s">
        <v>391</v>
      </c>
      <c r="JQ3" s="13"/>
      <c r="JR3" s="13"/>
      <c r="JS3" s="13"/>
      <c r="JT3" s="13" t="s">
        <v>430</v>
      </c>
      <c r="JU3" s="13"/>
      <c r="JV3" s="13"/>
      <c r="JW3" s="13"/>
      <c r="JX3" s="18" t="s">
        <v>409</v>
      </c>
      <c r="JY3" s="18"/>
      <c r="JZ3" s="18"/>
      <c r="KA3" s="18"/>
      <c r="KB3" s="13" t="s">
        <v>392</v>
      </c>
      <c r="KC3" s="13"/>
      <c r="KD3" s="13"/>
      <c r="KE3" s="13"/>
      <c r="KF3" s="13" t="s">
        <v>393</v>
      </c>
      <c r="KG3" s="13"/>
      <c r="KH3" s="13"/>
      <c r="KI3" s="13"/>
      <c r="KJ3" s="13" t="s">
        <v>394</v>
      </c>
      <c r="KK3" s="13"/>
      <c r="KL3" s="13"/>
      <c r="KM3" s="13"/>
      <c r="KN3" s="13" t="s">
        <v>432</v>
      </c>
      <c r="KO3" s="13"/>
      <c r="KP3" s="13"/>
      <c r="KQ3" s="13"/>
      <c r="KR3" s="18" t="s">
        <v>410</v>
      </c>
      <c r="KS3" s="18"/>
      <c r="KT3" s="18"/>
      <c r="KU3" s="18"/>
      <c r="KV3" s="24" t="s">
        <v>411</v>
      </c>
      <c r="KW3" s="24"/>
      <c r="KX3" s="24"/>
      <c r="KY3" s="24"/>
    </row>
    <row r="4" spans="1:311" ht="18" customHeight="1" x14ac:dyDescent="0.4">
      <c r="A4" s="14"/>
      <c r="B4" s="14"/>
      <c r="C4" s="14"/>
      <c r="D4" s="14" t="s">
        <v>9</v>
      </c>
      <c r="E4" s="14" t="s">
        <v>413</v>
      </c>
      <c r="F4" s="14" t="s">
        <v>414</v>
      </c>
      <c r="G4" s="14" t="s">
        <v>344</v>
      </c>
      <c r="H4" s="19" t="s">
        <v>9</v>
      </c>
      <c r="I4" s="19" t="s">
        <v>413</v>
      </c>
      <c r="J4" s="19" t="s">
        <v>414</v>
      </c>
      <c r="K4" s="19" t="s">
        <v>344</v>
      </c>
      <c r="L4" s="14" t="s">
        <v>9</v>
      </c>
      <c r="M4" s="14" t="s">
        <v>413</v>
      </c>
      <c r="N4" s="14" t="s">
        <v>414</v>
      </c>
      <c r="O4" s="14" t="s">
        <v>344</v>
      </c>
      <c r="P4" s="14" t="s">
        <v>9</v>
      </c>
      <c r="Q4" s="14" t="s">
        <v>413</v>
      </c>
      <c r="R4" s="14" t="s">
        <v>414</v>
      </c>
      <c r="S4" s="14" t="s">
        <v>344</v>
      </c>
      <c r="T4" s="14" t="s">
        <v>9</v>
      </c>
      <c r="U4" s="14" t="s">
        <v>413</v>
      </c>
      <c r="V4" s="14" t="s">
        <v>414</v>
      </c>
      <c r="W4" s="14" t="s">
        <v>344</v>
      </c>
      <c r="X4" s="14" t="s">
        <v>9</v>
      </c>
      <c r="Y4" s="14" t="s">
        <v>413</v>
      </c>
      <c r="Z4" s="14" t="s">
        <v>414</v>
      </c>
      <c r="AA4" s="14" t="s">
        <v>344</v>
      </c>
      <c r="AB4" s="19" t="s">
        <v>9</v>
      </c>
      <c r="AC4" s="19" t="s">
        <v>413</v>
      </c>
      <c r="AD4" s="19" t="s">
        <v>414</v>
      </c>
      <c r="AE4" s="19" t="s">
        <v>344</v>
      </c>
      <c r="AF4" s="14" t="s">
        <v>9</v>
      </c>
      <c r="AG4" s="14" t="s">
        <v>413</v>
      </c>
      <c r="AH4" s="14" t="s">
        <v>414</v>
      </c>
      <c r="AI4" s="14" t="s">
        <v>344</v>
      </c>
      <c r="AJ4" s="14" t="s">
        <v>9</v>
      </c>
      <c r="AK4" s="14" t="s">
        <v>413</v>
      </c>
      <c r="AL4" s="14" t="s">
        <v>414</v>
      </c>
      <c r="AM4" s="14" t="s">
        <v>344</v>
      </c>
      <c r="AN4" s="14" t="s">
        <v>9</v>
      </c>
      <c r="AO4" s="14" t="s">
        <v>413</v>
      </c>
      <c r="AP4" s="14" t="s">
        <v>414</v>
      </c>
      <c r="AQ4" s="14" t="s">
        <v>344</v>
      </c>
      <c r="AR4" s="14" t="s">
        <v>9</v>
      </c>
      <c r="AS4" s="14" t="s">
        <v>413</v>
      </c>
      <c r="AT4" s="14" t="s">
        <v>414</v>
      </c>
      <c r="AU4" s="14" t="s">
        <v>344</v>
      </c>
      <c r="AV4" s="19" t="s">
        <v>9</v>
      </c>
      <c r="AW4" s="19" t="s">
        <v>413</v>
      </c>
      <c r="AX4" s="19" t="s">
        <v>414</v>
      </c>
      <c r="AY4" s="19" t="s">
        <v>344</v>
      </c>
      <c r="AZ4" s="14" t="s">
        <v>9</v>
      </c>
      <c r="BA4" s="14" t="s">
        <v>413</v>
      </c>
      <c r="BB4" s="14" t="s">
        <v>414</v>
      </c>
      <c r="BC4" s="14" t="s">
        <v>344</v>
      </c>
      <c r="BD4" s="14" t="s">
        <v>9</v>
      </c>
      <c r="BE4" s="14" t="s">
        <v>413</v>
      </c>
      <c r="BF4" s="14" t="s">
        <v>414</v>
      </c>
      <c r="BG4" s="14" t="s">
        <v>344</v>
      </c>
      <c r="BH4" s="14" t="s">
        <v>9</v>
      </c>
      <c r="BI4" s="14" t="s">
        <v>413</v>
      </c>
      <c r="BJ4" s="14" t="s">
        <v>414</v>
      </c>
      <c r="BK4" s="14" t="s">
        <v>344</v>
      </c>
      <c r="BL4" s="14" t="s">
        <v>9</v>
      </c>
      <c r="BM4" s="14" t="s">
        <v>413</v>
      </c>
      <c r="BN4" s="14" t="s">
        <v>414</v>
      </c>
      <c r="BO4" s="14" t="s">
        <v>344</v>
      </c>
      <c r="BP4" s="14" t="s">
        <v>9</v>
      </c>
      <c r="BQ4" s="14" t="s">
        <v>413</v>
      </c>
      <c r="BR4" s="14" t="s">
        <v>414</v>
      </c>
      <c r="BS4" s="14" t="s">
        <v>344</v>
      </c>
      <c r="BT4" s="19" t="s">
        <v>9</v>
      </c>
      <c r="BU4" s="19" t="s">
        <v>413</v>
      </c>
      <c r="BV4" s="19" t="s">
        <v>414</v>
      </c>
      <c r="BW4" s="19" t="s">
        <v>344</v>
      </c>
      <c r="BX4" s="14" t="s">
        <v>9</v>
      </c>
      <c r="BY4" s="14" t="s">
        <v>413</v>
      </c>
      <c r="BZ4" s="14" t="s">
        <v>414</v>
      </c>
      <c r="CA4" s="14" t="s">
        <v>344</v>
      </c>
      <c r="CB4" s="14" t="s">
        <v>9</v>
      </c>
      <c r="CC4" s="14" t="s">
        <v>413</v>
      </c>
      <c r="CD4" s="14" t="s">
        <v>414</v>
      </c>
      <c r="CE4" s="14" t="s">
        <v>344</v>
      </c>
      <c r="CF4" s="14" t="s">
        <v>9</v>
      </c>
      <c r="CG4" s="14" t="s">
        <v>413</v>
      </c>
      <c r="CH4" s="14" t="s">
        <v>414</v>
      </c>
      <c r="CI4" s="14" t="s">
        <v>344</v>
      </c>
      <c r="CJ4" s="14" t="s">
        <v>9</v>
      </c>
      <c r="CK4" s="14" t="s">
        <v>413</v>
      </c>
      <c r="CL4" s="14" t="s">
        <v>414</v>
      </c>
      <c r="CM4" s="14" t="s">
        <v>344</v>
      </c>
      <c r="CN4" s="19" t="s">
        <v>9</v>
      </c>
      <c r="CO4" s="19" t="s">
        <v>413</v>
      </c>
      <c r="CP4" s="19" t="s">
        <v>414</v>
      </c>
      <c r="CQ4" s="19" t="s">
        <v>344</v>
      </c>
      <c r="CR4" s="14" t="s">
        <v>9</v>
      </c>
      <c r="CS4" s="14" t="s">
        <v>413</v>
      </c>
      <c r="CT4" s="14" t="s">
        <v>414</v>
      </c>
      <c r="CU4" s="14" t="s">
        <v>344</v>
      </c>
      <c r="CV4" s="14" t="s">
        <v>9</v>
      </c>
      <c r="CW4" s="14" t="s">
        <v>413</v>
      </c>
      <c r="CX4" s="14" t="s">
        <v>414</v>
      </c>
      <c r="CY4" s="14" t="s">
        <v>344</v>
      </c>
      <c r="CZ4" s="14" t="s">
        <v>9</v>
      </c>
      <c r="DA4" s="14" t="s">
        <v>413</v>
      </c>
      <c r="DB4" s="14" t="s">
        <v>414</v>
      </c>
      <c r="DC4" s="14" t="s">
        <v>344</v>
      </c>
      <c r="DD4" s="14" t="s">
        <v>9</v>
      </c>
      <c r="DE4" s="14" t="s">
        <v>413</v>
      </c>
      <c r="DF4" s="14" t="s">
        <v>414</v>
      </c>
      <c r="DG4" s="14" t="s">
        <v>344</v>
      </c>
      <c r="DH4" s="19" t="s">
        <v>9</v>
      </c>
      <c r="DI4" s="19" t="s">
        <v>413</v>
      </c>
      <c r="DJ4" s="19" t="s">
        <v>414</v>
      </c>
      <c r="DK4" s="19" t="s">
        <v>344</v>
      </c>
      <c r="DL4" s="14" t="s">
        <v>9</v>
      </c>
      <c r="DM4" s="14" t="s">
        <v>413</v>
      </c>
      <c r="DN4" s="14" t="s">
        <v>414</v>
      </c>
      <c r="DO4" s="14" t="s">
        <v>344</v>
      </c>
      <c r="DP4" s="14" t="s">
        <v>9</v>
      </c>
      <c r="DQ4" s="14" t="s">
        <v>413</v>
      </c>
      <c r="DR4" s="14" t="s">
        <v>414</v>
      </c>
      <c r="DS4" s="14" t="s">
        <v>344</v>
      </c>
      <c r="DT4" s="14" t="s">
        <v>9</v>
      </c>
      <c r="DU4" s="14" t="s">
        <v>413</v>
      </c>
      <c r="DV4" s="14" t="s">
        <v>414</v>
      </c>
      <c r="DW4" s="14" t="s">
        <v>344</v>
      </c>
      <c r="DX4" s="14" t="s">
        <v>9</v>
      </c>
      <c r="DY4" s="14" t="s">
        <v>413</v>
      </c>
      <c r="DZ4" s="14" t="s">
        <v>414</v>
      </c>
      <c r="EA4" s="14" t="s">
        <v>344</v>
      </c>
      <c r="EB4" s="14" t="s">
        <v>9</v>
      </c>
      <c r="EC4" s="14" t="s">
        <v>413</v>
      </c>
      <c r="ED4" s="14" t="s">
        <v>414</v>
      </c>
      <c r="EE4" s="14" t="s">
        <v>344</v>
      </c>
      <c r="EF4" s="19" t="s">
        <v>9</v>
      </c>
      <c r="EG4" s="19" t="s">
        <v>413</v>
      </c>
      <c r="EH4" s="19" t="s">
        <v>414</v>
      </c>
      <c r="EI4" s="19" t="s">
        <v>344</v>
      </c>
      <c r="EJ4" s="14" t="s">
        <v>9</v>
      </c>
      <c r="EK4" s="14" t="s">
        <v>413</v>
      </c>
      <c r="EL4" s="14" t="s">
        <v>414</v>
      </c>
      <c r="EM4" s="14" t="s">
        <v>344</v>
      </c>
      <c r="EN4" s="14" t="s">
        <v>9</v>
      </c>
      <c r="EO4" s="14" t="s">
        <v>413</v>
      </c>
      <c r="EP4" s="14" t="s">
        <v>414</v>
      </c>
      <c r="EQ4" s="14" t="s">
        <v>344</v>
      </c>
      <c r="ER4" s="14" t="s">
        <v>9</v>
      </c>
      <c r="ES4" s="14" t="s">
        <v>413</v>
      </c>
      <c r="ET4" s="14" t="s">
        <v>414</v>
      </c>
      <c r="EU4" s="14" t="s">
        <v>344</v>
      </c>
      <c r="EV4" s="14" t="s">
        <v>9</v>
      </c>
      <c r="EW4" s="14" t="s">
        <v>413</v>
      </c>
      <c r="EX4" s="14" t="s">
        <v>414</v>
      </c>
      <c r="EY4" s="14" t="s">
        <v>344</v>
      </c>
      <c r="EZ4" s="19" t="s">
        <v>9</v>
      </c>
      <c r="FA4" s="19" t="s">
        <v>413</v>
      </c>
      <c r="FB4" s="19" t="s">
        <v>414</v>
      </c>
      <c r="FC4" s="19" t="s">
        <v>344</v>
      </c>
      <c r="FD4" s="14" t="s">
        <v>9</v>
      </c>
      <c r="FE4" s="14" t="s">
        <v>413</v>
      </c>
      <c r="FF4" s="14" t="s">
        <v>414</v>
      </c>
      <c r="FG4" s="14" t="s">
        <v>344</v>
      </c>
      <c r="FH4" s="14" t="s">
        <v>9</v>
      </c>
      <c r="FI4" s="14" t="s">
        <v>413</v>
      </c>
      <c r="FJ4" s="14" t="s">
        <v>414</v>
      </c>
      <c r="FK4" s="14" t="s">
        <v>344</v>
      </c>
      <c r="FL4" s="14" t="s">
        <v>9</v>
      </c>
      <c r="FM4" s="14" t="s">
        <v>413</v>
      </c>
      <c r="FN4" s="14" t="s">
        <v>414</v>
      </c>
      <c r="FO4" s="14" t="s">
        <v>344</v>
      </c>
      <c r="FP4" s="14" t="s">
        <v>9</v>
      </c>
      <c r="FQ4" s="14" t="s">
        <v>413</v>
      </c>
      <c r="FR4" s="14" t="s">
        <v>414</v>
      </c>
      <c r="FS4" s="14" t="s">
        <v>344</v>
      </c>
      <c r="FT4" s="19" t="s">
        <v>9</v>
      </c>
      <c r="FU4" s="19" t="s">
        <v>413</v>
      </c>
      <c r="FV4" s="19" t="s">
        <v>414</v>
      </c>
      <c r="FW4" s="19" t="s">
        <v>344</v>
      </c>
      <c r="FX4" s="14" t="s">
        <v>9</v>
      </c>
      <c r="FY4" s="14" t="s">
        <v>413</v>
      </c>
      <c r="FZ4" s="14" t="s">
        <v>414</v>
      </c>
      <c r="GA4" s="14" t="s">
        <v>344</v>
      </c>
      <c r="GB4" s="14" t="s">
        <v>9</v>
      </c>
      <c r="GC4" s="14" t="s">
        <v>413</v>
      </c>
      <c r="GD4" s="14" t="s">
        <v>414</v>
      </c>
      <c r="GE4" s="14" t="s">
        <v>344</v>
      </c>
      <c r="GF4" s="14" t="s">
        <v>9</v>
      </c>
      <c r="GG4" s="14" t="s">
        <v>413</v>
      </c>
      <c r="GH4" s="14" t="s">
        <v>414</v>
      </c>
      <c r="GI4" s="14" t="s">
        <v>344</v>
      </c>
      <c r="GJ4" s="14" t="s">
        <v>9</v>
      </c>
      <c r="GK4" s="14" t="s">
        <v>413</v>
      </c>
      <c r="GL4" s="14" t="s">
        <v>414</v>
      </c>
      <c r="GM4" s="14" t="s">
        <v>344</v>
      </c>
      <c r="GN4" s="14" t="s">
        <v>9</v>
      </c>
      <c r="GO4" s="14" t="s">
        <v>413</v>
      </c>
      <c r="GP4" s="14" t="s">
        <v>414</v>
      </c>
      <c r="GQ4" s="14" t="s">
        <v>344</v>
      </c>
      <c r="GR4" s="19" t="s">
        <v>9</v>
      </c>
      <c r="GS4" s="19" t="s">
        <v>413</v>
      </c>
      <c r="GT4" s="19" t="s">
        <v>414</v>
      </c>
      <c r="GU4" s="19" t="s">
        <v>344</v>
      </c>
      <c r="GV4" s="14" t="s">
        <v>9</v>
      </c>
      <c r="GW4" s="14" t="s">
        <v>413</v>
      </c>
      <c r="GX4" s="14" t="s">
        <v>414</v>
      </c>
      <c r="GY4" s="14" t="s">
        <v>344</v>
      </c>
      <c r="GZ4" s="14" t="s">
        <v>9</v>
      </c>
      <c r="HA4" s="14" t="s">
        <v>413</v>
      </c>
      <c r="HB4" s="14" t="s">
        <v>414</v>
      </c>
      <c r="HC4" s="14" t="s">
        <v>344</v>
      </c>
      <c r="HD4" s="14" t="s">
        <v>9</v>
      </c>
      <c r="HE4" s="14" t="s">
        <v>413</v>
      </c>
      <c r="HF4" s="14" t="s">
        <v>414</v>
      </c>
      <c r="HG4" s="14" t="s">
        <v>344</v>
      </c>
      <c r="HH4" s="14" t="s">
        <v>9</v>
      </c>
      <c r="HI4" s="14" t="s">
        <v>413</v>
      </c>
      <c r="HJ4" s="14" t="s">
        <v>414</v>
      </c>
      <c r="HK4" s="14" t="s">
        <v>344</v>
      </c>
      <c r="HL4" s="19" t="s">
        <v>9</v>
      </c>
      <c r="HM4" s="19" t="s">
        <v>413</v>
      </c>
      <c r="HN4" s="19" t="s">
        <v>414</v>
      </c>
      <c r="HO4" s="19" t="s">
        <v>344</v>
      </c>
      <c r="HP4" s="14" t="s">
        <v>9</v>
      </c>
      <c r="HQ4" s="14" t="s">
        <v>413</v>
      </c>
      <c r="HR4" s="14" t="s">
        <v>414</v>
      </c>
      <c r="HS4" s="14" t="s">
        <v>344</v>
      </c>
      <c r="HT4" s="14" t="s">
        <v>9</v>
      </c>
      <c r="HU4" s="14" t="s">
        <v>413</v>
      </c>
      <c r="HV4" s="14" t="s">
        <v>414</v>
      </c>
      <c r="HW4" s="14" t="s">
        <v>344</v>
      </c>
      <c r="HX4" s="14" t="s">
        <v>9</v>
      </c>
      <c r="HY4" s="14" t="s">
        <v>413</v>
      </c>
      <c r="HZ4" s="14" t="s">
        <v>414</v>
      </c>
      <c r="IA4" s="14" t="s">
        <v>344</v>
      </c>
      <c r="IB4" s="14" t="s">
        <v>9</v>
      </c>
      <c r="IC4" s="14" t="s">
        <v>413</v>
      </c>
      <c r="ID4" s="14" t="s">
        <v>414</v>
      </c>
      <c r="IE4" s="14" t="s">
        <v>344</v>
      </c>
      <c r="IF4" s="19" t="s">
        <v>9</v>
      </c>
      <c r="IG4" s="19" t="s">
        <v>413</v>
      </c>
      <c r="IH4" s="19" t="s">
        <v>414</v>
      </c>
      <c r="II4" s="19" t="s">
        <v>344</v>
      </c>
      <c r="IJ4" s="14" t="s">
        <v>9</v>
      </c>
      <c r="IK4" s="14" t="s">
        <v>413</v>
      </c>
      <c r="IL4" s="14" t="s">
        <v>414</v>
      </c>
      <c r="IM4" s="14" t="s">
        <v>344</v>
      </c>
      <c r="IN4" s="14" t="s">
        <v>9</v>
      </c>
      <c r="IO4" s="14" t="s">
        <v>413</v>
      </c>
      <c r="IP4" s="14" t="s">
        <v>414</v>
      </c>
      <c r="IQ4" s="14" t="s">
        <v>344</v>
      </c>
      <c r="IR4" s="14" t="s">
        <v>9</v>
      </c>
      <c r="IS4" s="14" t="s">
        <v>413</v>
      </c>
      <c r="IT4" s="14" t="s">
        <v>414</v>
      </c>
      <c r="IU4" s="14" t="s">
        <v>344</v>
      </c>
      <c r="IV4" s="14" t="s">
        <v>9</v>
      </c>
      <c r="IW4" s="14" t="s">
        <v>413</v>
      </c>
      <c r="IX4" s="14" t="s">
        <v>414</v>
      </c>
      <c r="IY4" s="14" t="s">
        <v>344</v>
      </c>
      <c r="IZ4" s="14" t="s">
        <v>9</v>
      </c>
      <c r="JA4" s="14" t="s">
        <v>413</v>
      </c>
      <c r="JB4" s="14" t="s">
        <v>414</v>
      </c>
      <c r="JC4" s="14" t="s">
        <v>344</v>
      </c>
      <c r="JD4" s="19" t="s">
        <v>9</v>
      </c>
      <c r="JE4" s="19" t="s">
        <v>413</v>
      </c>
      <c r="JF4" s="19" t="s">
        <v>414</v>
      </c>
      <c r="JG4" s="19" t="s">
        <v>344</v>
      </c>
      <c r="JH4" s="14" t="s">
        <v>9</v>
      </c>
      <c r="JI4" s="14" t="s">
        <v>413</v>
      </c>
      <c r="JJ4" s="14" t="s">
        <v>414</v>
      </c>
      <c r="JK4" s="14" t="s">
        <v>344</v>
      </c>
      <c r="JL4" s="14" t="s">
        <v>9</v>
      </c>
      <c r="JM4" s="14" t="s">
        <v>413</v>
      </c>
      <c r="JN4" s="14" t="s">
        <v>414</v>
      </c>
      <c r="JO4" s="14" t="s">
        <v>344</v>
      </c>
      <c r="JP4" s="14" t="s">
        <v>9</v>
      </c>
      <c r="JQ4" s="14" t="s">
        <v>413</v>
      </c>
      <c r="JR4" s="14" t="s">
        <v>414</v>
      </c>
      <c r="JS4" s="14" t="s">
        <v>344</v>
      </c>
      <c r="JT4" s="14" t="s">
        <v>9</v>
      </c>
      <c r="JU4" s="14" t="s">
        <v>413</v>
      </c>
      <c r="JV4" s="14" t="s">
        <v>414</v>
      </c>
      <c r="JW4" s="14" t="s">
        <v>344</v>
      </c>
      <c r="JX4" s="19" t="s">
        <v>9</v>
      </c>
      <c r="JY4" s="19" t="s">
        <v>413</v>
      </c>
      <c r="JZ4" s="19" t="s">
        <v>414</v>
      </c>
      <c r="KA4" s="19" t="s">
        <v>344</v>
      </c>
      <c r="KB4" s="14" t="s">
        <v>9</v>
      </c>
      <c r="KC4" s="14" t="s">
        <v>413</v>
      </c>
      <c r="KD4" s="14" t="s">
        <v>414</v>
      </c>
      <c r="KE4" s="14" t="s">
        <v>344</v>
      </c>
      <c r="KF4" s="14" t="s">
        <v>9</v>
      </c>
      <c r="KG4" s="14" t="s">
        <v>413</v>
      </c>
      <c r="KH4" s="14" t="s">
        <v>414</v>
      </c>
      <c r="KI4" s="14" t="s">
        <v>344</v>
      </c>
      <c r="KJ4" s="14" t="s">
        <v>9</v>
      </c>
      <c r="KK4" s="14" t="s">
        <v>413</v>
      </c>
      <c r="KL4" s="14" t="s">
        <v>414</v>
      </c>
      <c r="KM4" s="14" t="s">
        <v>344</v>
      </c>
      <c r="KN4" s="14" t="s">
        <v>9</v>
      </c>
      <c r="KO4" s="14" t="s">
        <v>413</v>
      </c>
      <c r="KP4" s="14" t="s">
        <v>414</v>
      </c>
      <c r="KQ4" s="14" t="s">
        <v>344</v>
      </c>
      <c r="KR4" s="19" t="s">
        <v>9</v>
      </c>
      <c r="KS4" s="19" t="s">
        <v>413</v>
      </c>
      <c r="KT4" s="19" t="s">
        <v>414</v>
      </c>
      <c r="KU4" s="19" t="s">
        <v>344</v>
      </c>
      <c r="KV4" s="25" t="s">
        <v>9</v>
      </c>
      <c r="KW4" s="25" t="s">
        <v>413</v>
      </c>
      <c r="KX4" s="25" t="s">
        <v>414</v>
      </c>
      <c r="KY4" s="25" t="s">
        <v>344</v>
      </c>
    </row>
    <row r="5" spans="1:311" ht="16.95" customHeight="1" x14ac:dyDescent="0.4">
      <c r="A5" s="7" t="s">
        <v>26</v>
      </c>
      <c r="B5" s="7" t="s">
        <v>395</v>
      </c>
      <c r="C5" s="7"/>
      <c r="D5" s="8">
        <v>28</v>
      </c>
      <c r="E5" s="8">
        <v>0</v>
      </c>
      <c r="F5" s="8">
        <v>67433</v>
      </c>
      <c r="G5" s="8">
        <v>5731.8</v>
      </c>
      <c r="H5" s="20">
        <v>28</v>
      </c>
      <c r="I5" s="20">
        <v>0</v>
      </c>
      <c r="J5" s="20">
        <v>67433</v>
      </c>
      <c r="K5" s="20">
        <v>5731.8</v>
      </c>
      <c r="L5" s="8">
        <v>66</v>
      </c>
      <c r="M5" s="8">
        <v>0</v>
      </c>
      <c r="N5" s="8">
        <v>244107</v>
      </c>
      <c r="O5" s="8">
        <v>20749.099999999999</v>
      </c>
      <c r="P5" s="8">
        <v>60</v>
      </c>
      <c r="Q5" s="8">
        <v>0</v>
      </c>
      <c r="R5" s="8">
        <v>265429</v>
      </c>
      <c r="S5" s="8">
        <v>22561.5</v>
      </c>
      <c r="T5" s="8">
        <v>63</v>
      </c>
      <c r="U5" s="8">
        <v>0</v>
      </c>
      <c r="V5" s="8">
        <v>201643</v>
      </c>
      <c r="W5" s="8">
        <v>17139.7</v>
      </c>
      <c r="X5" s="8">
        <v>25</v>
      </c>
      <c r="Y5" s="8">
        <v>0</v>
      </c>
      <c r="Z5" s="8">
        <v>84009</v>
      </c>
      <c r="AA5" s="8">
        <v>7140.8</v>
      </c>
      <c r="AB5" s="20">
        <v>214</v>
      </c>
      <c r="AC5" s="20">
        <v>0</v>
      </c>
      <c r="AD5" s="20">
        <v>795188</v>
      </c>
      <c r="AE5" s="20">
        <v>67591</v>
      </c>
      <c r="AF5" s="8">
        <v>29</v>
      </c>
      <c r="AG5" s="8">
        <v>0</v>
      </c>
      <c r="AH5" s="8">
        <v>218118</v>
      </c>
      <c r="AI5" s="8">
        <v>18540</v>
      </c>
      <c r="AJ5" s="8">
        <v>55</v>
      </c>
      <c r="AK5" s="8">
        <v>0</v>
      </c>
      <c r="AL5" s="8">
        <v>192368</v>
      </c>
      <c r="AM5" s="8">
        <v>16351.3</v>
      </c>
      <c r="AN5" s="8">
        <v>52</v>
      </c>
      <c r="AO5" s="8">
        <v>0</v>
      </c>
      <c r="AP5" s="8">
        <v>229355</v>
      </c>
      <c r="AQ5" s="8">
        <v>19495.2</v>
      </c>
      <c r="AR5" s="8">
        <v>68</v>
      </c>
      <c r="AS5" s="8">
        <v>0</v>
      </c>
      <c r="AT5" s="8">
        <v>262631</v>
      </c>
      <c r="AU5" s="8">
        <v>22323.599999999999</v>
      </c>
      <c r="AV5" s="20">
        <v>204</v>
      </c>
      <c r="AW5" s="20">
        <v>0</v>
      </c>
      <c r="AX5" s="20">
        <v>902472</v>
      </c>
      <c r="AY5" s="20">
        <v>76710.100000000006</v>
      </c>
      <c r="AZ5" s="8">
        <v>65</v>
      </c>
      <c r="BA5" s="8">
        <v>0</v>
      </c>
      <c r="BB5" s="8">
        <v>226863</v>
      </c>
      <c r="BC5" s="8">
        <v>19283.400000000001</v>
      </c>
      <c r="BD5" s="8">
        <v>44</v>
      </c>
      <c r="BE5" s="8">
        <v>0</v>
      </c>
      <c r="BF5" s="8">
        <v>225043</v>
      </c>
      <c r="BG5" s="8">
        <v>19128.7</v>
      </c>
      <c r="BH5" s="8">
        <v>41</v>
      </c>
      <c r="BI5" s="8">
        <v>0</v>
      </c>
      <c r="BJ5" s="8">
        <v>138291</v>
      </c>
      <c r="BK5" s="8">
        <v>11754.7</v>
      </c>
      <c r="BL5" s="8">
        <v>43</v>
      </c>
      <c r="BM5" s="8">
        <v>0</v>
      </c>
      <c r="BN5" s="8">
        <v>233432</v>
      </c>
      <c r="BO5" s="8">
        <v>19841.7</v>
      </c>
      <c r="BP5" s="8">
        <v>56</v>
      </c>
      <c r="BQ5" s="8">
        <v>0</v>
      </c>
      <c r="BR5" s="8">
        <v>271636</v>
      </c>
      <c r="BS5" s="8">
        <v>23089.1</v>
      </c>
      <c r="BT5" s="20">
        <v>249</v>
      </c>
      <c r="BU5" s="20">
        <v>0</v>
      </c>
      <c r="BV5" s="20">
        <v>1095265</v>
      </c>
      <c r="BW5" s="20">
        <v>93097.5</v>
      </c>
      <c r="BX5" s="8">
        <v>65</v>
      </c>
      <c r="BY5" s="8">
        <v>0</v>
      </c>
      <c r="BZ5" s="8">
        <v>224156</v>
      </c>
      <c r="CA5" s="8">
        <v>19053.3</v>
      </c>
      <c r="CB5" s="8">
        <v>54</v>
      </c>
      <c r="CC5" s="8">
        <v>0</v>
      </c>
      <c r="CD5" s="8">
        <v>202837</v>
      </c>
      <c r="CE5" s="8">
        <v>17241.099999999999</v>
      </c>
      <c r="CF5" s="8">
        <v>68</v>
      </c>
      <c r="CG5" s="8">
        <v>0</v>
      </c>
      <c r="CH5" s="8">
        <v>201165</v>
      </c>
      <c r="CI5" s="8">
        <v>17099</v>
      </c>
      <c r="CJ5" s="8">
        <v>60</v>
      </c>
      <c r="CK5" s="8">
        <v>0</v>
      </c>
      <c r="CL5" s="8">
        <v>278326</v>
      </c>
      <c r="CM5" s="8">
        <v>23657.7</v>
      </c>
      <c r="CN5" s="20">
        <v>247</v>
      </c>
      <c r="CO5" s="20">
        <v>0</v>
      </c>
      <c r="CP5" s="20">
        <v>906484</v>
      </c>
      <c r="CQ5" s="20">
        <v>77051.100000000006</v>
      </c>
      <c r="CR5" s="8">
        <v>38</v>
      </c>
      <c r="CS5" s="8">
        <v>0</v>
      </c>
      <c r="CT5" s="8">
        <v>155423</v>
      </c>
      <c r="CU5" s="8">
        <v>13211</v>
      </c>
      <c r="CV5" s="8">
        <v>65</v>
      </c>
      <c r="CW5" s="8">
        <v>0</v>
      </c>
      <c r="CX5" s="8">
        <v>235058</v>
      </c>
      <c r="CY5" s="8">
        <v>19979.900000000001</v>
      </c>
      <c r="CZ5" s="8">
        <v>91</v>
      </c>
      <c r="DA5" s="8">
        <v>0</v>
      </c>
      <c r="DB5" s="8">
        <v>296571</v>
      </c>
      <c r="DC5" s="8">
        <v>25208.5</v>
      </c>
      <c r="DD5" s="8">
        <v>89</v>
      </c>
      <c r="DE5" s="8">
        <v>0</v>
      </c>
      <c r="DF5" s="8">
        <v>267041</v>
      </c>
      <c r="DG5" s="8">
        <v>22698.5</v>
      </c>
      <c r="DH5" s="20">
        <v>283</v>
      </c>
      <c r="DI5" s="20">
        <v>0</v>
      </c>
      <c r="DJ5" s="20">
        <v>954093</v>
      </c>
      <c r="DK5" s="20">
        <v>81097.899999999994</v>
      </c>
      <c r="DL5" s="8">
        <v>57</v>
      </c>
      <c r="DM5" s="8">
        <v>0</v>
      </c>
      <c r="DN5" s="8">
        <v>123060</v>
      </c>
      <c r="DO5" s="8">
        <v>10460.1</v>
      </c>
      <c r="DP5" s="8">
        <v>92</v>
      </c>
      <c r="DQ5" s="8">
        <v>0</v>
      </c>
      <c r="DR5" s="8">
        <v>251893</v>
      </c>
      <c r="DS5" s="8">
        <v>21410.9</v>
      </c>
      <c r="DT5" s="8">
        <v>69</v>
      </c>
      <c r="DU5" s="8">
        <v>0</v>
      </c>
      <c r="DV5" s="8">
        <v>220783</v>
      </c>
      <c r="DW5" s="8">
        <v>18766.599999999999</v>
      </c>
      <c r="DX5" s="8">
        <v>74</v>
      </c>
      <c r="DY5" s="8">
        <v>0</v>
      </c>
      <c r="DZ5" s="8">
        <v>159838</v>
      </c>
      <c r="EA5" s="8">
        <v>13586.2</v>
      </c>
      <c r="EB5" s="8">
        <v>40</v>
      </c>
      <c r="EC5" s="8">
        <v>0</v>
      </c>
      <c r="ED5" s="8">
        <v>143914</v>
      </c>
      <c r="EE5" s="8">
        <v>12232.7</v>
      </c>
      <c r="EF5" s="20">
        <v>332</v>
      </c>
      <c r="EG5" s="20">
        <v>0</v>
      </c>
      <c r="EH5" s="20">
        <v>899488</v>
      </c>
      <c r="EI5" s="20">
        <v>76456.5</v>
      </c>
      <c r="EJ5" s="8">
        <v>83</v>
      </c>
      <c r="EK5" s="8">
        <v>0</v>
      </c>
      <c r="EL5" s="8">
        <v>166316</v>
      </c>
      <c r="EM5" s="8">
        <v>14136.9</v>
      </c>
      <c r="EN5" s="8">
        <v>88</v>
      </c>
      <c r="EO5" s="8">
        <v>0</v>
      </c>
      <c r="EP5" s="8">
        <v>281343</v>
      </c>
      <c r="EQ5" s="8">
        <v>23914.2</v>
      </c>
      <c r="ER5" s="8">
        <v>52</v>
      </c>
      <c r="ES5" s="8">
        <v>0</v>
      </c>
      <c r="ET5" s="8">
        <v>154148</v>
      </c>
      <c r="EU5" s="8">
        <v>13102.6</v>
      </c>
      <c r="EV5" s="8">
        <v>73</v>
      </c>
      <c r="EW5" s="8">
        <v>0</v>
      </c>
      <c r="EX5" s="8">
        <v>151750</v>
      </c>
      <c r="EY5" s="8">
        <v>12898.8</v>
      </c>
      <c r="EZ5" s="20">
        <v>296</v>
      </c>
      <c r="FA5" s="20">
        <v>0</v>
      </c>
      <c r="FB5" s="20">
        <v>753557</v>
      </c>
      <c r="FC5" s="20">
        <v>64052.3</v>
      </c>
      <c r="FD5" s="8">
        <v>62</v>
      </c>
      <c r="FE5" s="8">
        <v>0</v>
      </c>
      <c r="FF5" s="8">
        <v>243272</v>
      </c>
      <c r="FG5" s="8">
        <v>20678.099999999999</v>
      </c>
      <c r="FH5" s="8">
        <v>48</v>
      </c>
      <c r="FI5" s="8">
        <v>0</v>
      </c>
      <c r="FJ5" s="8">
        <v>88532</v>
      </c>
      <c r="FK5" s="8">
        <v>7525.2</v>
      </c>
      <c r="FL5" s="8">
        <v>63</v>
      </c>
      <c r="FM5" s="8">
        <v>0</v>
      </c>
      <c r="FN5" s="8">
        <v>316642</v>
      </c>
      <c r="FO5" s="8">
        <v>26914.6</v>
      </c>
      <c r="FP5" s="8">
        <v>87</v>
      </c>
      <c r="FQ5" s="8">
        <v>0</v>
      </c>
      <c r="FR5" s="8">
        <v>266875</v>
      </c>
      <c r="FS5" s="8">
        <v>22684.400000000001</v>
      </c>
      <c r="FT5" s="20">
        <v>260</v>
      </c>
      <c r="FU5" s="20">
        <v>0</v>
      </c>
      <c r="FV5" s="20">
        <v>915321</v>
      </c>
      <c r="FW5" s="20">
        <v>77802.3</v>
      </c>
      <c r="FX5" s="8">
        <v>55</v>
      </c>
      <c r="FY5" s="8">
        <v>0</v>
      </c>
      <c r="FZ5" s="8">
        <v>159195</v>
      </c>
      <c r="GA5" s="8">
        <v>13531.6</v>
      </c>
      <c r="GB5" s="8">
        <v>81</v>
      </c>
      <c r="GC5" s="8">
        <v>0</v>
      </c>
      <c r="GD5" s="8">
        <v>258235</v>
      </c>
      <c r="GE5" s="8">
        <v>21950</v>
      </c>
      <c r="GF5" s="8">
        <v>49</v>
      </c>
      <c r="GG5" s="8">
        <v>0</v>
      </c>
      <c r="GH5" s="8">
        <v>204052</v>
      </c>
      <c r="GI5" s="8">
        <v>17344.400000000001</v>
      </c>
      <c r="GJ5" s="8">
        <v>65</v>
      </c>
      <c r="GK5" s="8">
        <v>0</v>
      </c>
      <c r="GL5" s="8">
        <v>212557</v>
      </c>
      <c r="GM5" s="8">
        <v>18067.3</v>
      </c>
      <c r="GN5" s="8">
        <v>52</v>
      </c>
      <c r="GO5" s="8">
        <v>0</v>
      </c>
      <c r="GP5" s="8">
        <v>248929</v>
      </c>
      <c r="GQ5" s="8">
        <v>21159</v>
      </c>
      <c r="GR5" s="20">
        <v>302</v>
      </c>
      <c r="GS5" s="20">
        <v>0</v>
      </c>
      <c r="GT5" s="20">
        <v>1082968</v>
      </c>
      <c r="GU5" s="20">
        <v>92052.3</v>
      </c>
      <c r="GV5" s="8">
        <v>22</v>
      </c>
      <c r="GW5" s="8">
        <v>0</v>
      </c>
      <c r="GX5" s="8">
        <v>82233</v>
      </c>
      <c r="GY5" s="8">
        <v>6989.8</v>
      </c>
      <c r="GZ5" s="8">
        <v>63</v>
      </c>
      <c r="HA5" s="8">
        <v>0</v>
      </c>
      <c r="HB5" s="8">
        <v>307073</v>
      </c>
      <c r="HC5" s="8">
        <v>26101.200000000001</v>
      </c>
      <c r="HD5" s="8">
        <v>75</v>
      </c>
      <c r="HE5" s="8">
        <v>0</v>
      </c>
      <c r="HF5" s="8">
        <v>323396</v>
      </c>
      <c r="HG5" s="8">
        <v>27488.7</v>
      </c>
      <c r="HH5" s="8">
        <v>90</v>
      </c>
      <c r="HI5" s="8">
        <v>0</v>
      </c>
      <c r="HJ5" s="8">
        <v>310475</v>
      </c>
      <c r="HK5" s="8">
        <v>26390.400000000001</v>
      </c>
      <c r="HL5" s="20">
        <v>250</v>
      </c>
      <c r="HM5" s="20">
        <v>0</v>
      </c>
      <c r="HN5" s="20">
        <v>1023177</v>
      </c>
      <c r="HO5" s="20">
        <v>86970</v>
      </c>
      <c r="HP5" s="8">
        <v>76</v>
      </c>
      <c r="HQ5" s="8">
        <v>0</v>
      </c>
      <c r="HR5" s="8">
        <v>224679</v>
      </c>
      <c r="HS5" s="8">
        <v>19097.7</v>
      </c>
      <c r="HT5" s="8">
        <v>88</v>
      </c>
      <c r="HU5" s="8">
        <v>0</v>
      </c>
      <c r="HV5" s="8">
        <v>228178</v>
      </c>
      <c r="HW5" s="8">
        <v>19395.099999999999</v>
      </c>
      <c r="HX5" s="8">
        <v>67</v>
      </c>
      <c r="HY5" s="8">
        <v>0</v>
      </c>
      <c r="HZ5" s="8">
        <v>282034</v>
      </c>
      <c r="IA5" s="8">
        <v>23972.9</v>
      </c>
      <c r="IB5" s="8">
        <v>54</v>
      </c>
      <c r="IC5" s="8">
        <v>0</v>
      </c>
      <c r="ID5" s="8">
        <v>217307</v>
      </c>
      <c r="IE5" s="8">
        <v>18471.099999999999</v>
      </c>
      <c r="IF5" s="20">
        <v>285</v>
      </c>
      <c r="IG5" s="20">
        <v>0</v>
      </c>
      <c r="IH5" s="20">
        <v>952198</v>
      </c>
      <c r="II5" s="20">
        <v>80936.800000000003</v>
      </c>
      <c r="IJ5" s="8">
        <v>59</v>
      </c>
      <c r="IK5" s="8">
        <v>0</v>
      </c>
      <c r="IL5" s="8">
        <v>207138</v>
      </c>
      <c r="IM5" s="8">
        <v>17606.7</v>
      </c>
      <c r="IN5" s="8">
        <v>70</v>
      </c>
      <c r="IO5" s="8">
        <v>0</v>
      </c>
      <c r="IP5" s="8">
        <v>203112</v>
      </c>
      <c r="IQ5" s="8">
        <v>17264.5</v>
      </c>
      <c r="IR5" s="8">
        <v>53</v>
      </c>
      <c r="IS5" s="8">
        <v>0</v>
      </c>
      <c r="IT5" s="8">
        <v>242869</v>
      </c>
      <c r="IU5" s="8">
        <v>20643.900000000001</v>
      </c>
      <c r="IV5" s="8">
        <v>27</v>
      </c>
      <c r="IW5" s="8">
        <v>0</v>
      </c>
      <c r="IX5" s="8">
        <v>70654</v>
      </c>
      <c r="IY5" s="8">
        <v>6005.6</v>
      </c>
      <c r="IZ5" s="8">
        <v>72</v>
      </c>
      <c r="JA5" s="8">
        <v>0</v>
      </c>
      <c r="JB5" s="8">
        <v>197861</v>
      </c>
      <c r="JC5" s="8">
        <v>16818.2</v>
      </c>
      <c r="JD5" s="20">
        <v>281</v>
      </c>
      <c r="JE5" s="20">
        <v>0</v>
      </c>
      <c r="JF5" s="20">
        <v>921634</v>
      </c>
      <c r="JG5" s="20">
        <v>78338.899999999994</v>
      </c>
      <c r="JH5" s="8">
        <v>53</v>
      </c>
      <c r="JI5" s="8">
        <v>0</v>
      </c>
      <c r="JJ5" s="8">
        <v>272952</v>
      </c>
      <c r="JK5" s="8">
        <v>23200.9</v>
      </c>
      <c r="JL5" s="8">
        <v>47</v>
      </c>
      <c r="JM5" s="8">
        <v>0</v>
      </c>
      <c r="JN5" s="8">
        <v>206650</v>
      </c>
      <c r="JO5" s="8">
        <v>17565.3</v>
      </c>
      <c r="JP5" s="8">
        <v>72</v>
      </c>
      <c r="JQ5" s="8">
        <v>0</v>
      </c>
      <c r="JR5" s="8">
        <v>196196</v>
      </c>
      <c r="JS5" s="8">
        <v>16676.7</v>
      </c>
      <c r="JT5" s="8">
        <v>74</v>
      </c>
      <c r="JU5" s="8">
        <v>0</v>
      </c>
      <c r="JV5" s="8">
        <v>267213</v>
      </c>
      <c r="JW5" s="8">
        <v>22713.1</v>
      </c>
      <c r="JX5" s="20">
        <v>246</v>
      </c>
      <c r="JY5" s="20">
        <v>0</v>
      </c>
      <c r="JZ5" s="20">
        <v>943011</v>
      </c>
      <c r="KA5" s="20">
        <v>80155.899999999994</v>
      </c>
      <c r="KB5" s="8">
        <v>63</v>
      </c>
      <c r="KC5" s="8">
        <v>0</v>
      </c>
      <c r="KD5" s="8">
        <v>228030</v>
      </c>
      <c r="KE5" s="8">
        <v>19382.599999999999</v>
      </c>
      <c r="KF5" s="8">
        <v>46</v>
      </c>
      <c r="KG5" s="8">
        <v>0</v>
      </c>
      <c r="KH5" s="8">
        <v>159473</v>
      </c>
      <c r="KI5" s="8">
        <v>13555.2</v>
      </c>
      <c r="KJ5" s="8">
        <v>15</v>
      </c>
      <c r="KK5" s="8">
        <v>0</v>
      </c>
      <c r="KL5" s="8">
        <v>35520</v>
      </c>
      <c r="KM5" s="8">
        <v>3019.2</v>
      </c>
      <c r="KN5" s="8">
        <v>75</v>
      </c>
      <c r="KO5" s="8">
        <v>0</v>
      </c>
      <c r="KP5" s="8">
        <v>284386</v>
      </c>
      <c r="KQ5" s="8">
        <v>24172.799999999999</v>
      </c>
      <c r="KR5" s="20">
        <v>199</v>
      </c>
      <c r="KS5" s="20">
        <v>0</v>
      </c>
      <c r="KT5" s="20">
        <v>707409</v>
      </c>
      <c r="KU5" s="20">
        <v>60129.8</v>
      </c>
      <c r="KV5" s="20">
        <v>3676</v>
      </c>
      <c r="KW5" s="20">
        <v>0</v>
      </c>
      <c r="KX5" s="20">
        <v>12919698</v>
      </c>
      <c r="KY5" s="20">
        <v>1098174.3</v>
      </c>
    </row>
    <row r="6" spans="1:311" ht="16.95" customHeight="1" x14ac:dyDescent="0.4">
      <c r="A6" s="12"/>
      <c r="B6" s="12" t="s">
        <v>20</v>
      </c>
      <c r="C6" s="12" t="s">
        <v>395</v>
      </c>
      <c r="D6" s="10">
        <v>2</v>
      </c>
      <c r="E6" s="10">
        <v>0</v>
      </c>
      <c r="F6" s="10">
        <v>6183</v>
      </c>
      <c r="G6" s="10">
        <v>525.6</v>
      </c>
      <c r="H6" s="21">
        <v>2</v>
      </c>
      <c r="I6" s="21">
        <v>0</v>
      </c>
      <c r="J6" s="21">
        <v>6183</v>
      </c>
      <c r="K6" s="21">
        <v>525.6</v>
      </c>
      <c r="L6" s="10">
        <v>56</v>
      </c>
      <c r="M6" s="10">
        <v>0</v>
      </c>
      <c r="N6" s="10">
        <v>151379</v>
      </c>
      <c r="O6" s="10">
        <v>12867.2</v>
      </c>
      <c r="P6" s="10">
        <v>53</v>
      </c>
      <c r="Q6" s="10">
        <v>0</v>
      </c>
      <c r="R6" s="10">
        <v>158289</v>
      </c>
      <c r="S6" s="10">
        <v>13454.6</v>
      </c>
      <c r="T6" s="10">
        <v>30</v>
      </c>
      <c r="U6" s="10">
        <v>0</v>
      </c>
      <c r="V6" s="10">
        <v>103698</v>
      </c>
      <c r="W6" s="10">
        <v>8814.2999999999993</v>
      </c>
      <c r="X6" s="10">
        <v>25</v>
      </c>
      <c r="Y6" s="10">
        <v>0</v>
      </c>
      <c r="Z6" s="10">
        <v>84009</v>
      </c>
      <c r="AA6" s="10">
        <v>7140.7</v>
      </c>
      <c r="AB6" s="21">
        <v>164</v>
      </c>
      <c r="AC6" s="21">
        <v>0</v>
      </c>
      <c r="AD6" s="21">
        <v>497375</v>
      </c>
      <c r="AE6" s="21">
        <v>42276.9</v>
      </c>
      <c r="AF6" s="10">
        <v>16</v>
      </c>
      <c r="AG6" s="10">
        <v>0</v>
      </c>
      <c r="AH6" s="10">
        <v>62055</v>
      </c>
      <c r="AI6" s="10">
        <v>5274.8</v>
      </c>
      <c r="AJ6" s="10">
        <v>25</v>
      </c>
      <c r="AK6" s="10">
        <v>0</v>
      </c>
      <c r="AL6" s="10">
        <v>81201</v>
      </c>
      <c r="AM6" s="10">
        <v>6902.1</v>
      </c>
      <c r="AN6" s="10">
        <v>44</v>
      </c>
      <c r="AO6" s="10">
        <v>0</v>
      </c>
      <c r="AP6" s="10">
        <v>139436</v>
      </c>
      <c r="AQ6" s="10">
        <v>11852.1</v>
      </c>
      <c r="AR6" s="10">
        <v>49</v>
      </c>
      <c r="AS6" s="10">
        <v>0</v>
      </c>
      <c r="AT6" s="10">
        <v>157257</v>
      </c>
      <c r="AU6" s="10">
        <v>13366.8</v>
      </c>
      <c r="AV6" s="21">
        <v>134</v>
      </c>
      <c r="AW6" s="21">
        <v>0</v>
      </c>
      <c r="AX6" s="21">
        <v>439949</v>
      </c>
      <c r="AY6" s="21">
        <v>37395.800000000003</v>
      </c>
      <c r="AZ6" s="10">
        <v>41</v>
      </c>
      <c r="BA6" s="10">
        <v>0</v>
      </c>
      <c r="BB6" s="10">
        <v>138241</v>
      </c>
      <c r="BC6" s="10">
        <v>11750.5</v>
      </c>
      <c r="BD6" s="10">
        <v>25</v>
      </c>
      <c r="BE6" s="10">
        <v>0</v>
      </c>
      <c r="BF6" s="10">
        <v>87081</v>
      </c>
      <c r="BG6" s="10">
        <v>7401.9</v>
      </c>
      <c r="BH6" s="10">
        <v>15</v>
      </c>
      <c r="BI6" s="10">
        <v>0</v>
      </c>
      <c r="BJ6" s="10">
        <v>51210</v>
      </c>
      <c r="BK6" s="10">
        <v>4352.8999999999996</v>
      </c>
      <c r="BL6" s="10">
        <v>35</v>
      </c>
      <c r="BM6" s="10">
        <v>0</v>
      </c>
      <c r="BN6" s="10">
        <v>123955</v>
      </c>
      <c r="BO6" s="10">
        <v>10536.2</v>
      </c>
      <c r="BP6" s="10">
        <v>49</v>
      </c>
      <c r="BQ6" s="10">
        <v>0</v>
      </c>
      <c r="BR6" s="10">
        <v>174293</v>
      </c>
      <c r="BS6" s="10">
        <v>14814.9</v>
      </c>
      <c r="BT6" s="21">
        <v>165</v>
      </c>
      <c r="BU6" s="21">
        <v>0</v>
      </c>
      <c r="BV6" s="21">
        <v>574780</v>
      </c>
      <c r="BW6" s="21">
        <v>48856.3</v>
      </c>
      <c r="BX6" s="10">
        <v>38</v>
      </c>
      <c r="BY6" s="10">
        <v>0</v>
      </c>
      <c r="BZ6" s="10">
        <v>125274</v>
      </c>
      <c r="CA6" s="10">
        <v>10648.3</v>
      </c>
      <c r="CB6" s="10">
        <v>36</v>
      </c>
      <c r="CC6" s="10">
        <v>0</v>
      </c>
      <c r="CD6" s="10">
        <v>118661</v>
      </c>
      <c r="CE6" s="10">
        <v>10086.200000000001</v>
      </c>
      <c r="CF6" s="10">
        <v>44</v>
      </c>
      <c r="CG6" s="10">
        <v>0</v>
      </c>
      <c r="CH6" s="10">
        <v>142361</v>
      </c>
      <c r="CI6" s="10">
        <v>12100.7</v>
      </c>
      <c r="CJ6" s="10">
        <v>50</v>
      </c>
      <c r="CK6" s="10">
        <v>0</v>
      </c>
      <c r="CL6" s="10">
        <v>163594</v>
      </c>
      <c r="CM6" s="10">
        <v>13905.5</v>
      </c>
      <c r="CN6" s="21">
        <v>168</v>
      </c>
      <c r="CO6" s="21">
        <v>0</v>
      </c>
      <c r="CP6" s="21">
        <v>549890</v>
      </c>
      <c r="CQ6" s="21">
        <v>46740.7</v>
      </c>
      <c r="CR6" s="10">
        <v>30</v>
      </c>
      <c r="CS6" s="10">
        <v>0</v>
      </c>
      <c r="CT6" s="10">
        <v>72810</v>
      </c>
      <c r="CU6" s="10">
        <v>6188.9</v>
      </c>
      <c r="CV6" s="10">
        <v>56</v>
      </c>
      <c r="CW6" s="10">
        <v>0</v>
      </c>
      <c r="CX6" s="10">
        <v>140505</v>
      </c>
      <c r="CY6" s="10">
        <v>11942.9</v>
      </c>
      <c r="CZ6" s="10">
        <v>59</v>
      </c>
      <c r="DA6" s="10">
        <v>0</v>
      </c>
      <c r="DB6" s="10">
        <v>146580</v>
      </c>
      <c r="DC6" s="10">
        <v>12459.3</v>
      </c>
      <c r="DD6" s="10">
        <v>60</v>
      </c>
      <c r="DE6" s="10">
        <v>0</v>
      </c>
      <c r="DF6" s="10">
        <v>164766</v>
      </c>
      <c r="DG6" s="10">
        <v>14005.1</v>
      </c>
      <c r="DH6" s="21">
        <v>205</v>
      </c>
      <c r="DI6" s="21">
        <v>0</v>
      </c>
      <c r="DJ6" s="21">
        <v>524661</v>
      </c>
      <c r="DK6" s="21">
        <v>44596.2</v>
      </c>
      <c r="DL6" s="10">
        <v>55</v>
      </c>
      <c r="DM6" s="10">
        <v>0</v>
      </c>
      <c r="DN6" s="10">
        <v>109211</v>
      </c>
      <c r="DO6" s="10">
        <v>9283</v>
      </c>
      <c r="DP6" s="10">
        <v>61</v>
      </c>
      <c r="DQ6" s="10">
        <v>0</v>
      </c>
      <c r="DR6" s="10">
        <v>131836</v>
      </c>
      <c r="DS6" s="10">
        <v>11206.1</v>
      </c>
      <c r="DT6" s="10">
        <v>63</v>
      </c>
      <c r="DU6" s="10">
        <v>0</v>
      </c>
      <c r="DV6" s="10">
        <v>140145</v>
      </c>
      <c r="DW6" s="10">
        <v>11912.3</v>
      </c>
      <c r="DX6" s="10">
        <v>39</v>
      </c>
      <c r="DY6" s="10">
        <v>0</v>
      </c>
      <c r="DZ6" s="10">
        <v>85133</v>
      </c>
      <c r="EA6" s="10">
        <v>7236.3</v>
      </c>
      <c r="EB6" s="10">
        <v>35</v>
      </c>
      <c r="EC6" s="10">
        <v>0</v>
      </c>
      <c r="ED6" s="10">
        <v>85372</v>
      </c>
      <c r="EE6" s="10">
        <v>7256.7</v>
      </c>
      <c r="EF6" s="21">
        <v>253</v>
      </c>
      <c r="EG6" s="21">
        <v>0</v>
      </c>
      <c r="EH6" s="21">
        <v>551697</v>
      </c>
      <c r="EI6" s="21">
        <v>46894.3</v>
      </c>
      <c r="EJ6" s="10">
        <v>53</v>
      </c>
      <c r="EK6" s="10">
        <v>0</v>
      </c>
      <c r="EL6" s="10">
        <v>106019</v>
      </c>
      <c r="EM6" s="10">
        <v>9011.6</v>
      </c>
      <c r="EN6" s="10">
        <v>55</v>
      </c>
      <c r="EO6" s="10">
        <v>0</v>
      </c>
      <c r="EP6" s="10">
        <v>112597</v>
      </c>
      <c r="EQ6" s="10">
        <v>9570.7999999999993</v>
      </c>
      <c r="ER6" s="10">
        <v>47</v>
      </c>
      <c r="ES6" s="10">
        <v>0</v>
      </c>
      <c r="ET6" s="10">
        <v>96263</v>
      </c>
      <c r="EU6" s="10">
        <v>8182.3</v>
      </c>
      <c r="EV6" s="10">
        <v>49</v>
      </c>
      <c r="EW6" s="10">
        <v>0</v>
      </c>
      <c r="EX6" s="10">
        <v>99288</v>
      </c>
      <c r="EY6" s="10">
        <v>8439.5</v>
      </c>
      <c r="EZ6" s="21">
        <v>204</v>
      </c>
      <c r="FA6" s="21">
        <v>0</v>
      </c>
      <c r="FB6" s="21">
        <v>414167</v>
      </c>
      <c r="FC6" s="21">
        <v>35204.199999999997</v>
      </c>
      <c r="FD6" s="10">
        <v>55</v>
      </c>
      <c r="FE6" s="10">
        <v>0</v>
      </c>
      <c r="FF6" s="10">
        <v>151425</v>
      </c>
      <c r="FG6" s="10">
        <v>12871.2</v>
      </c>
      <c r="FH6" s="10">
        <v>26</v>
      </c>
      <c r="FI6" s="10">
        <v>0</v>
      </c>
      <c r="FJ6" s="10">
        <v>66594</v>
      </c>
      <c r="FK6" s="10">
        <v>5660.5</v>
      </c>
      <c r="FL6" s="10">
        <v>48</v>
      </c>
      <c r="FM6" s="10">
        <v>0</v>
      </c>
      <c r="FN6" s="10">
        <v>154652</v>
      </c>
      <c r="FO6" s="10">
        <v>13145.4</v>
      </c>
      <c r="FP6" s="10">
        <v>60</v>
      </c>
      <c r="FQ6" s="10">
        <v>0</v>
      </c>
      <c r="FR6" s="10">
        <v>195641</v>
      </c>
      <c r="FS6" s="10">
        <v>16629.5</v>
      </c>
      <c r="FT6" s="21">
        <v>189</v>
      </c>
      <c r="FU6" s="21">
        <v>0</v>
      </c>
      <c r="FV6" s="21">
        <v>568312</v>
      </c>
      <c r="FW6" s="21">
        <v>48306.6</v>
      </c>
      <c r="FX6" s="10">
        <v>40</v>
      </c>
      <c r="FY6" s="10">
        <v>0</v>
      </c>
      <c r="FZ6" s="10">
        <v>124496</v>
      </c>
      <c r="GA6" s="10">
        <v>10582.1</v>
      </c>
      <c r="GB6" s="10">
        <v>50</v>
      </c>
      <c r="GC6" s="10">
        <v>0</v>
      </c>
      <c r="GD6" s="10">
        <v>167852</v>
      </c>
      <c r="GE6" s="10">
        <v>14267.4</v>
      </c>
      <c r="GF6" s="10">
        <v>47</v>
      </c>
      <c r="GG6" s="10">
        <v>0</v>
      </c>
      <c r="GH6" s="10">
        <v>161568</v>
      </c>
      <c r="GI6" s="10">
        <v>13733.3</v>
      </c>
      <c r="GJ6" s="10">
        <v>41</v>
      </c>
      <c r="GK6" s="10">
        <v>0</v>
      </c>
      <c r="GL6" s="10">
        <v>150559</v>
      </c>
      <c r="GM6" s="10">
        <v>12797.5</v>
      </c>
      <c r="GN6" s="10">
        <v>45</v>
      </c>
      <c r="GO6" s="10">
        <v>0</v>
      </c>
      <c r="GP6" s="10">
        <v>177487</v>
      </c>
      <c r="GQ6" s="10">
        <v>15086.4</v>
      </c>
      <c r="GR6" s="21">
        <v>223</v>
      </c>
      <c r="GS6" s="21">
        <v>0</v>
      </c>
      <c r="GT6" s="21">
        <v>781962</v>
      </c>
      <c r="GU6" s="21">
        <v>66466.7</v>
      </c>
      <c r="GV6" s="10">
        <v>22</v>
      </c>
      <c r="GW6" s="10">
        <v>0</v>
      </c>
      <c r="GX6" s="10">
        <v>82233</v>
      </c>
      <c r="GY6" s="10">
        <v>6989.8</v>
      </c>
      <c r="GZ6" s="10">
        <v>54</v>
      </c>
      <c r="HA6" s="10">
        <v>0</v>
      </c>
      <c r="HB6" s="10">
        <v>200482</v>
      </c>
      <c r="HC6" s="10">
        <v>17041</v>
      </c>
      <c r="HD6" s="10">
        <v>69</v>
      </c>
      <c r="HE6" s="10">
        <v>0</v>
      </c>
      <c r="HF6" s="10">
        <v>254567</v>
      </c>
      <c r="HG6" s="10">
        <v>21638.2</v>
      </c>
      <c r="HH6" s="10">
        <v>67</v>
      </c>
      <c r="HI6" s="10">
        <v>0</v>
      </c>
      <c r="HJ6" s="10">
        <v>245228</v>
      </c>
      <c r="HK6" s="10">
        <v>20844.400000000001</v>
      </c>
      <c r="HL6" s="21">
        <v>212</v>
      </c>
      <c r="HM6" s="21">
        <v>0</v>
      </c>
      <c r="HN6" s="21">
        <v>782510</v>
      </c>
      <c r="HO6" s="21">
        <v>66513.3</v>
      </c>
      <c r="HP6" s="10">
        <v>59</v>
      </c>
      <c r="HQ6" s="10">
        <v>0</v>
      </c>
      <c r="HR6" s="10">
        <v>143263</v>
      </c>
      <c r="HS6" s="10">
        <v>12177.3</v>
      </c>
      <c r="HT6" s="10">
        <v>51</v>
      </c>
      <c r="HU6" s="10">
        <v>0</v>
      </c>
      <c r="HV6" s="10">
        <v>124319</v>
      </c>
      <c r="HW6" s="10">
        <v>10567.1</v>
      </c>
      <c r="HX6" s="10">
        <v>56</v>
      </c>
      <c r="HY6" s="10">
        <v>0</v>
      </c>
      <c r="HZ6" s="10">
        <v>152766</v>
      </c>
      <c r="IA6" s="10">
        <v>12985.1</v>
      </c>
      <c r="IB6" s="10">
        <v>46</v>
      </c>
      <c r="IC6" s="10">
        <v>0</v>
      </c>
      <c r="ID6" s="10">
        <v>112479</v>
      </c>
      <c r="IE6" s="10">
        <v>9560.7000000000007</v>
      </c>
      <c r="IF6" s="21">
        <v>212</v>
      </c>
      <c r="IG6" s="21">
        <v>0</v>
      </c>
      <c r="IH6" s="21">
        <v>532827</v>
      </c>
      <c r="II6" s="21">
        <v>45290.3</v>
      </c>
      <c r="IJ6" s="10">
        <v>43</v>
      </c>
      <c r="IK6" s="10">
        <v>0</v>
      </c>
      <c r="IL6" s="10">
        <v>107252</v>
      </c>
      <c r="IM6" s="10">
        <v>9116.4</v>
      </c>
      <c r="IN6" s="10">
        <v>46</v>
      </c>
      <c r="IO6" s="10">
        <v>0</v>
      </c>
      <c r="IP6" s="10">
        <v>112479</v>
      </c>
      <c r="IQ6" s="10">
        <v>9560.7000000000007</v>
      </c>
      <c r="IR6" s="10">
        <v>41</v>
      </c>
      <c r="IS6" s="10">
        <v>0</v>
      </c>
      <c r="IT6" s="10">
        <v>98439</v>
      </c>
      <c r="IU6" s="10">
        <v>8367.2999999999993</v>
      </c>
      <c r="IV6" s="10">
        <v>26</v>
      </c>
      <c r="IW6" s="10">
        <v>0</v>
      </c>
      <c r="IX6" s="10">
        <v>65119</v>
      </c>
      <c r="IY6" s="10">
        <v>5535.1</v>
      </c>
      <c r="IZ6" s="10">
        <v>44</v>
      </c>
      <c r="JA6" s="10">
        <v>0</v>
      </c>
      <c r="JB6" s="10">
        <v>107647</v>
      </c>
      <c r="JC6" s="10">
        <v>9150</v>
      </c>
      <c r="JD6" s="21">
        <v>200</v>
      </c>
      <c r="JE6" s="21">
        <v>0</v>
      </c>
      <c r="JF6" s="21">
        <v>490936</v>
      </c>
      <c r="JG6" s="21">
        <v>41729.5</v>
      </c>
      <c r="JH6" s="10">
        <v>41</v>
      </c>
      <c r="JI6" s="10">
        <v>0</v>
      </c>
      <c r="JJ6" s="10">
        <v>101231</v>
      </c>
      <c r="JK6" s="10">
        <v>8604.6</v>
      </c>
      <c r="JL6" s="10">
        <v>37</v>
      </c>
      <c r="JM6" s="10">
        <v>0</v>
      </c>
      <c r="JN6" s="10">
        <v>87616</v>
      </c>
      <c r="JO6" s="10">
        <v>7447.4</v>
      </c>
      <c r="JP6" s="10">
        <v>35</v>
      </c>
      <c r="JQ6" s="10">
        <v>0</v>
      </c>
      <c r="JR6" s="10">
        <v>88900</v>
      </c>
      <c r="JS6" s="10">
        <v>7556.5</v>
      </c>
      <c r="JT6" s="10">
        <v>31</v>
      </c>
      <c r="JU6" s="10">
        <v>0</v>
      </c>
      <c r="JV6" s="10">
        <v>77551</v>
      </c>
      <c r="JW6" s="10">
        <v>6591.8</v>
      </c>
      <c r="JX6" s="21">
        <v>144</v>
      </c>
      <c r="JY6" s="21">
        <v>0</v>
      </c>
      <c r="JZ6" s="21">
        <v>355298</v>
      </c>
      <c r="KA6" s="21">
        <v>30200.3</v>
      </c>
      <c r="KB6" s="10">
        <v>44</v>
      </c>
      <c r="KC6" s="10">
        <v>0</v>
      </c>
      <c r="KD6" s="10">
        <v>116985</v>
      </c>
      <c r="KE6" s="10">
        <v>9943.7000000000007</v>
      </c>
      <c r="KF6" s="10">
        <v>41</v>
      </c>
      <c r="KG6" s="10">
        <v>0</v>
      </c>
      <c r="KH6" s="10">
        <v>101231</v>
      </c>
      <c r="KI6" s="10">
        <v>8604.6</v>
      </c>
      <c r="KJ6" s="10">
        <v>15</v>
      </c>
      <c r="KK6" s="10">
        <v>0</v>
      </c>
      <c r="KL6" s="10">
        <v>35520</v>
      </c>
      <c r="KM6" s="10">
        <v>3019.2</v>
      </c>
      <c r="KN6" s="10">
        <v>53</v>
      </c>
      <c r="KO6" s="10">
        <v>0</v>
      </c>
      <c r="KP6" s="10">
        <v>133724</v>
      </c>
      <c r="KQ6" s="10">
        <v>11366.4</v>
      </c>
      <c r="KR6" s="21">
        <v>153</v>
      </c>
      <c r="KS6" s="21">
        <v>0</v>
      </c>
      <c r="KT6" s="21">
        <v>387460</v>
      </c>
      <c r="KU6" s="21">
        <v>32934</v>
      </c>
      <c r="KV6" s="21">
        <v>2628</v>
      </c>
      <c r="KW6" s="21">
        <v>0</v>
      </c>
      <c r="KX6" s="21">
        <v>7458007</v>
      </c>
      <c r="KY6" s="21">
        <v>633930.6</v>
      </c>
    </row>
    <row r="7" spans="1:311" ht="16.95" customHeight="1" x14ac:dyDescent="0.4">
      <c r="A7" s="11"/>
      <c r="B7" s="11"/>
      <c r="C7" s="11" t="s">
        <v>54</v>
      </c>
      <c r="D7" s="9">
        <v>0</v>
      </c>
      <c r="E7" s="9">
        <v>0</v>
      </c>
      <c r="F7" s="9">
        <v>0</v>
      </c>
      <c r="G7" s="9">
        <v>0</v>
      </c>
      <c r="H7" s="22">
        <v>0</v>
      </c>
      <c r="I7" s="22"/>
      <c r="J7" s="22">
        <v>0</v>
      </c>
      <c r="K7" s="22">
        <v>0</v>
      </c>
      <c r="L7" s="9">
        <v>1</v>
      </c>
      <c r="M7" s="9">
        <v>5145</v>
      </c>
      <c r="N7" s="9">
        <v>5145</v>
      </c>
      <c r="O7" s="9">
        <v>437.3</v>
      </c>
      <c r="P7" s="9">
        <v>1</v>
      </c>
      <c r="Q7" s="9">
        <v>5145</v>
      </c>
      <c r="R7" s="9">
        <v>5145</v>
      </c>
      <c r="S7" s="9">
        <v>437.3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5145</v>
      </c>
      <c r="Z7" s="9">
        <v>5145</v>
      </c>
      <c r="AA7" s="9">
        <v>437.3</v>
      </c>
      <c r="AB7" s="22">
        <v>3</v>
      </c>
      <c r="AC7" s="22"/>
      <c r="AD7" s="22">
        <v>15435</v>
      </c>
      <c r="AE7" s="22">
        <v>1312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>
        <v>5145</v>
      </c>
      <c r="AL7" s="9">
        <v>5145</v>
      </c>
      <c r="AM7" s="9">
        <v>437.3</v>
      </c>
      <c r="AN7" s="9">
        <v>0</v>
      </c>
      <c r="AO7" s="9">
        <v>0</v>
      </c>
      <c r="AP7" s="9">
        <v>0</v>
      </c>
      <c r="AQ7" s="9">
        <v>0</v>
      </c>
      <c r="AR7" s="9">
        <v>1</v>
      </c>
      <c r="AS7" s="9">
        <v>5145</v>
      </c>
      <c r="AT7" s="9">
        <v>5145</v>
      </c>
      <c r="AU7" s="9">
        <v>437.3</v>
      </c>
      <c r="AV7" s="22">
        <v>2</v>
      </c>
      <c r="AW7" s="22"/>
      <c r="AX7" s="22">
        <v>10290</v>
      </c>
      <c r="AY7" s="22">
        <v>874.7</v>
      </c>
      <c r="AZ7" s="9">
        <v>0</v>
      </c>
      <c r="BA7" s="9">
        <v>0</v>
      </c>
      <c r="BB7" s="9">
        <v>0</v>
      </c>
      <c r="BC7" s="9">
        <v>0</v>
      </c>
      <c r="BD7" s="9">
        <v>1</v>
      </c>
      <c r="BE7" s="9">
        <v>5145</v>
      </c>
      <c r="BF7" s="9">
        <v>5145</v>
      </c>
      <c r="BG7" s="9">
        <v>437.3</v>
      </c>
      <c r="BH7" s="9">
        <v>0</v>
      </c>
      <c r="BI7" s="9">
        <v>0</v>
      </c>
      <c r="BJ7" s="9">
        <v>0</v>
      </c>
      <c r="BK7" s="9">
        <v>0</v>
      </c>
      <c r="BL7" s="9">
        <v>1</v>
      </c>
      <c r="BM7" s="9">
        <v>5261</v>
      </c>
      <c r="BN7" s="9">
        <v>5261</v>
      </c>
      <c r="BO7" s="9">
        <v>447.2</v>
      </c>
      <c r="BP7" s="9">
        <v>0</v>
      </c>
      <c r="BQ7" s="9">
        <v>0</v>
      </c>
      <c r="BR7" s="9">
        <v>0</v>
      </c>
      <c r="BS7" s="9">
        <v>0</v>
      </c>
      <c r="BT7" s="22">
        <v>2</v>
      </c>
      <c r="BU7" s="22"/>
      <c r="BV7" s="22">
        <v>10406</v>
      </c>
      <c r="BW7" s="22">
        <v>884.5</v>
      </c>
      <c r="BX7" s="9">
        <v>1</v>
      </c>
      <c r="BY7" s="9">
        <v>5261</v>
      </c>
      <c r="BZ7" s="9">
        <v>5261</v>
      </c>
      <c r="CA7" s="9">
        <v>447.2</v>
      </c>
      <c r="CB7" s="9">
        <v>1</v>
      </c>
      <c r="CC7" s="9">
        <v>5261</v>
      </c>
      <c r="CD7" s="9">
        <v>5261</v>
      </c>
      <c r="CE7" s="9">
        <v>447.2</v>
      </c>
      <c r="CF7" s="9">
        <v>0</v>
      </c>
      <c r="CG7" s="9">
        <v>0</v>
      </c>
      <c r="CH7" s="9">
        <v>0</v>
      </c>
      <c r="CI7" s="9">
        <v>0</v>
      </c>
      <c r="CJ7" s="9">
        <v>1</v>
      </c>
      <c r="CK7" s="9">
        <v>5261</v>
      </c>
      <c r="CL7" s="9">
        <v>5261</v>
      </c>
      <c r="CM7" s="9">
        <v>447.2</v>
      </c>
      <c r="CN7" s="22">
        <v>3</v>
      </c>
      <c r="CO7" s="22"/>
      <c r="CP7" s="22">
        <v>15783</v>
      </c>
      <c r="CQ7" s="22">
        <v>1341.6</v>
      </c>
      <c r="CR7" s="9">
        <v>0</v>
      </c>
      <c r="CS7" s="9">
        <v>0</v>
      </c>
      <c r="CT7" s="9">
        <v>0</v>
      </c>
      <c r="CU7" s="9">
        <v>0</v>
      </c>
      <c r="CV7" s="9">
        <v>1</v>
      </c>
      <c r="CW7" s="9">
        <v>5261</v>
      </c>
      <c r="CX7" s="9">
        <v>5261</v>
      </c>
      <c r="CY7" s="9">
        <v>447.2</v>
      </c>
      <c r="CZ7" s="9">
        <v>0</v>
      </c>
      <c r="DA7" s="9">
        <v>0</v>
      </c>
      <c r="DB7" s="9">
        <v>0</v>
      </c>
      <c r="DC7" s="9">
        <v>0</v>
      </c>
      <c r="DD7" s="9">
        <v>1</v>
      </c>
      <c r="DE7" s="9">
        <v>5261</v>
      </c>
      <c r="DF7" s="9">
        <v>5261</v>
      </c>
      <c r="DG7" s="9">
        <v>447.2</v>
      </c>
      <c r="DH7" s="22">
        <v>2</v>
      </c>
      <c r="DI7" s="22"/>
      <c r="DJ7" s="22">
        <v>10522</v>
      </c>
      <c r="DK7" s="22">
        <v>894.4</v>
      </c>
      <c r="DL7" s="9">
        <v>1</v>
      </c>
      <c r="DM7" s="9">
        <v>5261</v>
      </c>
      <c r="DN7" s="9">
        <v>5261</v>
      </c>
      <c r="DO7" s="9">
        <v>447.2</v>
      </c>
      <c r="DP7" s="9">
        <v>0</v>
      </c>
      <c r="DQ7" s="9">
        <v>0</v>
      </c>
      <c r="DR7" s="9">
        <v>0</v>
      </c>
      <c r="DS7" s="9">
        <v>0</v>
      </c>
      <c r="DT7" s="9">
        <v>1</v>
      </c>
      <c r="DU7" s="9">
        <v>5261</v>
      </c>
      <c r="DV7" s="9">
        <v>5261</v>
      </c>
      <c r="DW7" s="9">
        <v>447.2</v>
      </c>
      <c r="DX7" s="9">
        <v>1</v>
      </c>
      <c r="DY7" s="9">
        <v>5261</v>
      </c>
      <c r="DZ7" s="9">
        <v>5261</v>
      </c>
      <c r="EA7" s="9">
        <v>447.2</v>
      </c>
      <c r="EB7" s="9">
        <v>0</v>
      </c>
      <c r="EC7" s="9">
        <v>0</v>
      </c>
      <c r="ED7" s="9">
        <v>0</v>
      </c>
      <c r="EE7" s="9">
        <v>0</v>
      </c>
      <c r="EF7" s="22">
        <v>3</v>
      </c>
      <c r="EG7" s="22"/>
      <c r="EH7" s="22">
        <v>15783</v>
      </c>
      <c r="EI7" s="22">
        <v>1341.6</v>
      </c>
      <c r="EJ7" s="9">
        <v>1</v>
      </c>
      <c r="EK7" s="9">
        <v>5919</v>
      </c>
      <c r="EL7" s="9">
        <v>5919</v>
      </c>
      <c r="EM7" s="9">
        <v>503.1</v>
      </c>
      <c r="EN7" s="9">
        <v>0</v>
      </c>
      <c r="EO7" s="9">
        <v>0</v>
      </c>
      <c r="EP7" s="9">
        <v>0</v>
      </c>
      <c r="EQ7" s="9">
        <v>0</v>
      </c>
      <c r="ER7" s="9">
        <v>1</v>
      </c>
      <c r="ES7" s="9">
        <v>5919</v>
      </c>
      <c r="ET7" s="9">
        <v>5919</v>
      </c>
      <c r="EU7" s="9">
        <v>503.1</v>
      </c>
      <c r="EV7" s="9">
        <v>1</v>
      </c>
      <c r="EW7" s="9">
        <v>5919</v>
      </c>
      <c r="EX7" s="9">
        <v>5919</v>
      </c>
      <c r="EY7" s="9">
        <v>503.1</v>
      </c>
      <c r="EZ7" s="22">
        <v>3</v>
      </c>
      <c r="FA7" s="22"/>
      <c r="FB7" s="22">
        <v>17757</v>
      </c>
      <c r="FC7" s="22">
        <v>1509.3</v>
      </c>
      <c r="FD7" s="9">
        <v>0</v>
      </c>
      <c r="FE7" s="9">
        <v>0</v>
      </c>
      <c r="FF7" s="9">
        <v>0</v>
      </c>
      <c r="FG7" s="9">
        <v>0</v>
      </c>
      <c r="FH7" s="9">
        <v>1</v>
      </c>
      <c r="FI7" s="9">
        <v>5919</v>
      </c>
      <c r="FJ7" s="9">
        <v>5919</v>
      </c>
      <c r="FK7" s="9">
        <v>503.1</v>
      </c>
      <c r="FL7" s="9">
        <v>3</v>
      </c>
      <c r="FM7" s="9">
        <v>5919</v>
      </c>
      <c r="FN7" s="9">
        <v>17757</v>
      </c>
      <c r="FO7" s="9">
        <v>1509.3</v>
      </c>
      <c r="FP7" s="9">
        <v>1</v>
      </c>
      <c r="FQ7" s="9">
        <v>5919</v>
      </c>
      <c r="FR7" s="9">
        <v>5919</v>
      </c>
      <c r="FS7" s="9">
        <v>503.1</v>
      </c>
      <c r="FT7" s="22">
        <v>5</v>
      </c>
      <c r="FU7" s="22"/>
      <c r="FV7" s="22">
        <v>29595</v>
      </c>
      <c r="FW7" s="22">
        <v>2515.6</v>
      </c>
      <c r="FX7" s="9">
        <v>0</v>
      </c>
      <c r="FY7" s="9">
        <v>0</v>
      </c>
      <c r="FZ7" s="9">
        <v>0</v>
      </c>
      <c r="GA7" s="9">
        <v>0</v>
      </c>
      <c r="GB7" s="9">
        <v>1</v>
      </c>
      <c r="GC7" s="9">
        <v>5919</v>
      </c>
      <c r="GD7" s="9">
        <v>5919</v>
      </c>
      <c r="GE7" s="9">
        <v>503.1</v>
      </c>
      <c r="GF7" s="9">
        <v>1</v>
      </c>
      <c r="GG7" s="9">
        <v>5919</v>
      </c>
      <c r="GH7" s="9">
        <v>5919</v>
      </c>
      <c r="GI7" s="9">
        <v>503.1</v>
      </c>
      <c r="GJ7" s="9">
        <v>0</v>
      </c>
      <c r="GK7" s="9">
        <v>0</v>
      </c>
      <c r="GL7" s="9">
        <v>0</v>
      </c>
      <c r="GM7" s="9">
        <v>0</v>
      </c>
      <c r="GN7" s="9">
        <v>1</v>
      </c>
      <c r="GO7" s="9">
        <v>5919</v>
      </c>
      <c r="GP7" s="9">
        <v>5919</v>
      </c>
      <c r="GQ7" s="9">
        <v>503.1</v>
      </c>
      <c r="GR7" s="22">
        <v>3</v>
      </c>
      <c r="GS7" s="22"/>
      <c r="GT7" s="22">
        <v>17757</v>
      </c>
      <c r="GU7" s="22">
        <v>1509.3</v>
      </c>
      <c r="GV7" s="9">
        <v>1</v>
      </c>
      <c r="GW7" s="9">
        <v>5919</v>
      </c>
      <c r="GX7" s="9">
        <v>5919</v>
      </c>
      <c r="GY7" s="9">
        <v>503.1</v>
      </c>
      <c r="GZ7" s="9">
        <v>1</v>
      </c>
      <c r="HA7" s="9">
        <v>5919</v>
      </c>
      <c r="HB7" s="9">
        <v>5919</v>
      </c>
      <c r="HC7" s="9">
        <v>503.1</v>
      </c>
      <c r="HD7" s="9">
        <v>1</v>
      </c>
      <c r="HE7" s="9">
        <v>5919</v>
      </c>
      <c r="HF7" s="9">
        <v>5919</v>
      </c>
      <c r="HG7" s="9">
        <v>503.1</v>
      </c>
      <c r="HH7" s="9">
        <v>0</v>
      </c>
      <c r="HI7" s="9">
        <v>0</v>
      </c>
      <c r="HJ7" s="9">
        <v>0</v>
      </c>
      <c r="HK7" s="9">
        <v>0</v>
      </c>
      <c r="HL7" s="22">
        <v>3</v>
      </c>
      <c r="HM7" s="22"/>
      <c r="HN7" s="22">
        <v>17757</v>
      </c>
      <c r="HO7" s="22">
        <v>1509.3</v>
      </c>
      <c r="HP7" s="9">
        <v>1</v>
      </c>
      <c r="HQ7" s="9">
        <v>5919</v>
      </c>
      <c r="HR7" s="9">
        <v>5919</v>
      </c>
      <c r="HS7" s="9">
        <v>503.1</v>
      </c>
      <c r="HT7" s="9">
        <v>1</v>
      </c>
      <c r="HU7" s="9">
        <v>5919</v>
      </c>
      <c r="HV7" s="9">
        <v>5919</v>
      </c>
      <c r="HW7" s="9">
        <v>503.1</v>
      </c>
      <c r="HX7" s="9">
        <v>1</v>
      </c>
      <c r="HY7" s="9">
        <v>5919</v>
      </c>
      <c r="HZ7" s="9">
        <v>5919</v>
      </c>
      <c r="IA7" s="9">
        <v>503.1</v>
      </c>
      <c r="IB7" s="9">
        <v>1</v>
      </c>
      <c r="IC7" s="9">
        <v>5919</v>
      </c>
      <c r="ID7" s="9">
        <v>5919</v>
      </c>
      <c r="IE7" s="9">
        <v>503.1</v>
      </c>
      <c r="IF7" s="22">
        <v>4</v>
      </c>
      <c r="IG7" s="22"/>
      <c r="IH7" s="22">
        <v>23676</v>
      </c>
      <c r="II7" s="22">
        <v>2012.5</v>
      </c>
      <c r="IJ7" s="9">
        <v>1</v>
      </c>
      <c r="IK7" s="9">
        <v>5919</v>
      </c>
      <c r="IL7" s="9">
        <v>5919</v>
      </c>
      <c r="IM7" s="9">
        <v>503.1</v>
      </c>
      <c r="IN7" s="9">
        <v>1</v>
      </c>
      <c r="IO7" s="9">
        <v>5919</v>
      </c>
      <c r="IP7" s="9">
        <v>5919</v>
      </c>
      <c r="IQ7" s="9">
        <v>503.1</v>
      </c>
      <c r="IR7" s="9">
        <v>0</v>
      </c>
      <c r="IS7" s="9">
        <v>5919</v>
      </c>
      <c r="IT7" s="9">
        <v>0</v>
      </c>
      <c r="IU7" s="9">
        <v>0</v>
      </c>
      <c r="IV7" s="9">
        <v>1</v>
      </c>
      <c r="IW7" s="9">
        <v>5919</v>
      </c>
      <c r="IX7" s="9">
        <v>5919</v>
      </c>
      <c r="IY7" s="9">
        <v>503.1</v>
      </c>
      <c r="IZ7" s="9">
        <v>0</v>
      </c>
      <c r="JA7" s="9">
        <v>0</v>
      </c>
      <c r="JB7" s="9">
        <v>0</v>
      </c>
      <c r="JC7" s="9">
        <v>0</v>
      </c>
      <c r="JD7" s="22">
        <v>3</v>
      </c>
      <c r="JE7" s="22"/>
      <c r="JF7" s="22">
        <v>17757</v>
      </c>
      <c r="JG7" s="22">
        <v>1509.3</v>
      </c>
      <c r="JH7" s="9">
        <v>0</v>
      </c>
      <c r="JI7" s="9">
        <v>0</v>
      </c>
      <c r="JJ7" s="9">
        <v>0</v>
      </c>
      <c r="JK7" s="9">
        <v>0</v>
      </c>
      <c r="JL7" s="9">
        <v>0</v>
      </c>
      <c r="JM7" s="9">
        <v>0</v>
      </c>
      <c r="JN7" s="9">
        <v>0</v>
      </c>
      <c r="JO7" s="9">
        <v>0</v>
      </c>
      <c r="JP7" s="9">
        <v>0</v>
      </c>
      <c r="JQ7" s="9">
        <v>0</v>
      </c>
      <c r="JR7" s="9">
        <v>0</v>
      </c>
      <c r="JS7" s="9">
        <v>0</v>
      </c>
      <c r="JT7" s="9">
        <v>0</v>
      </c>
      <c r="JU7" s="9">
        <v>0</v>
      </c>
      <c r="JV7" s="9">
        <v>0</v>
      </c>
      <c r="JW7" s="9">
        <v>0</v>
      </c>
      <c r="JX7" s="22">
        <v>0</v>
      </c>
      <c r="JY7" s="22"/>
      <c r="JZ7" s="22">
        <v>0</v>
      </c>
      <c r="KA7" s="22">
        <v>0</v>
      </c>
      <c r="KB7" s="9">
        <v>0</v>
      </c>
      <c r="KC7" s="9">
        <v>0</v>
      </c>
      <c r="KD7" s="9">
        <v>0</v>
      </c>
      <c r="KE7" s="9">
        <v>0</v>
      </c>
      <c r="KF7" s="9">
        <v>0</v>
      </c>
      <c r="KG7" s="9">
        <v>0</v>
      </c>
      <c r="KH7" s="9">
        <v>0</v>
      </c>
      <c r="KI7" s="9">
        <v>0</v>
      </c>
      <c r="KJ7" s="9">
        <v>0</v>
      </c>
      <c r="KK7" s="9">
        <v>0</v>
      </c>
      <c r="KL7" s="9">
        <v>0</v>
      </c>
      <c r="KM7" s="9">
        <v>0</v>
      </c>
      <c r="KN7" s="9">
        <v>0</v>
      </c>
      <c r="KO7" s="9">
        <v>0</v>
      </c>
      <c r="KP7" s="9">
        <v>0</v>
      </c>
      <c r="KQ7" s="9">
        <v>0</v>
      </c>
      <c r="KR7" s="22">
        <v>0</v>
      </c>
      <c r="KS7" s="22"/>
      <c r="KT7" s="22">
        <v>0</v>
      </c>
      <c r="KU7" s="22">
        <v>0</v>
      </c>
      <c r="KV7" s="22">
        <v>36</v>
      </c>
      <c r="KW7" s="22"/>
      <c r="KX7" s="22">
        <v>202518</v>
      </c>
      <c r="KY7" s="22">
        <v>17214</v>
      </c>
    </row>
    <row r="8" spans="1:311" ht="16.95" customHeight="1" x14ac:dyDescent="0.4">
      <c r="A8" s="15"/>
      <c r="B8" s="15"/>
      <c r="C8" s="15" t="s">
        <v>56</v>
      </c>
      <c r="D8" s="16">
        <v>0</v>
      </c>
      <c r="E8" s="16">
        <v>0</v>
      </c>
      <c r="F8" s="16">
        <v>0</v>
      </c>
      <c r="G8" s="16">
        <v>0</v>
      </c>
      <c r="H8" s="23">
        <v>0</v>
      </c>
      <c r="I8" s="23"/>
      <c r="J8" s="23">
        <v>0</v>
      </c>
      <c r="K8" s="23">
        <v>0</v>
      </c>
      <c r="L8" s="16">
        <v>49</v>
      </c>
      <c r="M8" s="16">
        <v>2678</v>
      </c>
      <c r="N8" s="16">
        <v>131222</v>
      </c>
      <c r="O8" s="16">
        <v>11153.9</v>
      </c>
      <c r="P8" s="16">
        <v>48</v>
      </c>
      <c r="Q8" s="16">
        <v>3286</v>
      </c>
      <c r="R8" s="16">
        <v>143136</v>
      </c>
      <c r="S8" s="16">
        <v>12166.6</v>
      </c>
      <c r="T8" s="16">
        <v>24</v>
      </c>
      <c r="U8" s="16">
        <v>3286</v>
      </c>
      <c r="V8" s="16">
        <v>78864</v>
      </c>
      <c r="W8" s="16">
        <v>6703.4</v>
      </c>
      <c r="X8" s="16">
        <v>24</v>
      </c>
      <c r="Y8" s="16">
        <v>3286</v>
      </c>
      <c r="Z8" s="16">
        <v>78864</v>
      </c>
      <c r="AA8" s="16">
        <v>6703.4</v>
      </c>
      <c r="AB8" s="23">
        <v>145</v>
      </c>
      <c r="AC8" s="23"/>
      <c r="AD8" s="23">
        <v>432086</v>
      </c>
      <c r="AE8" s="23">
        <v>36727.300000000003</v>
      </c>
      <c r="AF8" s="16">
        <v>10</v>
      </c>
      <c r="AG8" s="16">
        <v>3169</v>
      </c>
      <c r="AH8" s="16">
        <v>31690</v>
      </c>
      <c r="AI8" s="16">
        <v>2693.7</v>
      </c>
      <c r="AJ8" s="16">
        <v>24</v>
      </c>
      <c r="AK8" s="16">
        <v>3169</v>
      </c>
      <c r="AL8" s="16">
        <v>76056</v>
      </c>
      <c r="AM8" s="16">
        <v>6464.8</v>
      </c>
      <c r="AN8" s="16">
        <v>44</v>
      </c>
      <c r="AO8" s="16">
        <v>3169</v>
      </c>
      <c r="AP8" s="16">
        <v>139436</v>
      </c>
      <c r="AQ8" s="16">
        <v>11852.1</v>
      </c>
      <c r="AR8" s="16">
        <v>48</v>
      </c>
      <c r="AS8" s="16">
        <v>3169</v>
      </c>
      <c r="AT8" s="16">
        <v>152112</v>
      </c>
      <c r="AU8" s="16">
        <v>12929.5</v>
      </c>
      <c r="AV8" s="23">
        <v>126</v>
      </c>
      <c r="AW8" s="23"/>
      <c r="AX8" s="23">
        <v>399294</v>
      </c>
      <c r="AY8" s="23">
        <v>33940</v>
      </c>
      <c r="AZ8" s="16">
        <v>34</v>
      </c>
      <c r="BA8" s="16">
        <v>3414</v>
      </c>
      <c r="BB8" s="16">
        <v>116076</v>
      </c>
      <c r="BC8" s="16">
        <v>9866.5</v>
      </c>
      <c r="BD8" s="16">
        <v>24</v>
      </c>
      <c r="BE8" s="16">
        <v>3414</v>
      </c>
      <c r="BF8" s="16">
        <v>81936</v>
      </c>
      <c r="BG8" s="16">
        <v>6964.6</v>
      </c>
      <c r="BH8" s="16">
        <v>15</v>
      </c>
      <c r="BI8" s="16">
        <v>3414</v>
      </c>
      <c r="BJ8" s="16">
        <v>51210</v>
      </c>
      <c r="BK8" s="16">
        <v>4352.8999999999996</v>
      </c>
      <c r="BL8" s="16">
        <v>34</v>
      </c>
      <c r="BM8" s="16">
        <v>3491</v>
      </c>
      <c r="BN8" s="16">
        <v>118694</v>
      </c>
      <c r="BO8" s="16">
        <v>10089</v>
      </c>
      <c r="BP8" s="16">
        <v>45</v>
      </c>
      <c r="BQ8" s="16">
        <v>3240</v>
      </c>
      <c r="BR8" s="16">
        <v>149565</v>
      </c>
      <c r="BS8" s="16">
        <v>12713</v>
      </c>
      <c r="BT8" s="23">
        <v>152</v>
      </c>
      <c r="BU8" s="23"/>
      <c r="BV8" s="23">
        <v>517481</v>
      </c>
      <c r="BW8" s="23">
        <v>43985.9</v>
      </c>
      <c r="BX8" s="16">
        <v>35</v>
      </c>
      <c r="BY8" s="16">
        <v>3240</v>
      </c>
      <c r="BZ8" s="16">
        <v>113400</v>
      </c>
      <c r="CA8" s="16">
        <v>9639</v>
      </c>
      <c r="CB8" s="16">
        <v>35</v>
      </c>
      <c r="CC8" s="16">
        <v>3240</v>
      </c>
      <c r="CD8" s="16">
        <v>113400</v>
      </c>
      <c r="CE8" s="16">
        <v>9639</v>
      </c>
      <c r="CF8" s="16">
        <v>38</v>
      </c>
      <c r="CG8" s="16">
        <v>3240</v>
      </c>
      <c r="CH8" s="16">
        <v>123120</v>
      </c>
      <c r="CI8" s="16">
        <v>10465.200000000001</v>
      </c>
      <c r="CJ8" s="16">
        <v>45</v>
      </c>
      <c r="CK8" s="16">
        <v>2427</v>
      </c>
      <c r="CL8" s="16">
        <v>133605</v>
      </c>
      <c r="CM8" s="16">
        <v>11356.4</v>
      </c>
      <c r="CN8" s="23">
        <v>153</v>
      </c>
      <c r="CO8" s="23"/>
      <c r="CP8" s="23">
        <v>483525</v>
      </c>
      <c r="CQ8" s="23">
        <v>41099.599999999999</v>
      </c>
      <c r="CR8" s="16">
        <v>30</v>
      </c>
      <c r="CS8" s="16">
        <v>2427</v>
      </c>
      <c r="CT8" s="16">
        <v>72810</v>
      </c>
      <c r="CU8" s="16">
        <v>6188.9</v>
      </c>
      <c r="CV8" s="16">
        <v>53</v>
      </c>
      <c r="CW8" s="16">
        <v>2427</v>
      </c>
      <c r="CX8" s="16">
        <v>128631</v>
      </c>
      <c r="CY8" s="16">
        <v>10933.6</v>
      </c>
      <c r="CZ8" s="16">
        <v>54</v>
      </c>
      <c r="DA8" s="16">
        <v>2427</v>
      </c>
      <c r="DB8" s="16">
        <v>131058</v>
      </c>
      <c r="DC8" s="16">
        <v>11139.9</v>
      </c>
      <c r="DD8" s="16">
        <v>54</v>
      </c>
      <c r="DE8" s="16">
        <v>2427</v>
      </c>
      <c r="DF8" s="16">
        <v>131058</v>
      </c>
      <c r="DG8" s="16">
        <v>11139.9</v>
      </c>
      <c r="DH8" s="23">
        <v>191</v>
      </c>
      <c r="DI8" s="23"/>
      <c r="DJ8" s="23">
        <v>463557</v>
      </c>
      <c r="DK8" s="23">
        <v>39402.300000000003</v>
      </c>
      <c r="DL8" s="16">
        <v>54</v>
      </c>
      <c r="DM8" s="16">
        <v>1925</v>
      </c>
      <c r="DN8" s="16">
        <v>103950</v>
      </c>
      <c r="DO8" s="16">
        <v>8835.7999999999993</v>
      </c>
      <c r="DP8" s="16">
        <v>54</v>
      </c>
      <c r="DQ8" s="16">
        <v>1925</v>
      </c>
      <c r="DR8" s="16">
        <v>103950</v>
      </c>
      <c r="DS8" s="16">
        <v>8835.7999999999993</v>
      </c>
      <c r="DT8" s="16">
        <v>57</v>
      </c>
      <c r="DU8" s="16">
        <v>1925</v>
      </c>
      <c r="DV8" s="16">
        <v>109725</v>
      </c>
      <c r="DW8" s="16">
        <v>9326.6</v>
      </c>
      <c r="DX8" s="16">
        <v>33</v>
      </c>
      <c r="DY8" s="16">
        <v>1925</v>
      </c>
      <c r="DZ8" s="16">
        <v>63525</v>
      </c>
      <c r="EA8" s="16">
        <v>5399.6</v>
      </c>
      <c r="EB8" s="16">
        <v>30</v>
      </c>
      <c r="EC8" s="16">
        <v>1925</v>
      </c>
      <c r="ED8" s="16">
        <v>57750</v>
      </c>
      <c r="EE8" s="16">
        <v>4908.8</v>
      </c>
      <c r="EF8" s="23">
        <v>228</v>
      </c>
      <c r="EG8" s="23"/>
      <c r="EH8" s="23">
        <v>438900</v>
      </c>
      <c r="EI8" s="23">
        <v>37306.5</v>
      </c>
      <c r="EJ8" s="16">
        <v>52</v>
      </c>
      <c r="EK8" s="16">
        <v>1925</v>
      </c>
      <c r="EL8" s="16">
        <v>100100</v>
      </c>
      <c r="EM8" s="16">
        <v>8508.5</v>
      </c>
      <c r="EN8" s="16">
        <v>50</v>
      </c>
      <c r="EO8" s="16">
        <v>1925</v>
      </c>
      <c r="EP8" s="16">
        <v>96250</v>
      </c>
      <c r="EQ8" s="16">
        <v>8181.3</v>
      </c>
      <c r="ER8" s="16">
        <v>45</v>
      </c>
      <c r="ES8" s="16">
        <v>1925</v>
      </c>
      <c r="ET8" s="16">
        <v>86625</v>
      </c>
      <c r="EU8" s="16">
        <v>7363.1</v>
      </c>
      <c r="EV8" s="16">
        <v>47</v>
      </c>
      <c r="EW8" s="16">
        <v>1925</v>
      </c>
      <c r="EX8" s="16">
        <v>90475</v>
      </c>
      <c r="EY8" s="16">
        <v>7690.4</v>
      </c>
      <c r="EZ8" s="23">
        <v>194</v>
      </c>
      <c r="FA8" s="23"/>
      <c r="FB8" s="23">
        <v>373450</v>
      </c>
      <c r="FC8" s="23">
        <v>31743.3</v>
      </c>
      <c r="FD8" s="16">
        <v>47</v>
      </c>
      <c r="FE8" s="16">
        <v>2427</v>
      </c>
      <c r="FF8" s="16">
        <v>114069</v>
      </c>
      <c r="FG8" s="16">
        <v>9695.9</v>
      </c>
      <c r="FH8" s="16">
        <v>25</v>
      </c>
      <c r="FI8" s="16">
        <v>2427</v>
      </c>
      <c r="FJ8" s="16">
        <v>60675</v>
      </c>
      <c r="FK8" s="16">
        <v>5157.3999999999996</v>
      </c>
      <c r="FL8" s="16">
        <v>43</v>
      </c>
      <c r="FM8" s="16">
        <v>3049</v>
      </c>
      <c r="FN8" s="16">
        <v>131107</v>
      </c>
      <c r="FO8" s="16">
        <v>11144.1</v>
      </c>
      <c r="FP8" s="16">
        <v>52</v>
      </c>
      <c r="FQ8" s="16">
        <v>3049</v>
      </c>
      <c r="FR8" s="16">
        <v>158548</v>
      </c>
      <c r="FS8" s="16">
        <v>13476.6</v>
      </c>
      <c r="FT8" s="23">
        <v>167</v>
      </c>
      <c r="FU8" s="23"/>
      <c r="FV8" s="23">
        <v>464399</v>
      </c>
      <c r="FW8" s="23">
        <v>39473.9</v>
      </c>
      <c r="FX8" s="16">
        <v>33</v>
      </c>
      <c r="FY8" s="16">
        <v>3049</v>
      </c>
      <c r="FZ8" s="16">
        <v>100617</v>
      </c>
      <c r="GA8" s="16">
        <v>8552.4</v>
      </c>
      <c r="GB8" s="16">
        <v>45</v>
      </c>
      <c r="GC8" s="16">
        <v>3049</v>
      </c>
      <c r="GD8" s="16">
        <v>137205</v>
      </c>
      <c r="GE8" s="16">
        <v>11662.4</v>
      </c>
      <c r="GF8" s="16">
        <v>45</v>
      </c>
      <c r="GG8" s="16">
        <v>3671</v>
      </c>
      <c r="GH8" s="16">
        <v>152755</v>
      </c>
      <c r="GI8" s="16">
        <v>12984.2</v>
      </c>
      <c r="GJ8" s="16">
        <v>40</v>
      </c>
      <c r="GK8" s="16">
        <v>3671</v>
      </c>
      <c r="GL8" s="16">
        <v>146840</v>
      </c>
      <c r="GM8" s="16">
        <v>12481.4</v>
      </c>
      <c r="GN8" s="16">
        <v>40</v>
      </c>
      <c r="GO8" s="16">
        <v>3671</v>
      </c>
      <c r="GP8" s="16">
        <v>146840</v>
      </c>
      <c r="GQ8" s="16">
        <v>12481.4</v>
      </c>
      <c r="GR8" s="23">
        <v>203</v>
      </c>
      <c r="GS8" s="23"/>
      <c r="GT8" s="23">
        <v>684257</v>
      </c>
      <c r="GU8" s="23">
        <v>58161.8</v>
      </c>
      <c r="GV8" s="16">
        <v>20</v>
      </c>
      <c r="GW8" s="16">
        <v>3671</v>
      </c>
      <c r="GX8" s="16">
        <v>73420</v>
      </c>
      <c r="GY8" s="16">
        <v>6240.7</v>
      </c>
      <c r="GZ8" s="16">
        <v>53</v>
      </c>
      <c r="HA8" s="16">
        <v>3671</v>
      </c>
      <c r="HB8" s="16">
        <v>194563</v>
      </c>
      <c r="HC8" s="16">
        <v>16537.900000000001</v>
      </c>
      <c r="HD8" s="16">
        <v>65</v>
      </c>
      <c r="HE8" s="16">
        <v>3671</v>
      </c>
      <c r="HF8" s="16">
        <v>238615</v>
      </c>
      <c r="HG8" s="16">
        <v>20282.3</v>
      </c>
      <c r="HH8" s="16">
        <v>65</v>
      </c>
      <c r="HI8" s="16">
        <v>3671</v>
      </c>
      <c r="HJ8" s="16">
        <v>238615</v>
      </c>
      <c r="HK8" s="16">
        <v>20282.3</v>
      </c>
      <c r="HL8" s="23">
        <v>203</v>
      </c>
      <c r="HM8" s="23"/>
      <c r="HN8" s="23">
        <v>745213</v>
      </c>
      <c r="HO8" s="23">
        <v>63343.1</v>
      </c>
      <c r="HP8" s="16">
        <v>58</v>
      </c>
      <c r="HQ8" s="16">
        <v>2368</v>
      </c>
      <c r="HR8" s="16">
        <v>137344</v>
      </c>
      <c r="HS8" s="16">
        <v>11674.2</v>
      </c>
      <c r="HT8" s="16">
        <v>50</v>
      </c>
      <c r="HU8" s="16">
        <v>2368</v>
      </c>
      <c r="HV8" s="16">
        <v>118400</v>
      </c>
      <c r="HW8" s="16">
        <v>10064</v>
      </c>
      <c r="HX8" s="16">
        <v>50</v>
      </c>
      <c r="HY8" s="16">
        <v>2368</v>
      </c>
      <c r="HZ8" s="16">
        <v>118400</v>
      </c>
      <c r="IA8" s="16">
        <v>10064</v>
      </c>
      <c r="IB8" s="16">
        <v>45</v>
      </c>
      <c r="IC8" s="16">
        <v>2368</v>
      </c>
      <c r="ID8" s="16">
        <v>106560</v>
      </c>
      <c r="IE8" s="16">
        <v>9057.6</v>
      </c>
      <c r="IF8" s="23">
        <v>203</v>
      </c>
      <c r="IG8" s="23"/>
      <c r="IH8" s="23">
        <v>480704</v>
      </c>
      <c r="II8" s="23">
        <v>40859.800000000003</v>
      </c>
      <c r="IJ8" s="16">
        <v>40</v>
      </c>
      <c r="IK8" s="16">
        <v>2368</v>
      </c>
      <c r="IL8" s="16">
        <v>94720</v>
      </c>
      <c r="IM8" s="16">
        <v>8051.2</v>
      </c>
      <c r="IN8" s="16">
        <v>45</v>
      </c>
      <c r="IO8" s="16">
        <v>2368</v>
      </c>
      <c r="IP8" s="16">
        <v>106560</v>
      </c>
      <c r="IQ8" s="16">
        <v>9057.6</v>
      </c>
      <c r="IR8" s="16">
        <v>40</v>
      </c>
      <c r="IS8" s="16">
        <v>2368</v>
      </c>
      <c r="IT8" s="16">
        <v>94720</v>
      </c>
      <c r="IU8" s="16">
        <v>8051.2</v>
      </c>
      <c r="IV8" s="16">
        <v>25</v>
      </c>
      <c r="IW8" s="16">
        <v>2368</v>
      </c>
      <c r="IX8" s="16">
        <v>59200</v>
      </c>
      <c r="IY8" s="16">
        <v>5032</v>
      </c>
      <c r="IZ8" s="16">
        <v>40</v>
      </c>
      <c r="JA8" s="16">
        <v>2368</v>
      </c>
      <c r="JB8" s="16">
        <v>94720</v>
      </c>
      <c r="JC8" s="16">
        <v>8051.2</v>
      </c>
      <c r="JD8" s="23">
        <v>190</v>
      </c>
      <c r="JE8" s="23"/>
      <c r="JF8" s="23">
        <v>449920</v>
      </c>
      <c r="JG8" s="23">
        <v>38243.199999999997</v>
      </c>
      <c r="JH8" s="16">
        <v>40</v>
      </c>
      <c r="JI8" s="16">
        <v>2368</v>
      </c>
      <c r="JJ8" s="16">
        <v>94720</v>
      </c>
      <c r="JK8" s="16">
        <v>8051.2</v>
      </c>
      <c r="JL8" s="16">
        <v>37</v>
      </c>
      <c r="JM8" s="16">
        <v>2368</v>
      </c>
      <c r="JN8" s="16">
        <v>87616</v>
      </c>
      <c r="JO8" s="16">
        <v>7447.4</v>
      </c>
      <c r="JP8" s="16">
        <v>32</v>
      </c>
      <c r="JQ8" s="16">
        <v>2368</v>
      </c>
      <c r="JR8" s="16">
        <v>75776</v>
      </c>
      <c r="JS8" s="16">
        <v>6441</v>
      </c>
      <c r="JT8" s="16">
        <v>30</v>
      </c>
      <c r="JU8" s="16">
        <v>2368</v>
      </c>
      <c r="JV8" s="16">
        <v>71040</v>
      </c>
      <c r="JW8" s="16">
        <v>6038.4</v>
      </c>
      <c r="JX8" s="23">
        <v>139</v>
      </c>
      <c r="JY8" s="23"/>
      <c r="JZ8" s="23">
        <v>329152</v>
      </c>
      <c r="KA8" s="23">
        <v>27977.9</v>
      </c>
      <c r="KB8" s="16">
        <v>40</v>
      </c>
      <c r="KC8" s="16">
        <v>2368</v>
      </c>
      <c r="KD8" s="16">
        <v>94720</v>
      </c>
      <c r="KE8" s="16">
        <v>8051.2</v>
      </c>
      <c r="KF8" s="16">
        <v>40</v>
      </c>
      <c r="KG8" s="16">
        <v>2368</v>
      </c>
      <c r="KH8" s="16">
        <v>94720</v>
      </c>
      <c r="KI8" s="16">
        <v>8051.2</v>
      </c>
      <c r="KJ8" s="16">
        <v>15</v>
      </c>
      <c r="KK8" s="16">
        <v>2368</v>
      </c>
      <c r="KL8" s="16">
        <v>35520</v>
      </c>
      <c r="KM8" s="16">
        <v>3019.2</v>
      </c>
      <c r="KN8" s="16">
        <v>48</v>
      </c>
      <c r="KO8" s="16">
        <v>2368</v>
      </c>
      <c r="KP8" s="16">
        <v>113664</v>
      </c>
      <c r="KQ8" s="16">
        <v>9661.4</v>
      </c>
      <c r="KR8" s="23">
        <v>143</v>
      </c>
      <c r="KS8" s="23"/>
      <c r="KT8" s="23">
        <v>338624</v>
      </c>
      <c r="KU8" s="23">
        <v>28783</v>
      </c>
      <c r="KV8" s="23">
        <v>2437</v>
      </c>
      <c r="KW8" s="23"/>
      <c r="KX8" s="23">
        <v>6600562</v>
      </c>
      <c r="KY8" s="23">
        <v>561047.80000000005</v>
      </c>
    </row>
    <row r="9" spans="1:311" ht="16.95" customHeight="1" x14ac:dyDescent="0.4">
      <c r="A9" s="11"/>
      <c r="B9" s="11"/>
      <c r="C9" s="11" t="s">
        <v>100</v>
      </c>
      <c r="D9" s="9">
        <v>0</v>
      </c>
      <c r="E9" s="9">
        <v>0</v>
      </c>
      <c r="F9" s="9">
        <v>0</v>
      </c>
      <c r="G9" s="9">
        <v>0</v>
      </c>
      <c r="H9" s="22">
        <v>0</v>
      </c>
      <c r="I9" s="22"/>
      <c r="J9" s="22">
        <v>0</v>
      </c>
      <c r="K9" s="22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22">
        <v>0</v>
      </c>
      <c r="AC9" s="22"/>
      <c r="AD9" s="22">
        <v>0</v>
      </c>
      <c r="AE9" s="22">
        <v>0</v>
      </c>
      <c r="AF9" s="9">
        <v>4</v>
      </c>
      <c r="AG9" s="9">
        <v>6046</v>
      </c>
      <c r="AH9" s="9">
        <v>24182</v>
      </c>
      <c r="AI9" s="9">
        <v>2055.5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22">
        <v>4</v>
      </c>
      <c r="AW9" s="22"/>
      <c r="AX9" s="22">
        <v>24182</v>
      </c>
      <c r="AY9" s="22">
        <v>2055.5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0</v>
      </c>
      <c r="BP9" s="9">
        <v>4</v>
      </c>
      <c r="BQ9" s="9">
        <v>6182</v>
      </c>
      <c r="BR9" s="9">
        <v>24728</v>
      </c>
      <c r="BS9" s="9">
        <v>2101.9</v>
      </c>
      <c r="BT9" s="22">
        <v>4</v>
      </c>
      <c r="BU9" s="22"/>
      <c r="BV9" s="22">
        <v>24728</v>
      </c>
      <c r="BW9" s="22">
        <v>2101.9</v>
      </c>
      <c r="BX9" s="9">
        <v>0</v>
      </c>
      <c r="BY9" s="9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4</v>
      </c>
      <c r="CK9" s="9">
        <v>6182</v>
      </c>
      <c r="CL9" s="9">
        <v>24728</v>
      </c>
      <c r="CM9" s="9">
        <v>2101.9</v>
      </c>
      <c r="CN9" s="22">
        <v>4</v>
      </c>
      <c r="CO9" s="22"/>
      <c r="CP9" s="22">
        <v>24728</v>
      </c>
      <c r="CQ9" s="22">
        <v>2101.9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9">
        <v>4</v>
      </c>
      <c r="DE9" s="9">
        <v>6182</v>
      </c>
      <c r="DF9" s="9">
        <v>24728</v>
      </c>
      <c r="DG9" s="9">
        <v>2101.9</v>
      </c>
      <c r="DH9" s="22">
        <v>4</v>
      </c>
      <c r="DI9" s="22"/>
      <c r="DJ9" s="22">
        <v>24728</v>
      </c>
      <c r="DK9" s="22">
        <v>2101.9</v>
      </c>
      <c r="DL9" s="9">
        <v>0</v>
      </c>
      <c r="DM9" s="9">
        <v>0</v>
      </c>
      <c r="DN9" s="9">
        <v>0</v>
      </c>
      <c r="DO9" s="9">
        <v>0</v>
      </c>
      <c r="DP9" s="9">
        <v>2</v>
      </c>
      <c r="DQ9" s="9">
        <v>6182</v>
      </c>
      <c r="DR9" s="9">
        <v>12364</v>
      </c>
      <c r="DS9" s="9">
        <v>1050.9000000000001</v>
      </c>
      <c r="DT9" s="9">
        <v>3</v>
      </c>
      <c r="DU9" s="9">
        <v>6182</v>
      </c>
      <c r="DV9" s="9">
        <v>18546</v>
      </c>
      <c r="DW9" s="9">
        <v>1576.4</v>
      </c>
      <c r="DX9" s="9">
        <v>0</v>
      </c>
      <c r="DY9" s="9">
        <v>0</v>
      </c>
      <c r="DZ9" s="9">
        <v>0</v>
      </c>
      <c r="EA9" s="9">
        <v>0</v>
      </c>
      <c r="EB9" s="9">
        <v>4</v>
      </c>
      <c r="EC9" s="9">
        <v>6182</v>
      </c>
      <c r="ED9" s="9">
        <v>24728</v>
      </c>
      <c r="EE9" s="9">
        <v>2101.9</v>
      </c>
      <c r="EF9" s="22">
        <v>9</v>
      </c>
      <c r="EG9" s="22"/>
      <c r="EH9" s="22">
        <v>55638</v>
      </c>
      <c r="EI9" s="22">
        <v>4729.2</v>
      </c>
      <c r="EJ9" s="9">
        <v>0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22">
        <v>0</v>
      </c>
      <c r="FA9" s="22"/>
      <c r="FB9" s="22">
        <v>0</v>
      </c>
      <c r="FC9" s="22">
        <v>0</v>
      </c>
      <c r="FD9" s="9">
        <v>4</v>
      </c>
      <c r="FE9" s="9">
        <v>6182</v>
      </c>
      <c r="FF9" s="9">
        <v>24728</v>
      </c>
      <c r="FG9" s="9">
        <v>2101.9</v>
      </c>
      <c r="FH9" s="9">
        <v>0</v>
      </c>
      <c r="FI9" s="9">
        <v>0</v>
      </c>
      <c r="FJ9" s="9">
        <v>0</v>
      </c>
      <c r="FK9" s="9">
        <v>0</v>
      </c>
      <c r="FL9" s="9">
        <v>0</v>
      </c>
      <c r="FM9" s="9">
        <v>0</v>
      </c>
      <c r="FN9" s="9">
        <v>0</v>
      </c>
      <c r="FO9" s="9">
        <v>0</v>
      </c>
      <c r="FP9" s="9">
        <v>3</v>
      </c>
      <c r="FQ9" s="9">
        <v>6182</v>
      </c>
      <c r="FR9" s="9">
        <v>18546</v>
      </c>
      <c r="FS9" s="9">
        <v>1576.4</v>
      </c>
      <c r="FT9" s="22">
        <v>7</v>
      </c>
      <c r="FU9" s="22"/>
      <c r="FV9" s="22">
        <v>43274</v>
      </c>
      <c r="FW9" s="22">
        <v>3678.3</v>
      </c>
      <c r="FX9" s="9">
        <v>0</v>
      </c>
      <c r="FY9" s="9">
        <v>0</v>
      </c>
      <c r="FZ9" s="9">
        <v>0</v>
      </c>
      <c r="GA9" s="9">
        <v>0</v>
      </c>
      <c r="GB9" s="9">
        <v>4</v>
      </c>
      <c r="GC9" s="9">
        <v>6182</v>
      </c>
      <c r="GD9" s="9">
        <v>24728</v>
      </c>
      <c r="GE9" s="9">
        <v>2101.9</v>
      </c>
      <c r="GF9" s="9">
        <v>0</v>
      </c>
      <c r="GG9" s="9">
        <v>0</v>
      </c>
      <c r="GH9" s="9">
        <v>0</v>
      </c>
      <c r="GI9" s="9">
        <v>0</v>
      </c>
      <c r="GJ9" s="9">
        <v>0</v>
      </c>
      <c r="GK9" s="9">
        <v>0</v>
      </c>
      <c r="GL9" s="9">
        <v>0</v>
      </c>
      <c r="GM9" s="9">
        <v>0</v>
      </c>
      <c r="GN9" s="9">
        <v>4</v>
      </c>
      <c r="GO9" s="9">
        <v>6182</v>
      </c>
      <c r="GP9" s="9">
        <v>24728</v>
      </c>
      <c r="GQ9" s="9">
        <v>2101.9</v>
      </c>
      <c r="GR9" s="22">
        <v>8</v>
      </c>
      <c r="GS9" s="22"/>
      <c r="GT9" s="22">
        <v>49456</v>
      </c>
      <c r="GU9" s="22">
        <v>4203.8</v>
      </c>
      <c r="GV9" s="9">
        <v>0</v>
      </c>
      <c r="GW9" s="9">
        <v>0</v>
      </c>
      <c r="GX9" s="9">
        <v>0</v>
      </c>
      <c r="GY9" s="9">
        <v>0</v>
      </c>
      <c r="GZ9" s="9">
        <v>0</v>
      </c>
      <c r="HA9" s="9">
        <v>0</v>
      </c>
      <c r="HB9" s="9">
        <v>0</v>
      </c>
      <c r="HC9" s="9">
        <v>0</v>
      </c>
      <c r="HD9" s="9">
        <v>0</v>
      </c>
      <c r="HE9" s="9">
        <v>0</v>
      </c>
      <c r="HF9" s="9">
        <v>0</v>
      </c>
      <c r="HG9" s="9">
        <v>0</v>
      </c>
      <c r="HH9" s="9">
        <v>0</v>
      </c>
      <c r="HI9" s="9">
        <v>0</v>
      </c>
      <c r="HJ9" s="9">
        <v>0</v>
      </c>
      <c r="HK9" s="9">
        <v>0</v>
      </c>
      <c r="HL9" s="22">
        <v>0</v>
      </c>
      <c r="HM9" s="22"/>
      <c r="HN9" s="22">
        <v>0</v>
      </c>
      <c r="HO9" s="22">
        <v>0</v>
      </c>
      <c r="HP9" s="9">
        <v>0</v>
      </c>
      <c r="HQ9" s="9">
        <v>0</v>
      </c>
      <c r="HR9" s="9">
        <v>0</v>
      </c>
      <c r="HS9" s="9">
        <v>0</v>
      </c>
      <c r="HT9" s="9">
        <v>0</v>
      </c>
      <c r="HU9" s="9">
        <v>0</v>
      </c>
      <c r="HV9" s="9">
        <v>0</v>
      </c>
      <c r="HW9" s="9">
        <v>0</v>
      </c>
      <c r="HX9" s="9">
        <v>4</v>
      </c>
      <c r="HY9" s="9">
        <v>6182</v>
      </c>
      <c r="HZ9" s="9">
        <v>24728</v>
      </c>
      <c r="IA9" s="9">
        <v>2101.9</v>
      </c>
      <c r="IB9" s="9">
        <v>0</v>
      </c>
      <c r="IC9" s="9">
        <v>0</v>
      </c>
      <c r="ID9" s="9">
        <v>0</v>
      </c>
      <c r="IE9" s="9">
        <v>0</v>
      </c>
      <c r="IF9" s="22">
        <v>4</v>
      </c>
      <c r="IG9" s="22"/>
      <c r="IH9" s="22">
        <v>24728</v>
      </c>
      <c r="II9" s="22">
        <v>2101.9</v>
      </c>
      <c r="IJ9" s="9">
        <v>0</v>
      </c>
      <c r="IK9" s="9">
        <v>0</v>
      </c>
      <c r="IL9" s="9">
        <v>0</v>
      </c>
      <c r="IM9" s="9">
        <v>0</v>
      </c>
      <c r="IN9" s="9">
        <v>0</v>
      </c>
      <c r="IO9" s="9">
        <v>0</v>
      </c>
      <c r="IP9" s="9">
        <v>0</v>
      </c>
      <c r="IQ9" s="9">
        <v>0</v>
      </c>
      <c r="IR9" s="9">
        <v>0</v>
      </c>
      <c r="IS9" s="9">
        <v>0</v>
      </c>
      <c r="IT9" s="9">
        <v>0</v>
      </c>
      <c r="IU9" s="9">
        <v>0</v>
      </c>
      <c r="IV9" s="9">
        <v>0</v>
      </c>
      <c r="IW9" s="9">
        <v>0</v>
      </c>
      <c r="IX9" s="9">
        <v>0</v>
      </c>
      <c r="IY9" s="9">
        <v>0</v>
      </c>
      <c r="IZ9" s="9">
        <v>0</v>
      </c>
      <c r="JA9" s="9">
        <v>0</v>
      </c>
      <c r="JB9" s="9">
        <v>0</v>
      </c>
      <c r="JC9" s="9">
        <v>0</v>
      </c>
      <c r="JD9" s="22">
        <v>0</v>
      </c>
      <c r="JE9" s="22"/>
      <c r="JF9" s="22">
        <v>0</v>
      </c>
      <c r="JG9" s="22">
        <v>0</v>
      </c>
      <c r="JH9" s="9">
        <v>0</v>
      </c>
      <c r="JI9" s="9">
        <v>0</v>
      </c>
      <c r="JJ9" s="9">
        <v>0</v>
      </c>
      <c r="JK9" s="9">
        <v>0</v>
      </c>
      <c r="JL9" s="9">
        <v>0</v>
      </c>
      <c r="JM9" s="9">
        <v>0</v>
      </c>
      <c r="JN9" s="9">
        <v>0</v>
      </c>
      <c r="JO9" s="9">
        <v>0</v>
      </c>
      <c r="JP9" s="9">
        <v>0</v>
      </c>
      <c r="JQ9" s="9">
        <v>0</v>
      </c>
      <c r="JR9" s="9">
        <v>0</v>
      </c>
      <c r="JS9" s="9">
        <v>0</v>
      </c>
      <c r="JT9" s="9">
        <v>0</v>
      </c>
      <c r="JU9" s="9">
        <v>0</v>
      </c>
      <c r="JV9" s="9">
        <v>0</v>
      </c>
      <c r="JW9" s="9">
        <v>0</v>
      </c>
      <c r="JX9" s="22">
        <v>0</v>
      </c>
      <c r="JY9" s="22"/>
      <c r="JZ9" s="22">
        <v>0</v>
      </c>
      <c r="KA9" s="22">
        <v>0</v>
      </c>
      <c r="KB9" s="9">
        <v>3</v>
      </c>
      <c r="KC9" s="9">
        <v>6182</v>
      </c>
      <c r="KD9" s="9">
        <v>18546</v>
      </c>
      <c r="KE9" s="9">
        <v>1576.4</v>
      </c>
      <c r="KF9" s="9">
        <v>0</v>
      </c>
      <c r="KG9" s="9">
        <v>0</v>
      </c>
      <c r="KH9" s="9">
        <v>0</v>
      </c>
      <c r="KI9" s="9">
        <v>0</v>
      </c>
      <c r="KJ9" s="9">
        <v>0</v>
      </c>
      <c r="KK9" s="9">
        <v>0</v>
      </c>
      <c r="KL9" s="9">
        <v>0</v>
      </c>
      <c r="KM9" s="9">
        <v>0</v>
      </c>
      <c r="KN9" s="9">
        <v>0</v>
      </c>
      <c r="KO9" s="9">
        <v>0</v>
      </c>
      <c r="KP9" s="9">
        <v>0</v>
      </c>
      <c r="KQ9" s="9">
        <v>0</v>
      </c>
      <c r="KR9" s="22">
        <v>3</v>
      </c>
      <c r="KS9" s="22"/>
      <c r="KT9" s="22">
        <v>18546</v>
      </c>
      <c r="KU9" s="22">
        <v>1576.4</v>
      </c>
      <c r="KV9" s="22">
        <v>47</v>
      </c>
      <c r="KW9" s="22"/>
      <c r="KX9" s="22">
        <v>290008</v>
      </c>
      <c r="KY9" s="22">
        <v>24650.7</v>
      </c>
    </row>
    <row r="10" spans="1:311" ht="16.95" customHeight="1" x14ac:dyDescent="0.4">
      <c r="A10" s="15"/>
      <c r="B10" s="15"/>
      <c r="C10" s="15" t="s">
        <v>127</v>
      </c>
      <c r="D10" s="16">
        <v>0</v>
      </c>
      <c r="E10" s="16">
        <v>0</v>
      </c>
      <c r="F10" s="16">
        <v>0</v>
      </c>
      <c r="G10" s="16">
        <v>0</v>
      </c>
      <c r="H10" s="23">
        <v>0</v>
      </c>
      <c r="I10" s="23"/>
      <c r="J10" s="23">
        <v>0</v>
      </c>
      <c r="K10" s="23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23">
        <v>0</v>
      </c>
      <c r="AC10" s="23"/>
      <c r="AD10" s="23">
        <v>0</v>
      </c>
      <c r="AE10" s="23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23">
        <v>0</v>
      </c>
      <c r="AW10" s="23"/>
      <c r="AX10" s="23">
        <v>0</v>
      </c>
      <c r="AY10" s="23">
        <v>0</v>
      </c>
      <c r="AZ10" s="16">
        <v>4</v>
      </c>
      <c r="BA10" s="16">
        <v>3087</v>
      </c>
      <c r="BB10" s="16">
        <v>12346</v>
      </c>
      <c r="BC10" s="16">
        <v>1049.4000000000001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23">
        <v>4</v>
      </c>
      <c r="BU10" s="23"/>
      <c r="BV10" s="23">
        <v>12346</v>
      </c>
      <c r="BW10" s="23">
        <v>1049.4000000000001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4</v>
      </c>
      <c r="CG10" s="16">
        <v>3157</v>
      </c>
      <c r="CH10" s="16">
        <v>12628</v>
      </c>
      <c r="CI10" s="16">
        <v>1073.4000000000001</v>
      </c>
      <c r="CJ10" s="16">
        <v>0</v>
      </c>
      <c r="CK10" s="16">
        <v>0</v>
      </c>
      <c r="CL10" s="16">
        <v>0</v>
      </c>
      <c r="CM10" s="16">
        <v>0</v>
      </c>
      <c r="CN10" s="23">
        <v>4</v>
      </c>
      <c r="CO10" s="23"/>
      <c r="CP10" s="23">
        <v>12628</v>
      </c>
      <c r="CQ10" s="23">
        <v>1073.4000000000001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4</v>
      </c>
      <c r="DA10" s="16">
        <v>3157</v>
      </c>
      <c r="DB10" s="16">
        <v>12628</v>
      </c>
      <c r="DC10" s="16">
        <v>1073.4000000000001</v>
      </c>
      <c r="DD10" s="16">
        <v>0</v>
      </c>
      <c r="DE10" s="16">
        <v>0</v>
      </c>
      <c r="DF10" s="16">
        <v>0</v>
      </c>
      <c r="DG10" s="16">
        <v>0</v>
      </c>
      <c r="DH10" s="23">
        <v>4</v>
      </c>
      <c r="DI10" s="23"/>
      <c r="DJ10" s="23">
        <v>12628</v>
      </c>
      <c r="DK10" s="23">
        <v>1073.4000000000001</v>
      </c>
      <c r="DL10" s="16">
        <v>0</v>
      </c>
      <c r="DM10" s="16">
        <v>0</v>
      </c>
      <c r="DN10" s="16">
        <v>0</v>
      </c>
      <c r="DO10" s="16">
        <v>0</v>
      </c>
      <c r="DP10" s="16">
        <v>4</v>
      </c>
      <c r="DQ10" s="16">
        <v>3157</v>
      </c>
      <c r="DR10" s="16">
        <v>12628</v>
      </c>
      <c r="DS10" s="16">
        <v>1073.4000000000001</v>
      </c>
      <c r="DT10" s="16">
        <v>0</v>
      </c>
      <c r="DU10" s="16">
        <v>0</v>
      </c>
      <c r="DV10" s="16">
        <v>0</v>
      </c>
      <c r="DW10" s="16">
        <v>0</v>
      </c>
      <c r="DX10" s="16">
        <v>4</v>
      </c>
      <c r="DY10" s="16">
        <v>3157</v>
      </c>
      <c r="DZ10" s="16">
        <v>12628</v>
      </c>
      <c r="EA10" s="16">
        <v>1073.4000000000001</v>
      </c>
      <c r="EB10" s="16">
        <v>0</v>
      </c>
      <c r="EC10" s="16">
        <v>0</v>
      </c>
      <c r="ED10" s="16">
        <v>0</v>
      </c>
      <c r="EE10" s="16">
        <v>0</v>
      </c>
      <c r="EF10" s="23">
        <v>8</v>
      </c>
      <c r="EG10" s="23"/>
      <c r="EH10" s="23">
        <v>25256</v>
      </c>
      <c r="EI10" s="23">
        <v>2146.8000000000002</v>
      </c>
      <c r="EJ10" s="16">
        <v>0</v>
      </c>
      <c r="EK10" s="16">
        <v>0</v>
      </c>
      <c r="EL10" s="16">
        <v>0</v>
      </c>
      <c r="EM10" s="16">
        <v>0</v>
      </c>
      <c r="EN10" s="16">
        <v>4</v>
      </c>
      <c r="EO10" s="16">
        <v>3157</v>
      </c>
      <c r="EP10" s="16">
        <v>12628</v>
      </c>
      <c r="EQ10" s="16">
        <v>1073.4000000000001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23">
        <v>4</v>
      </c>
      <c r="FA10" s="23"/>
      <c r="FB10" s="23">
        <v>12628</v>
      </c>
      <c r="FC10" s="23">
        <v>1073.4000000000001</v>
      </c>
      <c r="FD10" s="16">
        <v>4</v>
      </c>
      <c r="FE10" s="16">
        <v>3157</v>
      </c>
      <c r="FF10" s="16">
        <v>12628</v>
      </c>
      <c r="FG10" s="16">
        <v>1073.4000000000001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4</v>
      </c>
      <c r="FQ10" s="16">
        <v>3157</v>
      </c>
      <c r="FR10" s="16">
        <v>12628</v>
      </c>
      <c r="FS10" s="16">
        <v>1073.4000000000001</v>
      </c>
      <c r="FT10" s="23">
        <v>8</v>
      </c>
      <c r="FU10" s="23"/>
      <c r="FV10" s="23">
        <v>25256</v>
      </c>
      <c r="FW10" s="23">
        <v>2146.8000000000002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23">
        <v>0</v>
      </c>
      <c r="GS10" s="23"/>
      <c r="GT10" s="23">
        <v>0</v>
      </c>
      <c r="GU10" s="23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2</v>
      </c>
      <c r="HE10" s="16">
        <v>3157</v>
      </c>
      <c r="HF10" s="16">
        <v>6314</v>
      </c>
      <c r="HG10" s="16">
        <v>536.70000000000005</v>
      </c>
      <c r="HH10" s="16">
        <v>0</v>
      </c>
      <c r="HI10" s="16">
        <v>0</v>
      </c>
      <c r="HJ10" s="16">
        <v>0</v>
      </c>
      <c r="HK10" s="16">
        <v>0</v>
      </c>
      <c r="HL10" s="23">
        <v>2</v>
      </c>
      <c r="HM10" s="23"/>
      <c r="HN10" s="23">
        <v>6314</v>
      </c>
      <c r="HO10" s="23">
        <v>536.70000000000005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  <c r="IB10" s="16">
        <v>0</v>
      </c>
      <c r="IC10" s="16">
        <v>0</v>
      </c>
      <c r="ID10" s="16">
        <v>0</v>
      </c>
      <c r="IE10" s="16">
        <v>0</v>
      </c>
      <c r="IF10" s="23">
        <v>0</v>
      </c>
      <c r="IG10" s="23"/>
      <c r="IH10" s="23">
        <v>0</v>
      </c>
      <c r="II10" s="23">
        <v>0</v>
      </c>
      <c r="IJ10" s="16">
        <v>0</v>
      </c>
      <c r="IK10" s="16">
        <v>0</v>
      </c>
      <c r="IL10" s="16">
        <v>0</v>
      </c>
      <c r="IM10" s="16">
        <v>0</v>
      </c>
      <c r="IN10" s="16">
        <v>0</v>
      </c>
      <c r="IO10" s="16">
        <v>0</v>
      </c>
      <c r="IP10" s="16">
        <v>0</v>
      </c>
      <c r="IQ10" s="16">
        <v>0</v>
      </c>
      <c r="IR10" s="16">
        <v>0</v>
      </c>
      <c r="IS10" s="16">
        <v>0</v>
      </c>
      <c r="IT10" s="16">
        <v>0</v>
      </c>
      <c r="IU10" s="16">
        <v>0</v>
      </c>
      <c r="IV10" s="16">
        <v>0</v>
      </c>
      <c r="IW10" s="16">
        <v>0</v>
      </c>
      <c r="IX10" s="16">
        <v>0</v>
      </c>
      <c r="IY10" s="16">
        <v>0</v>
      </c>
      <c r="IZ10" s="16">
        <v>2</v>
      </c>
      <c r="JA10" s="16">
        <v>3157</v>
      </c>
      <c r="JB10" s="16">
        <v>6314</v>
      </c>
      <c r="JC10" s="16">
        <v>536.70000000000005</v>
      </c>
      <c r="JD10" s="23">
        <v>2</v>
      </c>
      <c r="JE10" s="23"/>
      <c r="JF10" s="23">
        <v>6314</v>
      </c>
      <c r="JG10" s="23">
        <v>536.70000000000005</v>
      </c>
      <c r="JH10" s="16">
        <v>0</v>
      </c>
      <c r="JI10" s="16">
        <v>0</v>
      </c>
      <c r="JJ10" s="16">
        <v>0</v>
      </c>
      <c r="JK10" s="16">
        <v>0</v>
      </c>
      <c r="JL10" s="16">
        <v>0</v>
      </c>
      <c r="JM10" s="16">
        <v>0</v>
      </c>
      <c r="JN10" s="16">
        <v>0</v>
      </c>
      <c r="JO10" s="16">
        <v>0</v>
      </c>
      <c r="JP10" s="16">
        <v>0</v>
      </c>
      <c r="JQ10" s="16">
        <v>0</v>
      </c>
      <c r="JR10" s="16">
        <v>0</v>
      </c>
      <c r="JS10" s="16">
        <v>0</v>
      </c>
      <c r="JT10" s="16">
        <v>0</v>
      </c>
      <c r="JU10" s="16">
        <v>0</v>
      </c>
      <c r="JV10" s="16">
        <v>0</v>
      </c>
      <c r="JW10" s="16">
        <v>0</v>
      </c>
      <c r="JX10" s="23">
        <v>0</v>
      </c>
      <c r="JY10" s="23"/>
      <c r="JZ10" s="23">
        <v>0</v>
      </c>
      <c r="KA10" s="23">
        <v>0</v>
      </c>
      <c r="KB10" s="16">
        <v>0</v>
      </c>
      <c r="KC10" s="16">
        <v>0</v>
      </c>
      <c r="KD10" s="16">
        <v>0</v>
      </c>
      <c r="KE10" s="16">
        <v>0</v>
      </c>
      <c r="KF10" s="16">
        <v>0</v>
      </c>
      <c r="KG10" s="16">
        <v>0</v>
      </c>
      <c r="KH10" s="16">
        <v>0</v>
      </c>
      <c r="KI10" s="16">
        <v>0</v>
      </c>
      <c r="KJ10" s="16">
        <v>0</v>
      </c>
      <c r="KK10" s="16">
        <v>0</v>
      </c>
      <c r="KL10" s="16">
        <v>0</v>
      </c>
      <c r="KM10" s="16">
        <v>0</v>
      </c>
      <c r="KN10" s="16">
        <v>3</v>
      </c>
      <c r="KO10" s="16">
        <v>3157</v>
      </c>
      <c r="KP10" s="16">
        <v>9471</v>
      </c>
      <c r="KQ10" s="16">
        <v>805</v>
      </c>
      <c r="KR10" s="23">
        <v>3</v>
      </c>
      <c r="KS10" s="23"/>
      <c r="KT10" s="23">
        <v>9471</v>
      </c>
      <c r="KU10" s="23">
        <v>805</v>
      </c>
      <c r="KV10" s="23">
        <v>39</v>
      </c>
      <c r="KW10" s="23"/>
      <c r="KX10" s="23">
        <v>122841</v>
      </c>
      <c r="KY10" s="23">
        <v>10441.5</v>
      </c>
    </row>
    <row r="11" spans="1:311" ht="16.95" customHeight="1" x14ac:dyDescent="0.4">
      <c r="A11" s="11"/>
      <c r="B11" s="11"/>
      <c r="C11" s="11" t="s">
        <v>62</v>
      </c>
      <c r="D11" s="9">
        <v>0</v>
      </c>
      <c r="E11" s="9">
        <v>0</v>
      </c>
      <c r="F11" s="9">
        <v>0</v>
      </c>
      <c r="G11" s="9">
        <v>0</v>
      </c>
      <c r="H11" s="22">
        <v>0</v>
      </c>
      <c r="I11" s="22"/>
      <c r="J11" s="22">
        <v>0</v>
      </c>
      <c r="K11" s="22">
        <v>0</v>
      </c>
      <c r="L11" s="9">
        <v>6</v>
      </c>
      <c r="M11" s="9">
        <v>2502</v>
      </c>
      <c r="N11" s="9">
        <v>15012</v>
      </c>
      <c r="O11" s="9">
        <v>1276</v>
      </c>
      <c r="P11" s="9">
        <v>4</v>
      </c>
      <c r="Q11" s="9">
        <v>2502</v>
      </c>
      <c r="R11" s="9">
        <v>10008</v>
      </c>
      <c r="S11" s="9">
        <v>850.7</v>
      </c>
      <c r="T11" s="9">
        <v>6</v>
      </c>
      <c r="U11" s="9">
        <v>4139</v>
      </c>
      <c r="V11" s="9">
        <v>24834</v>
      </c>
      <c r="W11" s="9">
        <v>2110.9</v>
      </c>
      <c r="X11" s="9">
        <v>0</v>
      </c>
      <c r="Y11" s="9">
        <v>0</v>
      </c>
      <c r="Z11" s="9">
        <v>0</v>
      </c>
      <c r="AA11" s="9">
        <v>0</v>
      </c>
      <c r="AB11" s="22">
        <v>16</v>
      </c>
      <c r="AC11" s="22"/>
      <c r="AD11" s="22">
        <v>49854</v>
      </c>
      <c r="AE11" s="22">
        <v>4237.6000000000004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22">
        <v>0</v>
      </c>
      <c r="AW11" s="22"/>
      <c r="AX11" s="22">
        <v>0</v>
      </c>
      <c r="AY11" s="22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22">
        <v>0</v>
      </c>
      <c r="BU11" s="22"/>
      <c r="BV11" s="22">
        <v>0</v>
      </c>
      <c r="BW11" s="22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22">
        <v>0</v>
      </c>
      <c r="CO11" s="22"/>
      <c r="CP11" s="22">
        <v>0</v>
      </c>
      <c r="CQ11" s="22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9">
        <v>0</v>
      </c>
      <c r="DE11" s="9">
        <v>0</v>
      </c>
      <c r="DF11" s="9">
        <v>0</v>
      </c>
      <c r="DG11" s="9">
        <v>0</v>
      </c>
      <c r="DH11" s="22">
        <v>0</v>
      </c>
      <c r="DI11" s="22"/>
      <c r="DJ11" s="22">
        <v>0</v>
      </c>
      <c r="DK11" s="22">
        <v>0</v>
      </c>
      <c r="DL11" s="9">
        <v>0</v>
      </c>
      <c r="DM11" s="9">
        <v>0</v>
      </c>
      <c r="DN11" s="9">
        <v>0</v>
      </c>
      <c r="DO11" s="9">
        <v>0</v>
      </c>
      <c r="DP11" s="9">
        <v>0</v>
      </c>
      <c r="DQ11" s="9">
        <v>0</v>
      </c>
      <c r="DR11" s="9">
        <v>0</v>
      </c>
      <c r="DS11" s="9">
        <v>0</v>
      </c>
      <c r="DT11" s="9">
        <v>0</v>
      </c>
      <c r="DU11" s="9">
        <v>0</v>
      </c>
      <c r="DV11" s="9">
        <v>0</v>
      </c>
      <c r="DW11" s="9">
        <v>0</v>
      </c>
      <c r="DX11" s="9">
        <v>0</v>
      </c>
      <c r="DY11" s="9">
        <v>0</v>
      </c>
      <c r="DZ11" s="9">
        <v>0</v>
      </c>
      <c r="EA11" s="9">
        <v>0</v>
      </c>
      <c r="EB11" s="9">
        <v>0</v>
      </c>
      <c r="EC11" s="9">
        <v>0</v>
      </c>
      <c r="ED11" s="9">
        <v>0</v>
      </c>
      <c r="EE11" s="9">
        <v>0</v>
      </c>
      <c r="EF11" s="22">
        <v>0</v>
      </c>
      <c r="EG11" s="22"/>
      <c r="EH11" s="22">
        <v>0</v>
      </c>
      <c r="EI11" s="22">
        <v>0</v>
      </c>
      <c r="EJ11" s="9">
        <v>0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22">
        <v>0</v>
      </c>
      <c r="FA11" s="22"/>
      <c r="FB11" s="22">
        <v>0</v>
      </c>
      <c r="FC11" s="22">
        <v>0</v>
      </c>
      <c r="FD11" s="9">
        <v>0</v>
      </c>
      <c r="FE11" s="9">
        <v>0</v>
      </c>
      <c r="FF11" s="9">
        <v>0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9">
        <v>0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9">
        <v>0</v>
      </c>
      <c r="FS11" s="9">
        <v>0</v>
      </c>
      <c r="FT11" s="22">
        <v>0</v>
      </c>
      <c r="FU11" s="22"/>
      <c r="FV11" s="22">
        <v>0</v>
      </c>
      <c r="FW11" s="22">
        <v>0</v>
      </c>
      <c r="FX11" s="9">
        <v>6</v>
      </c>
      <c r="FY11" s="9">
        <v>3360</v>
      </c>
      <c r="FZ11" s="9">
        <v>20160</v>
      </c>
      <c r="GA11" s="9">
        <v>1713.6</v>
      </c>
      <c r="GB11" s="9">
        <v>0</v>
      </c>
      <c r="GC11" s="9">
        <v>0</v>
      </c>
      <c r="GD11" s="9">
        <v>0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  <c r="GJ11" s="9">
        <v>0</v>
      </c>
      <c r="GK11" s="9">
        <v>0</v>
      </c>
      <c r="GL11" s="9">
        <v>0</v>
      </c>
      <c r="GM11" s="9">
        <v>0</v>
      </c>
      <c r="GN11" s="9">
        <v>0</v>
      </c>
      <c r="GO11" s="9">
        <v>0</v>
      </c>
      <c r="GP11" s="9">
        <v>0</v>
      </c>
      <c r="GQ11" s="9">
        <v>0</v>
      </c>
      <c r="GR11" s="22">
        <v>6</v>
      </c>
      <c r="GS11" s="22"/>
      <c r="GT11" s="22">
        <v>20160</v>
      </c>
      <c r="GU11" s="22">
        <v>1713.6</v>
      </c>
      <c r="GV11" s="9">
        <v>0</v>
      </c>
      <c r="GW11" s="9">
        <v>0</v>
      </c>
      <c r="GX11" s="9">
        <v>0</v>
      </c>
      <c r="GY11" s="9">
        <v>0</v>
      </c>
      <c r="GZ11" s="9">
        <v>0</v>
      </c>
      <c r="HA11" s="9">
        <v>0</v>
      </c>
      <c r="HB11" s="9">
        <v>0</v>
      </c>
      <c r="HC11" s="9">
        <v>0</v>
      </c>
      <c r="HD11" s="9">
        <v>0</v>
      </c>
      <c r="HE11" s="9">
        <v>0</v>
      </c>
      <c r="HF11" s="9">
        <v>0</v>
      </c>
      <c r="HG11" s="9">
        <v>0</v>
      </c>
      <c r="HH11" s="9">
        <v>0</v>
      </c>
      <c r="HI11" s="9">
        <v>0</v>
      </c>
      <c r="HJ11" s="9">
        <v>0</v>
      </c>
      <c r="HK11" s="9">
        <v>0</v>
      </c>
      <c r="HL11" s="22">
        <v>0</v>
      </c>
      <c r="HM11" s="22"/>
      <c r="HN11" s="22">
        <v>0</v>
      </c>
      <c r="HO11" s="22">
        <v>0</v>
      </c>
      <c r="HP11" s="9">
        <v>0</v>
      </c>
      <c r="HQ11" s="9">
        <v>0</v>
      </c>
      <c r="HR11" s="9">
        <v>0</v>
      </c>
      <c r="HS11" s="9">
        <v>0</v>
      </c>
      <c r="HT11" s="9">
        <v>0</v>
      </c>
      <c r="HU11" s="9">
        <v>0</v>
      </c>
      <c r="HV11" s="9">
        <v>0</v>
      </c>
      <c r="HW11" s="9">
        <v>0</v>
      </c>
      <c r="HX11" s="9">
        <v>0</v>
      </c>
      <c r="HY11" s="9">
        <v>0</v>
      </c>
      <c r="HZ11" s="9">
        <v>0</v>
      </c>
      <c r="IA11" s="9">
        <v>0</v>
      </c>
      <c r="IB11" s="9">
        <v>0</v>
      </c>
      <c r="IC11" s="9">
        <v>0</v>
      </c>
      <c r="ID11" s="9">
        <v>0</v>
      </c>
      <c r="IE11" s="9">
        <v>0</v>
      </c>
      <c r="IF11" s="22">
        <v>0</v>
      </c>
      <c r="IG11" s="22"/>
      <c r="IH11" s="22">
        <v>0</v>
      </c>
      <c r="II11" s="22">
        <v>0</v>
      </c>
      <c r="IJ11" s="9">
        <v>0</v>
      </c>
      <c r="IK11" s="9">
        <v>0</v>
      </c>
      <c r="IL11" s="9">
        <v>0</v>
      </c>
      <c r="IM11" s="9">
        <v>0</v>
      </c>
      <c r="IN11" s="9">
        <v>0</v>
      </c>
      <c r="IO11" s="9">
        <v>0</v>
      </c>
      <c r="IP11" s="9">
        <v>0</v>
      </c>
      <c r="IQ11" s="9">
        <v>0</v>
      </c>
      <c r="IR11" s="9">
        <v>0</v>
      </c>
      <c r="IS11" s="9">
        <v>0</v>
      </c>
      <c r="IT11" s="9">
        <v>0</v>
      </c>
      <c r="IU11" s="9">
        <v>0</v>
      </c>
      <c r="IV11" s="9">
        <v>0</v>
      </c>
      <c r="IW11" s="9">
        <v>0</v>
      </c>
      <c r="IX11" s="9">
        <v>0</v>
      </c>
      <c r="IY11" s="9">
        <v>0</v>
      </c>
      <c r="IZ11" s="9">
        <v>0</v>
      </c>
      <c r="JA11" s="9">
        <v>0</v>
      </c>
      <c r="JB11" s="9">
        <v>0</v>
      </c>
      <c r="JC11" s="9">
        <v>0</v>
      </c>
      <c r="JD11" s="22">
        <v>0</v>
      </c>
      <c r="JE11" s="22"/>
      <c r="JF11" s="22">
        <v>0</v>
      </c>
      <c r="JG11" s="22">
        <v>0</v>
      </c>
      <c r="JH11" s="9">
        <v>0</v>
      </c>
      <c r="JI11" s="9">
        <v>0</v>
      </c>
      <c r="JJ11" s="9">
        <v>0</v>
      </c>
      <c r="JK11" s="9">
        <v>0</v>
      </c>
      <c r="JL11" s="9">
        <v>0</v>
      </c>
      <c r="JM11" s="9">
        <v>0</v>
      </c>
      <c r="JN11" s="9">
        <v>0</v>
      </c>
      <c r="JO11" s="9">
        <v>0</v>
      </c>
      <c r="JP11" s="9">
        <v>0</v>
      </c>
      <c r="JQ11" s="9">
        <v>0</v>
      </c>
      <c r="JR11" s="9">
        <v>0</v>
      </c>
      <c r="JS11" s="9">
        <v>0</v>
      </c>
      <c r="JT11" s="9">
        <v>0</v>
      </c>
      <c r="JU11" s="9">
        <v>0</v>
      </c>
      <c r="JV11" s="9">
        <v>0</v>
      </c>
      <c r="JW11" s="9">
        <v>0</v>
      </c>
      <c r="JX11" s="22">
        <v>0</v>
      </c>
      <c r="JY11" s="22"/>
      <c r="JZ11" s="22">
        <v>0</v>
      </c>
      <c r="KA11" s="22">
        <v>0</v>
      </c>
      <c r="KB11" s="9">
        <v>0</v>
      </c>
      <c r="KC11" s="9">
        <v>0</v>
      </c>
      <c r="KD11" s="9">
        <v>0</v>
      </c>
      <c r="KE11" s="9">
        <v>0</v>
      </c>
      <c r="KF11" s="9">
        <v>0</v>
      </c>
      <c r="KG11" s="9">
        <v>0</v>
      </c>
      <c r="KH11" s="9">
        <v>0</v>
      </c>
      <c r="KI11" s="9">
        <v>0</v>
      </c>
      <c r="KJ11" s="9">
        <v>0</v>
      </c>
      <c r="KK11" s="9">
        <v>0</v>
      </c>
      <c r="KL11" s="9">
        <v>0</v>
      </c>
      <c r="KM11" s="9">
        <v>0</v>
      </c>
      <c r="KN11" s="9">
        <v>0</v>
      </c>
      <c r="KO11" s="9">
        <v>0</v>
      </c>
      <c r="KP11" s="9">
        <v>0</v>
      </c>
      <c r="KQ11" s="9">
        <v>0</v>
      </c>
      <c r="KR11" s="22">
        <v>0</v>
      </c>
      <c r="KS11" s="22"/>
      <c r="KT11" s="22">
        <v>0</v>
      </c>
      <c r="KU11" s="22">
        <v>0</v>
      </c>
      <c r="KV11" s="22">
        <v>22</v>
      </c>
      <c r="KW11" s="22"/>
      <c r="KX11" s="22">
        <v>70014</v>
      </c>
      <c r="KY11" s="22">
        <v>5951.2</v>
      </c>
    </row>
    <row r="12" spans="1:311" ht="16.95" customHeight="1" x14ac:dyDescent="0.4">
      <c r="A12" s="15"/>
      <c r="B12" s="15"/>
      <c r="C12" s="15" t="s">
        <v>25</v>
      </c>
      <c r="D12" s="16">
        <v>1</v>
      </c>
      <c r="E12" s="16">
        <v>2547</v>
      </c>
      <c r="F12" s="16">
        <v>2547</v>
      </c>
      <c r="G12" s="16">
        <v>216.5</v>
      </c>
      <c r="H12" s="23">
        <v>1</v>
      </c>
      <c r="I12" s="23"/>
      <c r="J12" s="23">
        <v>2547</v>
      </c>
      <c r="K12" s="23">
        <v>216.5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23">
        <v>0</v>
      </c>
      <c r="AC12" s="23"/>
      <c r="AD12" s="23">
        <v>0</v>
      </c>
      <c r="AE12" s="23">
        <v>0</v>
      </c>
      <c r="AF12" s="16">
        <v>1</v>
      </c>
      <c r="AG12" s="16">
        <v>2547</v>
      </c>
      <c r="AH12" s="16">
        <v>2547</v>
      </c>
      <c r="AI12" s="16">
        <v>216.5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23">
        <v>1</v>
      </c>
      <c r="AW12" s="23"/>
      <c r="AX12" s="23">
        <v>2547</v>
      </c>
      <c r="AY12" s="23">
        <v>216.5</v>
      </c>
      <c r="AZ12" s="16">
        <v>1</v>
      </c>
      <c r="BA12" s="16">
        <v>2547</v>
      </c>
      <c r="BB12" s="16">
        <v>2547</v>
      </c>
      <c r="BC12" s="16">
        <v>216.5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23">
        <v>1</v>
      </c>
      <c r="BU12" s="23"/>
      <c r="BV12" s="23">
        <v>2547</v>
      </c>
      <c r="BW12" s="23">
        <v>216.5</v>
      </c>
      <c r="BX12" s="16">
        <v>1</v>
      </c>
      <c r="BY12" s="16">
        <v>2894</v>
      </c>
      <c r="BZ12" s="16">
        <v>2894</v>
      </c>
      <c r="CA12" s="16">
        <v>246</v>
      </c>
      <c r="CB12" s="16">
        <v>0</v>
      </c>
      <c r="CC12" s="16">
        <v>0</v>
      </c>
      <c r="CD12" s="16">
        <v>0</v>
      </c>
      <c r="CE12" s="16">
        <v>0</v>
      </c>
      <c r="CF12" s="16">
        <v>1</v>
      </c>
      <c r="CG12" s="16">
        <v>2894</v>
      </c>
      <c r="CH12" s="16">
        <v>2894</v>
      </c>
      <c r="CI12" s="16">
        <v>246</v>
      </c>
      <c r="CJ12" s="16">
        <v>0</v>
      </c>
      <c r="CK12" s="16">
        <v>0</v>
      </c>
      <c r="CL12" s="16">
        <v>0</v>
      </c>
      <c r="CM12" s="16">
        <v>0</v>
      </c>
      <c r="CN12" s="23">
        <v>2</v>
      </c>
      <c r="CO12" s="23"/>
      <c r="CP12" s="23">
        <v>5788</v>
      </c>
      <c r="CQ12" s="23">
        <v>492</v>
      </c>
      <c r="CR12" s="16">
        <v>0</v>
      </c>
      <c r="CS12" s="16">
        <v>0</v>
      </c>
      <c r="CT12" s="16">
        <v>0</v>
      </c>
      <c r="CU12" s="16">
        <v>0</v>
      </c>
      <c r="CV12" s="16">
        <v>1</v>
      </c>
      <c r="CW12" s="16">
        <v>2894</v>
      </c>
      <c r="CX12" s="16">
        <v>2894</v>
      </c>
      <c r="CY12" s="16">
        <v>246</v>
      </c>
      <c r="CZ12" s="16">
        <v>1</v>
      </c>
      <c r="DA12" s="16">
        <v>2894</v>
      </c>
      <c r="DB12" s="16">
        <v>2894</v>
      </c>
      <c r="DC12" s="16">
        <v>246</v>
      </c>
      <c r="DD12" s="16">
        <v>0</v>
      </c>
      <c r="DE12" s="16">
        <v>0</v>
      </c>
      <c r="DF12" s="16">
        <v>0</v>
      </c>
      <c r="DG12" s="16">
        <v>0</v>
      </c>
      <c r="DH12" s="23">
        <v>2</v>
      </c>
      <c r="DI12" s="23"/>
      <c r="DJ12" s="23">
        <v>5788</v>
      </c>
      <c r="DK12" s="23">
        <v>492</v>
      </c>
      <c r="DL12" s="16">
        <v>0</v>
      </c>
      <c r="DM12" s="16">
        <v>0</v>
      </c>
      <c r="DN12" s="16">
        <v>0</v>
      </c>
      <c r="DO12" s="16">
        <v>0</v>
      </c>
      <c r="DP12" s="16">
        <v>1</v>
      </c>
      <c r="DQ12" s="16">
        <v>2894</v>
      </c>
      <c r="DR12" s="16">
        <v>2894</v>
      </c>
      <c r="DS12" s="16">
        <v>246</v>
      </c>
      <c r="DT12" s="16">
        <v>1</v>
      </c>
      <c r="DU12" s="16">
        <v>2894</v>
      </c>
      <c r="DV12" s="16">
        <v>2894</v>
      </c>
      <c r="DW12" s="16">
        <v>246</v>
      </c>
      <c r="DX12" s="16">
        <v>0</v>
      </c>
      <c r="DY12" s="16">
        <v>0</v>
      </c>
      <c r="DZ12" s="16">
        <v>0</v>
      </c>
      <c r="EA12" s="16">
        <v>0</v>
      </c>
      <c r="EB12" s="16">
        <v>1</v>
      </c>
      <c r="EC12" s="16">
        <v>2894</v>
      </c>
      <c r="ED12" s="16">
        <v>2894</v>
      </c>
      <c r="EE12" s="16">
        <v>246</v>
      </c>
      <c r="EF12" s="23">
        <v>3</v>
      </c>
      <c r="EG12" s="23"/>
      <c r="EH12" s="23">
        <v>8682</v>
      </c>
      <c r="EI12" s="23">
        <v>738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1</v>
      </c>
      <c r="EW12" s="16">
        <v>2894</v>
      </c>
      <c r="EX12" s="16">
        <v>2894</v>
      </c>
      <c r="EY12" s="16">
        <v>246</v>
      </c>
      <c r="EZ12" s="23">
        <v>1</v>
      </c>
      <c r="FA12" s="23"/>
      <c r="FB12" s="23">
        <v>2894</v>
      </c>
      <c r="FC12" s="23">
        <v>246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2</v>
      </c>
      <c r="FM12" s="16">
        <v>2894</v>
      </c>
      <c r="FN12" s="16">
        <v>5788</v>
      </c>
      <c r="FO12" s="16">
        <v>492</v>
      </c>
      <c r="FP12" s="16">
        <v>0</v>
      </c>
      <c r="FQ12" s="16">
        <v>0</v>
      </c>
      <c r="FR12" s="16">
        <v>0</v>
      </c>
      <c r="FS12" s="16">
        <v>0</v>
      </c>
      <c r="FT12" s="23">
        <v>2</v>
      </c>
      <c r="FU12" s="23"/>
      <c r="FV12" s="23">
        <v>5788</v>
      </c>
      <c r="FW12" s="23">
        <v>492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1</v>
      </c>
      <c r="GG12" s="16">
        <v>2894</v>
      </c>
      <c r="GH12" s="16">
        <v>2894</v>
      </c>
      <c r="GI12" s="16">
        <v>246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23">
        <v>1</v>
      </c>
      <c r="GS12" s="23"/>
      <c r="GT12" s="23">
        <v>2894</v>
      </c>
      <c r="GU12" s="23">
        <v>246</v>
      </c>
      <c r="GV12" s="16">
        <v>1</v>
      </c>
      <c r="GW12" s="16">
        <v>2894</v>
      </c>
      <c r="GX12" s="16">
        <v>2894</v>
      </c>
      <c r="GY12" s="16">
        <v>246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1</v>
      </c>
      <c r="HI12" s="16">
        <v>2894</v>
      </c>
      <c r="HJ12" s="16">
        <v>2894</v>
      </c>
      <c r="HK12" s="16">
        <v>246</v>
      </c>
      <c r="HL12" s="23">
        <v>2</v>
      </c>
      <c r="HM12" s="23"/>
      <c r="HN12" s="23">
        <v>5788</v>
      </c>
      <c r="HO12" s="23">
        <v>492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  <c r="IB12" s="16">
        <v>0</v>
      </c>
      <c r="IC12" s="16">
        <v>0</v>
      </c>
      <c r="ID12" s="16">
        <v>0</v>
      </c>
      <c r="IE12" s="16">
        <v>0</v>
      </c>
      <c r="IF12" s="23">
        <v>0</v>
      </c>
      <c r="IG12" s="23"/>
      <c r="IH12" s="23">
        <v>0</v>
      </c>
      <c r="II12" s="23">
        <v>0</v>
      </c>
      <c r="IJ12" s="16">
        <v>1</v>
      </c>
      <c r="IK12" s="16">
        <v>2894</v>
      </c>
      <c r="IL12" s="16">
        <v>2894</v>
      </c>
      <c r="IM12" s="16">
        <v>246</v>
      </c>
      <c r="IN12" s="16">
        <v>0</v>
      </c>
      <c r="IO12" s="16">
        <v>0</v>
      </c>
      <c r="IP12" s="16">
        <v>0</v>
      </c>
      <c r="IQ12" s="16">
        <v>0</v>
      </c>
      <c r="IR12" s="16">
        <v>0</v>
      </c>
      <c r="IS12" s="16">
        <v>0</v>
      </c>
      <c r="IT12" s="16">
        <v>0</v>
      </c>
      <c r="IU12" s="16">
        <v>0</v>
      </c>
      <c r="IV12" s="16">
        <v>0</v>
      </c>
      <c r="IW12" s="16">
        <v>0</v>
      </c>
      <c r="IX12" s="16">
        <v>0</v>
      </c>
      <c r="IY12" s="16">
        <v>0</v>
      </c>
      <c r="IZ12" s="16">
        <v>1</v>
      </c>
      <c r="JA12" s="16">
        <v>2894</v>
      </c>
      <c r="JB12" s="16">
        <v>2894</v>
      </c>
      <c r="JC12" s="16">
        <v>246</v>
      </c>
      <c r="JD12" s="23">
        <v>2</v>
      </c>
      <c r="JE12" s="23"/>
      <c r="JF12" s="23">
        <v>5788</v>
      </c>
      <c r="JG12" s="23">
        <v>492</v>
      </c>
      <c r="JH12" s="16">
        <v>0</v>
      </c>
      <c r="JI12" s="16">
        <v>0</v>
      </c>
      <c r="JJ12" s="16">
        <v>0</v>
      </c>
      <c r="JK12" s="16">
        <v>0</v>
      </c>
      <c r="JL12" s="16">
        <v>0</v>
      </c>
      <c r="JM12" s="16">
        <v>0</v>
      </c>
      <c r="JN12" s="16">
        <v>0</v>
      </c>
      <c r="JO12" s="16">
        <v>0</v>
      </c>
      <c r="JP12" s="16">
        <v>1</v>
      </c>
      <c r="JQ12" s="16">
        <v>2894</v>
      </c>
      <c r="JR12" s="16">
        <v>2894</v>
      </c>
      <c r="JS12" s="16">
        <v>246</v>
      </c>
      <c r="JT12" s="16">
        <v>0</v>
      </c>
      <c r="JU12" s="16">
        <v>0</v>
      </c>
      <c r="JV12" s="16">
        <v>0</v>
      </c>
      <c r="JW12" s="16">
        <v>0</v>
      </c>
      <c r="JX12" s="23">
        <v>1</v>
      </c>
      <c r="JY12" s="23"/>
      <c r="JZ12" s="23">
        <v>2894</v>
      </c>
      <c r="KA12" s="23">
        <v>246</v>
      </c>
      <c r="KB12" s="16">
        <v>0</v>
      </c>
      <c r="KC12" s="16">
        <v>0</v>
      </c>
      <c r="KD12" s="16">
        <v>0</v>
      </c>
      <c r="KE12" s="16">
        <v>0</v>
      </c>
      <c r="KF12" s="16">
        <v>0</v>
      </c>
      <c r="KG12" s="16">
        <v>0</v>
      </c>
      <c r="KH12" s="16">
        <v>0</v>
      </c>
      <c r="KI12" s="16">
        <v>0</v>
      </c>
      <c r="KJ12" s="16">
        <v>0</v>
      </c>
      <c r="KK12" s="16">
        <v>0</v>
      </c>
      <c r="KL12" s="16">
        <v>0</v>
      </c>
      <c r="KM12" s="16">
        <v>0</v>
      </c>
      <c r="KN12" s="16">
        <v>0</v>
      </c>
      <c r="KO12" s="16">
        <v>0</v>
      </c>
      <c r="KP12" s="16">
        <v>0</v>
      </c>
      <c r="KQ12" s="16">
        <v>0</v>
      </c>
      <c r="KR12" s="23">
        <v>0</v>
      </c>
      <c r="KS12" s="23"/>
      <c r="KT12" s="23">
        <v>0</v>
      </c>
      <c r="KU12" s="23">
        <v>0</v>
      </c>
      <c r="KV12" s="23">
        <v>19</v>
      </c>
      <c r="KW12" s="23"/>
      <c r="KX12" s="23">
        <v>53945</v>
      </c>
      <c r="KY12" s="23">
        <v>4585.3</v>
      </c>
    </row>
    <row r="13" spans="1:311" ht="16.95" customHeight="1" x14ac:dyDescent="0.4">
      <c r="A13" s="11"/>
      <c r="B13" s="11"/>
      <c r="C13" s="11" t="s">
        <v>29</v>
      </c>
      <c r="D13" s="9">
        <v>1</v>
      </c>
      <c r="E13" s="9">
        <v>3636</v>
      </c>
      <c r="F13" s="9">
        <v>3636</v>
      </c>
      <c r="G13" s="9">
        <v>309.10000000000002</v>
      </c>
      <c r="H13" s="22">
        <v>1</v>
      </c>
      <c r="I13" s="22"/>
      <c r="J13" s="22">
        <v>3636</v>
      </c>
      <c r="K13" s="22">
        <v>309.10000000000002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22">
        <v>0</v>
      </c>
      <c r="AC13" s="22"/>
      <c r="AD13" s="22">
        <v>0</v>
      </c>
      <c r="AE13" s="22">
        <v>0</v>
      </c>
      <c r="AF13" s="9">
        <v>1</v>
      </c>
      <c r="AG13" s="9">
        <v>3636</v>
      </c>
      <c r="AH13" s="9">
        <v>3636</v>
      </c>
      <c r="AI13" s="9">
        <v>309.10000000000002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22">
        <v>1</v>
      </c>
      <c r="AW13" s="22"/>
      <c r="AX13" s="22">
        <v>3636</v>
      </c>
      <c r="AY13" s="22">
        <v>309.10000000000002</v>
      </c>
      <c r="AZ13" s="9">
        <v>2</v>
      </c>
      <c r="BA13" s="9">
        <v>3636</v>
      </c>
      <c r="BB13" s="9">
        <v>7272</v>
      </c>
      <c r="BC13" s="9">
        <v>618.1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22">
        <v>2</v>
      </c>
      <c r="BU13" s="22"/>
      <c r="BV13" s="22">
        <v>7272</v>
      </c>
      <c r="BW13" s="22">
        <v>618.1</v>
      </c>
      <c r="BX13" s="9">
        <v>1</v>
      </c>
      <c r="BY13" s="9">
        <v>3719</v>
      </c>
      <c r="BZ13" s="9">
        <v>3719</v>
      </c>
      <c r="CA13" s="9">
        <v>316.10000000000002</v>
      </c>
      <c r="CB13" s="9">
        <v>0</v>
      </c>
      <c r="CC13" s="9">
        <v>0</v>
      </c>
      <c r="CD13" s="9">
        <v>0</v>
      </c>
      <c r="CE13" s="9">
        <v>0</v>
      </c>
      <c r="CF13" s="9">
        <v>1</v>
      </c>
      <c r="CG13" s="9">
        <v>3719</v>
      </c>
      <c r="CH13" s="9">
        <v>3719</v>
      </c>
      <c r="CI13" s="9">
        <v>316.10000000000002</v>
      </c>
      <c r="CJ13" s="9">
        <v>0</v>
      </c>
      <c r="CK13" s="9">
        <v>0</v>
      </c>
      <c r="CL13" s="9">
        <v>0</v>
      </c>
      <c r="CM13" s="9">
        <v>0</v>
      </c>
      <c r="CN13" s="22">
        <v>2</v>
      </c>
      <c r="CO13" s="22"/>
      <c r="CP13" s="22">
        <v>7438</v>
      </c>
      <c r="CQ13" s="22">
        <v>632.20000000000005</v>
      </c>
      <c r="CR13" s="9">
        <v>0</v>
      </c>
      <c r="CS13" s="9">
        <v>0</v>
      </c>
      <c r="CT13" s="9">
        <v>0</v>
      </c>
      <c r="CU13" s="9">
        <v>0</v>
      </c>
      <c r="CV13" s="9">
        <v>1</v>
      </c>
      <c r="CW13" s="9">
        <v>3719</v>
      </c>
      <c r="CX13" s="9">
        <v>3719</v>
      </c>
      <c r="CY13" s="9">
        <v>316.10000000000002</v>
      </c>
      <c r="CZ13" s="9">
        <v>0</v>
      </c>
      <c r="DA13" s="9">
        <v>0</v>
      </c>
      <c r="DB13" s="9">
        <v>0</v>
      </c>
      <c r="DC13" s="9">
        <v>0</v>
      </c>
      <c r="DD13" s="9">
        <v>1</v>
      </c>
      <c r="DE13" s="9">
        <v>3719</v>
      </c>
      <c r="DF13" s="9">
        <v>3719</v>
      </c>
      <c r="DG13" s="9">
        <v>316.10000000000002</v>
      </c>
      <c r="DH13" s="22">
        <v>2</v>
      </c>
      <c r="DI13" s="22"/>
      <c r="DJ13" s="22">
        <v>7438</v>
      </c>
      <c r="DK13" s="22">
        <v>632.20000000000005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9">
        <v>1</v>
      </c>
      <c r="DU13" s="9">
        <v>3719</v>
      </c>
      <c r="DV13" s="9">
        <v>3719</v>
      </c>
      <c r="DW13" s="9">
        <v>316.10000000000002</v>
      </c>
      <c r="DX13" s="9">
        <v>1</v>
      </c>
      <c r="DY13" s="9">
        <v>3719</v>
      </c>
      <c r="DZ13" s="9">
        <v>3719</v>
      </c>
      <c r="EA13" s="9">
        <v>316.10000000000002</v>
      </c>
      <c r="EB13" s="9">
        <v>0</v>
      </c>
      <c r="EC13" s="9">
        <v>0</v>
      </c>
      <c r="ED13" s="9">
        <v>0</v>
      </c>
      <c r="EE13" s="9">
        <v>0</v>
      </c>
      <c r="EF13" s="22">
        <v>2</v>
      </c>
      <c r="EG13" s="22"/>
      <c r="EH13" s="22">
        <v>7438</v>
      </c>
      <c r="EI13" s="22">
        <v>632.20000000000005</v>
      </c>
      <c r="EJ13" s="9">
        <v>0</v>
      </c>
      <c r="EK13" s="9">
        <v>0</v>
      </c>
      <c r="EL13" s="9">
        <v>0</v>
      </c>
      <c r="EM13" s="9">
        <v>0</v>
      </c>
      <c r="EN13" s="9">
        <v>1</v>
      </c>
      <c r="EO13" s="9">
        <v>3719</v>
      </c>
      <c r="EP13" s="9">
        <v>3719</v>
      </c>
      <c r="EQ13" s="9">
        <v>316.10000000000002</v>
      </c>
      <c r="ER13" s="9">
        <v>1</v>
      </c>
      <c r="ES13" s="9">
        <v>3719</v>
      </c>
      <c r="ET13" s="9">
        <v>3719</v>
      </c>
      <c r="EU13" s="9">
        <v>316.10000000000002</v>
      </c>
      <c r="EV13" s="9">
        <v>0</v>
      </c>
      <c r="EW13" s="9">
        <v>0</v>
      </c>
      <c r="EX13" s="9">
        <v>0</v>
      </c>
      <c r="EY13" s="9">
        <v>0</v>
      </c>
      <c r="EZ13" s="22">
        <v>2</v>
      </c>
      <c r="FA13" s="22"/>
      <c r="FB13" s="22">
        <v>7438</v>
      </c>
      <c r="FC13" s="22">
        <v>632.20000000000005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9">
        <v>0</v>
      </c>
      <c r="FS13" s="9">
        <v>0</v>
      </c>
      <c r="FT13" s="22">
        <v>0</v>
      </c>
      <c r="FU13" s="22"/>
      <c r="FV13" s="22">
        <v>0</v>
      </c>
      <c r="FW13" s="22">
        <v>0</v>
      </c>
      <c r="FX13" s="9">
        <v>1</v>
      </c>
      <c r="FY13" s="9">
        <v>3719</v>
      </c>
      <c r="FZ13" s="9">
        <v>3719</v>
      </c>
      <c r="GA13" s="9">
        <v>316.10000000000002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9">
        <v>1</v>
      </c>
      <c r="GK13" s="9">
        <v>3719</v>
      </c>
      <c r="GL13" s="9">
        <v>3719</v>
      </c>
      <c r="GM13" s="9">
        <v>316.10000000000002</v>
      </c>
      <c r="GN13" s="9">
        <v>0</v>
      </c>
      <c r="GO13" s="9">
        <v>0</v>
      </c>
      <c r="GP13" s="9">
        <v>0</v>
      </c>
      <c r="GQ13" s="9">
        <v>0</v>
      </c>
      <c r="GR13" s="22">
        <v>2</v>
      </c>
      <c r="GS13" s="22"/>
      <c r="GT13" s="22">
        <v>7438</v>
      </c>
      <c r="GU13" s="22">
        <v>632.20000000000005</v>
      </c>
      <c r="GV13" s="9">
        <v>0</v>
      </c>
      <c r="GW13" s="9">
        <v>0</v>
      </c>
      <c r="GX13" s="9">
        <v>0</v>
      </c>
      <c r="GY13" s="9">
        <v>0</v>
      </c>
      <c r="GZ13" s="9">
        <v>0</v>
      </c>
      <c r="HA13" s="9">
        <v>0</v>
      </c>
      <c r="HB13" s="9">
        <v>0</v>
      </c>
      <c r="HC13" s="9">
        <v>0</v>
      </c>
      <c r="HD13" s="9">
        <v>1</v>
      </c>
      <c r="HE13" s="9">
        <v>3719</v>
      </c>
      <c r="HF13" s="9">
        <v>3719</v>
      </c>
      <c r="HG13" s="9">
        <v>316.10000000000002</v>
      </c>
      <c r="HH13" s="9">
        <v>1</v>
      </c>
      <c r="HI13" s="9">
        <v>3719</v>
      </c>
      <c r="HJ13" s="9">
        <v>3719</v>
      </c>
      <c r="HK13" s="9">
        <v>316.10000000000002</v>
      </c>
      <c r="HL13" s="22">
        <v>2</v>
      </c>
      <c r="HM13" s="22"/>
      <c r="HN13" s="22">
        <v>7438</v>
      </c>
      <c r="HO13" s="22">
        <v>632.20000000000005</v>
      </c>
      <c r="HP13" s="9">
        <v>0</v>
      </c>
      <c r="HQ13" s="9">
        <v>0</v>
      </c>
      <c r="HR13" s="9">
        <v>0</v>
      </c>
      <c r="HS13" s="9">
        <v>0</v>
      </c>
      <c r="HT13" s="9">
        <v>0</v>
      </c>
      <c r="HU13" s="9">
        <v>0</v>
      </c>
      <c r="HV13" s="9">
        <v>0</v>
      </c>
      <c r="HW13" s="9">
        <v>0</v>
      </c>
      <c r="HX13" s="9">
        <v>1</v>
      </c>
      <c r="HY13" s="9">
        <v>3719</v>
      </c>
      <c r="HZ13" s="9">
        <v>3719</v>
      </c>
      <c r="IA13" s="9">
        <v>316.10000000000002</v>
      </c>
      <c r="IB13" s="9">
        <v>0</v>
      </c>
      <c r="IC13" s="9">
        <v>0</v>
      </c>
      <c r="ID13" s="9">
        <v>0</v>
      </c>
      <c r="IE13" s="9">
        <v>0</v>
      </c>
      <c r="IF13" s="22">
        <v>1</v>
      </c>
      <c r="IG13" s="22"/>
      <c r="IH13" s="22">
        <v>3719</v>
      </c>
      <c r="II13" s="22">
        <v>316.10000000000002</v>
      </c>
      <c r="IJ13" s="9">
        <v>1</v>
      </c>
      <c r="IK13" s="9">
        <v>3719</v>
      </c>
      <c r="IL13" s="9">
        <v>3719</v>
      </c>
      <c r="IM13" s="9">
        <v>316.10000000000002</v>
      </c>
      <c r="IN13" s="9">
        <v>0</v>
      </c>
      <c r="IO13" s="9">
        <v>0</v>
      </c>
      <c r="IP13" s="9">
        <v>0</v>
      </c>
      <c r="IQ13" s="9">
        <v>0</v>
      </c>
      <c r="IR13" s="9">
        <v>1</v>
      </c>
      <c r="IS13" s="9">
        <v>3719</v>
      </c>
      <c r="IT13" s="9">
        <v>3719</v>
      </c>
      <c r="IU13" s="9">
        <v>316.10000000000002</v>
      </c>
      <c r="IV13" s="9">
        <v>0</v>
      </c>
      <c r="IW13" s="9">
        <v>0</v>
      </c>
      <c r="IX13" s="9">
        <v>0</v>
      </c>
      <c r="IY13" s="9">
        <v>0</v>
      </c>
      <c r="IZ13" s="9">
        <v>1</v>
      </c>
      <c r="JA13" s="9">
        <v>3719</v>
      </c>
      <c r="JB13" s="9">
        <v>3719</v>
      </c>
      <c r="JC13" s="9">
        <v>316.10000000000002</v>
      </c>
      <c r="JD13" s="22">
        <v>3</v>
      </c>
      <c r="JE13" s="22"/>
      <c r="JF13" s="22">
        <v>11157</v>
      </c>
      <c r="JG13" s="22">
        <v>948.3</v>
      </c>
      <c r="JH13" s="9">
        <v>0</v>
      </c>
      <c r="JI13" s="9">
        <v>0</v>
      </c>
      <c r="JJ13" s="9">
        <v>0</v>
      </c>
      <c r="JK13" s="9">
        <v>0</v>
      </c>
      <c r="JL13" s="9">
        <v>0</v>
      </c>
      <c r="JM13" s="9">
        <v>0</v>
      </c>
      <c r="JN13" s="9">
        <v>0</v>
      </c>
      <c r="JO13" s="9">
        <v>0</v>
      </c>
      <c r="JP13" s="9">
        <v>1</v>
      </c>
      <c r="JQ13" s="9">
        <v>3719</v>
      </c>
      <c r="JR13" s="9">
        <v>3719</v>
      </c>
      <c r="JS13" s="9">
        <v>316.10000000000002</v>
      </c>
      <c r="JT13" s="9">
        <v>0</v>
      </c>
      <c r="JU13" s="9">
        <v>0</v>
      </c>
      <c r="JV13" s="9">
        <v>0</v>
      </c>
      <c r="JW13" s="9">
        <v>0</v>
      </c>
      <c r="JX13" s="22">
        <v>1</v>
      </c>
      <c r="JY13" s="22"/>
      <c r="JZ13" s="22">
        <v>3719</v>
      </c>
      <c r="KA13" s="22">
        <v>316.10000000000002</v>
      </c>
      <c r="KB13" s="9">
        <v>1</v>
      </c>
      <c r="KC13" s="9">
        <v>3719</v>
      </c>
      <c r="KD13" s="9">
        <v>3719</v>
      </c>
      <c r="KE13" s="9">
        <v>316.10000000000002</v>
      </c>
      <c r="KF13" s="9">
        <v>0</v>
      </c>
      <c r="KG13" s="9">
        <v>0</v>
      </c>
      <c r="KH13" s="9">
        <v>0</v>
      </c>
      <c r="KI13" s="9">
        <v>0</v>
      </c>
      <c r="KJ13" s="9">
        <v>0</v>
      </c>
      <c r="KK13" s="9">
        <v>0</v>
      </c>
      <c r="KL13" s="9">
        <v>0</v>
      </c>
      <c r="KM13" s="9">
        <v>0</v>
      </c>
      <c r="KN13" s="9">
        <v>0</v>
      </c>
      <c r="KO13" s="9">
        <v>0</v>
      </c>
      <c r="KP13" s="9">
        <v>0</v>
      </c>
      <c r="KQ13" s="9">
        <v>0</v>
      </c>
      <c r="KR13" s="22">
        <v>1</v>
      </c>
      <c r="KS13" s="22"/>
      <c r="KT13" s="22">
        <v>3719</v>
      </c>
      <c r="KU13" s="22">
        <v>316.10000000000002</v>
      </c>
      <c r="KV13" s="22">
        <v>22</v>
      </c>
      <c r="KW13" s="22"/>
      <c r="KX13" s="22">
        <v>81486</v>
      </c>
      <c r="KY13" s="22">
        <v>6926.3</v>
      </c>
    </row>
    <row r="14" spans="1:311" ht="16.95" customHeight="1" x14ac:dyDescent="0.4">
      <c r="A14" s="15"/>
      <c r="B14" s="15"/>
      <c r="C14" s="15" t="s">
        <v>307</v>
      </c>
      <c r="D14" s="16">
        <v>0</v>
      </c>
      <c r="E14" s="16">
        <v>0</v>
      </c>
      <c r="F14" s="16">
        <v>0</v>
      </c>
      <c r="G14" s="16">
        <v>0</v>
      </c>
      <c r="H14" s="23">
        <v>0</v>
      </c>
      <c r="I14" s="23"/>
      <c r="J14" s="23">
        <v>0</v>
      </c>
      <c r="K14" s="23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23">
        <v>0</v>
      </c>
      <c r="AC14" s="23"/>
      <c r="AD14" s="23">
        <v>0</v>
      </c>
      <c r="AE14" s="23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23">
        <v>0</v>
      </c>
      <c r="AW14" s="23"/>
      <c r="AX14" s="23">
        <v>0</v>
      </c>
      <c r="AY14" s="23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23">
        <v>0</v>
      </c>
      <c r="BU14" s="23"/>
      <c r="BV14" s="23">
        <v>0</v>
      </c>
      <c r="BW14" s="23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23">
        <v>0</v>
      </c>
      <c r="CO14" s="23"/>
      <c r="CP14" s="23">
        <v>0</v>
      </c>
      <c r="CQ14" s="23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23">
        <v>0</v>
      </c>
      <c r="DI14" s="23"/>
      <c r="DJ14" s="23">
        <v>0</v>
      </c>
      <c r="DK14" s="23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23">
        <v>0</v>
      </c>
      <c r="EG14" s="23"/>
      <c r="EH14" s="23">
        <v>0</v>
      </c>
      <c r="EI14" s="23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23">
        <v>0</v>
      </c>
      <c r="FA14" s="23"/>
      <c r="FB14" s="23">
        <v>0</v>
      </c>
      <c r="FC14" s="23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23">
        <v>0</v>
      </c>
      <c r="FU14" s="23"/>
      <c r="FV14" s="23">
        <v>0</v>
      </c>
      <c r="FW14" s="23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23">
        <v>0</v>
      </c>
      <c r="GS14" s="23"/>
      <c r="GT14" s="23">
        <v>0</v>
      </c>
      <c r="GU14" s="23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23">
        <v>0</v>
      </c>
      <c r="HM14" s="23"/>
      <c r="HN14" s="23">
        <v>0</v>
      </c>
      <c r="HO14" s="23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  <c r="IB14" s="16">
        <v>0</v>
      </c>
      <c r="IC14" s="16">
        <v>0</v>
      </c>
      <c r="ID14" s="16">
        <v>0</v>
      </c>
      <c r="IE14" s="16">
        <v>0</v>
      </c>
      <c r="IF14" s="23">
        <v>0</v>
      </c>
      <c r="IG14" s="23"/>
      <c r="IH14" s="23">
        <v>0</v>
      </c>
      <c r="II14" s="23">
        <v>0</v>
      </c>
      <c r="IJ14" s="16">
        <v>0</v>
      </c>
      <c r="IK14" s="16">
        <v>0</v>
      </c>
      <c r="IL14" s="16">
        <v>0</v>
      </c>
      <c r="IM14" s="16">
        <v>0</v>
      </c>
      <c r="IN14" s="16">
        <v>0</v>
      </c>
      <c r="IO14" s="16">
        <v>0</v>
      </c>
      <c r="IP14" s="16">
        <v>0</v>
      </c>
      <c r="IQ14" s="16">
        <v>0</v>
      </c>
      <c r="IR14" s="16">
        <v>0</v>
      </c>
      <c r="IS14" s="16">
        <v>0</v>
      </c>
      <c r="IT14" s="16">
        <v>0</v>
      </c>
      <c r="IU14" s="16">
        <v>0</v>
      </c>
      <c r="IV14" s="16">
        <v>0</v>
      </c>
      <c r="IW14" s="16">
        <v>0</v>
      </c>
      <c r="IX14" s="16">
        <v>0</v>
      </c>
      <c r="IY14" s="16">
        <v>0</v>
      </c>
      <c r="IZ14" s="16">
        <v>0</v>
      </c>
      <c r="JA14" s="16">
        <v>0</v>
      </c>
      <c r="JB14" s="16">
        <v>0</v>
      </c>
      <c r="JC14" s="16">
        <v>0</v>
      </c>
      <c r="JD14" s="23">
        <v>0</v>
      </c>
      <c r="JE14" s="23"/>
      <c r="JF14" s="23">
        <v>0</v>
      </c>
      <c r="JG14" s="23">
        <v>0</v>
      </c>
      <c r="JH14" s="16">
        <v>1</v>
      </c>
      <c r="JI14" s="16">
        <v>6511</v>
      </c>
      <c r="JJ14" s="16">
        <v>6511</v>
      </c>
      <c r="JK14" s="16">
        <v>553.4</v>
      </c>
      <c r="JL14" s="16">
        <v>0</v>
      </c>
      <c r="JM14" s="16">
        <v>0</v>
      </c>
      <c r="JN14" s="16">
        <v>0</v>
      </c>
      <c r="JO14" s="16">
        <v>0</v>
      </c>
      <c r="JP14" s="16">
        <v>1</v>
      </c>
      <c r="JQ14" s="16">
        <v>6511</v>
      </c>
      <c r="JR14" s="16">
        <v>6511</v>
      </c>
      <c r="JS14" s="16">
        <v>553.4</v>
      </c>
      <c r="JT14" s="16">
        <v>1</v>
      </c>
      <c r="JU14" s="16">
        <v>6511</v>
      </c>
      <c r="JV14" s="16">
        <v>6511</v>
      </c>
      <c r="JW14" s="16">
        <v>553.4</v>
      </c>
      <c r="JX14" s="23">
        <v>3</v>
      </c>
      <c r="JY14" s="23"/>
      <c r="JZ14" s="23">
        <v>19533</v>
      </c>
      <c r="KA14" s="23">
        <v>1660.3</v>
      </c>
      <c r="KB14" s="16">
        <v>0</v>
      </c>
      <c r="KC14" s="16">
        <v>0</v>
      </c>
      <c r="KD14" s="16">
        <v>0</v>
      </c>
      <c r="KE14" s="16">
        <v>0</v>
      </c>
      <c r="KF14" s="16">
        <v>1</v>
      </c>
      <c r="KG14" s="16">
        <v>6511</v>
      </c>
      <c r="KH14" s="16">
        <v>6511</v>
      </c>
      <c r="KI14" s="16">
        <v>553.4</v>
      </c>
      <c r="KJ14" s="16">
        <v>0</v>
      </c>
      <c r="KK14" s="16">
        <v>0</v>
      </c>
      <c r="KL14" s="16">
        <v>0</v>
      </c>
      <c r="KM14" s="16">
        <v>0</v>
      </c>
      <c r="KN14" s="16">
        <v>1</v>
      </c>
      <c r="KO14" s="16">
        <v>6511</v>
      </c>
      <c r="KP14" s="16">
        <v>6511</v>
      </c>
      <c r="KQ14" s="16">
        <v>553.4</v>
      </c>
      <c r="KR14" s="23">
        <v>2</v>
      </c>
      <c r="KS14" s="23"/>
      <c r="KT14" s="23">
        <v>13022</v>
      </c>
      <c r="KU14" s="23">
        <v>1106.9000000000001</v>
      </c>
      <c r="KV14" s="23">
        <v>5</v>
      </c>
      <c r="KW14" s="23"/>
      <c r="KX14" s="23">
        <v>32555</v>
      </c>
      <c r="KY14" s="23">
        <v>2767.2</v>
      </c>
    </row>
    <row r="15" spans="1:311" ht="16.95" customHeight="1" x14ac:dyDescent="0.4">
      <c r="A15" s="11"/>
      <c r="B15" s="11"/>
      <c r="C15" s="11" t="s">
        <v>338</v>
      </c>
      <c r="D15" s="9">
        <v>0</v>
      </c>
      <c r="E15" s="9">
        <v>0</v>
      </c>
      <c r="F15" s="9">
        <v>0</v>
      </c>
      <c r="G15" s="9">
        <v>0</v>
      </c>
      <c r="H15" s="22">
        <v>0</v>
      </c>
      <c r="I15" s="22"/>
      <c r="J15" s="22">
        <v>0</v>
      </c>
      <c r="K15" s="22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22">
        <v>0</v>
      </c>
      <c r="AC15" s="22"/>
      <c r="AD15" s="22">
        <v>0</v>
      </c>
      <c r="AE15" s="22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22">
        <v>0</v>
      </c>
      <c r="AW15" s="22"/>
      <c r="AX15" s="22">
        <v>0</v>
      </c>
      <c r="AY15" s="22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22">
        <v>0</v>
      </c>
      <c r="BU15" s="22"/>
      <c r="BV15" s="22">
        <v>0</v>
      </c>
      <c r="BW15" s="22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22">
        <v>0</v>
      </c>
      <c r="CO15" s="22"/>
      <c r="CP15" s="22">
        <v>0</v>
      </c>
      <c r="CQ15" s="22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22">
        <v>0</v>
      </c>
      <c r="DI15" s="22"/>
      <c r="DJ15" s="22">
        <v>0</v>
      </c>
      <c r="DK15" s="22">
        <v>0</v>
      </c>
      <c r="DL15" s="9">
        <v>0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9">
        <v>0</v>
      </c>
      <c r="DU15" s="9">
        <v>0</v>
      </c>
      <c r="DV15" s="9">
        <v>0</v>
      </c>
      <c r="DW15" s="9">
        <v>0</v>
      </c>
      <c r="DX15" s="9">
        <v>0</v>
      </c>
      <c r="DY15" s="9">
        <v>0</v>
      </c>
      <c r="DZ15" s="9">
        <v>0</v>
      </c>
      <c r="EA15" s="9">
        <v>0</v>
      </c>
      <c r="EB15" s="9">
        <v>0</v>
      </c>
      <c r="EC15" s="9">
        <v>0</v>
      </c>
      <c r="ED15" s="9">
        <v>0</v>
      </c>
      <c r="EE15" s="9">
        <v>0</v>
      </c>
      <c r="EF15" s="22">
        <v>0</v>
      </c>
      <c r="EG15" s="22"/>
      <c r="EH15" s="22">
        <v>0</v>
      </c>
      <c r="EI15" s="22">
        <v>0</v>
      </c>
      <c r="EJ15" s="9">
        <v>0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22">
        <v>0</v>
      </c>
      <c r="FA15" s="22"/>
      <c r="FB15" s="22">
        <v>0</v>
      </c>
      <c r="FC15" s="22">
        <v>0</v>
      </c>
      <c r="FD15" s="9">
        <v>0</v>
      </c>
      <c r="FE15" s="9">
        <v>0</v>
      </c>
      <c r="FF15" s="9">
        <v>0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9">
        <v>0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9">
        <v>0</v>
      </c>
      <c r="FS15" s="9">
        <v>0</v>
      </c>
      <c r="FT15" s="22">
        <v>0</v>
      </c>
      <c r="FU15" s="22"/>
      <c r="FV15" s="22">
        <v>0</v>
      </c>
      <c r="FW15" s="22">
        <v>0</v>
      </c>
      <c r="FX15" s="9">
        <v>0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9">
        <v>0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9">
        <v>0</v>
      </c>
      <c r="GK15" s="9">
        <v>0</v>
      </c>
      <c r="GL15" s="9">
        <v>0</v>
      </c>
      <c r="GM15" s="9">
        <v>0</v>
      </c>
      <c r="GN15" s="9">
        <v>0</v>
      </c>
      <c r="GO15" s="9">
        <v>0</v>
      </c>
      <c r="GP15" s="9">
        <v>0</v>
      </c>
      <c r="GQ15" s="9">
        <v>0</v>
      </c>
      <c r="GR15" s="22">
        <v>0</v>
      </c>
      <c r="GS15" s="22"/>
      <c r="GT15" s="22">
        <v>0</v>
      </c>
      <c r="GU15" s="22">
        <v>0</v>
      </c>
      <c r="GV15" s="9">
        <v>0</v>
      </c>
      <c r="GW15" s="9">
        <v>0</v>
      </c>
      <c r="GX15" s="9">
        <v>0</v>
      </c>
      <c r="GY15" s="9">
        <v>0</v>
      </c>
      <c r="GZ15" s="9">
        <v>0</v>
      </c>
      <c r="HA15" s="9">
        <v>0</v>
      </c>
      <c r="HB15" s="9">
        <v>0</v>
      </c>
      <c r="HC15" s="9">
        <v>0</v>
      </c>
      <c r="HD15" s="9">
        <v>0</v>
      </c>
      <c r="HE15" s="9">
        <v>0</v>
      </c>
      <c r="HF15" s="9">
        <v>0</v>
      </c>
      <c r="HG15" s="9">
        <v>0</v>
      </c>
      <c r="HH15" s="9">
        <v>0</v>
      </c>
      <c r="HI15" s="9">
        <v>0</v>
      </c>
      <c r="HJ15" s="9">
        <v>0</v>
      </c>
      <c r="HK15" s="9">
        <v>0</v>
      </c>
      <c r="HL15" s="22">
        <v>0</v>
      </c>
      <c r="HM15" s="22"/>
      <c r="HN15" s="22">
        <v>0</v>
      </c>
      <c r="HO15" s="22">
        <v>0</v>
      </c>
      <c r="HP15" s="9">
        <v>0</v>
      </c>
      <c r="HQ15" s="9">
        <v>0</v>
      </c>
      <c r="HR15" s="9">
        <v>0</v>
      </c>
      <c r="HS15" s="9">
        <v>0</v>
      </c>
      <c r="HT15" s="9">
        <v>0</v>
      </c>
      <c r="HU15" s="9">
        <v>0</v>
      </c>
      <c r="HV15" s="9">
        <v>0</v>
      </c>
      <c r="HW15" s="9">
        <v>0</v>
      </c>
      <c r="HX15" s="9">
        <v>0</v>
      </c>
      <c r="HY15" s="9">
        <v>0</v>
      </c>
      <c r="HZ15" s="9">
        <v>0</v>
      </c>
      <c r="IA15" s="9">
        <v>0</v>
      </c>
      <c r="IB15" s="9">
        <v>0</v>
      </c>
      <c r="IC15" s="9">
        <v>0</v>
      </c>
      <c r="ID15" s="9">
        <v>0</v>
      </c>
      <c r="IE15" s="9">
        <v>0</v>
      </c>
      <c r="IF15" s="22">
        <v>0</v>
      </c>
      <c r="IG15" s="22"/>
      <c r="IH15" s="22">
        <v>0</v>
      </c>
      <c r="II15" s="22">
        <v>0</v>
      </c>
      <c r="IJ15" s="9">
        <v>0</v>
      </c>
      <c r="IK15" s="9">
        <v>0</v>
      </c>
      <c r="IL15" s="9">
        <v>0</v>
      </c>
      <c r="IM15" s="9">
        <v>0</v>
      </c>
      <c r="IN15" s="9">
        <v>0</v>
      </c>
      <c r="IO15" s="9">
        <v>0</v>
      </c>
      <c r="IP15" s="9">
        <v>0</v>
      </c>
      <c r="IQ15" s="9">
        <v>0</v>
      </c>
      <c r="IR15" s="9">
        <v>0</v>
      </c>
      <c r="IS15" s="9">
        <v>0</v>
      </c>
      <c r="IT15" s="9">
        <v>0</v>
      </c>
      <c r="IU15" s="9">
        <v>0</v>
      </c>
      <c r="IV15" s="9">
        <v>0</v>
      </c>
      <c r="IW15" s="9">
        <v>0</v>
      </c>
      <c r="IX15" s="9">
        <v>0</v>
      </c>
      <c r="IY15" s="9">
        <v>0</v>
      </c>
      <c r="IZ15" s="9">
        <v>0</v>
      </c>
      <c r="JA15" s="9">
        <v>0</v>
      </c>
      <c r="JB15" s="9">
        <v>0</v>
      </c>
      <c r="JC15" s="9">
        <v>0</v>
      </c>
      <c r="JD15" s="22">
        <v>0</v>
      </c>
      <c r="JE15" s="22"/>
      <c r="JF15" s="22">
        <v>0</v>
      </c>
      <c r="JG15" s="22">
        <v>0</v>
      </c>
      <c r="JH15" s="9">
        <v>0</v>
      </c>
      <c r="JI15" s="9">
        <v>0</v>
      </c>
      <c r="JJ15" s="9">
        <v>0</v>
      </c>
      <c r="JK15" s="9">
        <v>0</v>
      </c>
      <c r="JL15" s="9">
        <v>0</v>
      </c>
      <c r="JM15" s="9">
        <v>0</v>
      </c>
      <c r="JN15" s="9">
        <v>0</v>
      </c>
      <c r="JO15" s="9">
        <v>0</v>
      </c>
      <c r="JP15" s="9">
        <v>0</v>
      </c>
      <c r="JQ15" s="9">
        <v>0</v>
      </c>
      <c r="JR15" s="9">
        <v>0</v>
      </c>
      <c r="JS15" s="9">
        <v>0</v>
      </c>
      <c r="JT15" s="9">
        <v>0</v>
      </c>
      <c r="JU15" s="9">
        <v>0</v>
      </c>
      <c r="JV15" s="9">
        <v>0</v>
      </c>
      <c r="JW15" s="9">
        <v>0</v>
      </c>
      <c r="JX15" s="22">
        <v>0</v>
      </c>
      <c r="JY15" s="22"/>
      <c r="JZ15" s="22">
        <v>0</v>
      </c>
      <c r="KA15" s="22">
        <v>0</v>
      </c>
      <c r="KB15" s="9">
        <v>0</v>
      </c>
      <c r="KC15" s="9">
        <v>0</v>
      </c>
      <c r="KD15" s="9">
        <v>0</v>
      </c>
      <c r="KE15" s="9">
        <v>0</v>
      </c>
      <c r="KF15" s="9">
        <v>0</v>
      </c>
      <c r="KG15" s="9">
        <v>0</v>
      </c>
      <c r="KH15" s="9">
        <v>0</v>
      </c>
      <c r="KI15" s="9">
        <v>0</v>
      </c>
      <c r="KJ15" s="9">
        <v>0</v>
      </c>
      <c r="KK15" s="9">
        <v>0</v>
      </c>
      <c r="KL15" s="9">
        <v>0</v>
      </c>
      <c r="KM15" s="9">
        <v>0</v>
      </c>
      <c r="KN15" s="9">
        <v>1</v>
      </c>
      <c r="KO15" s="9">
        <v>4078</v>
      </c>
      <c r="KP15" s="9">
        <v>4078</v>
      </c>
      <c r="KQ15" s="9">
        <v>346.6</v>
      </c>
      <c r="KR15" s="22">
        <v>1</v>
      </c>
      <c r="KS15" s="22"/>
      <c r="KT15" s="22">
        <v>4078</v>
      </c>
      <c r="KU15" s="22">
        <v>346.6</v>
      </c>
      <c r="KV15" s="22">
        <v>1</v>
      </c>
      <c r="KW15" s="22"/>
      <c r="KX15" s="22">
        <v>4078</v>
      </c>
      <c r="KY15" s="22">
        <v>346.6</v>
      </c>
    </row>
    <row r="16" spans="1:311" ht="16.95" customHeight="1" x14ac:dyDescent="0.4">
      <c r="A16" s="12"/>
      <c r="B16" s="12" t="s">
        <v>34</v>
      </c>
      <c r="C16" s="12" t="s">
        <v>395</v>
      </c>
      <c r="D16" s="10">
        <v>26</v>
      </c>
      <c r="E16" s="10">
        <v>0</v>
      </c>
      <c r="F16" s="10">
        <v>61250</v>
      </c>
      <c r="G16" s="10">
        <v>5206.2</v>
      </c>
      <c r="H16" s="21">
        <v>26</v>
      </c>
      <c r="I16" s="21">
        <v>0</v>
      </c>
      <c r="J16" s="21">
        <v>61250</v>
      </c>
      <c r="K16" s="21">
        <v>5206.2</v>
      </c>
      <c r="L16" s="10">
        <v>10</v>
      </c>
      <c r="M16" s="10">
        <v>0</v>
      </c>
      <c r="N16" s="10">
        <v>92728</v>
      </c>
      <c r="O16" s="10">
        <v>7882</v>
      </c>
      <c r="P16" s="10">
        <v>7</v>
      </c>
      <c r="Q16" s="10">
        <v>0</v>
      </c>
      <c r="R16" s="10">
        <v>107140</v>
      </c>
      <c r="S16" s="10">
        <v>9107</v>
      </c>
      <c r="T16" s="10">
        <v>33</v>
      </c>
      <c r="U16" s="10">
        <v>0</v>
      </c>
      <c r="V16" s="10">
        <v>97945</v>
      </c>
      <c r="W16" s="10">
        <v>8325.2999999999993</v>
      </c>
      <c r="X16" s="10">
        <v>0</v>
      </c>
      <c r="Y16" s="10">
        <v>0</v>
      </c>
      <c r="Z16" s="10">
        <v>0</v>
      </c>
      <c r="AA16" s="10">
        <v>0</v>
      </c>
      <c r="AB16" s="21">
        <v>50</v>
      </c>
      <c r="AC16" s="21">
        <v>0</v>
      </c>
      <c r="AD16" s="21">
        <v>297813</v>
      </c>
      <c r="AE16" s="21">
        <v>25314.1</v>
      </c>
      <c r="AF16" s="10">
        <v>13</v>
      </c>
      <c r="AG16" s="10">
        <v>0</v>
      </c>
      <c r="AH16" s="10">
        <v>156063</v>
      </c>
      <c r="AI16" s="10">
        <v>13265.3</v>
      </c>
      <c r="AJ16" s="10">
        <v>30</v>
      </c>
      <c r="AK16" s="10">
        <v>0</v>
      </c>
      <c r="AL16" s="10">
        <v>111167</v>
      </c>
      <c r="AM16" s="10">
        <v>9449.2999999999993</v>
      </c>
      <c r="AN16" s="10">
        <v>8</v>
      </c>
      <c r="AO16" s="10">
        <v>0</v>
      </c>
      <c r="AP16" s="10">
        <v>89919</v>
      </c>
      <c r="AQ16" s="10">
        <v>7643.1</v>
      </c>
      <c r="AR16" s="10">
        <v>19</v>
      </c>
      <c r="AS16" s="10">
        <v>0</v>
      </c>
      <c r="AT16" s="10">
        <v>105374</v>
      </c>
      <c r="AU16" s="10">
        <v>8956.7999999999993</v>
      </c>
      <c r="AV16" s="21">
        <v>70</v>
      </c>
      <c r="AW16" s="21">
        <v>0</v>
      </c>
      <c r="AX16" s="21">
        <v>462523</v>
      </c>
      <c r="AY16" s="21">
        <v>39314.5</v>
      </c>
      <c r="AZ16" s="10">
        <v>24</v>
      </c>
      <c r="BA16" s="10">
        <v>0</v>
      </c>
      <c r="BB16" s="10">
        <v>88622</v>
      </c>
      <c r="BC16" s="10">
        <v>7532.9</v>
      </c>
      <c r="BD16" s="10">
        <v>19</v>
      </c>
      <c r="BE16" s="10">
        <v>0</v>
      </c>
      <c r="BF16" s="10">
        <v>137962</v>
      </c>
      <c r="BG16" s="10">
        <v>11726.8</v>
      </c>
      <c r="BH16" s="10">
        <v>26</v>
      </c>
      <c r="BI16" s="10">
        <v>0</v>
      </c>
      <c r="BJ16" s="10">
        <v>87081</v>
      </c>
      <c r="BK16" s="10">
        <v>7401.9</v>
      </c>
      <c r="BL16" s="10">
        <v>8</v>
      </c>
      <c r="BM16" s="10">
        <v>0</v>
      </c>
      <c r="BN16" s="10">
        <v>109477</v>
      </c>
      <c r="BO16" s="10">
        <v>9305.6</v>
      </c>
      <c r="BP16" s="10">
        <v>7</v>
      </c>
      <c r="BQ16" s="10">
        <v>0</v>
      </c>
      <c r="BR16" s="10">
        <v>97343</v>
      </c>
      <c r="BS16" s="10">
        <v>8274.2000000000007</v>
      </c>
      <c r="BT16" s="21">
        <v>84</v>
      </c>
      <c r="BU16" s="21">
        <v>0</v>
      </c>
      <c r="BV16" s="21">
        <v>520485</v>
      </c>
      <c r="BW16" s="21">
        <v>44241.2</v>
      </c>
      <c r="BX16" s="10">
        <v>27</v>
      </c>
      <c r="BY16" s="10">
        <v>0</v>
      </c>
      <c r="BZ16" s="10">
        <v>98882</v>
      </c>
      <c r="CA16" s="10">
        <v>8405</v>
      </c>
      <c r="CB16" s="10">
        <v>18</v>
      </c>
      <c r="CC16" s="10">
        <v>0</v>
      </c>
      <c r="CD16" s="10">
        <v>84176</v>
      </c>
      <c r="CE16" s="10">
        <v>7155</v>
      </c>
      <c r="CF16" s="10">
        <v>24</v>
      </c>
      <c r="CG16" s="10">
        <v>0</v>
      </c>
      <c r="CH16" s="10">
        <v>58804</v>
      </c>
      <c r="CI16" s="10">
        <v>4998.3999999999996</v>
      </c>
      <c r="CJ16" s="10">
        <v>10</v>
      </c>
      <c r="CK16" s="10">
        <v>0</v>
      </c>
      <c r="CL16" s="10">
        <v>114732</v>
      </c>
      <c r="CM16" s="10">
        <v>9752.1</v>
      </c>
      <c r="CN16" s="21">
        <v>79</v>
      </c>
      <c r="CO16" s="21">
        <v>0</v>
      </c>
      <c r="CP16" s="21">
        <v>356594</v>
      </c>
      <c r="CQ16" s="21">
        <v>30310.5</v>
      </c>
      <c r="CR16" s="10">
        <v>8</v>
      </c>
      <c r="CS16" s="10">
        <v>0</v>
      </c>
      <c r="CT16" s="10">
        <v>82613</v>
      </c>
      <c r="CU16" s="10">
        <v>7022.1</v>
      </c>
      <c r="CV16" s="10">
        <v>9</v>
      </c>
      <c r="CW16" s="10">
        <v>0</v>
      </c>
      <c r="CX16" s="10">
        <v>94553</v>
      </c>
      <c r="CY16" s="10">
        <v>8036.9</v>
      </c>
      <c r="CZ16" s="10">
        <v>32</v>
      </c>
      <c r="DA16" s="10">
        <v>0</v>
      </c>
      <c r="DB16" s="10">
        <v>149991</v>
      </c>
      <c r="DC16" s="10">
        <v>12749.3</v>
      </c>
      <c r="DD16" s="10">
        <v>29</v>
      </c>
      <c r="DE16" s="10">
        <v>0</v>
      </c>
      <c r="DF16" s="10">
        <v>102275</v>
      </c>
      <c r="DG16" s="10">
        <v>8693.4</v>
      </c>
      <c r="DH16" s="21">
        <v>78</v>
      </c>
      <c r="DI16" s="21">
        <v>0</v>
      </c>
      <c r="DJ16" s="21">
        <v>429432</v>
      </c>
      <c r="DK16" s="21">
        <v>36501.699999999997</v>
      </c>
      <c r="DL16" s="10">
        <v>2</v>
      </c>
      <c r="DM16" s="10">
        <v>0</v>
      </c>
      <c r="DN16" s="10">
        <v>13849</v>
      </c>
      <c r="DO16" s="10">
        <v>1177.2</v>
      </c>
      <c r="DP16" s="10">
        <v>31</v>
      </c>
      <c r="DQ16" s="10">
        <v>0</v>
      </c>
      <c r="DR16" s="10">
        <v>120057</v>
      </c>
      <c r="DS16" s="10">
        <v>10204.9</v>
      </c>
      <c r="DT16" s="10">
        <v>6</v>
      </c>
      <c r="DU16" s="10">
        <v>0</v>
      </c>
      <c r="DV16" s="10">
        <v>80638</v>
      </c>
      <c r="DW16" s="10">
        <v>6854.2</v>
      </c>
      <c r="DX16" s="10">
        <v>35</v>
      </c>
      <c r="DY16" s="10">
        <v>0</v>
      </c>
      <c r="DZ16" s="10">
        <v>74705</v>
      </c>
      <c r="EA16" s="10">
        <v>6350</v>
      </c>
      <c r="EB16" s="10">
        <v>5</v>
      </c>
      <c r="EC16" s="10">
        <v>0</v>
      </c>
      <c r="ED16" s="10">
        <v>58542</v>
      </c>
      <c r="EE16" s="10">
        <v>4976.1000000000004</v>
      </c>
      <c r="EF16" s="21">
        <v>79</v>
      </c>
      <c r="EG16" s="21">
        <v>0</v>
      </c>
      <c r="EH16" s="21">
        <v>347791</v>
      </c>
      <c r="EI16" s="21">
        <v>29562.3</v>
      </c>
      <c r="EJ16" s="10">
        <v>30</v>
      </c>
      <c r="EK16" s="10">
        <v>0</v>
      </c>
      <c r="EL16" s="10">
        <v>60297</v>
      </c>
      <c r="EM16" s="10">
        <v>5125.2</v>
      </c>
      <c r="EN16" s="10">
        <v>33</v>
      </c>
      <c r="EO16" s="10">
        <v>0</v>
      </c>
      <c r="EP16" s="10">
        <v>168746</v>
      </c>
      <c r="EQ16" s="10">
        <v>14343.4</v>
      </c>
      <c r="ER16" s="10">
        <v>5</v>
      </c>
      <c r="ES16" s="10">
        <v>0</v>
      </c>
      <c r="ET16" s="10">
        <v>57885</v>
      </c>
      <c r="EU16" s="10">
        <v>4920.2</v>
      </c>
      <c r="EV16" s="10">
        <v>24</v>
      </c>
      <c r="EW16" s="10">
        <v>0</v>
      </c>
      <c r="EX16" s="10">
        <v>52462</v>
      </c>
      <c r="EY16" s="10">
        <v>4459.3</v>
      </c>
      <c r="EZ16" s="21">
        <v>92</v>
      </c>
      <c r="FA16" s="21">
        <v>0</v>
      </c>
      <c r="FB16" s="21">
        <v>339390</v>
      </c>
      <c r="FC16" s="21">
        <v>28848.1</v>
      </c>
      <c r="FD16" s="10">
        <v>7</v>
      </c>
      <c r="FE16" s="10">
        <v>0</v>
      </c>
      <c r="FF16" s="10">
        <v>91847</v>
      </c>
      <c r="FG16" s="10">
        <v>7807</v>
      </c>
      <c r="FH16" s="10">
        <v>22</v>
      </c>
      <c r="FI16" s="10">
        <v>0</v>
      </c>
      <c r="FJ16" s="10">
        <v>21938</v>
      </c>
      <c r="FK16" s="10">
        <v>1864.8</v>
      </c>
      <c r="FL16" s="10">
        <v>15</v>
      </c>
      <c r="FM16" s="10">
        <v>0</v>
      </c>
      <c r="FN16" s="10">
        <v>161990</v>
      </c>
      <c r="FO16" s="10">
        <v>13769.1</v>
      </c>
      <c r="FP16" s="10">
        <v>27</v>
      </c>
      <c r="FQ16" s="10">
        <v>0</v>
      </c>
      <c r="FR16" s="10">
        <v>71234</v>
      </c>
      <c r="FS16" s="10">
        <v>6054.9</v>
      </c>
      <c r="FT16" s="21">
        <v>71</v>
      </c>
      <c r="FU16" s="21">
        <v>0</v>
      </c>
      <c r="FV16" s="21">
        <v>347009</v>
      </c>
      <c r="FW16" s="21">
        <v>29495.8</v>
      </c>
      <c r="FX16" s="10">
        <v>15</v>
      </c>
      <c r="FY16" s="10">
        <v>0</v>
      </c>
      <c r="FZ16" s="10">
        <v>34699</v>
      </c>
      <c r="GA16" s="10">
        <v>2949.4</v>
      </c>
      <c r="GB16" s="10">
        <v>31</v>
      </c>
      <c r="GC16" s="10">
        <v>0</v>
      </c>
      <c r="GD16" s="10">
        <v>90383</v>
      </c>
      <c r="GE16" s="10">
        <v>7682.5</v>
      </c>
      <c r="GF16" s="10">
        <v>2</v>
      </c>
      <c r="GG16" s="10">
        <v>0</v>
      </c>
      <c r="GH16" s="10">
        <v>42484</v>
      </c>
      <c r="GI16" s="10">
        <v>3611.1</v>
      </c>
      <c r="GJ16" s="10">
        <v>24</v>
      </c>
      <c r="GK16" s="10">
        <v>0</v>
      </c>
      <c r="GL16" s="10">
        <v>61998</v>
      </c>
      <c r="GM16" s="10">
        <v>5269.9</v>
      </c>
      <c r="GN16" s="10">
        <v>7</v>
      </c>
      <c r="GO16" s="10">
        <v>0</v>
      </c>
      <c r="GP16" s="10">
        <v>71442</v>
      </c>
      <c r="GQ16" s="10">
        <v>6072.5</v>
      </c>
      <c r="GR16" s="21">
        <v>79</v>
      </c>
      <c r="GS16" s="21">
        <v>0</v>
      </c>
      <c r="GT16" s="21">
        <v>301006</v>
      </c>
      <c r="GU16" s="21">
        <v>25585.4</v>
      </c>
      <c r="GV16" s="10">
        <v>0</v>
      </c>
      <c r="GW16" s="10">
        <v>0</v>
      </c>
      <c r="GX16" s="10">
        <v>0</v>
      </c>
      <c r="GY16" s="10">
        <v>0</v>
      </c>
      <c r="GZ16" s="10">
        <v>9</v>
      </c>
      <c r="HA16" s="10">
        <v>0</v>
      </c>
      <c r="HB16" s="10">
        <v>106591</v>
      </c>
      <c r="HC16" s="10">
        <v>9060.2000000000007</v>
      </c>
      <c r="HD16" s="10">
        <v>6</v>
      </c>
      <c r="HE16" s="10">
        <v>0</v>
      </c>
      <c r="HF16" s="10">
        <v>68829</v>
      </c>
      <c r="HG16" s="10">
        <v>5850.5</v>
      </c>
      <c r="HH16" s="10">
        <v>23</v>
      </c>
      <c r="HI16" s="10">
        <v>0</v>
      </c>
      <c r="HJ16" s="10">
        <v>65247</v>
      </c>
      <c r="HK16" s="10">
        <v>5546</v>
      </c>
      <c r="HL16" s="21">
        <v>38</v>
      </c>
      <c r="HM16" s="21">
        <v>0</v>
      </c>
      <c r="HN16" s="21">
        <v>240667</v>
      </c>
      <c r="HO16" s="21">
        <v>20456.7</v>
      </c>
      <c r="HP16" s="10">
        <v>17</v>
      </c>
      <c r="HQ16" s="10">
        <v>0</v>
      </c>
      <c r="HR16" s="10">
        <v>81416</v>
      </c>
      <c r="HS16" s="10">
        <v>6920.4</v>
      </c>
      <c r="HT16" s="10">
        <v>37</v>
      </c>
      <c r="HU16" s="10">
        <v>0</v>
      </c>
      <c r="HV16" s="10">
        <v>103859</v>
      </c>
      <c r="HW16" s="10">
        <v>8828</v>
      </c>
      <c r="HX16" s="10">
        <v>11</v>
      </c>
      <c r="HY16" s="10">
        <v>0</v>
      </c>
      <c r="HZ16" s="10">
        <v>129268</v>
      </c>
      <c r="IA16" s="10">
        <v>10987.8</v>
      </c>
      <c r="IB16" s="10">
        <v>8</v>
      </c>
      <c r="IC16" s="10">
        <v>0</v>
      </c>
      <c r="ID16" s="10">
        <v>104828</v>
      </c>
      <c r="IE16" s="10">
        <v>8910.2999999999993</v>
      </c>
      <c r="IF16" s="21">
        <v>73</v>
      </c>
      <c r="IG16" s="21">
        <v>0</v>
      </c>
      <c r="IH16" s="21">
        <v>419371</v>
      </c>
      <c r="II16" s="21">
        <v>35646.400000000001</v>
      </c>
      <c r="IJ16" s="10">
        <v>16</v>
      </c>
      <c r="IK16" s="10">
        <v>0</v>
      </c>
      <c r="IL16" s="10">
        <v>99886</v>
      </c>
      <c r="IM16" s="10">
        <v>8490.2999999999993</v>
      </c>
      <c r="IN16" s="10">
        <v>24</v>
      </c>
      <c r="IO16" s="10">
        <v>0</v>
      </c>
      <c r="IP16" s="10">
        <v>90633</v>
      </c>
      <c r="IQ16" s="10">
        <v>7703.8</v>
      </c>
      <c r="IR16" s="10">
        <v>12</v>
      </c>
      <c r="IS16" s="10">
        <v>0</v>
      </c>
      <c r="IT16" s="10">
        <v>144430</v>
      </c>
      <c r="IU16" s="10">
        <v>12276.4</v>
      </c>
      <c r="IV16" s="10">
        <v>1</v>
      </c>
      <c r="IW16" s="10">
        <v>0</v>
      </c>
      <c r="IX16" s="10">
        <v>5535</v>
      </c>
      <c r="IY16" s="10">
        <v>470.5</v>
      </c>
      <c r="IZ16" s="10">
        <v>28</v>
      </c>
      <c r="JA16" s="10">
        <v>0</v>
      </c>
      <c r="JB16" s="10">
        <v>90214</v>
      </c>
      <c r="JC16" s="10">
        <v>7668.3</v>
      </c>
      <c r="JD16" s="21">
        <v>81</v>
      </c>
      <c r="JE16" s="21">
        <v>0</v>
      </c>
      <c r="JF16" s="21">
        <v>430698</v>
      </c>
      <c r="JG16" s="21">
        <v>36609.1</v>
      </c>
      <c r="JH16" s="10">
        <v>12</v>
      </c>
      <c r="JI16" s="10">
        <v>0</v>
      </c>
      <c r="JJ16" s="10">
        <v>171721</v>
      </c>
      <c r="JK16" s="10">
        <v>14596.2</v>
      </c>
      <c r="JL16" s="10">
        <v>10</v>
      </c>
      <c r="JM16" s="10">
        <v>0</v>
      </c>
      <c r="JN16" s="10">
        <v>119034</v>
      </c>
      <c r="JO16" s="10">
        <v>10118</v>
      </c>
      <c r="JP16" s="10">
        <v>37</v>
      </c>
      <c r="JQ16" s="10">
        <v>0</v>
      </c>
      <c r="JR16" s="10">
        <v>107296</v>
      </c>
      <c r="JS16" s="10">
        <v>9120.2000000000007</v>
      </c>
      <c r="JT16" s="10">
        <v>43</v>
      </c>
      <c r="JU16" s="10">
        <v>0</v>
      </c>
      <c r="JV16" s="10">
        <v>189662</v>
      </c>
      <c r="JW16" s="10">
        <v>16121.2</v>
      </c>
      <c r="JX16" s="21">
        <v>102</v>
      </c>
      <c r="JY16" s="21">
        <v>0</v>
      </c>
      <c r="JZ16" s="21">
        <v>587713</v>
      </c>
      <c r="KA16" s="21">
        <v>49955.7</v>
      </c>
      <c r="KB16" s="10">
        <v>19</v>
      </c>
      <c r="KC16" s="10">
        <v>0</v>
      </c>
      <c r="KD16" s="10">
        <v>111045</v>
      </c>
      <c r="KE16" s="10">
        <v>9438.9</v>
      </c>
      <c r="KF16" s="10">
        <v>5</v>
      </c>
      <c r="KG16" s="10">
        <v>0</v>
      </c>
      <c r="KH16" s="10">
        <v>58242</v>
      </c>
      <c r="KI16" s="10">
        <v>4950.6000000000004</v>
      </c>
      <c r="KJ16" s="10">
        <v>0</v>
      </c>
      <c r="KK16" s="10">
        <v>0</v>
      </c>
      <c r="KL16" s="10">
        <v>0</v>
      </c>
      <c r="KM16" s="10">
        <v>0</v>
      </c>
      <c r="KN16" s="10">
        <v>22</v>
      </c>
      <c r="KO16" s="10">
        <v>0</v>
      </c>
      <c r="KP16" s="10">
        <v>150662</v>
      </c>
      <c r="KQ16" s="10">
        <v>12806.2</v>
      </c>
      <c r="KR16" s="21">
        <v>46</v>
      </c>
      <c r="KS16" s="21">
        <v>0</v>
      </c>
      <c r="KT16" s="21">
        <v>319949</v>
      </c>
      <c r="KU16" s="21">
        <v>27195.7</v>
      </c>
      <c r="KV16" s="21">
        <v>1048</v>
      </c>
      <c r="KW16" s="21">
        <v>0</v>
      </c>
      <c r="KX16" s="21">
        <v>5461691</v>
      </c>
      <c r="KY16" s="21">
        <v>464243.8</v>
      </c>
    </row>
    <row r="17" spans="1:311" ht="16.95" customHeight="1" x14ac:dyDescent="0.4">
      <c r="A17" s="11"/>
      <c r="B17" s="11"/>
      <c r="C17" s="11" t="s">
        <v>80</v>
      </c>
      <c r="D17" s="9">
        <v>0</v>
      </c>
      <c r="E17" s="9">
        <v>0</v>
      </c>
      <c r="F17" s="9">
        <v>0</v>
      </c>
      <c r="G17" s="9">
        <v>0</v>
      </c>
      <c r="H17" s="22">
        <v>0</v>
      </c>
      <c r="I17" s="22"/>
      <c r="J17" s="22">
        <v>0</v>
      </c>
      <c r="K17" s="22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19036</v>
      </c>
      <c r="R17" s="9">
        <v>19036</v>
      </c>
      <c r="S17" s="9">
        <v>1618.1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22">
        <v>1</v>
      </c>
      <c r="AC17" s="22"/>
      <c r="AD17" s="22">
        <v>19036</v>
      </c>
      <c r="AE17" s="22">
        <v>1618.1</v>
      </c>
      <c r="AF17" s="9">
        <v>0</v>
      </c>
      <c r="AG17" s="9">
        <v>0</v>
      </c>
      <c r="AH17" s="9">
        <v>0</v>
      </c>
      <c r="AI17" s="9">
        <v>0</v>
      </c>
      <c r="AJ17" s="9">
        <v>1</v>
      </c>
      <c r="AK17" s="9">
        <v>19036</v>
      </c>
      <c r="AL17" s="9">
        <v>19036</v>
      </c>
      <c r="AM17" s="9">
        <v>1618.1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22">
        <v>1</v>
      </c>
      <c r="AW17" s="22"/>
      <c r="AX17" s="22">
        <v>19036</v>
      </c>
      <c r="AY17" s="22">
        <v>1618.1</v>
      </c>
      <c r="AZ17" s="9">
        <v>1</v>
      </c>
      <c r="BA17" s="9">
        <v>19036</v>
      </c>
      <c r="BB17" s="9">
        <v>19036</v>
      </c>
      <c r="BC17" s="9">
        <v>1618.1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22">
        <v>1</v>
      </c>
      <c r="BU17" s="22"/>
      <c r="BV17" s="22">
        <v>19036</v>
      </c>
      <c r="BW17" s="22">
        <v>1618.1</v>
      </c>
      <c r="BX17" s="9">
        <v>0</v>
      </c>
      <c r="BY17" s="9">
        <v>0</v>
      </c>
      <c r="BZ17" s="9">
        <v>0</v>
      </c>
      <c r="CA17" s="9">
        <v>0</v>
      </c>
      <c r="CB17" s="9">
        <v>1</v>
      </c>
      <c r="CC17" s="9">
        <v>19466</v>
      </c>
      <c r="CD17" s="9">
        <v>19466</v>
      </c>
      <c r="CE17" s="9">
        <v>1654.6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22">
        <v>1</v>
      </c>
      <c r="CO17" s="22"/>
      <c r="CP17" s="22">
        <v>19466</v>
      </c>
      <c r="CQ17" s="22">
        <v>1654.6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1</v>
      </c>
      <c r="DA17" s="9">
        <v>19466</v>
      </c>
      <c r="DB17" s="9">
        <v>19466</v>
      </c>
      <c r="DC17" s="9">
        <v>1654.6</v>
      </c>
      <c r="DD17" s="9">
        <v>0</v>
      </c>
      <c r="DE17" s="9">
        <v>0</v>
      </c>
      <c r="DF17" s="9">
        <v>0</v>
      </c>
      <c r="DG17" s="9">
        <v>0</v>
      </c>
      <c r="DH17" s="22">
        <v>1</v>
      </c>
      <c r="DI17" s="22"/>
      <c r="DJ17" s="22">
        <v>19466</v>
      </c>
      <c r="DK17" s="22">
        <v>1654.6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9">
        <v>1</v>
      </c>
      <c r="DU17" s="9">
        <v>19466</v>
      </c>
      <c r="DV17" s="9">
        <v>19466</v>
      </c>
      <c r="DW17" s="9">
        <v>1654.6</v>
      </c>
      <c r="DX17" s="9">
        <v>0</v>
      </c>
      <c r="DY17" s="9">
        <v>0</v>
      </c>
      <c r="DZ17" s="9">
        <v>0</v>
      </c>
      <c r="EA17" s="9">
        <v>0</v>
      </c>
      <c r="EB17" s="9">
        <v>0</v>
      </c>
      <c r="EC17" s="9">
        <v>0</v>
      </c>
      <c r="ED17" s="9">
        <v>0</v>
      </c>
      <c r="EE17" s="9">
        <v>0</v>
      </c>
      <c r="EF17" s="22">
        <v>1</v>
      </c>
      <c r="EG17" s="22"/>
      <c r="EH17" s="22">
        <v>19466</v>
      </c>
      <c r="EI17" s="22">
        <v>1654.6</v>
      </c>
      <c r="EJ17" s="9">
        <v>0</v>
      </c>
      <c r="EK17" s="9">
        <v>0</v>
      </c>
      <c r="EL17" s="9">
        <v>0</v>
      </c>
      <c r="EM17" s="9">
        <v>0</v>
      </c>
      <c r="EN17" s="9">
        <v>1</v>
      </c>
      <c r="EO17" s="9">
        <v>19466</v>
      </c>
      <c r="EP17" s="9">
        <v>19466</v>
      </c>
      <c r="EQ17" s="9">
        <v>1654.6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22">
        <v>1</v>
      </c>
      <c r="FA17" s="22"/>
      <c r="FB17" s="22">
        <v>19466</v>
      </c>
      <c r="FC17" s="22">
        <v>1654.6</v>
      </c>
      <c r="FD17" s="9">
        <v>0</v>
      </c>
      <c r="FE17" s="9">
        <v>0</v>
      </c>
      <c r="FF17" s="9">
        <v>0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9">
        <v>1</v>
      </c>
      <c r="FM17" s="9">
        <v>19466</v>
      </c>
      <c r="FN17" s="9">
        <v>19466</v>
      </c>
      <c r="FO17" s="9">
        <v>1654.6</v>
      </c>
      <c r="FP17" s="9">
        <v>0</v>
      </c>
      <c r="FQ17" s="9">
        <v>0</v>
      </c>
      <c r="FR17" s="9">
        <v>0</v>
      </c>
      <c r="FS17" s="9">
        <v>0</v>
      </c>
      <c r="FT17" s="22">
        <v>1</v>
      </c>
      <c r="FU17" s="22"/>
      <c r="FV17" s="22">
        <v>19466</v>
      </c>
      <c r="FW17" s="22">
        <v>1654.6</v>
      </c>
      <c r="FX17" s="9">
        <v>0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9">
        <v>0</v>
      </c>
      <c r="GE17" s="9">
        <v>0</v>
      </c>
      <c r="GF17" s="9">
        <v>1</v>
      </c>
      <c r="GG17" s="9">
        <v>19466</v>
      </c>
      <c r="GH17" s="9">
        <v>19466</v>
      </c>
      <c r="GI17" s="9">
        <v>1654.6</v>
      </c>
      <c r="GJ17" s="9">
        <v>0</v>
      </c>
      <c r="GK17" s="9">
        <v>0</v>
      </c>
      <c r="GL17" s="9">
        <v>0</v>
      </c>
      <c r="GM17" s="9">
        <v>0</v>
      </c>
      <c r="GN17" s="9">
        <v>0</v>
      </c>
      <c r="GO17" s="9">
        <v>0</v>
      </c>
      <c r="GP17" s="9">
        <v>0</v>
      </c>
      <c r="GQ17" s="9">
        <v>0</v>
      </c>
      <c r="GR17" s="22">
        <v>1</v>
      </c>
      <c r="GS17" s="22"/>
      <c r="GT17" s="22">
        <v>19466</v>
      </c>
      <c r="GU17" s="22">
        <v>1654.6</v>
      </c>
      <c r="GV17" s="9">
        <v>0</v>
      </c>
      <c r="GW17" s="9">
        <v>0</v>
      </c>
      <c r="GX17" s="9">
        <v>0</v>
      </c>
      <c r="GY17" s="9">
        <v>0</v>
      </c>
      <c r="GZ17" s="9">
        <v>1</v>
      </c>
      <c r="HA17" s="9">
        <v>19466</v>
      </c>
      <c r="HB17" s="9">
        <v>19466</v>
      </c>
      <c r="HC17" s="9">
        <v>1654.6</v>
      </c>
      <c r="HD17" s="9">
        <v>0</v>
      </c>
      <c r="HE17" s="9">
        <v>0</v>
      </c>
      <c r="HF17" s="9">
        <v>0</v>
      </c>
      <c r="HG17" s="9">
        <v>0</v>
      </c>
      <c r="HH17" s="9">
        <v>0</v>
      </c>
      <c r="HI17" s="9">
        <v>0</v>
      </c>
      <c r="HJ17" s="9">
        <v>0</v>
      </c>
      <c r="HK17" s="9">
        <v>0</v>
      </c>
      <c r="HL17" s="22">
        <v>1</v>
      </c>
      <c r="HM17" s="22"/>
      <c r="HN17" s="22">
        <v>19466</v>
      </c>
      <c r="HO17" s="22">
        <v>1654.6</v>
      </c>
      <c r="HP17" s="9">
        <v>0</v>
      </c>
      <c r="HQ17" s="9">
        <v>0</v>
      </c>
      <c r="HR17" s="9">
        <v>0</v>
      </c>
      <c r="HS17" s="9">
        <v>0</v>
      </c>
      <c r="HT17" s="9">
        <v>0</v>
      </c>
      <c r="HU17" s="9">
        <v>0</v>
      </c>
      <c r="HV17" s="9">
        <v>0</v>
      </c>
      <c r="HW17" s="9">
        <v>0</v>
      </c>
      <c r="HX17" s="9">
        <v>0</v>
      </c>
      <c r="HY17" s="9">
        <v>0</v>
      </c>
      <c r="HZ17" s="9">
        <v>0</v>
      </c>
      <c r="IA17" s="9">
        <v>0</v>
      </c>
      <c r="IB17" s="9">
        <v>0</v>
      </c>
      <c r="IC17" s="9">
        <v>0</v>
      </c>
      <c r="ID17" s="9">
        <v>0</v>
      </c>
      <c r="IE17" s="9">
        <v>0</v>
      </c>
      <c r="IF17" s="22">
        <v>0</v>
      </c>
      <c r="IG17" s="22"/>
      <c r="IH17" s="22">
        <v>0</v>
      </c>
      <c r="II17" s="22">
        <v>0</v>
      </c>
      <c r="IJ17" s="9">
        <v>0</v>
      </c>
      <c r="IK17" s="9">
        <v>0</v>
      </c>
      <c r="IL17" s="9">
        <v>0</v>
      </c>
      <c r="IM17" s="9">
        <v>0</v>
      </c>
      <c r="IN17" s="9">
        <v>1</v>
      </c>
      <c r="IO17" s="9">
        <v>19466</v>
      </c>
      <c r="IP17" s="9">
        <v>19466</v>
      </c>
      <c r="IQ17" s="9">
        <v>1654.6</v>
      </c>
      <c r="IR17" s="9">
        <v>0</v>
      </c>
      <c r="IS17" s="9">
        <v>0</v>
      </c>
      <c r="IT17" s="9">
        <v>0</v>
      </c>
      <c r="IU17" s="9">
        <v>0</v>
      </c>
      <c r="IV17" s="9">
        <v>0</v>
      </c>
      <c r="IW17" s="9">
        <v>0</v>
      </c>
      <c r="IX17" s="9">
        <v>0</v>
      </c>
      <c r="IY17" s="9">
        <v>0</v>
      </c>
      <c r="IZ17" s="9">
        <v>0</v>
      </c>
      <c r="JA17" s="9">
        <v>0</v>
      </c>
      <c r="JB17" s="9">
        <v>0</v>
      </c>
      <c r="JC17" s="9">
        <v>0</v>
      </c>
      <c r="JD17" s="22">
        <v>1</v>
      </c>
      <c r="JE17" s="22"/>
      <c r="JF17" s="22">
        <v>19466</v>
      </c>
      <c r="JG17" s="22">
        <v>1654.6</v>
      </c>
      <c r="JH17" s="9">
        <v>1</v>
      </c>
      <c r="JI17" s="9">
        <v>18779</v>
      </c>
      <c r="JJ17" s="9">
        <v>18779</v>
      </c>
      <c r="JK17" s="9">
        <v>1596.2</v>
      </c>
      <c r="JL17" s="9">
        <v>0</v>
      </c>
      <c r="JM17" s="9">
        <v>0</v>
      </c>
      <c r="JN17" s="9">
        <v>0</v>
      </c>
      <c r="JO17" s="9">
        <v>0</v>
      </c>
      <c r="JP17" s="9">
        <v>0</v>
      </c>
      <c r="JQ17" s="9">
        <v>0</v>
      </c>
      <c r="JR17" s="9">
        <v>0</v>
      </c>
      <c r="JS17" s="9">
        <v>0</v>
      </c>
      <c r="JT17" s="9">
        <v>1</v>
      </c>
      <c r="JU17" s="9">
        <v>18779</v>
      </c>
      <c r="JV17" s="9">
        <v>18779</v>
      </c>
      <c r="JW17" s="9">
        <v>1596.2</v>
      </c>
      <c r="JX17" s="22">
        <v>2</v>
      </c>
      <c r="JY17" s="22"/>
      <c r="JZ17" s="22">
        <v>37558</v>
      </c>
      <c r="KA17" s="22">
        <v>3192.4</v>
      </c>
      <c r="KB17" s="9">
        <v>0</v>
      </c>
      <c r="KC17" s="9">
        <v>0</v>
      </c>
      <c r="KD17" s="9">
        <v>0</v>
      </c>
      <c r="KE17" s="9">
        <v>0</v>
      </c>
      <c r="KF17" s="9">
        <v>0</v>
      </c>
      <c r="KG17" s="9">
        <v>0</v>
      </c>
      <c r="KH17" s="9">
        <v>0</v>
      </c>
      <c r="KI17" s="9">
        <v>0</v>
      </c>
      <c r="KJ17" s="9">
        <v>0</v>
      </c>
      <c r="KK17" s="9">
        <v>0</v>
      </c>
      <c r="KL17" s="9">
        <v>0</v>
      </c>
      <c r="KM17" s="9">
        <v>0</v>
      </c>
      <c r="KN17" s="9">
        <v>0</v>
      </c>
      <c r="KO17" s="9">
        <v>0</v>
      </c>
      <c r="KP17" s="9">
        <v>0</v>
      </c>
      <c r="KQ17" s="9">
        <v>0</v>
      </c>
      <c r="KR17" s="22">
        <v>0</v>
      </c>
      <c r="KS17" s="22"/>
      <c r="KT17" s="22">
        <v>0</v>
      </c>
      <c r="KU17" s="22">
        <v>0</v>
      </c>
      <c r="KV17" s="22">
        <v>13</v>
      </c>
      <c r="KW17" s="22"/>
      <c r="KX17" s="22">
        <v>250394</v>
      </c>
      <c r="KY17" s="22">
        <v>21283.5</v>
      </c>
    </row>
    <row r="18" spans="1:311" ht="16.95" customHeight="1" x14ac:dyDescent="0.4">
      <c r="A18" s="15"/>
      <c r="B18" s="15"/>
      <c r="C18" s="15" t="s">
        <v>82</v>
      </c>
      <c r="D18" s="16">
        <v>0</v>
      </c>
      <c r="E18" s="16">
        <v>0</v>
      </c>
      <c r="F18" s="16">
        <v>0</v>
      </c>
      <c r="G18" s="16">
        <v>0</v>
      </c>
      <c r="H18" s="23">
        <v>0</v>
      </c>
      <c r="I18" s="23"/>
      <c r="J18" s="23">
        <v>0</v>
      </c>
      <c r="K18" s="23">
        <v>0</v>
      </c>
      <c r="L18" s="16">
        <v>0</v>
      </c>
      <c r="M18" s="16">
        <v>0</v>
      </c>
      <c r="N18" s="16">
        <v>0</v>
      </c>
      <c r="O18" s="16">
        <v>0</v>
      </c>
      <c r="P18" s="16">
        <v>1</v>
      </c>
      <c r="Q18" s="16">
        <v>22508</v>
      </c>
      <c r="R18" s="16">
        <v>22508</v>
      </c>
      <c r="S18" s="16">
        <v>1913.2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23">
        <v>1</v>
      </c>
      <c r="AC18" s="23"/>
      <c r="AD18" s="23">
        <v>22508</v>
      </c>
      <c r="AE18" s="23">
        <v>1913.2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23">
        <v>0</v>
      </c>
      <c r="AW18" s="23"/>
      <c r="AX18" s="23">
        <v>0</v>
      </c>
      <c r="AY18" s="23">
        <v>0</v>
      </c>
      <c r="AZ18" s="16">
        <v>1</v>
      </c>
      <c r="BA18" s="16">
        <v>22508</v>
      </c>
      <c r="BB18" s="16">
        <v>22508</v>
      </c>
      <c r="BC18" s="16">
        <v>1913.2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1</v>
      </c>
      <c r="BM18" s="16">
        <v>23018</v>
      </c>
      <c r="BN18" s="16">
        <v>23018</v>
      </c>
      <c r="BO18" s="16">
        <v>1956.5</v>
      </c>
      <c r="BP18" s="16">
        <v>0</v>
      </c>
      <c r="BQ18" s="16">
        <v>0</v>
      </c>
      <c r="BR18" s="16">
        <v>0</v>
      </c>
      <c r="BS18" s="16">
        <v>0</v>
      </c>
      <c r="BT18" s="23">
        <v>2</v>
      </c>
      <c r="BU18" s="23"/>
      <c r="BV18" s="23">
        <v>45526</v>
      </c>
      <c r="BW18" s="23">
        <v>3869.7</v>
      </c>
      <c r="BX18" s="16">
        <v>1</v>
      </c>
      <c r="BY18" s="16">
        <v>23018</v>
      </c>
      <c r="BZ18" s="16">
        <v>23018</v>
      </c>
      <c r="CA18" s="16">
        <v>1956.5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1</v>
      </c>
      <c r="CK18" s="16">
        <v>23018</v>
      </c>
      <c r="CL18" s="16">
        <v>23018</v>
      </c>
      <c r="CM18" s="16">
        <v>1956.5</v>
      </c>
      <c r="CN18" s="23">
        <v>2</v>
      </c>
      <c r="CO18" s="23"/>
      <c r="CP18" s="23">
        <v>46036</v>
      </c>
      <c r="CQ18" s="23">
        <v>3913.1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1</v>
      </c>
      <c r="DA18" s="16">
        <v>23018</v>
      </c>
      <c r="DB18" s="16">
        <v>23018</v>
      </c>
      <c r="DC18" s="16">
        <v>1956.5</v>
      </c>
      <c r="DD18" s="16">
        <v>0</v>
      </c>
      <c r="DE18" s="16">
        <v>0</v>
      </c>
      <c r="DF18" s="16">
        <v>0</v>
      </c>
      <c r="DG18" s="16">
        <v>0</v>
      </c>
      <c r="DH18" s="23">
        <v>1</v>
      </c>
      <c r="DI18" s="23"/>
      <c r="DJ18" s="23">
        <v>23018</v>
      </c>
      <c r="DK18" s="23">
        <v>1956.5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1</v>
      </c>
      <c r="DU18" s="16">
        <v>23018</v>
      </c>
      <c r="DV18" s="16">
        <v>23018</v>
      </c>
      <c r="DW18" s="16">
        <v>1956.5</v>
      </c>
      <c r="DX18" s="16">
        <v>0</v>
      </c>
      <c r="DY18" s="16">
        <v>0</v>
      </c>
      <c r="DZ18" s="16">
        <v>0</v>
      </c>
      <c r="EA18" s="16">
        <v>0</v>
      </c>
      <c r="EB18" s="16">
        <v>1</v>
      </c>
      <c r="EC18" s="16">
        <v>23018</v>
      </c>
      <c r="ED18" s="16">
        <v>23018</v>
      </c>
      <c r="EE18" s="16">
        <v>1956.5</v>
      </c>
      <c r="EF18" s="23">
        <v>2</v>
      </c>
      <c r="EG18" s="23"/>
      <c r="EH18" s="23">
        <v>46036</v>
      </c>
      <c r="EI18" s="23">
        <v>3913.1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1</v>
      </c>
      <c r="ES18" s="16">
        <v>23018</v>
      </c>
      <c r="ET18" s="16">
        <v>23018</v>
      </c>
      <c r="EU18" s="16">
        <v>1956.5</v>
      </c>
      <c r="EV18" s="16">
        <v>0</v>
      </c>
      <c r="EW18" s="16">
        <v>0</v>
      </c>
      <c r="EX18" s="16">
        <v>0</v>
      </c>
      <c r="EY18" s="16">
        <v>0</v>
      </c>
      <c r="EZ18" s="23">
        <v>1</v>
      </c>
      <c r="FA18" s="23"/>
      <c r="FB18" s="23">
        <v>23018</v>
      </c>
      <c r="FC18" s="23">
        <v>1956.5</v>
      </c>
      <c r="FD18" s="16">
        <v>1</v>
      </c>
      <c r="FE18" s="16">
        <v>23018</v>
      </c>
      <c r="FF18" s="16">
        <v>23018</v>
      </c>
      <c r="FG18" s="16">
        <v>1956.5</v>
      </c>
      <c r="FH18" s="16">
        <v>0</v>
      </c>
      <c r="FI18" s="16">
        <v>0</v>
      </c>
      <c r="FJ18" s="16">
        <v>0</v>
      </c>
      <c r="FK18" s="16">
        <v>0</v>
      </c>
      <c r="FL18" s="16">
        <v>1</v>
      </c>
      <c r="FM18" s="16">
        <v>23018</v>
      </c>
      <c r="FN18" s="16">
        <v>23018</v>
      </c>
      <c r="FO18" s="16">
        <v>1956.5</v>
      </c>
      <c r="FP18" s="16">
        <v>0</v>
      </c>
      <c r="FQ18" s="16">
        <v>0</v>
      </c>
      <c r="FR18" s="16">
        <v>0</v>
      </c>
      <c r="FS18" s="16">
        <v>0</v>
      </c>
      <c r="FT18" s="23">
        <v>2</v>
      </c>
      <c r="FU18" s="23"/>
      <c r="FV18" s="23">
        <v>46036</v>
      </c>
      <c r="FW18" s="23">
        <v>3913.1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1</v>
      </c>
      <c r="GG18" s="16">
        <v>23018</v>
      </c>
      <c r="GH18" s="16">
        <v>23018</v>
      </c>
      <c r="GI18" s="16">
        <v>1956.5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23">
        <v>1</v>
      </c>
      <c r="GS18" s="23"/>
      <c r="GT18" s="23">
        <v>23018</v>
      </c>
      <c r="GU18" s="23">
        <v>1956.5</v>
      </c>
      <c r="GV18" s="16">
        <v>0</v>
      </c>
      <c r="GW18" s="16">
        <v>0</v>
      </c>
      <c r="GX18" s="16">
        <v>0</v>
      </c>
      <c r="GY18" s="16">
        <v>0</v>
      </c>
      <c r="GZ18" s="16">
        <v>1</v>
      </c>
      <c r="HA18" s="16">
        <v>23018</v>
      </c>
      <c r="HB18" s="16">
        <v>23018</v>
      </c>
      <c r="HC18" s="16">
        <v>1956.5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23">
        <v>1</v>
      </c>
      <c r="HM18" s="23"/>
      <c r="HN18" s="23">
        <v>23018</v>
      </c>
      <c r="HO18" s="23">
        <v>1956.5</v>
      </c>
      <c r="HP18" s="16">
        <v>0</v>
      </c>
      <c r="HQ18" s="16">
        <v>0</v>
      </c>
      <c r="HR18" s="16">
        <v>0</v>
      </c>
      <c r="HS18" s="16">
        <v>0</v>
      </c>
      <c r="HT18" s="16">
        <v>1</v>
      </c>
      <c r="HU18" s="16">
        <v>23018</v>
      </c>
      <c r="HV18" s="16">
        <v>23018</v>
      </c>
      <c r="HW18" s="16">
        <v>1956.5</v>
      </c>
      <c r="HX18" s="16">
        <v>0</v>
      </c>
      <c r="HY18" s="16">
        <v>0</v>
      </c>
      <c r="HZ18" s="16">
        <v>0</v>
      </c>
      <c r="IA18" s="16">
        <v>0</v>
      </c>
      <c r="IB18" s="16">
        <v>0</v>
      </c>
      <c r="IC18" s="16">
        <v>0</v>
      </c>
      <c r="ID18" s="16">
        <v>0</v>
      </c>
      <c r="IE18" s="16">
        <v>0</v>
      </c>
      <c r="IF18" s="23">
        <v>1</v>
      </c>
      <c r="IG18" s="23"/>
      <c r="IH18" s="23">
        <v>23018</v>
      </c>
      <c r="II18" s="23">
        <v>1956.5</v>
      </c>
      <c r="IJ18" s="16">
        <v>0</v>
      </c>
      <c r="IK18" s="16">
        <v>0</v>
      </c>
      <c r="IL18" s="16">
        <v>0</v>
      </c>
      <c r="IM18" s="16">
        <v>0</v>
      </c>
      <c r="IN18" s="16">
        <v>1</v>
      </c>
      <c r="IO18" s="16">
        <v>23018</v>
      </c>
      <c r="IP18" s="16">
        <v>23018</v>
      </c>
      <c r="IQ18" s="16">
        <v>1956.5</v>
      </c>
      <c r="IR18" s="16">
        <v>0</v>
      </c>
      <c r="IS18" s="16">
        <v>0</v>
      </c>
      <c r="IT18" s="16">
        <v>0</v>
      </c>
      <c r="IU18" s="16">
        <v>0</v>
      </c>
      <c r="IV18" s="16">
        <v>0</v>
      </c>
      <c r="IW18" s="16">
        <v>0</v>
      </c>
      <c r="IX18" s="16">
        <v>0</v>
      </c>
      <c r="IY18" s="16">
        <v>0</v>
      </c>
      <c r="IZ18" s="16">
        <v>0</v>
      </c>
      <c r="JA18" s="16">
        <v>0</v>
      </c>
      <c r="JB18" s="16">
        <v>0</v>
      </c>
      <c r="JC18" s="16">
        <v>0</v>
      </c>
      <c r="JD18" s="23">
        <v>1</v>
      </c>
      <c r="JE18" s="23"/>
      <c r="JF18" s="23">
        <v>23018</v>
      </c>
      <c r="JG18" s="23">
        <v>1956.5</v>
      </c>
      <c r="JH18" s="16">
        <v>1</v>
      </c>
      <c r="JI18" s="16">
        <v>22980</v>
      </c>
      <c r="JJ18" s="16">
        <v>22980</v>
      </c>
      <c r="JK18" s="16">
        <v>1953.3</v>
      </c>
      <c r="JL18" s="16">
        <v>0</v>
      </c>
      <c r="JM18" s="16">
        <v>0</v>
      </c>
      <c r="JN18" s="16">
        <v>0</v>
      </c>
      <c r="JO18" s="16">
        <v>0</v>
      </c>
      <c r="JP18" s="16">
        <v>1</v>
      </c>
      <c r="JQ18" s="16">
        <v>22980</v>
      </c>
      <c r="JR18" s="16">
        <v>22980</v>
      </c>
      <c r="JS18" s="16">
        <v>1953.3</v>
      </c>
      <c r="JT18" s="16">
        <v>1</v>
      </c>
      <c r="JU18" s="16">
        <v>22980</v>
      </c>
      <c r="JV18" s="16">
        <v>22980</v>
      </c>
      <c r="JW18" s="16">
        <v>1953.3</v>
      </c>
      <c r="JX18" s="23">
        <v>3</v>
      </c>
      <c r="JY18" s="23"/>
      <c r="JZ18" s="23">
        <v>68940</v>
      </c>
      <c r="KA18" s="23">
        <v>5859.9</v>
      </c>
      <c r="KB18" s="16">
        <v>0</v>
      </c>
      <c r="KC18" s="16">
        <v>0</v>
      </c>
      <c r="KD18" s="16">
        <v>0</v>
      </c>
      <c r="KE18" s="16">
        <v>0</v>
      </c>
      <c r="KF18" s="16">
        <v>0</v>
      </c>
      <c r="KG18" s="16">
        <v>0</v>
      </c>
      <c r="KH18" s="16">
        <v>0</v>
      </c>
      <c r="KI18" s="16">
        <v>0</v>
      </c>
      <c r="KJ18" s="16">
        <v>0</v>
      </c>
      <c r="KK18" s="16">
        <v>0</v>
      </c>
      <c r="KL18" s="16">
        <v>0</v>
      </c>
      <c r="KM18" s="16">
        <v>0</v>
      </c>
      <c r="KN18" s="16">
        <v>1</v>
      </c>
      <c r="KO18" s="16">
        <v>22980</v>
      </c>
      <c r="KP18" s="16">
        <v>22980</v>
      </c>
      <c r="KQ18" s="16">
        <v>1953.3</v>
      </c>
      <c r="KR18" s="23">
        <v>1</v>
      </c>
      <c r="KS18" s="23"/>
      <c r="KT18" s="23">
        <v>22980</v>
      </c>
      <c r="KU18" s="23">
        <v>1953.3</v>
      </c>
      <c r="KV18" s="23">
        <v>19</v>
      </c>
      <c r="KW18" s="23"/>
      <c r="KX18" s="23">
        <v>436170</v>
      </c>
      <c r="KY18" s="23">
        <v>37074.5</v>
      </c>
    </row>
    <row r="19" spans="1:311" ht="16.95" customHeight="1" x14ac:dyDescent="0.4">
      <c r="A19" s="11"/>
      <c r="B19" s="11"/>
      <c r="C19" s="11" t="s">
        <v>84</v>
      </c>
      <c r="D19" s="9">
        <v>0</v>
      </c>
      <c r="E19" s="9">
        <v>0</v>
      </c>
      <c r="F19" s="9">
        <v>0</v>
      </c>
      <c r="G19" s="9">
        <v>0</v>
      </c>
      <c r="H19" s="22">
        <v>0</v>
      </c>
      <c r="I19" s="22"/>
      <c r="J19" s="22">
        <v>0</v>
      </c>
      <c r="K19" s="22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5412</v>
      </c>
      <c r="V19" s="9">
        <v>5412</v>
      </c>
      <c r="W19" s="9">
        <v>460</v>
      </c>
      <c r="X19" s="9">
        <v>0</v>
      </c>
      <c r="Y19" s="9">
        <v>0</v>
      </c>
      <c r="Z19" s="9">
        <v>0</v>
      </c>
      <c r="AA19" s="9">
        <v>0</v>
      </c>
      <c r="AB19" s="22">
        <v>1</v>
      </c>
      <c r="AC19" s="22"/>
      <c r="AD19" s="22">
        <v>5412</v>
      </c>
      <c r="AE19" s="22">
        <v>460</v>
      </c>
      <c r="AF19" s="9">
        <v>0</v>
      </c>
      <c r="AG19" s="9">
        <v>0</v>
      </c>
      <c r="AH19" s="9">
        <v>0</v>
      </c>
      <c r="AI19" s="9">
        <v>0</v>
      </c>
      <c r="AJ19" s="9">
        <v>1</v>
      </c>
      <c r="AK19" s="9">
        <v>5412</v>
      </c>
      <c r="AL19" s="9">
        <v>5412</v>
      </c>
      <c r="AM19" s="9">
        <v>460</v>
      </c>
      <c r="AN19" s="9">
        <v>0</v>
      </c>
      <c r="AO19" s="9">
        <v>0</v>
      </c>
      <c r="AP19" s="9">
        <v>0</v>
      </c>
      <c r="AQ19" s="9">
        <v>0</v>
      </c>
      <c r="AR19" s="9">
        <v>1</v>
      </c>
      <c r="AS19" s="9">
        <v>5412</v>
      </c>
      <c r="AT19" s="9">
        <v>5412</v>
      </c>
      <c r="AU19" s="9">
        <v>460</v>
      </c>
      <c r="AV19" s="22">
        <v>2</v>
      </c>
      <c r="AW19" s="22"/>
      <c r="AX19" s="22">
        <v>10824</v>
      </c>
      <c r="AY19" s="22">
        <v>920</v>
      </c>
      <c r="AZ19" s="9">
        <v>0</v>
      </c>
      <c r="BA19" s="9">
        <v>0</v>
      </c>
      <c r="BB19" s="9">
        <v>0</v>
      </c>
      <c r="BC19" s="9">
        <v>0</v>
      </c>
      <c r="BD19" s="9">
        <v>1</v>
      </c>
      <c r="BE19" s="9">
        <v>5412</v>
      </c>
      <c r="BF19" s="9">
        <v>5412</v>
      </c>
      <c r="BG19" s="9">
        <v>460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1</v>
      </c>
      <c r="BQ19" s="9">
        <v>5535</v>
      </c>
      <c r="BR19" s="9">
        <v>5535</v>
      </c>
      <c r="BS19" s="9">
        <v>470.5</v>
      </c>
      <c r="BT19" s="22">
        <v>2</v>
      </c>
      <c r="BU19" s="22"/>
      <c r="BV19" s="22">
        <v>10947</v>
      </c>
      <c r="BW19" s="22">
        <v>930.5</v>
      </c>
      <c r="BX19" s="9">
        <v>0</v>
      </c>
      <c r="BY19" s="9">
        <v>0</v>
      </c>
      <c r="BZ19" s="9">
        <v>0</v>
      </c>
      <c r="CA19" s="9">
        <v>0</v>
      </c>
      <c r="CB19" s="9">
        <v>1</v>
      </c>
      <c r="CC19" s="9">
        <v>5535</v>
      </c>
      <c r="CD19" s="9">
        <v>5535</v>
      </c>
      <c r="CE19" s="9">
        <v>470.5</v>
      </c>
      <c r="CF19" s="9">
        <v>0</v>
      </c>
      <c r="CG19" s="9">
        <v>0</v>
      </c>
      <c r="CH19" s="9">
        <v>0</v>
      </c>
      <c r="CI19" s="9">
        <v>0</v>
      </c>
      <c r="CJ19" s="9">
        <v>1</v>
      </c>
      <c r="CK19" s="9">
        <v>5535</v>
      </c>
      <c r="CL19" s="9">
        <v>5535</v>
      </c>
      <c r="CM19" s="9">
        <v>470.5</v>
      </c>
      <c r="CN19" s="22">
        <v>2</v>
      </c>
      <c r="CO19" s="22"/>
      <c r="CP19" s="22">
        <v>11070</v>
      </c>
      <c r="CQ19" s="22">
        <v>941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1</v>
      </c>
      <c r="DA19" s="9">
        <v>5535</v>
      </c>
      <c r="DB19" s="9">
        <v>5535</v>
      </c>
      <c r="DC19" s="9">
        <v>470.5</v>
      </c>
      <c r="DD19" s="9">
        <v>0</v>
      </c>
      <c r="DE19" s="9">
        <v>0</v>
      </c>
      <c r="DF19" s="9">
        <v>0</v>
      </c>
      <c r="DG19" s="9">
        <v>0</v>
      </c>
      <c r="DH19" s="22">
        <v>1</v>
      </c>
      <c r="DI19" s="22"/>
      <c r="DJ19" s="22">
        <v>5535</v>
      </c>
      <c r="DK19" s="22">
        <v>470.5</v>
      </c>
      <c r="DL19" s="9">
        <v>1</v>
      </c>
      <c r="DM19" s="9">
        <v>5535</v>
      </c>
      <c r="DN19" s="9">
        <v>5535</v>
      </c>
      <c r="DO19" s="9">
        <v>470.5</v>
      </c>
      <c r="DP19" s="9">
        <v>0</v>
      </c>
      <c r="DQ19" s="9">
        <v>0</v>
      </c>
      <c r="DR19" s="9">
        <v>0</v>
      </c>
      <c r="DS19" s="9">
        <v>0</v>
      </c>
      <c r="DT19" s="9">
        <v>1</v>
      </c>
      <c r="DU19" s="9">
        <v>5535</v>
      </c>
      <c r="DV19" s="9">
        <v>5535</v>
      </c>
      <c r="DW19" s="9">
        <v>470.5</v>
      </c>
      <c r="DX19" s="9">
        <v>0</v>
      </c>
      <c r="DY19" s="9">
        <v>0</v>
      </c>
      <c r="DZ19" s="9">
        <v>0</v>
      </c>
      <c r="EA19" s="9">
        <v>0</v>
      </c>
      <c r="EB19" s="9">
        <v>1</v>
      </c>
      <c r="EC19" s="9">
        <v>5535</v>
      </c>
      <c r="ED19" s="9">
        <v>5535</v>
      </c>
      <c r="EE19" s="9">
        <v>470.5</v>
      </c>
      <c r="EF19" s="22">
        <v>3</v>
      </c>
      <c r="EG19" s="22"/>
      <c r="EH19" s="22">
        <v>16605</v>
      </c>
      <c r="EI19" s="22">
        <v>1411.4</v>
      </c>
      <c r="EJ19" s="9">
        <v>0</v>
      </c>
      <c r="EK19" s="9">
        <v>0</v>
      </c>
      <c r="EL19" s="9">
        <v>0</v>
      </c>
      <c r="EM19" s="9">
        <v>0</v>
      </c>
      <c r="EN19" s="9">
        <v>1</v>
      </c>
      <c r="EO19" s="9">
        <v>5535</v>
      </c>
      <c r="EP19" s="9">
        <v>5535</v>
      </c>
      <c r="EQ19" s="9">
        <v>470.5</v>
      </c>
      <c r="ER19" s="9">
        <v>1</v>
      </c>
      <c r="ES19" s="9">
        <v>5535</v>
      </c>
      <c r="ET19" s="9">
        <v>5535</v>
      </c>
      <c r="EU19" s="9">
        <v>470.5</v>
      </c>
      <c r="EV19" s="9">
        <v>0</v>
      </c>
      <c r="EW19" s="9">
        <v>0</v>
      </c>
      <c r="EX19" s="9">
        <v>0</v>
      </c>
      <c r="EY19" s="9">
        <v>0</v>
      </c>
      <c r="EZ19" s="22">
        <v>2</v>
      </c>
      <c r="FA19" s="22"/>
      <c r="FB19" s="22">
        <v>11070</v>
      </c>
      <c r="FC19" s="22">
        <v>941</v>
      </c>
      <c r="FD19" s="9">
        <v>1</v>
      </c>
      <c r="FE19" s="9">
        <v>5535</v>
      </c>
      <c r="FF19" s="9">
        <v>5535</v>
      </c>
      <c r="FG19" s="9">
        <v>470.5</v>
      </c>
      <c r="FH19" s="9">
        <v>0</v>
      </c>
      <c r="FI19" s="9">
        <v>0</v>
      </c>
      <c r="FJ19" s="9">
        <v>0</v>
      </c>
      <c r="FK19" s="9">
        <v>0</v>
      </c>
      <c r="FL19" s="9">
        <v>1</v>
      </c>
      <c r="FM19" s="9">
        <v>5535</v>
      </c>
      <c r="FN19" s="9">
        <v>5535</v>
      </c>
      <c r="FO19" s="9">
        <v>470.5</v>
      </c>
      <c r="FP19" s="9">
        <v>0</v>
      </c>
      <c r="FQ19" s="9">
        <v>0</v>
      </c>
      <c r="FR19" s="9">
        <v>0</v>
      </c>
      <c r="FS19" s="9">
        <v>0</v>
      </c>
      <c r="FT19" s="22">
        <v>2</v>
      </c>
      <c r="FU19" s="22"/>
      <c r="FV19" s="22">
        <v>11070</v>
      </c>
      <c r="FW19" s="22">
        <v>941</v>
      </c>
      <c r="FX19" s="9">
        <v>1</v>
      </c>
      <c r="FY19" s="9">
        <v>5535</v>
      </c>
      <c r="FZ19" s="9">
        <v>5535</v>
      </c>
      <c r="GA19" s="9">
        <v>470.5</v>
      </c>
      <c r="GB19" s="9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9">
        <v>1</v>
      </c>
      <c r="GK19" s="9">
        <v>5535</v>
      </c>
      <c r="GL19" s="9">
        <v>5535</v>
      </c>
      <c r="GM19" s="9">
        <v>470.5</v>
      </c>
      <c r="GN19" s="9">
        <v>1</v>
      </c>
      <c r="GO19" s="9">
        <v>5535</v>
      </c>
      <c r="GP19" s="9">
        <v>5535</v>
      </c>
      <c r="GQ19" s="9">
        <v>470.5</v>
      </c>
      <c r="GR19" s="22">
        <v>3</v>
      </c>
      <c r="GS19" s="22"/>
      <c r="GT19" s="22">
        <v>16605</v>
      </c>
      <c r="GU19" s="22">
        <v>1411.4</v>
      </c>
      <c r="GV19" s="9">
        <v>0</v>
      </c>
      <c r="GW19" s="9">
        <v>0</v>
      </c>
      <c r="GX19" s="9">
        <v>0</v>
      </c>
      <c r="GY19" s="9">
        <v>0</v>
      </c>
      <c r="GZ19" s="9">
        <v>0</v>
      </c>
      <c r="HA19" s="9">
        <v>0</v>
      </c>
      <c r="HB19" s="9">
        <v>0</v>
      </c>
      <c r="HC19" s="9">
        <v>0</v>
      </c>
      <c r="HD19" s="9">
        <v>1</v>
      </c>
      <c r="HE19" s="9">
        <v>5535</v>
      </c>
      <c r="HF19" s="9">
        <v>5535</v>
      </c>
      <c r="HG19" s="9">
        <v>470.5</v>
      </c>
      <c r="HH19" s="9">
        <v>0</v>
      </c>
      <c r="HI19" s="9">
        <v>0</v>
      </c>
      <c r="HJ19" s="9">
        <v>0</v>
      </c>
      <c r="HK19" s="9">
        <v>0</v>
      </c>
      <c r="HL19" s="22">
        <v>1</v>
      </c>
      <c r="HM19" s="22"/>
      <c r="HN19" s="22">
        <v>5535</v>
      </c>
      <c r="HO19" s="22">
        <v>470.5</v>
      </c>
      <c r="HP19" s="9">
        <v>1</v>
      </c>
      <c r="HQ19" s="9">
        <v>5535</v>
      </c>
      <c r="HR19" s="9">
        <v>5535</v>
      </c>
      <c r="HS19" s="9">
        <v>470.5</v>
      </c>
      <c r="HT19" s="9">
        <v>0</v>
      </c>
      <c r="HU19" s="9">
        <v>0</v>
      </c>
      <c r="HV19" s="9">
        <v>0</v>
      </c>
      <c r="HW19" s="9">
        <v>0</v>
      </c>
      <c r="HX19" s="9">
        <v>1</v>
      </c>
      <c r="HY19" s="9">
        <v>5535</v>
      </c>
      <c r="HZ19" s="9">
        <v>5535</v>
      </c>
      <c r="IA19" s="9">
        <v>470.5</v>
      </c>
      <c r="IB19" s="9">
        <v>0</v>
      </c>
      <c r="IC19" s="9">
        <v>0</v>
      </c>
      <c r="ID19" s="9">
        <v>0</v>
      </c>
      <c r="IE19" s="9">
        <v>0</v>
      </c>
      <c r="IF19" s="22">
        <v>2</v>
      </c>
      <c r="IG19" s="22"/>
      <c r="IH19" s="22">
        <v>11070</v>
      </c>
      <c r="II19" s="22">
        <v>941</v>
      </c>
      <c r="IJ19" s="9">
        <v>1</v>
      </c>
      <c r="IK19" s="9">
        <v>5535</v>
      </c>
      <c r="IL19" s="9">
        <v>5535</v>
      </c>
      <c r="IM19" s="9">
        <v>470.5</v>
      </c>
      <c r="IN19" s="9">
        <v>0</v>
      </c>
      <c r="IO19" s="9">
        <v>0</v>
      </c>
      <c r="IP19" s="9">
        <v>0</v>
      </c>
      <c r="IQ19" s="9">
        <v>0</v>
      </c>
      <c r="IR19" s="9">
        <v>0</v>
      </c>
      <c r="IS19" s="9">
        <v>0</v>
      </c>
      <c r="IT19" s="9">
        <v>0</v>
      </c>
      <c r="IU19" s="9">
        <v>0</v>
      </c>
      <c r="IV19" s="9">
        <v>1</v>
      </c>
      <c r="IW19" s="9">
        <v>5535</v>
      </c>
      <c r="IX19" s="9">
        <v>5535</v>
      </c>
      <c r="IY19" s="9">
        <v>470.5</v>
      </c>
      <c r="IZ19" s="9">
        <v>1</v>
      </c>
      <c r="JA19" s="9">
        <v>5535</v>
      </c>
      <c r="JB19" s="9">
        <v>5535</v>
      </c>
      <c r="JC19" s="9">
        <v>470.5</v>
      </c>
      <c r="JD19" s="22">
        <v>3</v>
      </c>
      <c r="JE19" s="22"/>
      <c r="JF19" s="22">
        <v>16605</v>
      </c>
      <c r="JG19" s="22">
        <v>1411.4</v>
      </c>
      <c r="JH19" s="9">
        <v>1</v>
      </c>
      <c r="JI19" s="9">
        <v>5535</v>
      </c>
      <c r="JJ19" s="9">
        <v>5535</v>
      </c>
      <c r="JK19" s="9">
        <v>470.5</v>
      </c>
      <c r="JL19" s="9">
        <v>1</v>
      </c>
      <c r="JM19" s="9">
        <v>5535</v>
      </c>
      <c r="JN19" s="9">
        <v>5535</v>
      </c>
      <c r="JO19" s="9">
        <v>470.5</v>
      </c>
      <c r="JP19" s="9">
        <v>0</v>
      </c>
      <c r="JQ19" s="9">
        <v>0</v>
      </c>
      <c r="JR19" s="9">
        <v>0</v>
      </c>
      <c r="JS19" s="9">
        <v>0</v>
      </c>
      <c r="JT19" s="9">
        <v>1</v>
      </c>
      <c r="JU19" s="9">
        <v>5535</v>
      </c>
      <c r="JV19" s="9">
        <v>5535</v>
      </c>
      <c r="JW19" s="9">
        <v>470.5</v>
      </c>
      <c r="JX19" s="22">
        <v>3</v>
      </c>
      <c r="JY19" s="22"/>
      <c r="JZ19" s="22">
        <v>16605</v>
      </c>
      <c r="KA19" s="22">
        <v>1411.4</v>
      </c>
      <c r="KB19" s="9">
        <v>0</v>
      </c>
      <c r="KC19" s="9">
        <v>0</v>
      </c>
      <c r="KD19" s="9">
        <v>0</v>
      </c>
      <c r="KE19" s="9">
        <v>0</v>
      </c>
      <c r="KF19" s="9">
        <v>1</v>
      </c>
      <c r="KG19" s="9">
        <v>5535</v>
      </c>
      <c r="KH19" s="9">
        <v>5535</v>
      </c>
      <c r="KI19" s="9">
        <v>470.5</v>
      </c>
      <c r="KJ19" s="9">
        <v>0</v>
      </c>
      <c r="KK19" s="9">
        <v>0</v>
      </c>
      <c r="KL19" s="9">
        <v>0</v>
      </c>
      <c r="KM19" s="9">
        <v>0</v>
      </c>
      <c r="KN19" s="9">
        <v>1</v>
      </c>
      <c r="KO19" s="9">
        <v>5535</v>
      </c>
      <c r="KP19" s="9">
        <v>5535</v>
      </c>
      <c r="KQ19" s="9">
        <v>470.5</v>
      </c>
      <c r="KR19" s="22">
        <v>2</v>
      </c>
      <c r="KS19" s="22"/>
      <c r="KT19" s="22">
        <v>11070</v>
      </c>
      <c r="KU19" s="22">
        <v>941</v>
      </c>
      <c r="KV19" s="22">
        <v>29</v>
      </c>
      <c r="KW19" s="22"/>
      <c r="KX19" s="22">
        <v>160023</v>
      </c>
      <c r="KY19" s="22">
        <v>13602</v>
      </c>
    </row>
    <row r="20" spans="1:311" ht="16.95" customHeight="1" x14ac:dyDescent="0.4">
      <c r="A20" s="15"/>
      <c r="B20" s="15"/>
      <c r="C20" s="15" t="s">
        <v>107</v>
      </c>
      <c r="D20" s="16">
        <v>0</v>
      </c>
      <c r="E20" s="16">
        <v>0</v>
      </c>
      <c r="F20" s="16">
        <v>0</v>
      </c>
      <c r="G20" s="16">
        <v>0</v>
      </c>
      <c r="H20" s="23">
        <v>0</v>
      </c>
      <c r="I20" s="23"/>
      <c r="J20" s="23">
        <v>0</v>
      </c>
      <c r="K20" s="23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23">
        <v>0</v>
      </c>
      <c r="AC20" s="23"/>
      <c r="AD20" s="23">
        <v>0</v>
      </c>
      <c r="AE20" s="23">
        <v>0</v>
      </c>
      <c r="AF20" s="16">
        <v>1</v>
      </c>
      <c r="AG20" s="16">
        <v>33617</v>
      </c>
      <c r="AH20" s="16">
        <v>33617</v>
      </c>
      <c r="AI20" s="16">
        <v>2857.4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23">
        <v>1</v>
      </c>
      <c r="AW20" s="23"/>
      <c r="AX20" s="23">
        <v>33617</v>
      </c>
      <c r="AY20" s="23">
        <v>2857.4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23">
        <v>0</v>
      </c>
      <c r="BU20" s="23"/>
      <c r="BV20" s="23">
        <v>0</v>
      </c>
      <c r="BW20" s="23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23">
        <v>0</v>
      </c>
      <c r="CO20" s="23"/>
      <c r="CP20" s="23">
        <v>0</v>
      </c>
      <c r="CQ20" s="23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1</v>
      </c>
      <c r="CW20" s="16">
        <v>34377</v>
      </c>
      <c r="CX20" s="16">
        <v>34377</v>
      </c>
      <c r="CY20" s="16">
        <v>2922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23">
        <v>1</v>
      </c>
      <c r="DI20" s="23"/>
      <c r="DJ20" s="23">
        <v>34377</v>
      </c>
      <c r="DK20" s="23">
        <v>2922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23">
        <v>0</v>
      </c>
      <c r="EG20" s="23"/>
      <c r="EH20" s="23">
        <v>0</v>
      </c>
      <c r="EI20" s="23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23">
        <v>0</v>
      </c>
      <c r="FA20" s="23"/>
      <c r="FB20" s="23">
        <v>0</v>
      </c>
      <c r="FC20" s="23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23">
        <v>0</v>
      </c>
      <c r="FU20" s="23"/>
      <c r="FV20" s="23">
        <v>0</v>
      </c>
      <c r="FW20" s="23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23">
        <v>0</v>
      </c>
      <c r="GS20" s="23"/>
      <c r="GT20" s="23">
        <v>0</v>
      </c>
      <c r="GU20" s="23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23">
        <v>0</v>
      </c>
      <c r="HM20" s="23"/>
      <c r="HN20" s="23">
        <v>0</v>
      </c>
      <c r="HO20" s="23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  <c r="IB20" s="16">
        <v>0</v>
      </c>
      <c r="IC20" s="16">
        <v>0</v>
      </c>
      <c r="ID20" s="16">
        <v>0</v>
      </c>
      <c r="IE20" s="16">
        <v>0</v>
      </c>
      <c r="IF20" s="23">
        <v>0</v>
      </c>
      <c r="IG20" s="23"/>
      <c r="IH20" s="23">
        <v>0</v>
      </c>
      <c r="II20" s="23">
        <v>0</v>
      </c>
      <c r="IJ20" s="16">
        <v>1</v>
      </c>
      <c r="IK20" s="16">
        <v>34377</v>
      </c>
      <c r="IL20" s="16">
        <v>34377</v>
      </c>
      <c r="IM20" s="16">
        <v>2922</v>
      </c>
      <c r="IN20" s="16">
        <v>0</v>
      </c>
      <c r="IO20" s="16">
        <v>0</v>
      </c>
      <c r="IP20" s="16">
        <v>0</v>
      </c>
      <c r="IQ20" s="16">
        <v>0</v>
      </c>
      <c r="IR20" s="16">
        <v>0</v>
      </c>
      <c r="IS20" s="16">
        <v>0</v>
      </c>
      <c r="IT20" s="16">
        <v>0</v>
      </c>
      <c r="IU20" s="16">
        <v>0</v>
      </c>
      <c r="IV20" s="16">
        <v>0</v>
      </c>
      <c r="IW20" s="16">
        <v>0</v>
      </c>
      <c r="IX20" s="16">
        <v>0</v>
      </c>
      <c r="IY20" s="16">
        <v>0</v>
      </c>
      <c r="IZ20" s="16">
        <v>0</v>
      </c>
      <c r="JA20" s="16">
        <v>0</v>
      </c>
      <c r="JB20" s="16">
        <v>0</v>
      </c>
      <c r="JC20" s="16">
        <v>0</v>
      </c>
      <c r="JD20" s="23">
        <v>1</v>
      </c>
      <c r="JE20" s="23"/>
      <c r="JF20" s="23">
        <v>34377</v>
      </c>
      <c r="JG20" s="23">
        <v>2922</v>
      </c>
      <c r="JH20" s="16">
        <v>0</v>
      </c>
      <c r="JI20" s="16">
        <v>0</v>
      </c>
      <c r="JJ20" s="16">
        <v>0</v>
      </c>
      <c r="JK20" s="16">
        <v>0</v>
      </c>
      <c r="JL20" s="16">
        <v>0</v>
      </c>
      <c r="JM20" s="16">
        <v>0</v>
      </c>
      <c r="JN20" s="16">
        <v>0</v>
      </c>
      <c r="JO20" s="16">
        <v>0</v>
      </c>
      <c r="JP20" s="16">
        <v>0</v>
      </c>
      <c r="JQ20" s="16">
        <v>0</v>
      </c>
      <c r="JR20" s="16">
        <v>0</v>
      </c>
      <c r="JS20" s="16">
        <v>0</v>
      </c>
      <c r="JT20" s="16">
        <v>0</v>
      </c>
      <c r="JU20" s="16">
        <v>0</v>
      </c>
      <c r="JV20" s="16">
        <v>0</v>
      </c>
      <c r="JW20" s="16">
        <v>0</v>
      </c>
      <c r="JX20" s="23">
        <v>0</v>
      </c>
      <c r="JY20" s="23"/>
      <c r="JZ20" s="23">
        <v>0</v>
      </c>
      <c r="KA20" s="23">
        <v>0</v>
      </c>
      <c r="KB20" s="16">
        <v>0</v>
      </c>
      <c r="KC20" s="16">
        <v>0</v>
      </c>
      <c r="KD20" s="16">
        <v>0</v>
      </c>
      <c r="KE20" s="16">
        <v>0</v>
      </c>
      <c r="KF20" s="16">
        <v>0</v>
      </c>
      <c r="KG20" s="16">
        <v>0</v>
      </c>
      <c r="KH20" s="16">
        <v>0</v>
      </c>
      <c r="KI20" s="16">
        <v>0</v>
      </c>
      <c r="KJ20" s="16">
        <v>0</v>
      </c>
      <c r="KK20" s="16">
        <v>0</v>
      </c>
      <c r="KL20" s="16">
        <v>0</v>
      </c>
      <c r="KM20" s="16">
        <v>0</v>
      </c>
      <c r="KN20" s="16">
        <v>0</v>
      </c>
      <c r="KO20" s="16">
        <v>0</v>
      </c>
      <c r="KP20" s="16">
        <v>0</v>
      </c>
      <c r="KQ20" s="16">
        <v>0</v>
      </c>
      <c r="KR20" s="23">
        <v>0</v>
      </c>
      <c r="KS20" s="23"/>
      <c r="KT20" s="23">
        <v>0</v>
      </c>
      <c r="KU20" s="23">
        <v>0</v>
      </c>
      <c r="KV20" s="23">
        <v>3</v>
      </c>
      <c r="KW20" s="23"/>
      <c r="KX20" s="23">
        <v>102371</v>
      </c>
      <c r="KY20" s="23">
        <v>8701.5</v>
      </c>
    </row>
    <row r="21" spans="1:311" ht="16.95" customHeight="1" x14ac:dyDescent="0.4">
      <c r="A21" s="11"/>
      <c r="B21" s="11"/>
      <c r="C21" s="11" t="s">
        <v>67</v>
      </c>
      <c r="D21" s="9">
        <v>0</v>
      </c>
      <c r="E21" s="9">
        <v>0</v>
      </c>
      <c r="F21" s="9">
        <v>0</v>
      </c>
      <c r="G21" s="9">
        <v>0</v>
      </c>
      <c r="H21" s="22">
        <v>0</v>
      </c>
      <c r="I21" s="22"/>
      <c r="J21" s="22">
        <v>0</v>
      </c>
      <c r="K21" s="22">
        <v>0</v>
      </c>
      <c r="L21" s="9">
        <v>1</v>
      </c>
      <c r="M21" s="9">
        <v>8130</v>
      </c>
      <c r="N21" s="9">
        <v>8130</v>
      </c>
      <c r="O21" s="9">
        <v>691.1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8130</v>
      </c>
      <c r="V21" s="9">
        <v>8130</v>
      </c>
      <c r="W21" s="9">
        <v>691.1</v>
      </c>
      <c r="X21" s="9">
        <v>0</v>
      </c>
      <c r="Y21" s="9">
        <v>0</v>
      </c>
      <c r="Z21" s="9">
        <v>0</v>
      </c>
      <c r="AA21" s="9">
        <v>0</v>
      </c>
      <c r="AB21" s="22">
        <v>2</v>
      </c>
      <c r="AC21" s="22"/>
      <c r="AD21" s="22">
        <v>16260</v>
      </c>
      <c r="AE21" s="22">
        <v>1382.1</v>
      </c>
      <c r="AF21" s="9">
        <v>0</v>
      </c>
      <c r="AG21" s="9">
        <v>0</v>
      </c>
      <c r="AH21" s="9">
        <v>0</v>
      </c>
      <c r="AI21" s="9">
        <v>0</v>
      </c>
      <c r="AJ21" s="9">
        <v>1</v>
      </c>
      <c r="AK21" s="9">
        <v>8130</v>
      </c>
      <c r="AL21" s="9">
        <v>8130</v>
      </c>
      <c r="AM21" s="9">
        <v>691.1</v>
      </c>
      <c r="AN21" s="9">
        <v>0</v>
      </c>
      <c r="AO21" s="9">
        <v>0</v>
      </c>
      <c r="AP21" s="9">
        <v>0</v>
      </c>
      <c r="AQ21" s="9">
        <v>0</v>
      </c>
      <c r="AR21" s="9">
        <v>1</v>
      </c>
      <c r="AS21" s="9">
        <v>8130</v>
      </c>
      <c r="AT21" s="9">
        <v>8130</v>
      </c>
      <c r="AU21" s="9">
        <v>691.1</v>
      </c>
      <c r="AV21" s="22">
        <v>2</v>
      </c>
      <c r="AW21" s="22"/>
      <c r="AX21" s="22">
        <v>16260</v>
      </c>
      <c r="AY21" s="22">
        <v>1382.1</v>
      </c>
      <c r="AZ21" s="9">
        <v>0</v>
      </c>
      <c r="BA21" s="9">
        <v>0</v>
      </c>
      <c r="BB21" s="9">
        <v>0</v>
      </c>
      <c r="BC21" s="9">
        <v>0</v>
      </c>
      <c r="BD21" s="9">
        <v>1</v>
      </c>
      <c r="BE21" s="9">
        <v>8130</v>
      </c>
      <c r="BF21" s="9">
        <v>8130</v>
      </c>
      <c r="BG21" s="9">
        <v>691.1</v>
      </c>
      <c r="BH21" s="9">
        <v>0</v>
      </c>
      <c r="BI21" s="9">
        <v>0</v>
      </c>
      <c r="BJ21" s="9">
        <v>0</v>
      </c>
      <c r="BK21" s="9">
        <v>0</v>
      </c>
      <c r="BL21" s="9">
        <v>1</v>
      </c>
      <c r="BM21" s="9">
        <v>8314</v>
      </c>
      <c r="BN21" s="9">
        <v>8314</v>
      </c>
      <c r="BO21" s="9">
        <v>706.7</v>
      </c>
      <c r="BP21" s="9">
        <v>0</v>
      </c>
      <c r="BQ21" s="9">
        <v>0</v>
      </c>
      <c r="BR21" s="9">
        <v>0</v>
      </c>
      <c r="BS21" s="9">
        <v>0</v>
      </c>
      <c r="BT21" s="22">
        <v>2</v>
      </c>
      <c r="BU21" s="22"/>
      <c r="BV21" s="22">
        <v>16444</v>
      </c>
      <c r="BW21" s="22">
        <v>1397.7</v>
      </c>
      <c r="BX21" s="9">
        <v>0</v>
      </c>
      <c r="BY21" s="9">
        <v>0</v>
      </c>
      <c r="BZ21" s="9">
        <v>0</v>
      </c>
      <c r="CA21" s="9">
        <v>0</v>
      </c>
      <c r="CB21" s="9">
        <v>1</v>
      </c>
      <c r="CC21" s="9">
        <v>8314</v>
      </c>
      <c r="CD21" s="9">
        <v>8314</v>
      </c>
      <c r="CE21" s="9">
        <v>706.7</v>
      </c>
      <c r="CF21" s="9">
        <v>0</v>
      </c>
      <c r="CG21" s="9">
        <v>0</v>
      </c>
      <c r="CH21" s="9">
        <v>0</v>
      </c>
      <c r="CI21" s="9">
        <v>0</v>
      </c>
      <c r="CJ21" s="9">
        <v>1</v>
      </c>
      <c r="CK21" s="9">
        <v>8314</v>
      </c>
      <c r="CL21" s="9">
        <v>8314</v>
      </c>
      <c r="CM21" s="9">
        <v>706.7</v>
      </c>
      <c r="CN21" s="22">
        <v>2</v>
      </c>
      <c r="CO21" s="22"/>
      <c r="CP21" s="22">
        <v>16628</v>
      </c>
      <c r="CQ21" s="22">
        <v>1413.4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1</v>
      </c>
      <c r="DA21" s="9">
        <v>8314</v>
      </c>
      <c r="DB21" s="9">
        <v>8314</v>
      </c>
      <c r="DC21" s="9">
        <v>706.7</v>
      </c>
      <c r="DD21" s="9">
        <v>0</v>
      </c>
      <c r="DE21" s="9">
        <v>0</v>
      </c>
      <c r="DF21" s="9">
        <v>0</v>
      </c>
      <c r="DG21" s="9">
        <v>0</v>
      </c>
      <c r="DH21" s="22">
        <v>1</v>
      </c>
      <c r="DI21" s="22"/>
      <c r="DJ21" s="22">
        <v>8314</v>
      </c>
      <c r="DK21" s="22">
        <v>706.7</v>
      </c>
      <c r="DL21" s="9">
        <v>1</v>
      </c>
      <c r="DM21" s="9">
        <v>8314</v>
      </c>
      <c r="DN21" s="9">
        <v>8314</v>
      </c>
      <c r="DO21" s="9">
        <v>706.7</v>
      </c>
      <c r="DP21" s="9">
        <v>0</v>
      </c>
      <c r="DQ21" s="9">
        <v>0</v>
      </c>
      <c r="DR21" s="9">
        <v>0</v>
      </c>
      <c r="DS21" s="9">
        <v>0</v>
      </c>
      <c r="DT21" s="9">
        <v>0</v>
      </c>
      <c r="DU21" s="9">
        <v>0</v>
      </c>
      <c r="DV21" s="9">
        <v>0</v>
      </c>
      <c r="DW21" s="9">
        <v>0</v>
      </c>
      <c r="DX21" s="9">
        <v>1</v>
      </c>
      <c r="DY21" s="9">
        <v>8314</v>
      </c>
      <c r="DZ21" s="9">
        <v>8314</v>
      </c>
      <c r="EA21" s="9">
        <v>706.7</v>
      </c>
      <c r="EB21" s="9">
        <v>0</v>
      </c>
      <c r="EC21" s="9">
        <v>0</v>
      </c>
      <c r="ED21" s="9">
        <v>0</v>
      </c>
      <c r="EE21" s="9">
        <v>0</v>
      </c>
      <c r="EF21" s="22">
        <v>2</v>
      </c>
      <c r="EG21" s="22"/>
      <c r="EH21" s="22">
        <v>16628</v>
      </c>
      <c r="EI21" s="22">
        <v>1413.4</v>
      </c>
      <c r="EJ21" s="9">
        <v>1</v>
      </c>
      <c r="EK21" s="9">
        <v>8314</v>
      </c>
      <c r="EL21" s="9">
        <v>8314</v>
      </c>
      <c r="EM21" s="9">
        <v>706.7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22">
        <v>1</v>
      </c>
      <c r="FA21" s="22"/>
      <c r="FB21" s="22">
        <v>8314</v>
      </c>
      <c r="FC21" s="22">
        <v>706.7</v>
      </c>
      <c r="FD21" s="9">
        <v>1</v>
      </c>
      <c r="FE21" s="9">
        <v>8314</v>
      </c>
      <c r="FF21" s="9">
        <v>8314</v>
      </c>
      <c r="FG21" s="9">
        <v>706.7</v>
      </c>
      <c r="FH21" s="9">
        <v>0</v>
      </c>
      <c r="FI21" s="9">
        <v>0</v>
      </c>
      <c r="FJ21" s="9">
        <v>0</v>
      </c>
      <c r="FK21" s="9">
        <v>0</v>
      </c>
      <c r="FL21" s="9">
        <v>0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9">
        <v>0</v>
      </c>
      <c r="FS21" s="9">
        <v>0</v>
      </c>
      <c r="FT21" s="22">
        <v>1</v>
      </c>
      <c r="FU21" s="22"/>
      <c r="FV21" s="22">
        <v>8314</v>
      </c>
      <c r="FW21" s="22">
        <v>706.7</v>
      </c>
      <c r="FX21" s="9">
        <v>1</v>
      </c>
      <c r="FY21" s="9">
        <v>8314</v>
      </c>
      <c r="FZ21" s="9">
        <v>8314</v>
      </c>
      <c r="GA21" s="9">
        <v>706.7</v>
      </c>
      <c r="GB21" s="9">
        <v>0</v>
      </c>
      <c r="GC21" s="9">
        <v>0</v>
      </c>
      <c r="GD21" s="9">
        <v>0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9">
        <v>1</v>
      </c>
      <c r="GK21" s="9">
        <v>8314</v>
      </c>
      <c r="GL21" s="9">
        <v>8314</v>
      </c>
      <c r="GM21" s="9">
        <v>706.7</v>
      </c>
      <c r="GN21" s="9">
        <v>0</v>
      </c>
      <c r="GO21" s="9">
        <v>0</v>
      </c>
      <c r="GP21" s="9">
        <v>0</v>
      </c>
      <c r="GQ21" s="9">
        <v>0</v>
      </c>
      <c r="GR21" s="22">
        <v>2</v>
      </c>
      <c r="GS21" s="22"/>
      <c r="GT21" s="22">
        <v>16628</v>
      </c>
      <c r="GU21" s="22">
        <v>1413.4</v>
      </c>
      <c r="GV21" s="9">
        <v>0</v>
      </c>
      <c r="GW21" s="9">
        <v>0</v>
      </c>
      <c r="GX21" s="9">
        <v>0</v>
      </c>
      <c r="GY21" s="9">
        <v>0</v>
      </c>
      <c r="GZ21" s="9">
        <v>0</v>
      </c>
      <c r="HA21" s="9">
        <v>0</v>
      </c>
      <c r="HB21" s="9">
        <v>0</v>
      </c>
      <c r="HC21" s="9">
        <v>0</v>
      </c>
      <c r="HD21" s="9">
        <v>1</v>
      </c>
      <c r="HE21" s="9">
        <v>8314</v>
      </c>
      <c r="HF21" s="9">
        <v>8314</v>
      </c>
      <c r="HG21" s="9">
        <v>706.7</v>
      </c>
      <c r="HH21" s="9">
        <v>0</v>
      </c>
      <c r="HI21" s="9">
        <v>0</v>
      </c>
      <c r="HJ21" s="9">
        <v>0</v>
      </c>
      <c r="HK21" s="9">
        <v>0</v>
      </c>
      <c r="HL21" s="22">
        <v>1</v>
      </c>
      <c r="HM21" s="22"/>
      <c r="HN21" s="22">
        <v>8314</v>
      </c>
      <c r="HO21" s="22">
        <v>706.7</v>
      </c>
      <c r="HP21" s="9">
        <v>1</v>
      </c>
      <c r="HQ21" s="9">
        <v>8314</v>
      </c>
      <c r="HR21" s="9">
        <v>8314</v>
      </c>
      <c r="HS21" s="9">
        <v>706.7</v>
      </c>
      <c r="HT21" s="9">
        <v>0</v>
      </c>
      <c r="HU21" s="9">
        <v>0</v>
      </c>
      <c r="HV21" s="9">
        <v>0</v>
      </c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9">
        <v>1</v>
      </c>
      <c r="IC21" s="9">
        <v>7891</v>
      </c>
      <c r="ID21" s="9">
        <v>7891</v>
      </c>
      <c r="IE21" s="9">
        <v>670.7</v>
      </c>
      <c r="IF21" s="22">
        <v>2</v>
      </c>
      <c r="IG21" s="22"/>
      <c r="IH21" s="22">
        <v>16205</v>
      </c>
      <c r="II21" s="22">
        <v>1377.4</v>
      </c>
      <c r="IJ21" s="9">
        <v>0</v>
      </c>
      <c r="IK21" s="9">
        <v>0</v>
      </c>
      <c r="IL21" s="9">
        <v>0</v>
      </c>
      <c r="IM21" s="9">
        <v>0</v>
      </c>
      <c r="IN21" s="9">
        <v>0</v>
      </c>
      <c r="IO21" s="9">
        <v>0</v>
      </c>
      <c r="IP21" s="9">
        <v>0</v>
      </c>
      <c r="IQ21" s="9">
        <v>0</v>
      </c>
      <c r="IR21" s="9">
        <v>1</v>
      </c>
      <c r="IS21" s="9">
        <v>7891</v>
      </c>
      <c r="IT21" s="9">
        <v>7891</v>
      </c>
      <c r="IU21" s="9">
        <v>670.7</v>
      </c>
      <c r="IV21" s="9">
        <v>0</v>
      </c>
      <c r="IW21" s="9">
        <v>0</v>
      </c>
      <c r="IX21" s="9">
        <v>0</v>
      </c>
      <c r="IY21" s="9">
        <v>0</v>
      </c>
      <c r="IZ21" s="9">
        <v>0</v>
      </c>
      <c r="JA21" s="9">
        <v>0</v>
      </c>
      <c r="JB21" s="9">
        <v>0</v>
      </c>
      <c r="JC21" s="9">
        <v>0</v>
      </c>
      <c r="JD21" s="22">
        <v>1</v>
      </c>
      <c r="JE21" s="22"/>
      <c r="JF21" s="22">
        <v>7891</v>
      </c>
      <c r="JG21" s="22">
        <v>670.7</v>
      </c>
      <c r="JH21" s="9">
        <v>1</v>
      </c>
      <c r="JI21" s="9">
        <v>7891</v>
      </c>
      <c r="JJ21" s="9">
        <v>7891</v>
      </c>
      <c r="JK21" s="9">
        <v>670.7</v>
      </c>
      <c r="JL21" s="9">
        <v>0</v>
      </c>
      <c r="JM21" s="9">
        <v>0</v>
      </c>
      <c r="JN21" s="9">
        <v>0</v>
      </c>
      <c r="JO21" s="9">
        <v>0</v>
      </c>
      <c r="JP21" s="9">
        <v>1</v>
      </c>
      <c r="JQ21" s="9">
        <v>7891</v>
      </c>
      <c r="JR21" s="9">
        <v>7891</v>
      </c>
      <c r="JS21" s="9">
        <v>670.7</v>
      </c>
      <c r="JT21" s="9">
        <v>1</v>
      </c>
      <c r="JU21" s="9">
        <v>7891</v>
      </c>
      <c r="JV21" s="9">
        <v>7891</v>
      </c>
      <c r="JW21" s="9">
        <v>670.7</v>
      </c>
      <c r="JX21" s="22">
        <v>3</v>
      </c>
      <c r="JY21" s="22"/>
      <c r="JZ21" s="22">
        <v>23673</v>
      </c>
      <c r="KA21" s="22">
        <v>2012.2</v>
      </c>
      <c r="KB21" s="9">
        <v>0</v>
      </c>
      <c r="KC21" s="9">
        <v>0</v>
      </c>
      <c r="KD21" s="9">
        <v>0</v>
      </c>
      <c r="KE21" s="9">
        <v>0</v>
      </c>
      <c r="KF21" s="9">
        <v>0</v>
      </c>
      <c r="KG21" s="9">
        <v>0</v>
      </c>
      <c r="KH21" s="9">
        <v>0</v>
      </c>
      <c r="KI21" s="9">
        <v>0</v>
      </c>
      <c r="KJ21" s="9">
        <v>0</v>
      </c>
      <c r="KK21" s="9">
        <v>0</v>
      </c>
      <c r="KL21" s="9">
        <v>0</v>
      </c>
      <c r="KM21" s="9">
        <v>0</v>
      </c>
      <c r="KN21" s="9">
        <v>1</v>
      </c>
      <c r="KO21" s="9">
        <v>7891</v>
      </c>
      <c r="KP21" s="9">
        <v>7891</v>
      </c>
      <c r="KQ21" s="9">
        <v>670.7</v>
      </c>
      <c r="KR21" s="22">
        <v>1</v>
      </c>
      <c r="KS21" s="22"/>
      <c r="KT21" s="22">
        <v>7891</v>
      </c>
      <c r="KU21" s="22">
        <v>670.7</v>
      </c>
      <c r="KV21" s="22">
        <v>23</v>
      </c>
      <c r="KW21" s="22"/>
      <c r="KX21" s="22">
        <v>187764</v>
      </c>
      <c r="KY21" s="22">
        <v>15959.9</v>
      </c>
    </row>
    <row r="22" spans="1:311" ht="16.95" customHeight="1" x14ac:dyDescent="0.4">
      <c r="A22" s="15"/>
      <c r="B22" s="15"/>
      <c r="C22" s="15" t="s">
        <v>91</v>
      </c>
      <c r="D22" s="16">
        <v>0</v>
      </c>
      <c r="E22" s="16">
        <v>0</v>
      </c>
      <c r="F22" s="16">
        <v>0</v>
      </c>
      <c r="G22" s="16">
        <v>0</v>
      </c>
      <c r="H22" s="23">
        <v>0</v>
      </c>
      <c r="I22" s="23"/>
      <c r="J22" s="23">
        <v>0</v>
      </c>
      <c r="K22" s="23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2</v>
      </c>
      <c r="U22" s="16">
        <v>4046</v>
      </c>
      <c r="V22" s="16">
        <v>8092</v>
      </c>
      <c r="W22" s="16">
        <v>687.8</v>
      </c>
      <c r="X22" s="16">
        <v>0</v>
      </c>
      <c r="Y22" s="16">
        <v>0</v>
      </c>
      <c r="Z22" s="16">
        <v>0</v>
      </c>
      <c r="AA22" s="16">
        <v>0</v>
      </c>
      <c r="AB22" s="23">
        <v>2</v>
      </c>
      <c r="AC22" s="23"/>
      <c r="AD22" s="23">
        <v>8092</v>
      </c>
      <c r="AE22" s="23">
        <v>687.8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23">
        <v>0</v>
      </c>
      <c r="AW22" s="23"/>
      <c r="AX22" s="23">
        <v>0</v>
      </c>
      <c r="AY22" s="23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23">
        <v>0</v>
      </c>
      <c r="BU22" s="23"/>
      <c r="BV22" s="23">
        <v>0</v>
      </c>
      <c r="BW22" s="23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23">
        <v>0</v>
      </c>
      <c r="CO22" s="23"/>
      <c r="CP22" s="23">
        <v>0</v>
      </c>
      <c r="CQ22" s="23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23">
        <v>0</v>
      </c>
      <c r="DI22" s="23"/>
      <c r="DJ22" s="23">
        <v>0</v>
      </c>
      <c r="DK22" s="23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23">
        <v>0</v>
      </c>
      <c r="EG22" s="23"/>
      <c r="EH22" s="23">
        <v>0</v>
      </c>
      <c r="EI22" s="23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23">
        <v>0</v>
      </c>
      <c r="FA22" s="23"/>
      <c r="FB22" s="23">
        <v>0</v>
      </c>
      <c r="FC22" s="23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23">
        <v>0</v>
      </c>
      <c r="FU22" s="23"/>
      <c r="FV22" s="23">
        <v>0</v>
      </c>
      <c r="FW22" s="23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23">
        <v>0</v>
      </c>
      <c r="GS22" s="23"/>
      <c r="GT22" s="23">
        <v>0</v>
      </c>
      <c r="GU22" s="23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23">
        <v>0</v>
      </c>
      <c r="HM22" s="23"/>
      <c r="HN22" s="23">
        <v>0</v>
      </c>
      <c r="HO22" s="23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  <c r="IB22" s="16">
        <v>0</v>
      </c>
      <c r="IC22" s="16">
        <v>0</v>
      </c>
      <c r="ID22" s="16">
        <v>0</v>
      </c>
      <c r="IE22" s="16">
        <v>0</v>
      </c>
      <c r="IF22" s="23">
        <v>0</v>
      </c>
      <c r="IG22" s="23"/>
      <c r="IH22" s="23">
        <v>0</v>
      </c>
      <c r="II22" s="23">
        <v>0</v>
      </c>
      <c r="IJ22" s="16">
        <v>0</v>
      </c>
      <c r="IK22" s="16">
        <v>0</v>
      </c>
      <c r="IL22" s="16">
        <v>0</v>
      </c>
      <c r="IM22" s="16">
        <v>0</v>
      </c>
      <c r="IN22" s="16">
        <v>0</v>
      </c>
      <c r="IO22" s="16">
        <v>0</v>
      </c>
      <c r="IP22" s="16">
        <v>0</v>
      </c>
      <c r="IQ22" s="16">
        <v>0</v>
      </c>
      <c r="IR22" s="16">
        <v>0</v>
      </c>
      <c r="IS22" s="16">
        <v>0</v>
      </c>
      <c r="IT22" s="16">
        <v>0</v>
      </c>
      <c r="IU22" s="16">
        <v>0</v>
      </c>
      <c r="IV22" s="16">
        <v>0</v>
      </c>
      <c r="IW22" s="16">
        <v>0</v>
      </c>
      <c r="IX22" s="16">
        <v>0</v>
      </c>
      <c r="IY22" s="16">
        <v>0</v>
      </c>
      <c r="IZ22" s="16">
        <v>0</v>
      </c>
      <c r="JA22" s="16">
        <v>0</v>
      </c>
      <c r="JB22" s="16">
        <v>0</v>
      </c>
      <c r="JC22" s="16">
        <v>0</v>
      </c>
      <c r="JD22" s="23">
        <v>0</v>
      </c>
      <c r="JE22" s="23"/>
      <c r="JF22" s="23">
        <v>0</v>
      </c>
      <c r="JG22" s="23">
        <v>0</v>
      </c>
      <c r="JH22" s="16">
        <v>0</v>
      </c>
      <c r="JI22" s="16">
        <v>0</v>
      </c>
      <c r="JJ22" s="16">
        <v>0</v>
      </c>
      <c r="JK22" s="16">
        <v>0</v>
      </c>
      <c r="JL22" s="16">
        <v>0</v>
      </c>
      <c r="JM22" s="16">
        <v>0</v>
      </c>
      <c r="JN22" s="16">
        <v>0</v>
      </c>
      <c r="JO22" s="16">
        <v>0</v>
      </c>
      <c r="JP22" s="16">
        <v>0</v>
      </c>
      <c r="JQ22" s="16">
        <v>0</v>
      </c>
      <c r="JR22" s="16">
        <v>0</v>
      </c>
      <c r="JS22" s="16">
        <v>0</v>
      </c>
      <c r="JT22" s="16">
        <v>0</v>
      </c>
      <c r="JU22" s="16">
        <v>0</v>
      </c>
      <c r="JV22" s="16">
        <v>0</v>
      </c>
      <c r="JW22" s="16">
        <v>0</v>
      </c>
      <c r="JX22" s="23">
        <v>0</v>
      </c>
      <c r="JY22" s="23"/>
      <c r="JZ22" s="23">
        <v>0</v>
      </c>
      <c r="KA22" s="23">
        <v>0</v>
      </c>
      <c r="KB22" s="16">
        <v>0</v>
      </c>
      <c r="KC22" s="16">
        <v>0</v>
      </c>
      <c r="KD22" s="16">
        <v>0</v>
      </c>
      <c r="KE22" s="16">
        <v>0</v>
      </c>
      <c r="KF22" s="16">
        <v>0</v>
      </c>
      <c r="KG22" s="16">
        <v>0</v>
      </c>
      <c r="KH22" s="16">
        <v>0</v>
      </c>
      <c r="KI22" s="16">
        <v>0</v>
      </c>
      <c r="KJ22" s="16">
        <v>0</v>
      </c>
      <c r="KK22" s="16">
        <v>0</v>
      </c>
      <c r="KL22" s="16">
        <v>0</v>
      </c>
      <c r="KM22" s="16">
        <v>0</v>
      </c>
      <c r="KN22" s="16">
        <v>0</v>
      </c>
      <c r="KO22" s="16">
        <v>0</v>
      </c>
      <c r="KP22" s="16">
        <v>0</v>
      </c>
      <c r="KQ22" s="16">
        <v>0</v>
      </c>
      <c r="KR22" s="23">
        <v>0</v>
      </c>
      <c r="KS22" s="23"/>
      <c r="KT22" s="23">
        <v>0</v>
      </c>
      <c r="KU22" s="23">
        <v>0</v>
      </c>
      <c r="KV22" s="23">
        <v>2</v>
      </c>
      <c r="KW22" s="23"/>
      <c r="KX22" s="23">
        <v>8092</v>
      </c>
      <c r="KY22" s="23">
        <v>687.8</v>
      </c>
    </row>
    <row r="23" spans="1:311" ht="16.95" customHeight="1" x14ac:dyDescent="0.4">
      <c r="A23" s="11"/>
      <c r="B23" s="11"/>
      <c r="C23" s="11" t="s">
        <v>68</v>
      </c>
      <c r="D23" s="9">
        <v>0</v>
      </c>
      <c r="E23" s="9">
        <v>0</v>
      </c>
      <c r="F23" s="9">
        <v>0</v>
      </c>
      <c r="G23" s="9">
        <v>0</v>
      </c>
      <c r="H23" s="22">
        <v>0</v>
      </c>
      <c r="I23" s="22"/>
      <c r="J23" s="22">
        <v>0</v>
      </c>
      <c r="K23" s="22">
        <v>0</v>
      </c>
      <c r="L23" s="9">
        <v>2</v>
      </c>
      <c r="M23" s="9">
        <v>5145</v>
      </c>
      <c r="N23" s="9">
        <v>10289</v>
      </c>
      <c r="O23" s="9">
        <v>874.6</v>
      </c>
      <c r="P23" s="9">
        <v>2</v>
      </c>
      <c r="Q23" s="9">
        <v>5145</v>
      </c>
      <c r="R23" s="9">
        <v>10289</v>
      </c>
      <c r="S23" s="9">
        <v>874.6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22">
        <v>4</v>
      </c>
      <c r="AC23" s="22"/>
      <c r="AD23" s="22">
        <v>20578</v>
      </c>
      <c r="AE23" s="22">
        <v>1749.1</v>
      </c>
      <c r="AF23" s="9">
        <v>3</v>
      </c>
      <c r="AG23" s="9">
        <v>5145</v>
      </c>
      <c r="AH23" s="9">
        <v>15434</v>
      </c>
      <c r="AI23" s="9">
        <v>1311.9</v>
      </c>
      <c r="AJ23" s="9">
        <v>2</v>
      </c>
      <c r="AK23" s="9">
        <v>5145</v>
      </c>
      <c r="AL23" s="9">
        <v>10289</v>
      </c>
      <c r="AM23" s="9">
        <v>874.6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22">
        <v>5</v>
      </c>
      <c r="AW23" s="22"/>
      <c r="AX23" s="22">
        <v>25723</v>
      </c>
      <c r="AY23" s="22">
        <v>2186.5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22">
        <v>0</v>
      </c>
      <c r="BU23" s="22"/>
      <c r="BV23" s="22">
        <v>0</v>
      </c>
      <c r="BW23" s="22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22">
        <v>0</v>
      </c>
      <c r="CO23" s="22"/>
      <c r="CP23" s="22">
        <v>0</v>
      </c>
      <c r="CQ23" s="22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9">
        <v>0</v>
      </c>
      <c r="DE23" s="9">
        <v>0</v>
      </c>
      <c r="DF23" s="9">
        <v>0</v>
      </c>
      <c r="DG23" s="9">
        <v>0</v>
      </c>
      <c r="DH23" s="22">
        <v>0</v>
      </c>
      <c r="DI23" s="22"/>
      <c r="DJ23" s="22">
        <v>0</v>
      </c>
      <c r="DK23" s="22">
        <v>0</v>
      </c>
      <c r="DL23" s="9">
        <v>0</v>
      </c>
      <c r="DM23" s="9">
        <v>0</v>
      </c>
      <c r="DN23" s="9">
        <v>0</v>
      </c>
      <c r="DO23" s="9">
        <v>0</v>
      </c>
      <c r="DP23" s="9">
        <v>0</v>
      </c>
      <c r="DQ23" s="9">
        <v>0</v>
      </c>
      <c r="DR23" s="9">
        <v>0</v>
      </c>
      <c r="DS23" s="9">
        <v>0</v>
      </c>
      <c r="DT23" s="9">
        <v>0</v>
      </c>
      <c r="DU23" s="9">
        <v>0</v>
      </c>
      <c r="DV23" s="9">
        <v>0</v>
      </c>
      <c r="DW23" s="9">
        <v>0</v>
      </c>
      <c r="DX23" s="9">
        <v>0</v>
      </c>
      <c r="DY23" s="9">
        <v>0</v>
      </c>
      <c r="DZ23" s="9">
        <v>0</v>
      </c>
      <c r="EA23" s="9">
        <v>0</v>
      </c>
      <c r="EB23" s="9">
        <v>0</v>
      </c>
      <c r="EC23" s="9">
        <v>0</v>
      </c>
      <c r="ED23" s="9">
        <v>0</v>
      </c>
      <c r="EE23" s="9">
        <v>0</v>
      </c>
      <c r="EF23" s="22">
        <v>0</v>
      </c>
      <c r="EG23" s="22"/>
      <c r="EH23" s="22">
        <v>0</v>
      </c>
      <c r="EI23" s="22">
        <v>0</v>
      </c>
      <c r="EJ23" s="9">
        <v>0</v>
      </c>
      <c r="EK23" s="9">
        <v>0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22">
        <v>0</v>
      </c>
      <c r="FA23" s="22"/>
      <c r="FB23" s="22">
        <v>0</v>
      </c>
      <c r="FC23" s="22">
        <v>0</v>
      </c>
      <c r="FD23" s="9">
        <v>0</v>
      </c>
      <c r="FE23" s="9">
        <v>0</v>
      </c>
      <c r="FF23" s="9">
        <v>0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9">
        <v>0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9">
        <v>0</v>
      </c>
      <c r="FS23" s="9">
        <v>0</v>
      </c>
      <c r="FT23" s="22">
        <v>0</v>
      </c>
      <c r="FU23" s="22"/>
      <c r="FV23" s="22">
        <v>0</v>
      </c>
      <c r="FW23" s="22">
        <v>0</v>
      </c>
      <c r="FX23" s="9">
        <v>0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9">
        <v>0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  <c r="GJ23" s="9">
        <v>0</v>
      </c>
      <c r="GK23" s="9">
        <v>0</v>
      </c>
      <c r="GL23" s="9">
        <v>0</v>
      </c>
      <c r="GM23" s="9">
        <v>0</v>
      </c>
      <c r="GN23" s="9">
        <v>0</v>
      </c>
      <c r="GO23" s="9">
        <v>0</v>
      </c>
      <c r="GP23" s="9">
        <v>0</v>
      </c>
      <c r="GQ23" s="9">
        <v>0</v>
      </c>
      <c r="GR23" s="22">
        <v>0</v>
      </c>
      <c r="GS23" s="22"/>
      <c r="GT23" s="22">
        <v>0</v>
      </c>
      <c r="GU23" s="22">
        <v>0</v>
      </c>
      <c r="GV23" s="9">
        <v>0</v>
      </c>
      <c r="GW23" s="9">
        <v>0</v>
      </c>
      <c r="GX23" s="9">
        <v>0</v>
      </c>
      <c r="GY23" s="9">
        <v>0</v>
      </c>
      <c r="GZ23" s="9">
        <v>0</v>
      </c>
      <c r="HA23" s="9">
        <v>0</v>
      </c>
      <c r="HB23" s="9">
        <v>0</v>
      </c>
      <c r="HC23" s="9">
        <v>0</v>
      </c>
      <c r="HD23" s="9">
        <v>0</v>
      </c>
      <c r="HE23" s="9">
        <v>0</v>
      </c>
      <c r="HF23" s="9">
        <v>0</v>
      </c>
      <c r="HG23" s="9">
        <v>0</v>
      </c>
      <c r="HH23" s="9">
        <v>0</v>
      </c>
      <c r="HI23" s="9">
        <v>0</v>
      </c>
      <c r="HJ23" s="9">
        <v>0</v>
      </c>
      <c r="HK23" s="9">
        <v>0</v>
      </c>
      <c r="HL23" s="22">
        <v>0</v>
      </c>
      <c r="HM23" s="22"/>
      <c r="HN23" s="22">
        <v>0</v>
      </c>
      <c r="HO23" s="22">
        <v>0</v>
      </c>
      <c r="HP23" s="9">
        <v>0</v>
      </c>
      <c r="HQ23" s="9">
        <v>0</v>
      </c>
      <c r="HR23" s="9">
        <v>0</v>
      </c>
      <c r="HS23" s="9">
        <v>0</v>
      </c>
      <c r="HT23" s="9">
        <v>0</v>
      </c>
      <c r="HU23" s="9">
        <v>0</v>
      </c>
      <c r="HV23" s="9">
        <v>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9">
        <v>0</v>
      </c>
      <c r="IC23" s="9">
        <v>0</v>
      </c>
      <c r="ID23" s="9">
        <v>0</v>
      </c>
      <c r="IE23" s="9">
        <v>0</v>
      </c>
      <c r="IF23" s="22">
        <v>0</v>
      </c>
      <c r="IG23" s="22"/>
      <c r="IH23" s="22">
        <v>0</v>
      </c>
      <c r="II23" s="22">
        <v>0</v>
      </c>
      <c r="IJ23" s="9">
        <v>0</v>
      </c>
      <c r="IK23" s="9">
        <v>0</v>
      </c>
      <c r="IL23" s="9">
        <v>0</v>
      </c>
      <c r="IM23" s="9">
        <v>0</v>
      </c>
      <c r="IN23" s="9">
        <v>0</v>
      </c>
      <c r="IO23" s="9">
        <v>0</v>
      </c>
      <c r="IP23" s="9">
        <v>0</v>
      </c>
      <c r="IQ23" s="9">
        <v>0</v>
      </c>
      <c r="IR23" s="9">
        <v>0</v>
      </c>
      <c r="IS23" s="9">
        <v>0</v>
      </c>
      <c r="IT23" s="9">
        <v>0</v>
      </c>
      <c r="IU23" s="9">
        <v>0</v>
      </c>
      <c r="IV23" s="9">
        <v>0</v>
      </c>
      <c r="IW23" s="9">
        <v>0</v>
      </c>
      <c r="IX23" s="9">
        <v>0</v>
      </c>
      <c r="IY23" s="9">
        <v>0</v>
      </c>
      <c r="IZ23" s="9">
        <v>0</v>
      </c>
      <c r="JA23" s="9">
        <v>0</v>
      </c>
      <c r="JB23" s="9">
        <v>0</v>
      </c>
      <c r="JC23" s="9">
        <v>0</v>
      </c>
      <c r="JD23" s="22">
        <v>0</v>
      </c>
      <c r="JE23" s="22"/>
      <c r="JF23" s="22">
        <v>0</v>
      </c>
      <c r="JG23" s="22">
        <v>0</v>
      </c>
      <c r="JH23" s="9">
        <v>0</v>
      </c>
      <c r="JI23" s="9">
        <v>0</v>
      </c>
      <c r="JJ23" s="9">
        <v>0</v>
      </c>
      <c r="JK23" s="9">
        <v>0</v>
      </c>
      <c r="JL23" s="9">
        <v>0</v>
      </c>
      <c r="JM23" s="9">
        <v>0</v>
      </c>
      <c r="JN23" s="9">
        <v>0</v>
      </c>
      <c r="JO23" s="9">
        <v>0</v>
      </c>
      <c r="JP23" s="9">
        <v>0</v>
      </c>
      <c r="JQ23" s="9">
        <v>0</v>
      </c>
      <c r="JR23" s="9">
        <v>0</v>
      </c>
      <c r="JS23" s="9">
        <v>0</v>
      </c>
      <c r="JT23" s="9">
        <v>0</v>
      </c>
      <c r="JU23" s="9">
        <v>0</v>
      </c>
      <c r="JV23" s="9">
        <v>0</v>
      </c>
      <c r="JW23" s="9">
        <v>0</v>
      </c>
      <c r="JX23" s="22">
        <v>0</v>
      </c>
      <c r="JY23" s="22"/>
      <c r="JZ23" s="22">
        <v>0</v>
      </c>
      <c r="KA23" s="22">
        <v>0</v>
      </c>
      <c r="KB23" s="9">
        <v>0</v>
      </c>
      <c r="KC23" s="9">
        <v>0</v>
      </c>
      <c r="KD23" s="9">
        <v>0</v>
      </c>
      <c r="KE23" s="9">
        <v>0</v>
      </c>
      <c r="KF23" s="9">
        <v>0</v>
      </c>
      <c r="KG23" s="9">
        <v>0</v>
      </c>
      <c r="KH23" s="9">
        <v>0</v>
      </c>
      <c r="KI23" s="9">
        <v>0</v>
      </c>
      <c r="KJ23" s="9">
        <v>0</v>
      </c>
      <c r="KK23" s="9">
        <v>0</v>
      </c>
      <c r="KL23" s="9">
        <v>0</v>
      </c>
      <c r="KM23" s="9">
        <v>0</v>
      </c>
      <c r="KN23" s="9">
        <v>0</v>
      </c>
      <c r="KO23" s="9">
        <v>0</v>
      </c>
      <c r="KP23" s="9">
        <v>0</v>
      </c>
      <c r="KQ23" s="9">
        <v>0</v>
      </c>
      <c r="KR23" s="22">
        <v>0</v>
      </c>
      <c r="KS23" s="22"/>
      <c r="KT23" s="22">
        <v>0</v>
      </c>
      <c r="KU23" s="22">
        <v>0</v>
      </c>
      <c r="KV23" s="22">
        <v>9</v>
      </c>
      <c r="KW23" s="22"/>
      <c r="KX23" s="22">
        <v>46301</v>
      </c>
      <c r="KY23" s="22">
        <v>3935.6</v>
      </c>
    </row>
    <row r="24" spans="1:311" ht="16.95" customHeight="1" x14ac:dyDescent="0.4">
      <c r="A24" s="15"/>
      <c r="B24" s="15"/>
      <c r="C24" s="15" t="s">
        <v>37</v>
      </c>
      <c r="D24" s="16">
        <v>20</v>
      </c>
      <c r="E24" s="16">
        <v>425</v>
      </c>
      <c r="F24" s="16">
        <v>8492</v>
      </c>
      <c r="G24" s="16">
        <v>721.8</v>
      </c>
      <c r="H24" s="23">
        <v>20</v>
      </c>
      <c r="I24" s="23"/>
      <c r="J24" s="23">
        <v>8492</v>
      </c>
      <c r="K24" s="23">
        <v>721.8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20</v>
      </c>
      <c r="U24" s="16">
        <v>425</v>
      </c>
      <c r="V24" s="16">
        <v>8492</v>
      </c>
      <c r="W24" s="16">
        <v>721.8</v>
      </c>
      <c r="X24" s="16">
        <v>0</v>
      </c>
      <c r="Y24" s="16">
        <v>0</v>
      </c>
      <c r="Z24" s="16">
        <v>0</v>
      </c>
      <c r="AA24" s="16">
        <v>0</v>
      </c>
      <c r="AB24" s="23">
        <v>20</v>
      </c>
      <c r="AC24" s="23"/>
      <c r="AD24" s="23">
        <v>8492</v>
      </c>
      <c r="AE24" s="23">
        <v>721.8</v>
      </c>
      <c r="AF24" s="16">
        <v>0</v>
      </c>
      <c r="AG24" s="16">
        <v>0</v>
      </c>
      <c r="AH24" s="16">
        <v>0</v>
      </c>
      <c r="AI24" s="16">
        <v>0</v>
      </c>
      <c r="AJ24" s="16">
        <v>20</v>
      </c>
      <c r="AK24" s="16">
        <v>425</v>
      </c>
      <c r="AL24" s="16">
        <v>8492</v>
      </c>
      <c r="AM24" s="16">
        <v>721.8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23">
        <v>20</v>
      </c>
      <c r="AW24" s="23"/>
      <c r="AX24" s="23">
        <v>8492</v>
      </c>
      <c r="AY24" s="23">
        <v>721.8</v>
      </c>
      <c r="AZ24" s="16">
        <v>20</v>
      </c>
      <c r="BA24" s="16">
        <v>425</v>
      </c>
      <c r="BB24" s="16">
        <v>8492</v>
      </c>
      <c r="BC24" s="16">
        <v>721.8</v>
      </c>
      <c r="BD24" s="16">
        <v>0</v>
      </c>
      <c r="BE24" s="16">
        <v>0</v>
      </c>
      <c r="BF24" s="16">
        <v>0</v>
      </c>
      <c r="BG24" s="16">
        <v>0</v>
      </c>
      <c r="BH24" s="16">
        <v>20</v>
      </c>
      <c r="BI24" s="16">
        <v>425</v>
      </c>
      <c r="BJ24" s="16">
        <v>8492</v>
      </c>
      <c r="BK24" s="16">
        <v>721.8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23">
        <v>40</v>
      </c>
      <c r="BU24" s="23"/>
      <c r="BV24" s="23">
        <v>16984</v>
      </c>
      <c r="BW24" s="23">
        <v>1443.6</v>
      </c>
      <c r="BX24" s="16">
        <v>20</v>
      </c>
      <c r="BY24" s="16">
        <v>435</v>
      </c>
      <c r="BZ24" s="16">
        <v>8690</v>
      </c>
      <c r="CA24" s="16">
        <v>738.7</v>
      </c>
      <c r="CB24" s="16">
        <v>0</v>
      </c>
      <c r="CC24" s="16">
        <v>0</v>
      </c>
      <c r="CD24" s="16">
        <v>0</v>
      </c>
      <c r="CE24" s="16">
        <v>0</v>
      </c>
      <c r="CF24" s="16">
        <v>20</v>
      </c>
      <c r="CG24" s="16">
        <v>435</v>
      </c>
      <c r="CH24" s="16">
        <v>8690</v>
      </c>
      <c r="CI24" s="16">
        <v>738.7</v>
      </c>
      <c r="CJ24" s="16">
        <v>0</v>
      </c>
      <c r="CK24" s="16">
        <v>0</v>
      </c>
      <c r="CL24" s="16">
        <v>0</v>
      </c>
      <c r="CM24" s="16">
        <v>0</v>
      </c>
      <c r="CN24" s="23">
        <v>40</v>
      </c>
      <c r="CO24" s="23"/>
      <c r="CP24" s="23">
        <v>17380</v>
      </c>
      <c r="CQ24" s="23">
        <v>1477.3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20</v>
      </c>
      <c r="DA24" s="16">
        <v>435</v>
      </c>
      <c r="DB24" s="16">
        <v>8690</v>
      </c>
      <c r="DC24" s="16">
        <v>738.7</v>
      </c>
      <c r="DD24" s="16">
        <v>20</v>
      </c>
      <c r="DE24" s="16">
        <v>435</v>
      </c>
      <c r="DF24" s="16">
        <v>8690</v>
      </c>
      <c r="DG24" s="16">
        <v>738.7</v>
      </c>
      <c r="DH24" s="23">
        <v>40</v>
      </c>
      <c r="DI24" s="23"/>
      <c r="DJ24" s="23">
        <v>17380</v>
      </c>
      <c r="DK24" s="23">
        <v>1477.3</v>
      </c>
      <c r="DL24" s="16">
        <v>0</v>
      </c>
      <c r="DM24" s="16">
        <v>0</v>
      </c>
      <c r="DN24" s="16">
        <v>0</v>
      </c>
      <c r="DO24" s="16">
        <v>0</v>
      </c>
      <c r="DP24" s="16">
        <v>20</v>
      </c>
      <c r="DQ24" s="16">
        <v>435</v>
      </c>
      <c r="DR24" s="16">
        <v>8690</v>
      </c>
      <c r="DS24" s="16">
        <v>738.7</v>
      </c>
      <c r="DT24" s="16">
        <v>0</v>
      </c>
      <c r="DU24" s="16">
        <v>0</v>
      </c>
      <c r="DV24" s="16">
        <v>0</v>
      </c>
      <c r="DW24" s="16">
        <v>0</v>
      </c>
      <c r="DX24" s="16">
        <v>20</v>
      </c>
      <c r="DY24" s="16">
        <v>435</v>
      </c>
      <c r="DZ24" s="16">
        <v>8690</v>
      </c>
      <c r="EA24" s="16">
        <v>738.7</v>
      </c>
      <c r="EB24" s="16">
        <v>0</v>
      </c>
      <c r="EC24" s="16">
        <v>0</v>
      </c>
      <c r="ED24" s="16">
        <v>0</v>
      </c>
      <c r="EE24" s="16">
        <v>0</v>
      </c>
      <c r="EF24" s="23">
        <v>40</v>
      </c>
      <c r="EG24" s="23"/>
      <c r="EH24" s="23">
        <v>17380</v>
      </c>
      <c r="EI24" s="23">
        <v>1477.3</v>
      </c>
      <c r="EJ24" s="16">
        <v>20</v>
      </c>
      <c r="EK24" s="16">
        <v>435</v>
      </c>
      <c r="EL24" s="16">
        <v>8690</v>
      </c>
      <c r="EM24" s="16">
        <v>738.7</v>
      </c>
      <c r="EN24" s="16">
        <v>20</v>
      </c>
      <c r="EO24" s="16">
        <v>435</v>
      </c>
      <c r="EP24" s="16">
        <v>8690</v>
      </c>
      <c r="EQ24" s="16">
        <v>738.7</v>
      </c>
      <c r="ER24" s="16">
        <v>0</v>
      </c>
      <c r="ES24" s="16">
        <v>0</v>
      </c>
      <c r="ET24" s="16">
        <v>0</v>
      </c>
      <c r="EU24" s="16">
        <v>0</v>
      </c>
      <c r="EV24" s="16">
        <v>20</v>
      </c>
      <c r="EW24" s="16">
        <v>435</v>
      </c>
      <c r="EX24" s="16">
        <v>8690</v>
      </c>
      <c r="EY24" s="16">
        <v>738.7</v>
      </c>
      <c r="EZ24" s="23">
        <v>60</v>
      </c>
      <c r="FA24" s="23"/>
      <c r="FB24" s="23">
        <v>26070</v>
      </c>
      <c r="FC24" s="23">
        <v>2216</v>
      </c>
      <c r="FD24" s="16">
        <v>0</v>
      </c>
      <c r="FE24" s="16">
        <v>0</v>
      </c>
      <c r="FF24" s="16">
        <v>0</v>
      </c>
      <c r="FG24" s="16">
        <v>0</v>
      </c>
      <c r="FH24" s="16">
        <v>20</v>
      </c>
      <c r="FI24" s="16">
        <v>435</v>
      </c>
      <c r="FJ24" s="16">
        <v>8690</v>
      </c>
      <c r="FK24" s="16">
        <v>738.7</v>
      </c>
      <c r="FL24" s="16">
        <v>0</v>
      </c>
      <c r="FM24" s="16">
        <v>0</v>
      </c>
      <c r="FN24" s="16">
        <v>0</v>
      </c>
      <c r="FO24" s="16">
        <v>0</v>
      </c>
      <c r="FP24" s="16">
        <v>20</v>
      </c>
      <c r="FQ24" s="16">
        <v>435</v>
      </c>
      <c r="FR24" s="16">
        <v>8690</v>
      </c>
      <c r="FS24" s="16">
        <v>738.7</v>
      </c>
      <c r="FT24" s="23">
        <v>40</v>
      </c>
      <c r="FU24" s="23"/>
      <c r="FV24" s="23">
        <v>17380</v>
      </c>
      <c r="FW24" s="23">
        <v>1477.3</v>
      </c>
      <c r="FX24" s="16">
        <v>0</v>
      </c>
      <c r="FY24" s="16">
        <v>0</v>
      </c>
      <c r="FZ24" s="16">
        <v>0</v>
      </c>
      <c r="GA24" s="16">
        <v>0</v>
      </c>
      <c r="GB24" s="16">
        <v>20</v>
      </c>
      <c r="GC24" s="16">
        <v>435</v>
      </c>
      <c r="GD24" s="16">
        <v>8690</v>
      </c>
      <c r="GE24" s="16">
        <v>738.7</v>
      </c>
      <c r="GF24" s="16">
        <v>0</v>
      </c>
      <c r="GG24" s="16">
        <v>0</v>
      </c>
      <c r="GH24" s="16">
        <v>0</v>
      </c>
      <c r="GI24" s="16">
        <v>0</v>
      </c>
      <c r="GJ24" s="16">
        <v>20</v>
      </c>
      <c r="GK24" s="16">
        <v>435</v>
      </c>
      <c r="GL24" s="16">
        <v>8690</v>
      </c>
      <c r="GM24" s="16">
        <v>738.7</v>
      </c>
      <c r="GN24" s="16">
        <v>0</v>
      </c>
      <c r="GO24" s="16">
        <v>0</v>
      </c>
      <c r="GP24" s="16">
        <v>0</v>
      </c>
      <c r="GQ24" s="16">
        <v>0</v>
      </c>
      <c r="GR24" s="23">
        <v>40</v>
      </c>
      <c r="GS24" s="23"/>
      <c r="GT24" s="23">
        <v>17380</v>
      </c>
      <c r="GU24" s="23">
        <v>1477.3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20</v>
      </c>
      <c r="HI24" s="16">
        <v>435</v>
      </c>
      <c r="HJ24" s="16">
        <v>8690</v>
      </c>
      <c r="HK24" s="16">
        <v>738.7</v>
      </c>
      <c r="HL24" s="23">
        <v>20</v>
      </c>
      <c r="HM24" s="23"/>
      <c r="HN24" s="23">
        <v>8690</v>
      </c>
      <c r="HO24" s="23">
        <v>738.7</v>
      </c>
      <c r="HP24" s="16">
        <v>0</v>
      </c>
      <c r="HQ24" s="16">
        <v>0</v>
      </c>
      <c r="HR24" s="16">
        <v>0</v>
      </c>
      <c r="HS24" s="16">
        <v>0</v>
      </c>
      <c r="HT24" s="16">
        <v>20</v>
      </c>
      <c r="HU24" s="16">
        <v>435</v>
      </c>
      <c r="HV24" s="16">
        <v>8690</v>
      </c>
      <c r="HW24" s="16">
        <v>738.7</v>
      </c>
      <c r="HX24" s="16">
        <v>0</v>
      </c>
      <c r="HY24" s="16">
        <v>0</v>
      </c>
      <c r="HZ24" s="16">
        <v>0</v>
      </c>
      <c r="IA24" s="16">
        <v>0</v>
      </c>
      <c r="IB24" s="16">
        <v>0</v>
      </c>
      <c r="IC24" s="16">
        <v>0</v>
      </c>
      <c r="ID24" s="16">
        <v>0</v>
      </c>
      <c r="IE24" s="16">
        <v>0</v>
      </c>
      <c r="IF24" s="23">
        <v>20</v>
      </c>
      <c r="IG24" s="23"/>
      <c r="IH24" s="23">
        <v>8690</v>
      </c>
      <c r="II24" s="23">
        <v>738.7</v>
      </c>
      <c r="IJ24" s="16">
        <v>0</v>
      </c>
      <c r="IK24" s="16">
        <v>0</v>
      </c>
      <c r="IL24" s="16">
        <v>0</v>
      </c>
      <c r="IM24" s="16">
        <v>0</v>
      </c>
      <c r="IN24" s="16">
        <v>20</v>
      </c>
      <c r="IO24" s="16">
        <v>435</v>
      </c>
      <c r="IP24" s="16">
        <v>8690</v>
      </c>
      <c r="IQ24" s="16">
        <v>738.7</v>
      </c>
      <c r="IR24" s="16">
        <v>0</v>
      </c>
      <c r="IS24" s="16">
        <v>0</v>
      </c>
      <c r="IT24" s="16">
        <v>0</v>
      </c>
      <c r="IU24" s="16">
        <v>0</v>
      </c>
      <c r="IV24" s="16">
        <v>0</v>
      </c>
      <c r="IW24" s="16">
        <v>0</v>
      </c>
      <c r="IX24" s="16">
        <v>0</v>
      </c>
      <c r="IY24" s="16">
        <v>0</v>
      </c>
      <c r="IZ24" s="16">
        <v>20</v>
      </c>
      <c r="JA24" s="16">
        <v>435</v>
      </c>
      <c r="JB24" s="16">
        <v>8690</v>
      </c>
      <c r="JC24" s="16">
        <v>738.7</v>
      </c>
      <c r="JD24" s="23">
        <v>40</v>
      </c>
      <c r="JE24" s="23"/>
      <c r="JF24" s="23">
        <v>17380</v>
      </c>
      <c r="JG24" s="23">
        <v>1477.3</v>
      </c>
      <c r="JH24" s="16">
        <v>0</v>
      </c>
      <c r="JI24" s="16">
        <v>0</v>
      </c>
      <c r="JJ24" s="16">
        <v>0</v>
      </c>
      <c r="JK24" s="16">
        <v>0</v>
      </c>
      <c r="JL24" s="16">
        <v>0</v>
      </c>
      <c r="JM24" s="16">
        <v>0</v>
      </c>
      <c r="JN24" s="16">
        <v>0</v>
      </c>
      <c r="JO24" s="16">
        <v>0</v>
      </c>
      <c r="JP24" s="16">
        <v>20</v>
      </c>
      <c r="JQ24" s="16">
        <v>435</v>
      </c>
      <c r="JR24" s="16">
        <v>8690</v>
      </c>
      <c r="JS24" s="16">
        <v>738.7</v>
      </c>
      <c r="JT24" s="16">
        <v>20</v>
      </c>
      <c r="JU24" s="16">
        <v>435</v>
      </c>
      <c r="JV24" s="16">
        <v>8690</v>
      </c>
      <c r="JW24" s="16">
        <v>738.7</v>
      </c>
      <c r="JX24" s="23">
        <v>40</v>
      </c>
      <c r="JY24" s="23"/>
      <c r="JZ24" s="23">
        <v>17380</v>
      </c>
      <c r="KA24" s="23">
        <v>1477.3</v>
      </c>
      <c r="KB24" s="16">
        <v>0</v>
      </c>
      <c r="KC24" s="16">
        <v>0</v>
      </c>
      <c r="KD24" s="16">
        <v>0</v>
      </c>
      <c r="KE24" s="16">
        <v>0</v>
      </c>
      <c r="KF24" s="16">
        <v>0</v>
      </c>
      <c r="KG24" s="16">
        <v>0</v>
      </c>
      <c r="KH24" s="16">
        <v>0</v>
      </c>
      <c r="KI24" s="16">
        <v>0</v>
      </c>
      <c r="KJ24" s="16">
        <v>0</v>
      </c>
      <c r="KK24" s="16">
        <v>0</v>
      </c>
      <c r="KL24" s="16">
        <v>0</v>
      </c>
      <c r="KM24" s="16">
        <v>0</v>
      </c>
      <c r="KN24" s="16">
        <v>0</v>
      </c>
      <c r="KO24" s="16">
        <v>0</v>
      </c>
      <c r="KP24" s="16">
        <v>0</v>
      </c>
      <c r="KQ24" s="16">
        <v>0</v>
      </c>
      <c r="KR24" s="23">
        <v>0</v>
      </c>
      <c r="KS24" s="23"/>
      <c r="KT24" s="23">
        <v>0</v>
      </c>
      <c r="KU24" s="23">
        <v>0</v>
      </c>
      <c r="KV24" s="23">
        <v>480</v>
      </c>
      <c r="KW24" s="23"/>
      <c r="KX24" s="23">
        <v>207570</v>
      </c>
      <c r="KY24" s="23">
        <v>17643.5</v>
      </c>
    </row>
    <row r="25" spans="1:311" ht="16.95" customHeight="1" x14ac:dyDescent="0.4">
      <c r="A25" s="11"/>
      <c r="B25" s="11"/>
      <c r="C25" s="11" t="s">
        <v>139</v>
      </c>
      <c r="D25" s="9">
        <v>0</v>
      </c>
      <c r="E25" s="9">
        <v>0</v>
      </c>
      <c r="F25" s="9">
        <v>0</v>
      </c>
      <c r="G25" s="9">
        <v>0</v>
      </c>
      <c r="H25" s="22">
        <v>0</v>
      </c>
      <c r="I25" s="22"/>
      <c r="J25" s="22">
        <v>0</v>
      </c>
      <c r="K25" s="22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22">
        <v>0</v>
      </c>
      <c r="AC25" s="22"/>
      <c r="AD25" s="22">
        <v>0</v>
      </c>
      <c r="AE25" s="22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22">
        <v>0</v>
      </c>
      <c r="AW25" s="22"/>
      <c r="AX25" s="22">
        <v>0</v>
      </c>
      <c r="AY25" s="22">
        <v>0</v>
      </c>
      <c r="AZ25" s="9">
        <v>0</v>
      </c>
      <c r="BA25" s="9">
        <v>0</v>
      </c>
      <c r="BB25" s="9">
        <v>0</v>
      </c>
      <c r="BC25" s="9">
        <v>0</v>
      </c>
      <c r="BD25" s="9">
        <v>1</v>
      </c>
      <c r="BE25" s="9">
        <v>7074</v>
      </c>
      <c r="BF25" s="9">
        <v>7074</v>
      </c>
      <c r="BG25" s="9">
        <v>601.29999999999995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22">
        <v>1</v>
      </c>
      <c r="BU25" s="22"/>
      <c r="BV25" s="22">
        <v>7074</v>
      </c>
      <c r="BW25" s="22">
        <v>601.29999999999995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22">
        <v>0</v>
      </c>
      <c r="CO25" s="22"/>
      <c r="CP25" s="22">
        <v>0</v>
      </c>
      <c r="CQ25" s="22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22">
        <v>0</v>
      </c>
      <c r="DI25" s="22"/>
      <c r="DJ25" s="22">
        <v>0</v>
      </c>
      <c r="DK25" s="22">
        <v>0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9">
        <v>0</v>
      </c>
      <c r="DU25" s="9">
        <v>0</v>
      </c>
      <c r="DV25" s="9">
        <v>0</v>
      </c>
      <c r="DW25" s="9">
        <v>0</v>
      </c>
      <c r="DX25" s="9">
        <v>0</v>
      </c>
      <c r="DY25" s="9">
        <v>0</v>
      </c>
      <c r="DZ25" s="9">
        <v>0</v>
      </c>
      <c r="EA25" s="9">
        <v>0</v>
      </c>
      <c r="EB25" s="9">
        <v>0</v>
      </c>
      <c r="EC25" s="9">
        <v>0</v>
      </c>
      <c r="ED25" s="9">
        <v>0</v>
      </c>
      <c r="EE25" s="9">
        <v>0</v>
      </c>
      <c r="EF25" s="22">
        <v>0</v>
      </c>
      <c r="EG25" s="22"/>
      <c r="EH25" s="22">
        <v>0</v>
      </c>
      <c r="EI25" s="22">
        <v>0</v>
      </c>
      <c r="EJ25" s="9">
        <v>0</v>
      </c>
      <c r="EK25" s="9">
        <v>0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22">
        <v>0</v>
      </c>
      <c r="FA25" s="22"/>
      <c r="FB25" s="22">
        <v>0</v>
      </c>
      <c r="FC25" s="22">
        <v>0</v>
      </c>
      <c r="FD25" s="9">
        <v>0</v>
      </c>
      <c r="FE25" s="9">
        <v>0</v>
      </c>
      <c r="FF25" s="9">
        <v>0</v>
      </c>
      <c r="FG25" s="9">
        <v>0</v>
      </c>
      <c r="FH25" s="9">
        <v>0</v>
      </c>
      <c r="FI25" s="9">
        <v>0</v>
      </c>
      <c r="FJ25" s="9">
        <v>0</v>
      </c>
      <c r="FK25" s="9">
        <v>0</v>
      </c>
      <c r="FL25" s="9">
        <v>0</v>
      </c>
      <c r="FM25" s="9">
        <v>0</v>
      </c>
      <c r="FN25" s="9">
        <v>0</v>
      </c>
      <c r="FO25" s="9">
        <v>0</v>
      </c>
      <c r="FP25" s="9">
        <v>0</v>
      </c>
      <c r="FQ25" s="9">
        <v>0</v>
      </c>
      <c r="FR25" s="9">
        <v>0</v>
      </c>
      <c r="FS25" s="9">
        <v>0</v>
      </c>
      <c r="FT25" s="22">
        <v>0</v>
      </c>
      <c r="FU25" s="22"/>
      <c r="FV25" s="22">
        <v>0</v>
      </c>
      <c r="FW25" s="22">
        <v>0</v>
      </c>
      <c r="FX25" s="9">
        <v>0</v>
      </c>
      <c r="FY25" s="9">
        <v>0</v>
      </c>
      <c r="FZ25" s="9">
        <v>0</v>
      </c>
      <c r="GA25" s="9">
        <v>0</v>
      </c>
      <c r="GB25" s="9">
        <v>0</v>
      </c>
      <c r="GC25" s="9">
        <v>0</v>
      </c>
      <c r="GD25" s="9">
        <v>0</v>
      </c>
      <c r="GE25" s="9">
        <v>0</v>
      </c>
      <c r="GF25" s="9">
        <v>0</v>
      </c>
      <c r="GG25" s="9">
        <v>0</v>
      </c>
      <c r="GH25" s="9">
        <v>0</v>
      </c>
      <c r="GI25" s="9">
        <v>0</v>
      </c>
      <c r="GJ25" s="9">
        <v>0</v>
      </c>
      <c r="GK25" s="9">
        <v>0</v>
      </c>
      <c r="GL25" s="9">
        <v>0</v>
      </c>
      <c r="GM25" s="9">
        <v>0</v>
      </c>
      <c r="GN25" s="9">
        <v>0</v>
      </c>
      <c r="GO25" s="9">
        <v>0</v>
      </c>
      <c r="GP25" s="9">
        <v>0</v>
      </c>
      <c r="GQ25" s="9">
        <v>0</v>
      </c>
      <c r="GR25" s="22">
        <v>0</v>
      </c>
      <c r="GS25" s="22"/>
      <c r="GT25" s="22">
        <v>0</v>
      </c>
      <c r="GU25" s="22">
        <v>0</v>
      </c>
      <c r="GV25" s="9">
        <v>0</v>
      </c>
      <c r="GW25" s="9">
        <v>0</v>
      </c>
      <c r="GX25" s="9">
        <v>0</v>
      </c>
      <c r="GY25" s="9">
        <v>0</v>
      </c>
      <c r="GZ25" s="9">
        <v>0</v>
      </c>
      <c r="HA25" s="9">
        <v>0</v>
      </c>
      <c r="HB25" s="9">
        <v>0</v>
      </c>
      <c r="HC25" s="9">
        <v>0</v>
      </c>
      <c r="HD25" s="9">
        <v>0</v>
      </c>
      <c r="HE25" s="9">
        <v>0</v>
      </c>
      <c r="HF25" s="9">
        <v>0</v>
      </c>
      <c r="HG25" s="9">
        <v>0</v>
      </c>
      <c r="HH25" s="9">
        <v>0</v>
      </c>
      <c r="HI25" s="9">
        <v>0</v>
      </c>
      <c r="HJ25" s="9">
        <v>0</v>
      </c>
      <c r="HK25" s="9">
        <v>0</v>
      </c>
      <c r="HL25" s="22">
        <v>0</v>
      </c>
      <c r="HM25" s="22"/>
      <c r="HN25" s="22">
        <v>0</v>
      </c>
      <c r="HO25" s="22">
        <v>0</v>
      </c>
      <c r="HP25" s="9">
        <v>0</v>
      </c>
      <c r="HQ25" s="9">
        <v>0</v>
      </c>
      <c r="HR25" s="9">
        <v>0</v>
      </c>
      <c r="HS25" s="9">
        <v>0</v>
      </c>
      <c r="HT25" s="9">
        <v>0</v>
      </c>
      <c r="HU25" s="9">
        <v>0</v>
      </c>
      <c r="HV25" s="9">
        <v>0</v>
      </c>
      <c r="HW25" s="9">
        <v>0</v>
      </c>
      <c r="HX25" s="9">
        <v>0</v>
      </c>
      <c r="HY25" s="9">
        <v>0</v>
      </c>
      <c r="HZ25" s="9">
        <v>0</v>
      </c>
      <c r="IA25" s="9">
        <v>0</v>
      </c>
      <c r="IB25" s="9">
        <v>0</v>
      </c>
      <c r="IC25" s="9">
        <v>0</v>
      </c>
      <c r="ID25" s="9">
        <v>0</v>
      </c>
      <c r="IE25" s="9">
        <v>0</v>
      </c>
      <c r="IF25" s="22">
        <v>0</v>
      </c>
      <c r="IG25" s="22"/>
      <c r="IH25" s="22">
        <v>0</v>
      </c>
      <c r="II25" s="22">
        <v>0</v>
      </c>
      <c r="IJ25" s="9">
        <v>0</v>
      </c>
      <c r="IK25" s="9">
        <v>0</v>
      </c>
      <c r="IL25" s="9">
        <v>0</v>
      </c>
      <c r="IM25" s="9">
        <v>0</v>
      </c>
      <c r="IN25" s="9">
        <v>0</v>
      </c>
      <c r="IO25" s="9">
        <v>0</v>
      </c>
      <c r="IP25" s="9">
        <v>0</v>
      </c>
      <c r="IQ25" s="9">
        <v>0</v>
      </c>
      <c r="IR25" s="9">
        <v>0</v>
      </c>
      <c r="IS25" s="9">
        <v>0</v>
      </c>
      <c r="IT25" s="9">
        <v>0</v>
      </c>
      <c r="IU25" s="9">
        <v>0</v>
      </c>
      <c r="IV25" s="9">
        <v>0</v>
      </c>
      <c r="IW25" s="9">
        <v>0</v>
      </c>
      <c r="IX25" s="9">
        <v>0</v>
      </c>
      <c r="IY25" s="9">
        <v>0</v>
      </c>
      <c r="IZ25" s="9">
        <v>0</v>
      </c>
      <c r="JA25" s="9">
        <v>0</v>
      </c>
      <c r="JB25" s="9">
        <v>0</v>
      </c>
      <c r="JC25" s="9">
        <v>0</v>
      </c>
      <c r="JD25" s="22">
        <v>0</v>
      </c>
      <c r="JE25" s="22"/>
      <c r="JF25" s="22">
        <v>0</v>
      </c>
      <c r="JG25" s="22">
        <v>0</v>
      </c>
      <c r="JH25" s="9">
        <v>0</v>
      </c>
      <c r="JI25" s="9">
        <v>0</v>
      </c>
      <c r="JJ25" s="9">
        <v>0</v>
      </c>
      <c r="JK25" s="9">
        <v>0</v>
      </c>
      <c r="JL25" s="9">
        <v>0</v>
      </c>
      <c r="JM25" s="9">
        <v>0</v>
      </c>
      <c r="JN25" s="9">
        <v>0</v>
      </c>
      <c r="JO25" s="9">
        <v>0</v>
      </c>
      <c r="JP25" s="9">
        <v>0</v>
      </c>
      <c r="JQ25" s="9">
        <v>0</v>
      </c>
      <c r="JR25" s="9">
        <v>0</v>
      </c>
      <c r="JS25" s="9">
        <v>0</v>
      </c>
      <c r="JT25" s="9">
        <v>0</v>
      </c>
      <c r="JU25" s="9">
        <v>0</v>
      </c>
      <c r="JV25" s="9">
        <v>0</v>
      </c>
      <c r="JW25" s="9">
        <v>0</v>
      </c>
      <c r="JX25" s="22">
        <v>0</v>
      </c>
      <c r="JY25" s="22"/>
      <c r="JZ25" s="22">
        <v>0</v>
      </c>
      <c r="KA25" s="22">
        <v>0</v>
      </c>
      <c r="KB25" s="9">
        <v>0</v>
      </c>
      <c r="KC25" s="9">
        <v>0</v>
      </c>
      <c r="KD25" s="9">
        <v>0</v>
      </c>
      <c r="KE25" s="9">
        <v>0</v>
      </c>
      <c r="KF25" s="9">
        <v>0</v>
      </c>
      <c r="KG25" s="9">
        <v>0</v>
      </c>
      <c r="KH25" s="9">
        <v>0</v>
      </c>
      <c r="KI25" s="9">
        <v>0</v>
      </c>
      <c r="KJ25" s="9">
        <v>0</v>
      </c>
      <c r="KK25" s="9">
        <v>0</v>
      </c>
      <c r="KL25" s="9">
        <v>0</v>
      </c>
      <c r="KM25" s="9">
        <v>0</v>
      </c>
      <c r="KN25" s="9">
        <v>0</v>
      </c>
      <c r="KO25" s="9">
        <v>0</v>
      </c>
      <c r="KP25" s="9">
        <v>0</v>
      </c>
      <c r="KQ25" s="9">
        <v>0</v>
      </c>
      <c r="KR25" s="22">
        <v>0</v>
      </c>
      <c r="KS25" s="22"/>
      <c r="KT25" s="22">
        <v>0</v>
      </c>
      <c r="KU25" s="22">
        <v>0</v>
      </c>
      <c r="KV25" s="22">
        <v>1</v>
      </c>
      <c r="KW25" s="22"/>
      <c r="KX25" s="22">
        <v>7074</v>
      </c>
      <c r="KY25" s="22">
        <v>601.29999999999995</v>
      </c>
    </row>
    <row r="26" spans="1:311" ht="16.95" customHeight="1" x14ac:dyDescent="0.4">
      <c r="A26" s="15"/>
      <c r="B26" s="15"/>
      <c r="C26" s="15" t="s">
        <v>45</v>
      </c>
      <c r="D26" s="16">
        <v>2</v>
      </c>
      <c r="E26" s="16">
        <v>3087</v>
      </c>
      <c r="F26" s="16">
        <v>6173</v>
      </c>
      <c r="G26" s="16">
        <v>524.70000000000005</v>
      </c>
      <c r="H26" s="23">
        <v>2</v>
      </c>
      <c r="I26" s="23"/>
      <c r="J26" s="23">
        <v>6173</v>
      </c>
      <c r="K26" s="23">
        <v>524.70000000000005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2</v>
      </c>
      <c r="U26" s="16">
        <v>3087</v>
      </c>
      <c r="V26" s="16">
        <v>6173</v>
      </c>
      <c r="W26" s="16">
        <v>524.70000000000005</v>
      </c>
      <c r="X26" s="16">
        <v>0</v>
      </c>
      <c r="Y26" s="16">
        <v>0</v>
      </c>
      <c r="Z26" s="16">
        <v>0</v>
      </c>
      <c r="AA26" s="16">
        <v>0</v>
      </c>
      <c r="AB26" s="23">
        <v>2</v>
      </c>
      <c r="AC26" s="23"/>
      <c r="AD26" s="23">
        <v>6173</v>
      </c>
      <c r="AE26" s="23">
        <v>524.70000000000005</v>
      </c>
      <c r="AF26" s="16">
        <v>0</v>
      </c>
      <c r="AG26" s="16">
        <v>0</v>
      </c>
      <c r="AH26" s="16">
        <v>0</v>
      </c>
      <c r="AI26" s="16">
        <v>0</v>
      </c>
      <c r="AJ26" s="16">
        <v>3</v>
      </c>
      <c r="AK26" s="16">
        <v>7074</v>
      </c>
      <c r="AL26" s="16">
        <v>21222</v>
      </c>
      <c r="AM26" s="16">
        <v>1803.9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23">
        <v>3</v>
      </c>
      <c r="AW26" s="23"/>
      <c r="AX26" s="23">
        <v>21222</v>
      </c>
      <c r="AY26" s="23">
        <v>1803.9</v>
      </c>
      <c r="AZ26" s="16">
        <v>0</v>
      </c>
      <c r="BA26" s="16">
        <v>0</v>
      </c>
      <c r="BB26" s="16">
        <v>0</v>
      </c>
      <c r="BC26" s="16">
        <v>0</v>
      </c>
      <c r="BD26" s="16">
        <v>2</v>
      </c>
      <c r="BE26" s="16">
        <v>7074</v>
      </c>
      <c r="BF26" s="16">
        <v>14148</v>
      </c>
      <c r="BG26" s="16">
        <v>1202.5999999999999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23">
        <v>2</v>
      </c>
      <c r="BU26" s="23"/>
      <c r="BV26" s="23">
        <v>14148</v>
      </c>
      <c r="BW26" s="23">
        <v>1202.5999999999999</v>
      </c>
      <c r="BX26" s="16">
        <v>2</v>
      </c>
      <c r="BY26" s="16">
        <v>7234</v>
      </c>
      <c r="BZ26" s="16">
        <v>14467</v>
      </c>
      <c r="CA26" s="16">
        <v>1229.7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2</v>
      </c>
      <c r="CK26" s="16">
        <v>7234</v>
      </c>
      <c r="CL26" s="16">
        <v>14467</v>
      </c>
      <c r="CM26" s="16">
        <v>1229.7</v>
      </c>
      <c r="CN26" s="23">
        <v>4</v>
      </c>
      <c r="CO26" s="23"/>
      <c r="CP26" s="23">
        <v>28934</v>
      </c>
      <c r="CQ26" s="23">
        <v>2459.4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2</v>
      </c>
      <c r="DA26" s="16">
        <v>7234</v>
      </c>
      <c r="DB26" s="16">
        <v>14467</v>
      </c>
      <c r="DC26" s="16">
        <v>1229.7</v>
      </c>
      <c r="DD26" s="16">
        <v>0</v>
      </c>
      <c r="DE26" s="16">
        <v>0</v>
      </c>
      <c r="DF26" s="16">
        <v>0</v>
      </c>
      <c r="DG26" s="16">
        <v>0</v>
      </c>
      <c r="DH26" s="23">
        <v>2</v>
      </c>
      <c r="DI26" s="23"/>
      <c r="DJ26" s="23">
        <v>14467</v>
      </c>
      <c r="DK26" s="23">
        <v>1229.7</v>
      </c>
      <c r="DL26" s="16">
        <v>0</v>
      </c>
      <c r="DM26" s="16">
        <v>0</v>
      </c>
      <c r="DN26" s="16">
        <v>0</v>
      </c>
      <c r="DO26" s="16">
        <v>0</v>
      </c>
      <c r="DP26" s="16">
        <v>2</v>
      </c>
      <c r="DQ26" s="16">
        <v>7234</v>
      </c>
      <c r="DR26" s="16">
        <v>14467</v>
      </c>
      <c r="DS26" s="16">
        <v>1229.7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23">
        <v>2</v>
      </c>
      <c r="EG26" s="23"/>
      <c r="EH26" s="23">
        <v>14467</v>
      </c>
      <c r="EI26" s="23">
        <v>1229.7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23">
        <v>0</v>
      </c>
      <c r="FA26" s="23"/>
      <c r="FB26" s="23">
        <v>0</v>
      </c>
      <c r="FC26" s="23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23">
        <v>0</v>
      </c>
      <c r="FU26" s="23"/>
      <c r="FV26" s="23">
        <v>0</v>
      </c>
      <c r="FW26" s="23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23">
        <v>0</v>
      </c>
      <c r="GS26" s="23"/>
      <c r="GT26" s="23">
        <v>0</v>
      </c>
      <c r="GU26" s="23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23">
        <v>0</v>
      </c>
      <c r="HM26" s="23"/>
      <c r="HN26" s="23">
        <v>0</v>
      </c>
      <c r="HO26" s="23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  <c r="IB26" s="16">
        <v>0</v>
      </c>
      <c r="IC26" s="16">
        <v>0</v>
      </c>
      <c r="ID26" s="16">
        <v>0</v>
      </c>
      <c r="IE26" s="16">
        <v>0</v>
      </c>
      <c r="IF26" s="23">
        <v>0</v>
      </c>
      <c r="IG26" s="23"/>
      <c r="IH26" s="23">
        <v>0</v>
      </c>
      <c r="II26" s="23">
        <v>0</v>
      </c>
      <c r="IJ26" s="16">
        <v>0</v>
      </c>
      <c r="IK26" s="16">
        <v>0</v>
      </c>
      <c r="IL26" s="16">
        <v>0</v>
      </c>
      <c r="IM26" s="16">
        <v>0</v>
      </c>
      <c r="IN26" s="16">
        <v>0</v>
      </c>
      <c r="IO26" s="16">
        <v>0</v>
      </c>
      <c r="IP26" s="16">
        <v>0</v>
      </c>
      <c r="IQ26" s="16">
        <v>0</v>
      </c>
      <c r="IR26" s="16">
        <v>0</v>
      </c>
      <c r="IS26" s="16">
        <v>0</v>
      </c>
      <c r="IT26" s="16">
        <v>0</v>
      </c>
      <c r="IU26" s="16">
        <v>0</v>
      </c>
      <c r="IV26" s="16">
        <v>0</v>
      </c>
      <c r="IW26" s="16">
        <v>0</v>
      </c>
      <c r="IX26" s="16">
        <v>0</v>
      </c>
      <c r="IY26" s="16">
        <v>0</v>
      </c>
      <c r="IZ26" s="16">
        <v>0</v>
      </c>
      <c r="JA26" s="16">
        <v>0</v>
      </c>
      <c r="JB26" s="16">
        <v>0</v>
      </c>
      <c r="JC26" s="16">
        <v>0</v>
      </c>
      <c r="JD26" s="23">
        <v>0</v>
      </c>
      <c r="JE26" s="23"/>
      <c r="JF26" s="23">
        <v>0</v>
      </c>
      <c r="JG26" s="23">
        <v>0</v>
      </c>
      <c r="JH26" s="16">
        <v>0</v>
      </c>
      <c r="JI26" s="16">
        <v>0</v>
      </c>
      <c r="JJ26" s="16">
        <v>0</v>
      </c>
      <c r="JK26" s="16">
        <v>0</v>
      </c>
      <c r="JL26" s="16">
        <v>0</v>
      </c>
      <c r="JM26" s="16">
        <v>0</v>
      </c>
      <c r="JN26" s="16">
        <v>0</v>
      </c>
      <c r="JO26" s="16">
        <v>0</v>
      </c>
      <c r="JP26" s="16">
        <v>0</v>
      </c>
      <c r="JQ26" s="16">
        <v>0</v>
      </c>
      <c r="JR26" s="16">
        <v>0</v>
      </c>
      <c r="JS26" s="16">
        <v>0</v>
      </c>
      <c r="JT26" s="16">
        <v>0</v>
      </c>
      <c r="JU26" s="16">
        <v>0</v>
      </c>
      <c r="JV26" s="16">
        <v>0</v>
      </c>
      <c r="JW26" s="16">
        <v>0</v>
      </c>
      <c r="JX26" s="23">
        <v>0</v>
      </c>
      <c r="JY26" s="23"/>
      <c r="JZ26" s="23">
        <v>0</v>
      </c>
      <c r="KA26" s="23">
        <v>0</v>
      </c>
      <c r="KB26" s="16">
        <v>0</v>
      </c>
      <c r="KC26" s="16">
        <v>0</v>
      </c>
      <c r="KD26" s="16">
        <v>0</v>
      </c>
      <c r="KE26" s="16">
        <v>0</v>
      </c>
      <c r="KF26" s="16">
        <v>0</v>
      </c>
      <c r="KG26" s="16">
        <v>0</v>
      </c>
      <c r="KH26" s="16">
        <v>0</v>
      </c>
      <c r="KI26" s="16">
        <v>0</v>
      </c>
      <c r="KJ26" s="16">
        <v>0</v>
      </c>
      <c r="KK26" s="16">
        <v>0</v>
      </c>
      <c r="KL26" s="16">
        <v>0</v>
      </c>
      <c r="KM26" s="16">
        <v>0</v>
      </c>
      <c r="KN26" s="16">
        <v>0</v>
      </c>
      <c r="KO26" s="16">
        <v>0</v>
      </c>
      <c r="KP26" s="16">
        <v>0</v>
      </c>
      <c r="KQ26" s="16">
        <v>0</v>
      </c>
      <c r="KR26" s="23">
        <v>0</v>
      </c>
      <c r="KS26" s="23"/>
      <c r="KT26" s="23">
        <v>0</v>
      </c>
      <c r="KU26" s="23">
        <v>0</v>
      </c>
      <c r="KV26" s="23">
        <v>17</v>
      </c>
      <c r="KW26" s="23"/>
      <c r="KX26" s="23">
        <v>105584</v>
      </c>
      <c r="KY26" s="23">
        <v>8974.6</v>
      </c>
    </row>
    <row r="27" spans="1:311" ht="16.95" customHeight="1" x14ac:dyDescent="0.4">
      <c r="A27" s="11"/>
      <c r="B27" s="11"/>
      <c r="C27" s="11" t="s">
        <v>131</v>
      </c>
      <c r="D27" s="9">
        <v>0</v>
      </c>
      <c r="E27" s="9">
        <v>0</v>
      </c>
      <c r="F27" s="9">
        <v>0</v>
      </c>
      <c r="G27" s="9">
        <v>0</v>
      </c>
      <c r="H27" s="22">
        <v>0</v>
      </c>
      <c r="I27" s="22"/>
      <c r="J27" s="22">
        <v>0</v>
      </c>
      <c r="K27" s="22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22">
        <v>0</v>
      </c>
      <c r="AC27" s="22"/>
      <c r="AD27" s="22">
        <v>0</v>
      </c>
      <c r="AE27" s="22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22">
        <v>0</v>
      </c>
      <c r="AW27" s="22"/>
      <c r="AX27" s="22">
        <v>0</v>
      </c>
      <c r="AY27" s="22">
        <v>0</v>
      </c>
      <c r="AZ27" s="9">
        <v>0</v>
      </c>
      <c r="BA27" s="9">
        <v>0</v>
      </c>
      <c r="BB27" s="9">
        <v>0</v>
      </c>
      <c r="BC27" s="9">
        <v>0</v>
      </c>
      <c r="BD27" s="9">
        <v>1</v>
      </c>
      <c r="BE27" s="9">
        <v>18393</v>
      </c>
      <c r="BF27" s="9">
        <v>18393</v>
      </c>
      <c r="BG27" s="9">
        <v>1563.4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22">
        <v>1</v>
      </c>
      <c r="BU27" s="22"/>
      <c r="BV27" s="22">
        <v>18393</v>
      </c>
      <c r="BW27" s="22">
        <v>1563.4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22">
        <v>0</v>
      </c>
      <c r="CO27" s="22"/>
      <c r="CP27" s="22">
        <v>0</v>
      </c>
      <c r="CQ27" s="22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22">
        <v>0</v>
      </c>
      <c r="DI27" s="22"/>
      <c r="DJ27" s="22">
        <v>0</v>
      </c>
      <c r="DK27" s="22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9">
        <v>0</v>
      </c>
      <c r="DU27" s="9">
        <v>0</v>
      </c>
      <c r="DV27" s="9">
        <v>0</v>
      </c>
      <c r="DW27" s="9">
        <v>0</v>
      </c>
      <c r="DX27" s="9">
        <v>0</v>
      </c>
      <c r="DY27" s="9">
        <v>0</v>
      </c>
      <c r="DZ27" s="9">
        <v>0</v>
      </c>
      <c r="EA27" s="9">
        <v>0</v>
      </c>
      <c r="EB27" s="9">
        <v>0</v>
      </c>
      <c r="EC27" s="9">
        <v>0</v>
      </c>
      <c r="ED27" s="9">
        <v>0</v>
      </c>
      <c r="EE27" s="9">
        <v>0</v>
      </c>
      <c r="EF27" s="22">
        <v>0</v>
      </c>
      <c r="EG27" s="22"/>
      <c r="EH27" s="22">
        <v>0</v>
      </c>
      <c r="EI27" s="22">
        <v>0</v>
      </c>
      <c r="EJ27" s="9">
        <v>0</v>
      </c>
      <c r="EK27" s="9">
        <v>0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22">
        <v>0</v>
      </c>
      <c r="FA27" s="22"/>
      <c r="FB27" s="22">
        <v>0</v>
      </c>
      <c r="FC27" s="22">
        <v>0</v>
      </c>
      <c r="FD27" s="9">
        <v>0</v>
      </c>
      <c r="FE27" s="9">
        <v>0</v>
      </c>
      <c r="FF27" s="9">
        <v>0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9">
        <v>0</v>
      </c>
      <c r="FM27" s="9">
        <v>0</v>
      </c>
      <c r="FN27" s="9">
        <v>0</v>
      </c>
      <c r="FO27" s="9">
        <v>0</v>
      </c>
      <c r="FP27" s="9">
        <v>0</v>
      </c>
      <c r="FQ27" s="9">
        <v>0</v>
      </c>
      <c r="FR27" s="9">
        <v>0</v>
      </c>
      <c r="FS27" s="9">
        <v>0</v>
      </c>
      <c r="FT27" s="22">
        <v>0</v>
      </c>
      <c r="FU27" s="22"/>
      <c r="FV27" s="22">
        <v>0</v>
      </c>
      <c r="FW27" s="22">
        <v>0</v>
      </c>
      <c r="FX27" s="9">
        <v>0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9">
        <v>0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  <c r="GJ27" s="9">
        <v>0</v>
      </c>
      <c r="GK27" s="9">
        <v>0</v>
      </c>
      <c r="GL27" s="9">
        <v>0</v>
      </c>
      <c r="GM27" s="9">
        <v>0</v>
      </c>
      <c r="GN27" s="9">
        <v>0</v>
      </c>
      <c r="GO27" s="9">
        <v>0</v>
      </c>
      <c r="GP27" s="9">
        <v>0</v>
      </c>
      <c r="GQ27" s="9">
        <v>0</v>
      </c>
      <c r="GR27" s="22">
        <v>0</v>
      </c>
      <c r="GS27" s="22"/>
      <c r="GT27" s="22">
        <v>0</v>
      </c>
      <c r="GU27" s="22">
        <v>0</v>
      </c>
      <c r="GV27" s="9">
        <v>0</v>
      </c>
      <c r="GW27" s="9">
        <v>0</v>
      </c>
      <c r="GX27" s="9">
        <v>0</v>
      </c>
      <c r="GY27" s="9">
        <v>0</v>
      </c>
      <c r="GZ27" s="9">
        <v>0</v>
      </c>
      <c r="HA27" s="9">
        <v>0</v>
      </c>
      <c r="HB27" s="9">
        <v>0</v>
      </c>
      <c r="HC27" s="9">
        <v>0</v>
      </c>
      <c r="HD27" s="9">
        <v>0</v>
      </c>
      <c r="HE27" s="9">
        <v>0</v>
      </c>
      <c r="HF27" s="9">
        <v>0</v>
      </c>
      <c r="HG27" s="9">
        <v>0</v>
      </c>
      <c r="HH27" s="9">
        <v>0</v>
      </c>
      <c r="HI27" s="9">
        <v>0</v>
      </c>
      <c r="HJ27" s="9">
        <v>0</v>
      </c>
      <c r="HK27" s="9">
        <v>0</v>
      </c>
      <c r="HL27" s="22">
        <v>0</v>
      </c>
      <c r="HM27" s="22"/>
      <c r="HN27" s="22">
        <v>0</v>
      </c>
      <c r="HO27" s="22">
        <v>0</v>
      </c>
      <c r="HP27" s="9">
        <v>0</v>
      </c>
      <c r="HQ27" s="9">
        <v>0</v>
      </c>
      <c r="HR27" s="9">
        <v>0</v>
      </c>
      <c r="HS27" s="9">
        <v>0</v>
      </c>
      <c r="HT27" s="9">
        <v>0</v>
      </c>
      <c r="HU27" s="9">
        <v>0</v>
      </c>
      <c r="HV27" s="9">
        <v>0</v>
      </c>
      <c r="HW27" s="9">
        <v>0</v>
      </c>
      <c r="HX27" s="9">
        <v>0</v>
      </c>
      <c r="HY27" s="9">
        <v>0</v>
      </c>
      <c r="HZ27" s="9">
        <v>0</v>
      </c>
      <c r="IA27" s="9">
        <v>0</v>
      </c>
      <c r="IB27" s="9">
        <v>0</v>
      </c>
      <c r="IC27" s="9">
        <v>0</v>
      </c>
      <c r="ID27" s="9">
        <v>0</v>
      </c>
      <c r="IE27" s="9">
        <v>0</v>
      </c>
      <c r="IF27" s="22">
        <v>0</v>
      </c>
      <c r="IG27" s="22"/>
      <c r="IH27" s="22">
        <v>0</v>
      </c>
      <c r="II27" s="22">
        <v>0</v>
      </c>
      <c r="IJ27" s="9">
        <v>0</v>
      </c>
      <c r="IK27" s="9">
        <v>0</v>
      </c>
      <c r="IL27" s="9">
        <v>0</v>
      </c>
      <c r="IM27" s="9">
        <v>0</v>
      </c>
      <c r="IN27" s="9">
        <v>0</v>
      </c>
      <c r="IO27" s="9">
        <v>0</v>
      </c>
      <c r="IP27" s="9">
        <v>0</v>
      </c>
      <c r="IQ27" s="9">
        <v>0</v>
      </c>
      <c r="IR27" s="9">
        <v>0</v>
      </c>
      <c r="IS27" s="9">
        <v>0</v>
      </c>
      <c r="IT27" s="9">
        <v>0</v>
      </c>
      <c r="IU27" s="9">
        <v>0</v>
      </c>
      <c r="IV27" s="9">
        <v>0</v>
      </c>
      <c r="IW27" s="9">
        <v>0</v>
      </c>
      <c r="IX27" s="9">
        <v>0</v>
      </c>
      <c r="IY27" s="9">
        <v>0</v>
      </c>
      <c r="IZ27" s="9">
        <v>0</v>
      </c>
      <c r="JA27" s="9">
        <v>0</v>
      </c>
      <c r="JB27" s="9">
        <v>0</v>
      </c>
      <c r="JC27" s="9">
        <v>0</v>
      </c>
      <c r="JD27" s="22">
        <v>0</v>
      </c>
      <c r="JE27" s="22"/>
      <c r="JF27" s="22">
        <v>0</v>
      </c>
      <c r="JG27" s="22">
        <v>0</v>
      </c>
      <c r="JH27" s="9">
        <v>0</v>
      </c>
      <c r="JI27" s="9">
        <v>0</v>
      </c>
      <c r="JJ27" s="9">
        <v>0</v>
      </c>
      <c r="JK27" s="9">
        <v>0</v>
      </c>
      <c r="JL27" s="9">
        <v>0</v>
      </c>
      <c r="JM27" s="9">
        <v>0</v>
      </c>
      <c r="JN27" s="9">
        <v>0</v>
      </c>
      <c r="JO27" s="9">
        <v>0</v>
      </c>
      <c r="JP27" s="9">
        <v>0</v>
      </c>
      <c r="JQ27" s="9">
        <v>0</v>
      </c>
      <c r="JR27" s="9">
        <v>0</v>
      </c>
      <c r="JS27" s="9">
        <v>0</v>
      </c>
      <c r="JT27" s="9">
        <v>0</v>
      </c>
      <c r="JU27" s="9">
        <v>0</v>
      </c>
      <c r="JV27" s="9">
        <v>0</v>
      </c>
      <c r="JW27" s="9">
        <v>0</v>
      </c>
      <c r="JX27" s="22">
        <v>0</v>
      </c>
      <c r="JY27" s="22"/>
      <c r="JZ27" s="22">
        <v>0</v>
      </c>
      <c r="KA27" s="22">
        <v>0</v>
      </c>
      <c r="KB27" s="9">
        <v>0</v>
      </c>
      <c r="KC27" s="9">
        <v>0</v>
      </c>
      <c r="KD27" s="9">
        <v>0</v>
      </c>
      <c r="KE27" s="9">
        <v>0</v>
      </c>
      <c r="KF27" s="9">
        <v>0</v>
      </c>
      <c r="KG27" s="9">
        <v>0</v>
      </c>
      <c r="KH27" s="9">
        <v>0</v>
      </c>
      <c r="KI27" s="9">
        <v>0</v>
      </c>
      <c r="KJ27" s="9">
        <v>0</v>
      </c>
      <c r="KK27" s="9">
        <v>0</v>
      </c>
      <c r="KL27" s="9">
        <v>0</v>
      </c>
      <c r="KM27" s="9">
        <v>0</v>
      </c>
      <c r="KN27" s="9">
        <v>0</v>
      </c>
      <c r="KO27" s="9">
        <v>0</v>
      </c>
      <c r="KP27" s="9">
        <v>0</v>
      </c>
      <c r="KQ27" s="9">
        <v>0</v>
      </c>
      <c r="KR27" s="22">
        <v>0</v>
      </c>
      <c r="KS27" s="22"/>
      <c r="KT27" s="22">
        <v>0</v>
      </c>
      <c r="KU27" s="22">
        <v>0</v>
      </c>
      <c r="KV27" s="22">
        <v>1</v>
      </c>
      <c r="KW27" s="22"/>
      <c r="KX27" s="22">
        <v>18393</v>
      </c>
      <c r="KY27" s="22">
        <v>1563.4</v>
      </c>
    </row>
    <row r="28" spans="1:311" ht="16.95" customHeight="1" x14ac:dyDescent="0.4">
      <c r="A28" s="15"/>
      <c r="B28" s="15"/>
      <c r="C28" s="15" t="s">
        <v>335</v>
      </c>
      <c r="D28" s="16">
        <v>0</v>
      </c>
      <c r="E28" s="16">
        <v>0</v>
      </c>
      <c r="F28" s="16">
        <v>0</v>
      </c>
      <c r="G28" s="16">
        <v>0</v>
      </c>
      <c r="H28" s="23">
        <v>0</v>
      </c>
      <c r="I28" s="23"/>
      <c r="J28" s="23">
        <v>0</v>
      </c>
      <c r="K28" s="23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23">
        <v>0</v>
      </c>
      <c r="AC28" s="23"/>
      <c r="AD28" s="23">
        <v>0</v>
      </c>
      <c r="AE28" s="23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23">
        <v>0</v>
      </c>
      <c r="AW28" s="23"/>
      <c r="AX28" s="23">
        <v>0</v>
      </c>
      <c r="AY28" s="23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23">
        <v>0</v>
      </c>
      <c r="BU28" s="23"/>
      <c r="BV28" s="23">
        <v>0</v>
      </c>
      <c r="BW28" s="23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23">
        <v>0</v>
      </c>
      <c r="CO28" s="23"/>
      <c r="CP28" s="23">
        <v>0</v>
      </c>
      <c r="CQ28" s="23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23">
        <v>0</v>
      </c>
      <c r="DI28" s="23"/>
      <c r="DJ28" s="23">
        <v>0</v>
      </c>
      <c r="DK28" s="23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23">
        <v>0</v>
      </c>
      <c r="EG28" s="23"/>
      <c r="EH28" s="23">
        <v>0</v>
      </c>
      <c r="EI28" s="23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23">
        <v>0</v>
      </c>
      <c r="FA28" s="23"/>
      <c r="FB28" s="23">
        <v>0</v>
      </c>
      <c r="FC28" s="23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23">
        <v>0</v>
      </c>
      <c r="FU28" s="23"/>
      <c r="FV28" s="23">
        <v>0</v>
      </c>
      <c r="FW28" s="23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23">
        <v>0</v>
      </c>
      <c r="GS28" s="23"/>
      <c r="GT28" s="23">
        <v>0</v>
      </c>
      <c r="GU28" s="23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23">
        <v>0</v>
      </c>
      <c r="HM28" s="23"/>
      <c r="HN28" s="23">
        <v>0</v>
      </c>
      <c r="HO28" s="23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  <c r="IB28" s="16">
        <v>0</v>
      </c>
      <c r="IC28" s="16">
        <v>0</v>
      </c>
      <c r="ID28" s="16">
        <v>0</v>
      </c>
      <c r="IE28" s="16">
        <v>0</v>
      </c>
      <c r="IF28" s="23">
        <v>0</v>
      </c>
      <c r="IG28" s="23"/>
      <c r="IH28" s="23">
        <v>0</v>
      </c>
      <c r="II28" s="23">
        <v>0</v>
      </c>
      <c r="IJ28" s="16">
        <v>0</v>
      </c>
      <c r="IK28" s="16">
        <v>0</v>
      </c>
      <c r="IL28" s="16">
        <v>0</v>
      </c>
      <c r="IM28" s="16">
        <v>0</v>
      </c>
      <c r="IN28" s="16">
        <v>0</v>
      </c>
      <c r="IO28" s="16">
        <v>0</v>
      </c>
      <c r="IP28" s="16">
        <v>0</v>
      </c>
      <c r="IQ28" s="16">
        <v>0</v>
      </c>
      <c r="IR28" s="16">
        <v>0</v>
      </c>
      <c r="IS28" s="16">
        <v>0</v>
      </c>
      <c r="IT28" s="16">
        <v>0</v>
      </c>
      <c r="IU28" s="16">
        <v>0</v>
      </c>
      <c r="IV28" s="16">
        <v>0</v>
      </c>
      <c r="IW28" s="16">
        <v>0</v>
      </c>
      <c r="IX28" s="16">
        <v>0</v>
      </c>
      <c r="IY28" s="16">
        <v>0</v>
      </c>
      <c r="IZ28" s="16">
        <v>0</v>
      </c>
      <c r="JA28" s="16">
        <v>0</v>
      </c>
      <c r="JB28" s="16">
        <v>0</v>
      </c>
      <c r="JC28" s="16">
        <v>0</v>
      </c>
      <c r="JD28" s="23">
        <v>0</v>
      </c>
      <c r="JE28" s="23"/>
      <c r="JF28" s="23">
        <v>0</v>
      </c>
      <c r="JG28" s="23">
        <v>0</v>
      </c>
      <c r="JH28" s="16">
        <v>0</v>
      </c>
      <c r="JI28" s="16">
        <v>0</v>
      </c>
      <c r="JJ28" s="16">
        <v>0</v>
      </c>
      <c r="JK28" s="16">
        <v>0</v>
      </c>
      <c r="JL28" s="16">
        <v>0</v>
      </c>
      <c r="JM28" s="16">
        <v>0</v>
      </c>
      <c r="JN28" s="16">
        <v>0</v>
      </c>
      <c r="JO28" s="16">
        <v>0</v>
      </c>
      <c r="JP28" s="16">
        <v>0</v>
      </c>
      <c r="JQ28" s="16">
        <v>0</v>
      </c>
      <c r="JR28" s="16">
        <v>0</v>
      </c>
      <c r="JS28" s="16">
        <v>0</v>
      </c>
      <c r="JT28" s="16">
        <v>0</v>
      </c>
      <c r="JU28" s="16">
        <v>0</v>
      </c>
      <c r="JV28" s="16">
        <v>0</v>
      </c>
      <c r="JW28" s="16">
        <v>0</v>
      </c>
      <c r="JX28" s="23">
        <v>0</v>
      </c>
      <c r="JY28" s="23"/>
      <c r="JZ28" s="23">
        <v>0</v>
      </c>
      <c r="KA28" s="23">
        <v>0</v>
      </c>
      <c r="KB28" s="16">
        <v>0</v>
      </c>
      <c r="KC28" s="16">
        <v>0</v>
      </c>
      <c r="KD28" s="16">
        <v>0</v>
      </c>
      <c r="KE28" s="16">
        <v>0</v>
      </c>
      <c r="KF28" s="16">
        <v>0</v>
      </c>
      <c r="KG28" s="16">
        <v>0</v>
      </c>
      <c r="KH28" s="16">
        <v>0</v>
      </c>
      <c r="KI28" s="16">
        <v>0</v>
      </c>
      <c r="KJ28" s="16">
        <v>0</v>
      </c>
      <c r="KK28" s="16">
        <v>0</v>
      </c>
      <c r="KL28" s="16">
        <v>0</v>
      </c>
      <c r="KM28" s="16">
        <v>0</v>
      </c>
      <c r="KN28" s="16">
        <v>1</v>
      </c>
      <c r="KO28" s="16">
        <v>6405</v>
      </c>
      <c r="KP28" s="16">
        <v>6405</v>
      </c>
      <c r="KQ28" s="16">
        <v>544.4</v>
      </c>
      <c r="KR28" s="23">
        <v>1</v>
      </c>
      <c r="KS28" s="23"/>
      <c r="KT28" s="23">
        <v>6405</v>
      </c>
      <c r="KU28" s="23">
        <v>544.4</v>
      </c>
      <c r="KV28" s="23">
        <v>1</v>
      </c>
      <c r="KW28" s="23"/>
      <c r="KX28" s="23">
        <v>6405</v>
      </c>
      <c r="KY28" s="23">
        <v>544.4</v>
      </c>
    </row>
    <row r="29" spans="1:311" ht="16.95" customHeight="1" x14ac:dyDescent="0.4">
      <c r="A29" s="11"/>
      <c r="B29" s="11"/>
      <c r="C29" s="11" t="s">
        <v>212</v>
      </c>
      <c r="D29" s="9">
        <v>0</v>
      </c>
      <c r="E29" s="9">
        <v>0</v>
      </c>
      <c r="F29" s="9">
        <v>0</v>
      </c>
      <c r="G29" s="9">
        <v>0</v>
      </c>
      <c r="H29" s="22">
        <v>0</v>
      </c>
      <c r="I29" s="22"/>
      <c r="J29" s="22">
        <v>0</v>
      </c>
      <c r="K29" s="22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22">
        <v>0</v>
      </c>
      <c r="AC29" s="22"/>
      <c r="AD29" s="22">
        <v>0</v>
      </c>
      <c r="AE29" s="22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22">
        <v>0</v>
      </c>
      <c r="AW29" s="22"/>
      <c r="AX29" s="22">
        <v>0</v>
      </c>
      <c r="AY29" s="22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22">
        <v>0</v>
      </c>
      <c r="BU29" s="22"/>
      <c r="BV29" s="22">
        <v>0</v>
      </c>
      <c r="BW29" s="22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22">
        <v>0</v>
      </c>
      <c r="CO29" s="22"/>
      <c r="CP29" s="22">
        <v>0</v>
      </c>
      <c r="CQ29" s="22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22">
        <v>0</v>
      </c>
      <c r="DI29" s="22"/>
      <c r="DJ29" s="22">
        <v>0</v>
      </c>
      <c r="DK29" s="22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9">
        <v>0</v>
      </c>
      <c r="DU29" s="9">
        <v>0</v>
      </c>
      <c r="DV29" s="9">
        <v>0</v>
      </c>
      <c r="DW29" s="9">
        <v>0</v>
      </c>
      <c r="DX29" s="9">
        <v>0</v>
      </c>
      <c r="DY29" s="9">
        <v>0</v>
      </c>
      <c r="DZ29" s="9">
        <v>0</v>
      </c>
      <c r="EA29" s="9">
        <v>0</v>
      </c>
      <c r="EB29" s="9">
        <v>0</v>
      </c>
      <c r="EC29" s="9">
        <v>0</v>
      </c>
      <c r="ED29" s="9">
        <v>0</v>
      </c>
      <c r="EE29" s="9">
        <v>0</v>
      </c>
      <c r="EF29" s="22">
        <v>0</v>
      </c>
      <c r="EG29" s="22"/>
      <c r="EH29" s="22">
        <v>0</v>
      </c>
      <c r="EI29" s="22">
        <v>0</v>
      </c>
      <c r="EJ29" s="9">
        <v>0</v>
      </c>
      <c r="EK29" s="9">
        <v>0</v>
      </c>
      <c r="EL29" s="9">
        <v>0</v>
      </c>
      <c r="EM29" s="9">
        <v>0</v>
      </c>
      <c r="EN29" s="9">
        <v>1</v>
      </c>
      <c r="EO29" s="9">
        <v>18115</v>
      </c>
      <c r="EP29" s="9">
        <v>18115</v>
      </c>
      <c r="EQ29" s="9">
        <v>1539.8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22">
        <v>1</v>
      </c>
      <c r="FA29" s="22"/>
      <c r="FB29" s="22">
        <v>18115</v>
      </c>
      <c r="FC29" s="22">
        <v>1539.8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9">
        <v>0</v>
      </c>
      <c r="FS29" s="9">
        <v>0</v>
      </c>
      <c r="FT29" s="22">
        <v>0</v>
      </c>
      <c r="FU29" s="22"/>
      <c r="FV29" s="22">
        <v>0</v>
      </c>
      <c r="FW29" s="22">
        <v>0</v>
      </c>
      <c r="FX29" s="9">
        <v>0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9">
        <v>0</v>
      </c>
      <c r="GK29" s="9">
        <v>0</v>
      </c>
      <c r="GL29" s="9">
        <v>0</v>
      </c>
      <c r="GM29" s="9">
        <v>0</v>
      </c>
      <c r="GN29" s="9">
        <v>0</v>
      </c>
      <c r="GO29" s="9">
        <v>0</v>
      </c>
      <c r="GP29" s="9">
        <v>0</v>
      </c>
      <c r="GQ29" s="9">
        <v>0</v>
      </c>
      <c r="GR29" s="22">
        <v>0</v>
      </c>
      <c r="GS29" s="22"/>
      <c r="GT29" s="22">
        <v>0</v>
      </c>
      <c r="GU29" s="22">
        <v>0</v>
      </c>
      <c r="GV29" s="9">
        <v>0</v>
      </c>
      <c r="GW29" s="9">
        <v>0</v>
      </c>
      <c r="GX29" s="9">
        <v>0</v>
      </c>
      <c r="GY29" s="9">
        <v>0</v>
      </c>
      <c r="GZ29" s="9">
        <v>0</v>
      </c>
      <c r="HA29" s="9">
        <v>0</v>
      </c>
      <c r="HB29" s="9">
        <v>0</v>
      </c>
      <c r="HC29" s="9">
        <v>0</v>
      </c>
      <c r="HD29" s="9">
        <v>0</v>
      </c>
      <c r="HE29" s="9">
        <v>0</v>
      </c>
      <c r="HF29" s="9">
        <v>0</v>
      </c>
      <c r="HG29" s="9">
        <v>0</v>
      </c>
      <c r="HH29" s="9">
        <v>0</v>
      </c>
      <c r="HI29" s="9">
        <v>0</v>
      </c>
      <c r="HJ29" s="9">
        <v>0</v>
      </c>
      <c r="HK29" s="9">
        <v>0</v>
      </c>
      <c r="HL29" s="22">
        <v>0</v>
      </c>
      <c r="HM29" s="22"/>
      <c r="HN29" s="22">
        <v>0</v>
      </c>
      <c r="HO29" s="22">
        <v>0</v>
      </c>
      <c r="HP29" s="9">
        <v>1</v>
      </c>
      <c r="HQ29" s="9">
        <v>18115</v>
      </c>
      <c r="HR29" s="9">
        <v>18115</v>
      </c>
      <c r="HS29" s="9">
        <v>1539.8</v>
      </c>
      <c r="HT29" s="9">
        <v>0</v>
      </c>
      <c r="HU29" s="9">
        <v>0</v>
      </c>
      <c r="HV29" s="9">
        <v>0</v>
      </c>
      <c r="HW29" s="9">
        <v>0</v>
      </c>
      <c r="HX29" s="9">
        <v>0</v>
      </c>
      <c r="HY29" s="9">
        <v>0</v>
      </c>
      <c r="HZ29" s="9">
        <v>0</v>
      </c>
      <c r="IA29" s="9">
        <v>0</v>
      </c>
      <c r="IB29" s="9">
        <v>0</v>
      </c>
      <c r="IC29" s="9">
        <v>0</v>
      </c>
      <c r="ID29" s="9">
        <v>0</v>
      </c>
      <c r="IE29" s="9">
        <v>0</v>
      </c>
      <c r="IF29" s="22">
        <v>1</v>
      </c>
      <c r="IG29" s="22"/>
      <c r="IH29" s="22">
        <v>18115</v>
      </c>
      <c r="II29" s="22">
        <v>1539.8</v>
      </c>
      <c r="IJ29" s="9">
        <v>0</v>
      </c>
      <c r="IK29" s="9">
        <v>0</v>
      </c>
      <c r="IL29" s="9">
        <v>0</v>
      </c>
      <c r="IM29" s="9">
        <v>0</v>
      </c>
      <c r="IN29" s="9">
        <v>0</v>
      </c>
      <c r="IO29" s="9">
        <v>0</v>
      </c>
      <c r="IP29" s="9">
        <v>0</v>
      </c>
      <c r="IQ29" s="9">
        <v>0</v>
      </c>
      <c r="IR29" s="9">
        <v>0</v>
      </c>
      <c r="IS29" s="9">
        <v>0</v>
      </c>
      <c r="IT29" s="9">
        <v>0</v>
      </c>
      <c r="IU29" s="9">
        <v>0</v>
      </c>
      <c r="IV29" s="9">
        <v>0</v>
      </c>
      <c r="IW29" s="9">
        <v>0</v>
      </c>
      <c r="IX29" s="9">
        <v>0</v>
      </c>
      <c r="IY29" s="9">
        <v>0</v>
      </c>
      <c r="IZ29" s="9">
        <v>0</v>
      </c>
      <c r="JA29" s="9">
        <v>0</v>
      </c>
      <c r="JB29" s="9">
        <v>0</v>
      </c>
      <c r="JC29" s="9">
        <v>0</v>
      </c>
      <c r="JD29" s="22">
        <v>0</v>
      </c>
      <c r="JE29" s="22"/>
      <c r="JF29" s="22">
        <v>0</v>
      </c>
      <c r="JG29" s="22">
        <v>0</v>
      </c>
      <c r="JH29" s="9">
        <v>0</v>
      </c>
      <c r="JI29" s="9">
        <v>0</v>
      </c>
      <c r="JJ29" s="9">
        <v>0</v>
      </c>
      <c r="JK29" s="9">
        <v>0</v>
      </c>
      <c r="JL29" s="9">
        <v>0</v>
      </c>
      <c r="JM29" s="9">
        <v>0</v>
      </c>
      <c r="JN29" s="9">
        <v>0</v>
      </c>
      <c r="JO29" s="9">
        <v>0</v>
      </c>
      <c r="JP29" s="9">
        <v>0</v>
      </c>
      <c r="JQ29" s="9">
        <v>0</v>
      </c>
      <c r="JR29" s="9">
        <v>0</v>
      </c>
      <c r="JS29" s="9">
        <v>0</v>
      </c>
      <c r="JT29" s="9">
        <v>0</v>
      </c>
      <c r="JU29" s="9">
        <v>0</v>
      </c>
      <c r="JV29" s="9">
        <v>0</v>
      </c>
      <c r="JW29" s="9">
        <v>0</v>
      </c>
      <c r="JX29" s="22">
        <v>0</v>
      </c>
      <c r="JY29" s="22"/>
      <c r="JZ29" s="22">
        <v>0</v>
      </c>
      <c r="KA29" s="22">
        <v>0</v>
      </c>
      <c r="KB29" s="9">
        <v>0</v>
      </c>
      <c r="KC29" s="9">
        <v>0</v>
      </c>
      <c r="KD29" s="9">
        <v>0</v>
      </c>
      <c r="KE29" s="9">
        <v>0</v>
      </c>
      <c r="KF29" s="9">
        <v>0</v>
      </c>
      <c r="KG29" s="9">
        <v>0</v>
      </c>
      <c r="KH29" s="9">
        <v>0</v>
      </c>
      <c r="KI29" s="9">
        <v>0</v>
      </c>
      <c r="KJ29" s="9">
        <v>0</v>
      </c>
      <c r="KK29" s="9">
        <v>0</v>
      </c>
      <c r="KL29" s="9">
        <v>0</v>
      </c>
      <c r="KM29" s="9">
        <v>0</v>
      </c>
      <c r="KN29" s="9">
        <v>0</v>
      </c>
      <c r="KO29" s="9">
        <v>0</v>
      </c>
      <c r="KP29" s="9">
        <v>0</v>
      </c>
      <c r="KQ29" s="9">
        <v>0</v>
      </c>
      <c r="KR29" s="22">
        <v>0</v>
      </c>
      <c r="KS29" s="22"/>
      <c r="KT29" s="22">
        <v>0</v>
      </c>
      <c r="KU29" s="22">
        <v>0</v>
      </c>
      <c r="KV29" s="22">
        <v>2</v>
      </c>
      <c r="KW29" s="22"/>
      <c r="KX29" s="22">
        <v>36230</v>
      </c>
      <c r="KY29" s="22">
        <v>3079.6</v>
      </c>
    </row>
    <row r="30" spans="1:311" ht="16.95" customHeight="1" x14ac:dyDescent="0.4">
      <c r="A30" s="15"/>
      <c r="B30" s="15"/>
      <c r="C30" s="15" t="s">
        <v>73</v>
      </c>
      <c r="D30" s="16">
        <v>0</v>
      </c>
      <c r="E30" s="16">
        <v>0</v>
      </c>
      <c r="F30" s="16">
        <v>0</v>
      </c>
      <c r="G30" s="16">
        <v>0</v>
      </c>
      <c r="H30" s="23">
        <v>0</v>
      </c>
      <c r="I30" s="23"/>
      <c r="J30" s="23">
        <v>0</v>
      </c>
      <c r="K30" s="23">
        <v>0</v>
      </c>
      <c r="L30" s="16">
        <v>3</v>
      </c>
      <c r="M30" s="16">
        <v>7589</v>
      </c>
      <c r="N30" s="16">
        <v>22767</v>
      </c>
      <c r="O30" s="16">
        <v>1935.2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23">
        <v>3</v>
      </c>
      <c r="AC30" s="23"/>
      <c r="AD30" s="23">
        <v>22767</v>
      </c>
      <c r="AE30" s="23">
        <v>1935.2</v>
      </c>
      <c r="AF30" s="16">
        <v>3</v>
      </c>
      <c r="AG30" s="16">
        <v>7589</v>
      </c>
      <c r="AH30" s="16">
        <v>22767</v>
      </c>
      <c r="AI30" s="16">
        <v>1935.2</v>
      </c>
      <c r="AJ30" s="16">
        <v>0</v>
      </c>
      <c r="AK30" s="16">
        <v>0</v>
      </c>
      <c r="AL30" s="16">
        <v>0</v>
      </c>
      <c r="AM30" s="16">
        <v>0</v>
      </c>
      <c r="AN30" s="16">
        <v>2</v>
      </c>
      <c r="AO30" s="16">
        <v>7589</v>
      </c>
      <c r="AP30" s="16">
        <v>15178</v>
      </c>
      <c r="AQ30" s="16">
        <v>1290.0999999999999</v>
      </c>
      <c r="AR30" s="16">
        <v>2</v>
      </c>
      <c r="AS30" s="16">
        <v>7589</v>
      </c>
      <c r="AT30" s="16">
        <v>15178</v>
      </c>
      <c r="AU30" s="16">
        <v>1290.0999999999999</v>
      </c>
      <c r="AV30" s="23">
        <v>7</v>
      </c>
      <c r="AW30" s="23"/>
      <c r="AX30" s="23">
        <v>53123</v>
      </c>
      <c r="AY30" s="23">
        <v>4515.5</v>
      </c>
      <c r="AZ30" s="16">
        <v>0</v>
      </c>
      <c r="BA30" s="16">
        <v>0</v>
      </c>
      <c r="BB30" s="16">
        <v>0</v>
      </c>
      <c r="BC30" s="16">
        <v>0</v>
      </c>
      <c r="BD30" s="16">
        <v>2</v>
      </c>
      <c r="BE30" s="16">
        <v>7589</v>
      </c>
      <c r="BF30" s="16">
        <v>15178</v>
      </c>
      <c r="BG30" s="16">
        <v>1290.0999999999999</v>
      </c>
      <c r="BH30" s="16">
        <v>3</v>
      </c>
      <c r="BI30" s="16">
        <v>7761</v>
      </c>
      <c r="BJ30" s="16">
        <v>23282</v>
      </c>
      <c r="BK30" s="16">
        <v>1979</v>
      </c>
      <c r="BL30" s="16">
        <v>0</v>
      </c>
      <c r="BM30" s="16">
        <v>0</v>
      </c>
      <c r="BN30" s="16">
        <v>0</v>
      </c>
      <c r="BO30" s="16">
        <v>0</v>
      </c>
      <c r="BP30" s="16">
        <v>2</v>
      </c>
      <c r="BQ30" s="16">
        <v>7761</v>
      </c>
      <c r="BR30" s="16">
        <v>15521</v>
      </c>
      <c r="BS30" s="16">
        <v>1319.3</v>
      </c>
      <c r="BT30" s="23">
        <v>7</v>
      </c>
      <c r="BU30" s="23"/>
      <c r="BV30" s="23">
        <v>53981</v>
      </c>
      <c r="BW30" s="23">
        <v>4588.3999999999996</v>
      </c>
      <c r="BX30" s="16">
        <v>0</v>
      </c>
      <c r="BY30" s="16">
        <v>0</v>
      </c>
      <c r="BZ30" s="16">
        <v>0</v>
      </c>
      <c r="CA30" s="16">
        <v>0</v>
      </c>
      <c r="CB30" s="16">
        <v>2</v>
      </c>
      <c r="CC30" s="16">
        <v>7761</v>
      </c>
      <c r="CD30" s="16">
        <v>15521</v>
      </c>
      <c r="CE30" s="16">
        <v>1319.3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23">
        <v>2</v>
      </c>
      <c r="CO30" s="23"/>
      <c r="CP30" s="23">
        <v>15521</v>
      </c>
      <c r="CQ30" s="23">
        <v>1319.3</v>
      </c>
      <c r="CR30" s="16">
        <v>3</v>
      </c>
      <c r="CS30" s="16">
        <v>7761</v>
      </c>
      <c r="CT30" s="16">
        <v>23282</v>
      </c>
      <c r="CU30" s="16">
        <v>1979</v>
      </c>
      <c r="CV30" s="16">
        <v>0</v>
      </c>
      <c r="CW30" s="16">
        <v>0</v>
      </c>
      <c r="CX30" s="16">
        <v>0</v>
      </c>
      <c r="CY30" s="16">
        <v>0</v>
      </c>
      <c r="CZ30" s="16">
        <v>4</v>
      </c>
      <c r="DA30" s="16">
        <v>7761</v>
      </c>
      <c r="DB30" s="16">
        <v>31042</v>
      </c>
      <c r="DC30" s="16">
        <v>2638.6</v>
      </c>
      <c r="DD30" s="16">
        <v>0</v>
      </c>
      <c r="DE30" s="16">
        <v>0</v>
      </c>
      <c r="DF30" s="16">
        <v>0</v>
      </c>
      <c r="DG30" s="16">
        <v>0</v>
      </c>
      <c r="DH30" s="23">
        <v>7</v>
      </c>
      <c r="DI30" s="23"/>
      <c r="DJ30" s="23">
        <v>54324</v>
      </c>
      <c r="DK30" s="23">
        <v>4617.5</v>
      </c>
      <c r="DL30" s="16">
        <v>0</v>
      </c>
      <c r="DM30" s="16">
        <v>0</v>
      </c>
      <c r="DN30" s="16">
        <v>0</v>
      </c>
      <c r="DO30" s="16">
        <v>0</v>
      </c>
      <c r="DP30" s="16">
        <v>2</v>
      </c>
      <c r="DQ30" s="16">
        <v>7761</v>
      </c>
      <c r="DR30" s="16">
        <v>15521</v>
      </c>
      <c r="DS30" s="16">
        <v>1319.3</v>
      </c>
      <c r="DT30" s="16">
        <v>2</v>
      </c>
      <c r="DU30" s="16">
        <v>7761</v>
      </c>
      <c r="DV30" s="16">
        <v>15521</v>
      </c>
      <c r="DW30" s="16">
        <v>1319.3</v>
      </c>
      <c r="DX30" s="16">
        <v>0</v>
      </c>
      <c r="DY30" s="16">
        <v>0</v>
      </c>
      <c r="DZ30" s="16">
        <v>0</v>
      </c>
      <c r="EA30" s="16">
        <v>0</v>
      </c>
      <c r="EB30" s="16">
        <v>2</v>
      </c>
      <c r="EC30" s="16">
        <v>7761</v>
      </c>
      <c r="ED30" s="16">
        <v>15521</v>
      </c>
      <c r="EE30" s="16">
        <v>1319.3</v>
      </c>
      <c r="EF30" s="23">
        <v>6</v>
      </c>
      <c r="EG30" s="23"/>
      <c r="EH30" s="23">
        <v>46563</v>
      </c>
      <c r="EI30" s="23">
        <v>3957.9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2</v>
      </c>
      <c r="ES30" s="16">
        <v>7761</v>
      </c>
      <c r="ET30" s="16">
        <v>15521</v>
      </c>
      <c r="EU30" s="16">
        <v>1319.3</v>
      </c>
      <c r="EV30" s="16">
        <v>0</v>
      </c>
      <c r="EW30" s="16">
        <v>0</v>
      </c>
      <c r="EX30" s="16">
        <v>0</v>
      </c>
      <c r="EY30" s="16">
        <v>0</v>
      </c>
      <c r="EZ30" s="23">
        <v>2</v>
      </c>
      <c r="FA30" s="23"/>
      <c r="FB30" s="23">
        <v>15521</v>
      </c>
      <c r="FC30" s="23">
        <v>1319.3</v>
      </c>
      <c r="FD30" s="16">
        <v>2</v>
      </c>
      <c r="FE30" s="16">
        <v>7761</v>
      </c>
      <c r="FF30" s="16">
        <v>15521</v>
      </c>
      <c r="FG30" s="16">
        <v>1319.3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3</v>
      </c>
      <c r="FQ30" s="16">
        <v>7761</v>
      </c>
      <c r="FR30" s="16">
        <v>23282</v>
      </c>
      <c r="FS30" s="16">
        <v>1979</v>
      </c>
      <c r="FT30" s="23">
        <v>5</v>
      </c>
      <c r="FU30" s="23"/>
      <c r="FV30" s="23">
        <v>38803</v>
      </c>
      <c r="FW30" s="23">
        <v>3298.3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23">
        <v>0</v>
      </c>
      <c r="GS30" s="23"/>
      <c r="GT30" s="23">
        <v>0</v>
      </c>
      <c r="GU30" s="23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2</v>
      </c>
      <c r="HA30" s="16">
        <v>7761</v>
      </c>
      <c r="HB30" s="16">
        <v>15521</v>
      </c>
      <c r="HC30" s="16">
        <v>1319.3</v>
      </c>
      <c r="HD30" s="16">
        <v>2</v>
      </c>
      <c r="HE30" s="16">
        <v>7761</v>
      </c>
      <c r="HF30" s="16">
        <v>15521</v>
      </c>
      <c r="HG30" s="16">
        <v>1319.3</v>
      </c>
      <c r="HH30" s="16">
        <v>0</v>
      </c>
      <c r="HI30" s="16">
        <v>0</v>
      </c>
      <c r="HJ30" s="16">
        <v>0</v>
      </c>
      <c r="HK30" s="16">
        <v>0</v>
      </c>
      <c r="HL30" s="23">
        <v>4</v>
      </c>
      <c r="HM30" s="23"/>
      <c r="HN30" s="23">
        <v>31042</v>
      </c>
      <c r="HO30" s="23">
        <v>2638.6</v>
      </c>
      <c r="HP30" s="16">
        <v>2</v>
      </c>
      <c r="HQ30" s="16">
        <v>7761</v>
      </c>
      <c r="HR30" s="16">
        <v>15521</v>
      </c>
      <c r="HS30" s="16">
        <v>1319.3</v>
      </c>
      <c r="HT30" s="16">
        <v>0</v>
      </c>
      <c r="HU30" s="16">
        <v>0</v>
      </c>
      <c r="HV30" s="16">
        <v>0</v>
      </c>
      <c r="HW30" s="16">
        <v>0</v>
      </c>
      <c r="HX30" s="16">
        <v>2</v>
      </c>
      <c r="HY30" s="16">
        <v>7761</v>
      </c>
      <c r="HZ30" s="16">
        <v>15521</v>
      </c>
      <c r="IA30" s="16">
        <v>1319.3</v>
      </c>
      <c r="IB30" s="16">
        <v>3</v>
      </c>
      <c r="IC30" s="16">
        <v>7761</v>
      </c>
      <c r="ID30" s="16">
        <v>23282</v>
      </c>
      <c r="IE30" s="16">
        <v>1979</v>
      </c>
      <c r="IF30" s="23">
        <v>7</v>
      </c>
      <c r="IG30" s="23"/>
      <c r="IH30" s="23">
        <v>54324</v>
      </c>
      <c r="II30" s="23">
        <v>4617.5</v>
      </c>
      <c r="IJ30" s="16">
        <v>2</v>
      </c>
      <c r="IK30" s="16">
        <v>7761</v>
      </c>
      <c r="IL30" s="16">
        <v>15521</v>
      </c>
      <c r="IM30" s="16">
        <v>1319.3</v>
      </c>
      <c r="IN30" s="16">
        <v>0</v>
      </c>
      <c r="IO30" s="16">
        <v>0</v>
      </c>
      <c r="IP30" s="16">
        <v>0</v>
      </c>
      <c r="IQ30" s="16">
        <v>0</v>
      </c>
      <c r="IR30" s="16">
        <v>2</v>
      </c>
      <c r="IS30" s="16">
        <v>7761</v>
      </c>
      <c r="IT30" s="16">
        <v>15521</v>
      </c>
      <c r="IU30" s="16">
        <v>1319.3</v>
      </c>
      <c r="IV30" s="16">
        <v>0</v>
      </c>
      <c r="IW30" s="16">
        <v>0</v>
      </c>
      <c r="IX30" s="16">
        <v>0</v>
      </c>
      <c r="IY30" s="16">
        <v>0</v>
      </c>
      <c r="IZ30" s="16">
        <v>3</v>
      </c>
      <c r="JA30" s="16">
        <v>7761</v>
      </c>
      <c r="JB30" s="16">
        <v>23282</v>
      </c>
      <c r="JC30" s="16">
        <v>1979</v>
      </c>
      <c r="JD30" s="23">
        <v>7</v>
      </c>
      <c r="JE30" s="23"/>
      <c r="JF30" s="23">
        <v>54324</v>
      </c>
      <c r="JG30" s="23">
        <v>4617.5</v>
      </c>
      <c r="JH30" s="16">
        <v>0</v>
      </c>
      <c r="JI30" s="16">
        <v>0</v>
      </c>
      <c r="JJ30" s="16">
        <v>0</v>
      </c>
      <c r="JK30" s="16">
        <v>0</v>
      </c>
      <c r="JL30" s="16">
        <v>2</v>
      </c>
      <c r="JM30" s="16">
        <v>7761</v>
      </c>
      <c r="JN30" s="16">
        <v>15521</v>
      </c>
      <c r="JO30" s="16">
        <v>1319.3</v>
      </c>
      <c r="JP30" s="16">
        <v>3</v>
      </c>
      <c r="JQ30" s="16">
        <v>7761</v>
      </c>
      <c r="JR30" s="16">
        <v>23282</v>
      </c>
      <c r="JS30" s="16">
        <v>1979</v>
      </c>
      <c r="JT30" s="16">
        <v>0</v>
      </c>
      <c r="JU30" s="16">
        <v>0</v>
      </c>
      <c r="JV30" s="16">
        <v>0</v>
      </c>
      <c r="JW30" s="16">
        <v>0</v>
      </c>
      <c r="JX30" s="23">
        <v>5</v>
      </c>
      <c r="JY30" s="23"/>
      <c r="JZ30" s="23">
        <v>38803</v>
      </c>
      <c r="KA30" s="23">
        <v>3298.3</v>
      </c>
      <c r="KB30" s="16">
        <v>3</v>
      </c>
      <c r="KC30" s="16">
        <v>7761</v>
      </c>
      <c r="KD30" s="16">
        <v>23282</v>
      </c>
      <c r="KE30" s="16">
        <v>1979</v>
      </c>
      <c r="KF30" s="16">
        <v>0</v>
      </c>
      <c r="KG30" s="16">
        <v>0</v>
      </c>
      <c r="KH30" s="16">
        <v>0</v>
      </c>
      <c r="KI30" s="16">
        <v>0</v>
      </c>
      <c r="KJ30" s="16">
        <v>0</v>
      </c>
      <c r="KK30" s="16">
        <v>0</v>
      </c>
      <c r="KL30" s="16">
        <v>0</v>
      </c>
      <c r="KM30" s="16">
        <v>0</v>
      </c>
      <c r="KN30" s="16">
        <v>4</v>
      </c>
      <c r="KO30" s="16">
        <v>8615</v>
      </c>
      <c r="KP30" s="16">
        <v>34461</v>
      </c>
      <c r="KQ30" s="16">
        <v>2929.2</v>
      </c>
      <c r="KR30" s="23">
        <v>7</v>
      </c>
      <c r="KS30" s="23"/>
      <c r="KT30" s="23">
        <v>57743</v>
      </c>
      <c r="KU30" s="23">
        <v>4908.2</v>
      </c>
      <c r="KV30" s="23">
        <v>69</v>
      </c>
      <c r="KW30" s="23"/>
      <c r="KX30" s="23">
        <v>536839</v>
      </c>
      <c r="KY30" s="23">
        <v>45631.3</v>
      </c>
    </row>
    <row r="31" spans="1:311" ht="16.95" customHeight="1" x14ac:dyDescent="0.4">
      <c r="A31" s="11"/>
      <c r="B31" s="11"/>
      <c r="C31" s="11" t="s">
        <v>105</v>
      </c>
      <c r="D31" s="9">
        <v>0</v>
      </c>
      <c r="E31" s="9">
        <v>0</v>
      </c>
      <c r="F31" s="9">
        <v>0</v>
      </c>
      <c r="G31" s="9">
        <v>0</v>
      </c>
      <c r="H31" s="22">
        <v>0</v>
      </c>
      <c r="I31" s="22"/>
      <c r="J31" s="22">
        <v>0</v>
      </c>
      <c r="K31" s="22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22">
        <v>0</v>
      </c>
      <c r="AC31" s="22"/>
      <c r="AD31" s="22">
        <v>0</v>
      </c>
      <c r="AE31" s="22">
        <v>0</v>
      </c>
      <c r="AF31" s="9">
        <v>2</v>
      </c>
      <c r="AG31" s="9">
        <v>6431</v>
      </c>
      <c r="AH31" s="9">
        <v>12861</v>
      </c>
      <c r="AI31" s="9">
        <v>1093.2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22">
        <v>2</v>
      </c>
      <c r="AW31" s="22"/>
      <c r="AX31" s="22">
        <v>12861</v>
      </c>
      <c r="AY31" s="22">
        <v>1093.2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22">
        <v>0</v>
      </c>
      <c r="BU31" s="22"/>
      <c r="BV31" s="22">
        <v>0</v>
      </c>
      <c r="BW31" s="22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22">
        <v>0</v>
      </c>
      <c r="CO31" s="22"/>
      <c r="CP31" s="22">
        <v>0</v>
      </c>
      <c r="CQ31" s="22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22">
        <v>0</v>
      </c>
      <c r="DI31" s="22"/>
      <c r="DJ31" s="22">
        <v>0</v>
      </c>
      <c r="DK31" s="22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9">
        <v>0</v>
      </c>
      <c r="DU31" s="9">
        <v>0</v>
      </c>
      <c r="DV31" s="9">
        <v>0</v>
      </c>
      <c r="DW31" s="9">
        <v>0</v>
      </c>
      <c r="DX31" s="9">
        <v>0</v>
      </c>
      <c r="DY31" s="9">
        <v>0</v>
      </c>
      <c r="DZ31" s="9">
        <v>0</v>
      </c>
      <c r="EA31" s="9">
        <v>0</v>
      </c>
      <c r="EB31" s="9">
        <v>0</v>
      </c>
      <c r="EC31" s="9">
        <v>0</v>
      </c>
      <c r="ED31" s="9">
        <v>0</v>
      </c>
      <c r="EE31" s="9">
        <v>0</v>
      </c>
      <c r="EF31" s="22">
        <v>0</v>
      </c>
      <c r="EG31" s="22"/>
      <c r="EH31" s="22">
        <v>0</v>
      </c>
      <c r="EI31" s="22">
        <v>0</v>
      </c>
      <c r="EJ31" s="9">
        <v>0</v>
      </c>
      <c r="EK31" s="9">
        <v>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22">
        <v>0</v>
      </c>
      <c r="FA31" s="22"/>
      <c r="FB31" s="22">
        <v>0</v>
      </c>
      <c r="FC31" s="22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9">
        <v>0</v>
      </c>
      <c r="FS31" s="9">
        <v>0</v>
      </c>
      <c r="FT31" s="22">
        <v>0</v>
      </c>
      <c r="FU31" s="22"/>
      <c r="FV31" s="22">
        <v>0</v>
      </c>
      <c r="FW31" s="22">
        <v>0</v>
      </c>
      <c r="FX31" s="9">
        <v>0</v>
      </c>
      <c r="FY31" s="9">
        <v>0</v>
      </c>
      <c r="FZ31" s="9">
        <v>0</v>
      </c>
      <c r="GA31" s="9">
        <v>0</v>
      </c>
      <c r="GB31" s="9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9">
        <v>0</v>
      </c>
      <c r="GK31" s="9">
        <v>0</v>
      </c>
      <c r="GL31" s="9">
        <v>0</v>
      </c>
      <c r="GM31" s="9">
        <v>0</v>
      </c>
      <c r="GN31" s="9">
        <v>0</v>
      </c>
      <c r="GO31" s="9">
        <v>0</v>
      </c>
      <c r="GP31" s="9">
        <v>0</v>
      </c>
      <c r="GQ31" s="9">
        <v>0</v>
      </c>
      <c r="GR31" s="22">
        <v>0</v>
      </c>
      <c r="GS31" s="22"/>
      <c r="GT31" s="22">
        <v>0</v>
      </c>
      <c r="GU31" s="22">
        <v>0</v>
      </c>
      <c r="GV31" s="9">
        <v>0</v>
      </c>
      <c r="GW31" s="9">
        <v>0</v>
      </c>
      <c r="GX31" s="9">
        <v>0</v>
      </c>
      <c r="GY31" s="9">
        <v>0</v>
      </c>
      <c r="GZ31" s="9">
        <v>0</v>
      </c>
      <c r="HA31" s="9">
        <v>0</v>
      </c>
      <c r="HB31" s="9">
        <v>0</v>
      </c>
      <c r="HC31" s="9">
        <v>0</v>
      </c>
      <c r="HD31" s="9">
        <v>0</v>
      </c>
      <c r="HE31" s="9">
        <v>0</v>
      </c>
      <c r="HF31" s="9">
        <v>0</v>
      </c>
      <c r="HG31" s="9">
        <v>0</v>
      </c>
      <c r="HH31" s="9">
        <v>0</v>
      </c>
      <c r="HI31" s="9">
        <v>0</v>
      </c>
      <c r="HJ31" s="9">
        <v>0</v>
      </c>
      <c r="HK31" s="9">
        <v>0</v>
      </c>
      <c r="HL31" s="22">
        <v>0</v>
      </c>
      <c r="HM31" s="22"/>
      <c r="HN31" s="22">
        <v>0</v>
      </c>
      <c r="HO31" s="22">
        <v>0</v>
      </c>
      <c r="HP31" s="9">
        <v>0</v>
      </c>
      <c r="HQ31" s="9">
        <v>0</v>
      </c>
      <c r="HR31" s="9">
        <v>0</v>
      </c>
      <c r="HS31" s="9">
        <v>0</v>
      </c>
      <c r="HT31" s="9">
        <v>0</v>
      </c>
      <c r="HU31" s="9">
        <v>0</v>
      </c>
      <c r="HV31" s="9">
        <v>0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9">
        <v>0</v>
      </c>
      <c r="IC31" s="9">
        <v>0</v>
      </c>
      <c r="ID31" s="9">
        <v>0</v>
      </c>
      <c r="IE31" s="9">
        <v>0</v>
      </c>
      <c r="IF31" s="22">
        <v>0</v>
      </c>
      <c r="IG31" s="22"/>
      <c r="IH31" s="22">
        <v>0</v>
      </c>
      <c r="II31" s="22">
        <v>0</v>
      </c>
      <c r="IJ31" s="9">
        <v>0</v>
      </c>
      <c r="IK31" s="9">
        <v>0</v>
      </c>
      <c r="IL31" s="9">
        <v>0</v>
      </c>
      <c r="IM31" s="9">
        <v>0</v>
      </c>
      <c r="IN31" s="9">
        <v>0</v>
      </c>
      <c r="IO31" s="9">
        <v>0</v>
      </c>
      <c r="IP31" s="9">
        <v>0</v>
      </c>
      <c r="IQ31" s="9">
        <v>0</v>
      </c>
      <c r="IR31" s="9">
        <v>0</v>
      </c>
      <c r="IS31" s="9">
        <v>0</v>
      </c>
      <c r="IT31" s="9">
        <v>0</v>
      </c>
      <c r="IU31" s="9">
        <v>0</v>
      </c>
      <c r="IV31" s="9">
        <v>0</v>
      </c>
      <c r="IW31" s="9">
        <v>0</v>
      </c>
      <c r="IX31" s="9">
        <v>0</v>
      </c>
      <c r="IY31" s="9">
        <v>0</v>
      </c>
      <c r="IZ31" s="9">
        <v>0</v>
      </c>
      <c r="JA31" s="9">
        <v>0</v>
      </c>
      <c r="JB31" s="9">
        <v>0</v>
      </c>
      <c r="JC31" s="9">
        <v>0</v>
      </c>
      <c r="JD31" s="22">
        <v>0</v>
      </c>
      <c r="JE31" s="22"/>
      <c r="JF31" s="22">
        <v>0</v>
      </c>
      <c r="JG31" s="22">
        <v>0</v>
      </c>
      <c r="JH31" s="9">
        <v>0</v>
      </c>
      <c r="JI31" s="9">
        <v>0</v>
      </c>
      <c r="JJ31" s="9">
        <v>0</v>
      </c>
      <c r="JK31" s="9">
        <v>0</v>
      </c>
      <c r="JL31" s="9">
        <v>0</v>
      </c>
      <c r="JM31" s="9">
        <v>0</v>
      </c>
      <c r="JN31" s="9">
        <v>0</v>
      </c>
      <c r="JO31" s="9">
        <v>0</v>
      </c>
      <c r="JP31" s="9">
        <v>0</v>
      </c>
      <c r="JQ31" s="9">
        <v>0</v>
      </c>
      <c r="JR31" s="9">
        <v>0</v>
      </c>
      <c r="JS31" s="9">
        <v>0</v>
      </c>
      <c r="JT31" s="9">
        <v>0</v>
      </c>
      <c r="JU31" s="9">
        <v>0</v>
      </c>
      <c r="JV31" s="9">
        <v>0</v>
      </c>
      <c r="JW31" s="9">
        <v>0</v>
      </c>
      <c r="JX31" s="22">
        <v>0</v>
      </c>
      <c r="JY31" s="22"/>
      <c r="JZ31" s="22">
        <v>0</v>
      </c>
      <c r="KA31" s="22">
        <v>0</v>
      </c>
      <c r="KB31" s="9">
        <v>0</v>
      </c>
      <c r="KC31" s="9">
        <v>0</v>
      </c>
      <c r="KD31" s="9">
        <v>0</v>
      </c>
      <c r="KE31" s="9">
        <v>0</v>
      </c>
      <c r="KF31" s="9">
        <v>0</v>
      </c>
      <c r="KG31" s="9">
        <v>0</v>
      </c>
      <c r="KH31" s="9">
        <v>0</v>
      </c>
      <c r="KI31" s="9">
        <v>0</v>
      </c>
      <c r="KJ31" s="9">
        <v>0</v>
      </c>
      <c r="KK31" s="9">
        <v>0</v>
      </c>
      <c r="KL31" s="9">
        <v>0</v>
      </c>
      <c r="KM31" s="9">
        <v>0</v>
      </c>
      <c r="KN31" s="9">
        <v>0</v>
      </c>
      <c r="KO31" s="9">
        <v>0</v>
      </c>
      <c r="KP31" s="9">
        <v>0</v>
      </c>
      <c r="KQ31" s="9">
        <v>0</v>
      </c>
      <c r="KR31" s="22">
        <v>0</v>
      </c>
      <c r="KS31" s="22"/>
      <c r="KT31" s="22">
        <v>0</v>
      </c>
      <c r="KU31" s="22">
        <v>0</v>
      </c>
      <c r="KV31" s="22">
        <v>2</v>
      </c>
      <c r="KW31" s="22"/>
      <c r="KX31" s="22">
        <v>12861</v>
      </c>
      <c r="KY31" s="22">
        <v>1093.2</v>
      </c>
    </row>
    <row r="32" spans="1:311" ht="16.95" customHeight="1" x14ac:dyDescent="0.4">
      <c r="A32" s="15"/>
      <c r="B32" s="15"/>
      <c r="C32" s="15" t="s">
        <v>93</v>
      </c>
      <c r="D32" s="16">
        <v>0</v>
      </c>
      <c r="E32" s="16">
        <v>0</v>
      </c>
      <c r="F32" s="16">
        <v>0</v>
      </c>
      <c r="G32" s="16">
        <v>0</v>
      </c>
      <c r="H32" s="23">
        <v>0</v>
      </c>
      <c r="I32" s="23"/>
      <c r="J32" s="23">
        <v>0</v>
      </c>
      <c r="K32" s="23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2</v>
      </c>
      <c r="U32" s="16">
        <v>5093</v>
      </c>
      <c r="V32" s="16">
        <v>10186</v>
      </c>
      <c r="W32" s="16">
        <v>865.8</v>
      </c>
      <c r="X32" s="16">
        <v>0</v>
      </c>
      <c r="Y32" s="16">
        <v>0</v>
      </c>
      <c r="Z32" s="16">
        <v>0</v>
      </c>
      <c r="AA32" s="16">
        <v>0</v>
      </c>
      <c r="AB32" s="23">
        <v>2</v>
      </c>
      <c r="AC32" s="23"/>
      <c r="AD32" s="23">
        <v>10186</v>
      </c>
      <c r="AE32" s="23">
        <v>865.8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23">
        <v>0</v>
      </c>
      <c r="AW32" s="23"/>
      <c r="AX32" s="23">
        <v>0</v>
      </c>
      <c r="AY32" s="23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4</v>
      </c>
      <c r="BE32" s="16">
        <v>5660</v>
      </c>
      <c r="BF32" s="16">
        <v>22638</v>
      </c>
      <c r="BG32" s="16">
        <v>1924.2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23">
        <v>4</v>
      </c>
      <c r="BU32" s="23"/>
      <c r="BV32" s="23">
        <v>22638</v>
      </c>
      <c r="BW32" s="23">
        <v>1924.2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23">
        <v>0</v>
      </c>
      <c r="CO32" s="23"/>
      <c r="CP32" s="23">
        <v>0</v>
      </c>
      <c r="CQ32" s="23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2</v>
      </c>
      <c r="DE32" s="16">
        <v>5787</v>
      </c>
      <c r="DF32" s="16">
        <v>11574</v>
      </c>
      <c r="DG32" s="16">
        <v>983.8</v>
      </c>
      <c r="DH32" s="23">
        <v>2</v>
      </c>
      <c r="DI32" s="23"/>
      <c r="DJ32" s="23">
        <v>11574</v>
      </c>
      <c r="DK32" s="23">
        <v>983.8</v>
      </c>
      <c r="DL32" s="16">
        <v>0</v>
      </c>
      <c r="DM32" s="16">
        <v>0</v>
      </c>
      <c r="DN32" s="16">
        <v>0</v>
      </c>
      <c r="DO32" s="16">
        <v>0</v>
      </c>
      <c r="DP32" s="16">
        <v>2</v>
      </c>
      <c r="DQ32" s="16">
        <v>5787</v>
      </c>
      <c r="DR32" s="16">
        <v>11574</v>
      </c>
      <c r="DS32" s="16">
        <v>983.8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23">
        <v>2</v>
      </c>
      <c r="EG32" s="23"/>
      <c r="EH32" s="23">
        <v>11574</v>
      </c>
      <c r="EI32" s="23">
        <v>983.8</v>
      </c>
      <c r="EJ32" s="16">
        <v>0</v>
      </c>
      <c r="EK32" s="16">
        <v>0</v>
      </c>
      <c r="EL32" s="16">
        <v>0</v>
      </c>
      <c r="EM32" s="16">
        <v>0</v>
      </c>
      <c r="EN32" s="16">
        <v>2</v>
      </c>
      <c r="EO32" s="16">
        <v>5787</v>
      </c>
      <c r="EP32" s="16">
        <v>11574</v>
      </c>
      <c r="EQ32" s="16">
        <v>983.8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23">
        <v>2</v>
      </c>
      <c r="FA32" s="23"/>
      <c r="FB32" s="23">
        <v>11574</v>
      </c>
      <c r="FC32" s="23">
        <v>983.8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23">
        <v>0</v>
      </c>
      <c r="FU32" s="23"/>
      <c r="FV32" s="23">
        <v>0</v>
      </c>
      <c r="FW32" s="23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23">
        <v>0</v>
      </c>
      <c r="GS32" s="23"/>
      <c r="GT32" s="23">
        <v>0</v>
      </c>
      <c r="GU32" s="23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2</v>
      </c>
      <c r="HA32" s="16">
        <v>5787</v>
      </c>
      <c r="HB32" s="16">
        <v>11574</v>
      </c>
      <c r="HC32" s="16">
        <v>983.8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23">
        <v>2</v>
      </c>
      <c r="HM32" s="23"/>
      <c r="HN32" s="23">
        <v>11574</v>
      </c>
      <c r="HO32" s="23">
        <v>983.8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3</v>
      </c>
      <c r="HY32" s="16">
        <v>5787</v>
      </c>
      <c r="HZ32" s="16">
        <v>17361</v>
      </c>
      <c r="IA32" s="16">
        <v>1475.7</v>
      </c>
      <c r="IB32" s="16">
        <v>0</v>
      </c>
      <c r="IC32" s="16">
        <v>0</v>
      </c>
      <c r="ID32" s="16">
        <v>0</v>
      </c>
      <c r="IE32" s="16">
        <v>0</v>
      </c>
      <c r="IF32" s="23">
        <v>3</v>
      </c>
      <c r="IG32" s="23"/>
      <c r="IH32" s="23">
        <v>17361</v>
      </c>
      <c r="II32" s="23">
        <v>1475.7</v>
      </c>
      <c r="IJ32" s="16">
        <v>0</v>
      </c>
      <c r="IK32" s="16">
        <v>0</v>
      </c>
      <c r="IL32" s="16">
        <v>0</v>
      </c>
      <c r="IM32" s="16">
        <v>0</v>
      </c>
      <c r="IN32" s="16">
        <v>0</v>
      </c>
      <c r="IO32" s="16">
        <v>0</v>
      </c>
      <c r="IP32" s="16">
        <v>0</v>
      </c>
      <c r="IQ32" s="16">
        <v>0</v>
      </c>
      <c r="IR32" s="16">
        <v>0</v>
      </c>
      <c r="IS32" s="16">
        <v>0</v>
      </c>
      <c r="IT32" s="16">
        <v>0</v>
      </c>
      <c r="IU32" s="16">
        <v>0</v>
      </c>
      <c r="IV32" s="16">
        <v>0</v>
      </c>
      <c r="IW32" s="16">
        <v>0</v>
      </c>
      <c r="IX32" s="16">
        <v>0</v>
      </c>
      <c r="IY32" s="16">
        <v>0</v>
      </c>
      <c r="IZ32" s="16">
        <v>0</v>
      </c>
      <c r="JA32" s="16">
        <v>0</v>
      </c>
      <c r="JB32" s="16">
        <v>0</v>
      </c>
      <c r="JC32" s="16">
        <v>0</v>
      </c>
      <c r="JD32" s="23">
        <v>0</v>
      </c>
      <c r="JE32" s="23"/>
      <c r="JF32" s="23">
        <v>0</v>
      </c>
      <c r="JG32" s="23">
        <v>0</v>
      </c>
      <c r="JH32" s="16">
        <v>0</v>
      </c>
      <c r="JI32" s="16">
        <v>0</v>
      </c>
      <c r="JJ32" s="16">
        <v>0</v>
      </c>
      <c r="JK32" s="16">
        <v>0</v>
      </c>
      <c r="JL32" s="16">
        <v>0</v>
      </c>
      <c r="JM32" s="16">
        <v>0</v>
      </c>
      <c r="JN32" s="16">
        <v>0</v>
      </c>
      <c r="JO32" s="16">
        <v>0</v>
      </c>
      <c r="JP32" s="16">
        <v>0</v>
      </c>
      <c r="JQ32" s="16">
        <v>0</v>
      </c>
      <c r="JR32" s="16">
        <v>0</v>
      </c>
      <c r="JS32" s="16">
        <v>0</v>
      </c>
      <c r="JT32" s="16">
        <v>3</v>
      </c>
      <c r="JU32" s="16">
        <v>5209</v>
      </c>
      <c r="JV32" s="16">
        <v>15626</v>
      </c>
      <c r="JW32" s="16">
        <v>1328.2</v>
      </c>
      <c r="JX32" s="23">
        <v>3</v>
      </c>
      <c r="JY32" s="23"/>
      <c r="JZ32" s="23">
        <v>15626</v>
      </c>
      <c r="KA32" s="23">
        <v>1328.2</v>
      </c>
      <c r="KB32" s="16">
        <v>0</v>
      </c>
      <c r="KC32" s="16">
        <v>0</v>
      </c>
      <c r="KD32" s="16">
        <v>0</v>
      </c>
      <c r="KE32" s="16">
        <v>0</v>
      </c>
      <c r="KF32" s="16">
        <v>0</v>
      </c>
      <c r="KG32" s="16">
        <v>0</v>
      </c>
      <c r="KH32" s="16">
        <v>0</v>
      </c>
      <c r="KI32" s="16">
        <v>0</v>
      </c>
      <c r="KJ32" s="16">
        <v>0</v>
      </c>
      <c r="KK32" s="16">
        <v>0</v>
      </c>
      <c r="KL32" s="16">
        <v>0</v>
      </c>
      <c r="KM32" s="16">
        <v>0</v>
      </c>
      <c r="KN32" s="16">
        <v>0</v>
      </c>
      <c r="KO32" s="16">
        <v>0</v>
      </c>
      <c r="KP32" s="16">
        <v>0</v>
      </c>
      <c r="KQ32" s="16">
        <v>0</v>
      </c>
      <c r="KR32" s="23">
        <v>0</v>
      </c>
      <c r="KS32" s="23"/>
      <c r="KT32" s="23">
        <v>0</v>
      </c>
      <c r="KU32" s="23">
        <v>0</v>
      </c>
      <c r="KV32" s="23">
        <v>20</v>
      </c>
      <c r="KW32" s="23"/>
      <c r="KX32" s="23">
        <v>112107</v>
      </c>
      <c r="KY32" s="23">
        <v>9529.1</v>
      </c>
    </row>
    <row r="33" spans="1:311" ht="16.95" customHeight="1" x14ac:dyDescent="0.4">
      <c r="A33" s="11"/>
      <c r="B33" s="11"/>
      <c r="C33" s="11" t="s">
        <v>39</v>
      </c>
      <c r="D33" s="9">
        <v>2</v>
      </c>
      <c r="E33" s="9">
        <v>4000</v>
      </c>
      <c r="F33" s="9">
        <v>7999</v>
      </c>
      <c r="G33" s="9">
        <v>679.9</v>
      </c>
      <c r="H33" s="22">
        <v>2</v>
      </c>
      <c r="I33" s="22"/>
      <c r="J33" s="22">
        <v>7999</v>
      </c>
      <c r="K33" s="22">
        <v>679.9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22">
        <v>0</v>
      </c>
      <c r="AC33" s="22"/>
      <c r="AD33" s="22">
        <v>0</v>
      </c>
      <c r="AE33" s="22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22">
        <v>0</v>
      </c>
      <c r="AW33" s="22"/>
      <c r="AX33" s="22">
        <v>0</v>
      </c>
      <c r="AY33" s="22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22">
        <v>0</v>
      </c>
      <c r="BU33" s="22"/>
      <c r="BV33" s="22">
        <v>0</v>
      </c>
      <c r="BW33" s="22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22">
        <v>0</v>
      </c>
      <c r="CO33" s="22"/>
      <c r="CP33" s="22">
        <v>0</v>
      </c>
      <c r="CQ33" s="22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22">
        <v>0</v>
      </c>
      <c r="DI33" s="22"/>
      <c r="DJ33" s="22">
        <v>0</v>
      </c>
      <c r="DK33" s="22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9">
        <v>0</v>
      </c>
      <c r="DU33" s="9">
        <v>0</v>
      </c>
      <c r="DV33" s="9">
        <v>0</v>
      </c>
      <c r="DW33" s="9">
        <v>0</v>
      </c>
      <c r="DX33" s="9">
        <v>0</v>
      </c>
      <c r="DY33" s="9">
        <v>0</v>
      </c>
      <c r="DZ33" s="9">
        <v>0</v>
      </c>
      <c r="EA33" s="9">
        <v>0</v>
      </c>
      <c r="EB33" s="9">
        <v>0</v>
      </c>
      <c r="EC33" s="9">
        <v>0</v>
      </c>
      <c r="ED33" s="9">
        <v>0</v>
      </c>
      <c r="EE33" s="9">
        <v>0</v>
      </c>
      <c r="EF33" s="22">
        <v>0</v>
      </c>
      <c r="EG33" s="22"/>
      <c r="EH33" s="22">
        <v>0</v>
      </c>
      <c r="EI33" s="22">
        <v>0</v>
      </c>
      <c r="EJ33" s="9">
        <v>0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22">
        <v>0</v>
      </c>
      <c r="FA33" s="22"/>
      <c r="FB33" s="22">
        <v>0</v>
      </c>
      <c r="FC33" s="22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0</v>
      </c>
      <c r="FN33" s="9">
        <v>0</v>
      </c>
      <c r="FO33" s="9">
        <v>0</v>
      </c>
      <c r="FP33" s="9">
        <v>0</v>
      </c>
      <c r="FQ33" s="9">
        <v>0</v>
      </c>
      <c r="FR33" s="9">
        <v>0</v>
      </c>
      <c r="FS33" s="9">
        <v>0</v>
      </c>
      <c r="FT33" s="22">
        <v>0</v>
      </c>
      <c r="FU33" s="22"/>
      <c r="FV33" s="22">
        <v>0</v>
      </c>
      <c r="FW33" s="22">
        <v>0</v>
      </c>
      <c r="FX33" s="9">
        <v>0</v>
      </c>
      <c r="FY33" s="9">
        <v>0</v>
      </c>
      <c r="FZ33" s="9">
        <v>0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>
        <v>0</v>
      </c>
      <c r="GO33" s="9">
        <v>0</v>
      </c>
      <c r="GP33" s="9">
        <v>0</v>
      </c>
      <c r="GQ33" s="9">
        <v>0</v>
      </c>
      <c r="GR33" s="22">
        <v>0</v>
      </c>
      <c r="GS33" s="22"/>
      <c r="GT33" s="22">
        <v>0</v>
      </c>
      <c r="GU33" s="22">
        <v>0</v>
      </c>
      <c r="GV33" s="9">
        <v>0</v>
      </c>
      <c r="GW33" s="9">
        <v>0</v>
      </c>
      <c r="GX33" s="9">
        <v>0</v>
      </c>
      <c r="GY33" s="9">
        <v>0</v>
      </c>
      <c r="GZ33" s="9">
        <v>0</v>
      </c>
      <c r="HA33" s="9">
        <v>0</v>
      </c>
      <c r="HB33" s="9">
        <v>0</v>
      </c>
      <c r="HC33" s="9">
        <v>0</v>
      </c>
      <c r="HD33" s="9">
        <v>0</v>
      </c>
      <c r="HE33" s="9">
        <v>0</v>
      </c>
      <c r="HF33" s="9">
        <v>0</v>
      </c>
      <c r="HG33" s="9">
        <v>0</v>
      </c>
      <c r="HH33" s="9">
        <v>0</v>
      </c>
      <c r="HI33" s="9">
        <v>0</v>
      </c>
      <c r="HJ33" s="9">
        <v>0</v>
      </c>
      <c r="HK33" s="9">
        <v>0</v>
      </c>
      <c r="HL33" s="22">
        <v>0</v>
      </c>
      <c r="HM33" s="22"/>
      <c r="HN33" s="22">
        <v>0</v>
      </c>
      <c r="HO33" s="22">
        <v>0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9">
        <v>0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9">
        <v>0</v>
      </c>
      <c r="IC33" s="9">
        <v>0</v>
      </c>
      <c r="ID33" s="9">
        <v>0</v>
      </c>
      <c r="IE33" s="9">
        <v>0</v>
      </c>
      <c r="IF33" s="22">
        <v>0</v>
      </c>
      <c r="IG33" s="22"/>
      <c r="IH33" s="22">
        <v>0</v>
      </c>
      <c r="II33" s="22">
        <v>0</v>
      </c>
      <c r="IJ33" s="9">
        <v>0</v>
      </c>
      <c r="IK33" s="9">
        <v>0</v>
      </c>
      <c r="IL33" s="9">
        <v>0</v>
      </c>
      <c r="IM33" s="9">
        <v>0</v>
      </c>
      <c r="IN33" s="9">
        <v>0</v>
      </c>
      <c r="IO33" s="9">
        <v>0</v>
      </c>
      <c r="IP33" s="9">
        <v>0</v>
      </c>
      <c r="IQ33" s="9">
        <v>0</v>
      </c>
      <c r="IR33" s="9">
        <v>0</v>
      </c>
      <c r="IS33" s="9">
        <v>0</v>
      </c>
      <c r="IT33" s="9">
        <v>0</v>
      </c>
      <c r="IU33" s="9">
        <v>0</v>
      </c>
      <c r="IV33" s="9">
        <v>0</v>
      </c>
      <c r="IW33" s="9">
        <v>0</v>
      </c>
      <c r="IX33" s="9">
        <v>0</v>
      </c>
      <c r="IY33" s="9">
        <v>0</v>
      </c>
      <c r="IZ33" s="9">
        <v>0</v>
      </c>
      <c r="JA33" s="9">
        <v>0</v>
      </c>
      <c r="JB33" s="9">
        <v>0</v>
      </c>
      <c r="JC33" s="9">
        <v>0</v>
      </c>
      <c r="JD33" s="22">
        <v>0</v>
      </c>
      <c r="JE33" s="22"/>
      <c r="JF33" s="22">
        <v>0</v>
      </c>
      <c r="JG33" s="22">
        <v>0</v>
      </c>
      <c r="JH33" s="9">
        <v>0</v>
      </c>
      <c r="JI33" s="9">
        <v>0</v>
      </c>
      <c r="JJ33" s="9">
        <v>0</v>
      </c>
      <c r="JK33" s="9">
        <v>0</v>
      </c>
      <c r="JL33" s="9">
        <v>0</v>
      </c>
      <c r="JM33" s="9">
        <v>0</v>
      </c>
      <c r="JN33" s="9">
        <v>0</v>
      </c>
      <c r="JO33" s="9">
        <v>0</v>
      </c>
      <c r="JP33" s="9">
        <v>0</v>
      </c>
      <c r="JQ33" s="9">
        <v>0</v>
      </c>
      <c r="JR33" s="9">
        <v>0</v>
      </c>
      <c r="JS33" s="9">
        <v>0</v>
      </c>
      <c r="JT33" s="9">
        <v>0</v>
      </c>
      <c r="JU33" s="9">
        <v>0</v>
      </c>
      <c r="JV33" s="9">
        <v>0</v>
      </c>
      <c r="JW33" s="9">
        <v>0</v>
      </c>
      <c r="JX33" s="22">
        <v>0</v>
      </c>
      <c r="JY33" s="22"/>
      <c r="JZ33" s="22">
        <v>0</v>
      </c>
      <c r="KA33" s="22">
        <v>0</v>
      </c>
      <c r="KB33" s="9">
        <v>0</v>
      </c>
      <c r="KC33" s="9">
        <v>0</v>
      </c>
      <c r="KD33" s="9">
        <v>0</v>
      </c>
      <c r="KE33" s="9">
        <v>0</v>
      </c>
      <c r="KF33" s="9">
        <v>0</v>
      </c>
      <c r="KG33" s="9">
        <v>0</v>
      </c>
      <c r="KH33" s="9">
        <v>0</v>
      </c>
      <c r="KI33" s="9">
        <v>0</v>
      </c>
      <c r="KJ33" s="9">
        <v>0</v>
      </c>
      <c r="KK33" s="9">
        <v>0</v>
      </c>
      <c r="KL33" s="9">
        <v>0</v>
      </c>
      <c r="KM33" s="9">
        <v>0</v>
      </c>
      <c r="KN33" s="9">
        <v>0</v>
      </c>
      <c r="KO33" s="9">
        <v>0</v>
      </c>
      <c r="KP33" s="9">
        <v>0</v>
      </c>
      <c r="KQ33" s="9">
        <v>0</v>
      </c>
      <c r="KR33" s="22">
        <v>0</v>
      </c>
      <c r="KS33" s="22"/>
      <c r="KT33" s="22">
        <v>0</v>
      </c>
      <c r="KU33" s="22">
        <v>0</v>
      </c>
      <c r="KV33" s="22">
        <v>2</v>
      </c>
      <c r="KW33" s="22"/>
      <c r="KX33" s="22">
        <v>7999</v>
      </c>
      <c r="KY33" s="22">
        <v>679.9</v>
      </c>
    </row>
    <row r="34" spans="1:311" ht="16.95" customHeight="1" x14ac:dyDescent="0.4">
      <c r="A34" s="15"/>
      <c r="B34" s="15"/>
      <c r="C34" s="15" t="s">
        <v>77</v>
      </c>
      <c r="D34" s="16">
        <v>0</v>
      </c>
      <c r="E34" s="16">
        <v>0</v>
      </c>
      <c r="F34" s="16">
        <v>0</v>
      </c>
      <c r="G34" s="16">
        <v>0</v>
      </c>
      <c r="H34" s="23">
        <v>0</v>
      </c>
      <c r="I34" s="23"/>
      <c r="J34" s="23">
        <v>0</v>
      </c>
      <c r="K34" s="23">
        <v>0</v>
      </c>
      <c r="L34" s="16">
        <v>0</v>
      </c>
      <c r="M34" s="16">
        <v>0</v>
      </c>
      <c r="N34" s="16">
        <v>0</v>
      </c>
      <c r="O34" s="16">
        <v>0</v>
      </c>
      <c r="P34" s="16">
        <v>1</v>
      </c>
      <c r="Q34" s="16">
        <v>16721</v>
      </c>
      <c r="R34" s="16">
        <v>16721</v>
      </c>
      <c r="S34" s="16">
        <v>1421.3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23">
        <v>1</v>
      </c>
      <c r="AC34" s="23"/>
      <c r="AD34" s="23">
        <v>16721</v>
      </c>
      <c r="AE34" s="23">
        <v>1421.3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1</v>
      </c>
      <c r="AS34" s="16">
        <v>16721</v>
      </c>
      <c r="AT34" s="16">
        <v>16721</v>
      </c>
      <c r="AU34" s="16">
        <v>1421.3</v>
      </c>
      <c r="AV34" s="23">
        <v>1</v>
      </c>
      <c r="AW34" s="23"/>
      <c r="AX34" s="23">
        <v>16721</v>
      </c>
      <c r="AY34" s="23">
        <v>1421.3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1</v>
      </c>
      <c r="BQ34" s="16">
        <v>17098</v>
      </c>
      <c r="BR34" s="16">
        <v>17098</v>
      </c>
      <c r="BS34" s="16">
        <v>1453.3</v>
      </c>
      <c r="BT34" s="23">
        <v>1</v>
      </c>
      <c r="BU34" s="23"/>
      <c r="BV34" s="23">
        <v>17098</v>
      </c>
      <c r="BW34" s="23">
        <v>1453.3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1</v>
      </c>
      <c r="CK34" s="16">
        <v>17098</v>
      </c>
      <c r="CL34" s="16">
        <v>17098</v>
      </c>
      <c r="CM34" s="16">
        <v>1453.3</v>
      </c>
      <c r="CN34" s="23">
        <v>1</v>
      </c>
      <c r="CO34" s="23"/>
      <c r="CP34" s="23">
        <v>17098</v>
      </c>
      <c r="CQ34" s="23">
        <v>1453.3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23">
        <v>0</v>
      </c>
      <c r="DI34" s="23"/>
      <c r="DJ34" s="23">
        <v>0</v>
      </c>
      <c r="DK34" s="23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1</v>
      </c>
      <c r="DQ34" s="16">
        <v>17098</v>
      </c>
      <c r="DR34" s="16">
        <v>17098</v>
      </c>
      <c r="DS34" s="16">
        <v>1453.3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23">
        <v>1</v>
      </c>
      <c r="EG34" s="23"/>
      <c r="EH34" s="23">
        <v>17098</v>
      </c>
      <c r="EI34" s="23">
        <v>1453.3</v>
      </c>
      <c r="EJ34" s="16">
        <v>0</v>
      </c>
      <c r="EK34" s="16">
        <v>0</v>
      </c>
      <c r="EL34" s="16">
        <v>0</v>
      </c>
      <c r="EM34" s="16">
        <v>0</v>
      </c>
      <c r="EN34" s="16">
        <v>1</v>
      </c>
      <c r="EO34" s="16">
        <v>17098</v>
      </c>
      <c r="EP34" s="16">
        <v>17098</v>
      </c>
      <c r="EQ34" s="16">
        <v>1453.3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23">
        <v>1</v>
      </c>
      <c r="FA34" s="23"/>
      <c r="FB34" s="23">
        <v>17098</v>
      </c>
      <c r="FC34" s="23">
        <v>1453.3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1</v>
      </c>
      <c r="FQ34" s="16">
        <v>17098</v>
      </c>
      <c r="FR34" s="16">
        <v>17098</v>
      </c>
      <c r="FS34" s="16">
        <v>1453.3</v>
      </c>
      <c r="FT34" s="23">
        <v>1</v>
      </c>
      <c r="FU34" s="23"/>
      <c r="FV34" s="23">
        <v>17098</v>
      </c>
      <c r="FW34" s="23">
        <v>1453.3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23">
        <v>0</v>
      </c>
      <c r="GS34" s="23"/>
      <c r="GT34" s="23">
        <v>0</v>
      </c>
      <c r="GU34" s="23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1</v>
      </c>
      <c r="HA34" s="16">
        <v>17098</v>
      </c>
      <c r="HB34" s="16">
        <v>17098</v>
      </c>
      <c r="HC34" s="16">
        <v>1453.3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23">
        <v>1</v>
      </c>
      <c r="HM34" s="23"/>
      <c r="HN34" s="23">
        <v>17098</v>
      </c>
      <c r="HO34" s="23">
        <v>1453.3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  <c r="IB34" s="16">
        <v>1</v>
      </c>
      <c r="IC34" s="16">
        <v>17098</v>
      </c>
      <c r="ID34" s="16">
        <v>17098</v>
      </c>
      <c r="IE34" s="16">
        <v>1453.3</v>
      </c>
      <c r="IF34" s="23">
        <v>1</v>
      </c>
      <c r="IG34" s="23"/>
      <c r="IH34" s="23">
        <v>17098</v>
      </c>
      <c r="II34" s="23">
        <v>1453.3</v>
      </c>
      <c r="IJ34" s="16">
        <v>0</v>
      </c>
      <c r="IK34" s="16">
        <v>0</v>
      </c>
      <c r="IL34" s="16">
        <v>0</v>
      </c>
      <c r="IM34" s="16">
        <v>0</v>
      </c>
      <c r="IN34" s="16">
        <v>0</v>
      </c>
      <c r="IO34" s="16">
        <v>0</v>
      </c>
      <c r="IP34" s="16">
        <v>0</v>
      </c>
      <c r="IQ34" s="16">
        <v>0</v>
      </c>
      <c r="IR34" s="16">
        <v>0</v>
      </c>
      <c r="IS34" s="16">
        <v>0</v>
      </c>
      <c r="IT34" s="16">
        <v>0</v>
      </c>
      <c r="IU34" s="16">
        <v>0</v>
      </c>
      <c r="IV34" s="16">
        <v>0</v>
      </c>
      <c r="IW34" s="16">
        <v>0</v>
      </c>
      <c r="IX34" s="16">
        <v>0</v>
      </c>
      <c r="IY34" s="16">
        <v>0</v>
      </c>
      <c r="IZ34" s="16">
        <v>0</v>
      </c>
      <c r="JA34" s="16">
        <v>0</v>
      </c>
      <c r="JB34" s="16">
        <v>0</v>
      </c>
      <c r="JC34" s="16">
        <v>0</v>
      </c>
      <c r="JD34" s="23">
        <v>0</v>
      </c>
      <c r="JE34" s="23"/>
      <c r="JF34" s="23">
        <v>0</v>
      </c>
      <c r="JG34" s="23">
        <v>0</v>
      </c>
      <c r="JH34" s="16">
        <v>0</v>
      </c>
      <c r="JI34" s="16">
        <v>0</v>
      </c>
      <c r="JJ34" s="16">
        <v>0</v>
      </c>
      <c r="JK34" s="16">
        <v>0</v>
      </c>
      <c r="JL34" s="16">
        <v>1</v>
      </c>
      <c r="JM34" s="16">
        <v>15783</v>
      </c>
      <c r="JN34" s="16">
        <v>15783</v>
      </c>
      <c r="JO34" s="16">
        <v>1341.6</v>
      </c>
      <c r="JP34" s="16">
        <v>0</v>
      </c>
      <c r="JQ34" s="16">
        <v>0</v>
      </c>
      <c r="JR34" s="16">
        <v>0</v>
      </c>
      <c r="JS34" s="16">
        <v>0</v>
      </c>
      <c r="JT34" s="16">
        <v>0</v>
      </c>
      <c r="JU34" s="16">
        <v>0</v>
      </c>
      <c r="JV34" s="16">
        <v>0</v>
      </c>
      <c r="JW34" s="16">
        <v>0</v>
      </c>
      <c r="JX34" s="23">
        <v>1</v>
      </c>
      <c r="JY34" s="23"/>
      <c r="JZ34" s="23">
        <v>15783</v>
      </c>
      <c r="KA34" s="23">
        <v>1341.6</v>
      </c>
      <c r="KB34" s="16">
        <v>0</v>
      </c>
      <c r="KC34" s="16">
        <v>0</v>
      </c>
      <c r="KD34" s="16">
        <v>0</v>
      </c>
      <c r="KE34" s="16">
        <v>0</v>
      </c>
      <c r="KF34" s="16">
        <v>0</v>
      </c>
      <c r="KG34" s="16">
        <v>0</v>
      </c>
      <c r="KH34" s="16">
        <v>0</v>
      </c>
      <c r="KI34" s="16">
        <v>0</v>
      </c>
      <c r="KJ34" s="16">
        <v>0</v>
      </c>
      <c r="KK34" s="16">
        <v>0</v>
      </c>
      <c r="KL34" s="16">
        <v>0</v>
      </c>
      <c r="KM34" s="16">
        <v>0</v>
      </c>
      <c r="KN34" s="16">
        <v>0</v>
      </c>
      <c r="KO34" s="16">
        <v>0</v>
      </c>
      <c r="KP34" s="16">
        <v>0</v>
      </c>
      <c r="KQ34" s="16">
        <v>0</v>
      </c>
      <c r="KR34" s="23">
        <v>0</v>
      </c>
      <c r="KS34" s="23"/>
      <c r="KT34" s="23">
        <v>0</v>
      </c>
      <c r="KU34" s="23">
        <v>0</v>
      </c>
      <c r="KV34" s="23">
        <v>10</v>
      </c>
      <c r="KW34" s="23"/>
      <c r="KX34" s="23">
        <v>168911</v>
      </c>
      <c r="KY34" s="23">
        <v>14357.4</v>
      </c>
    </row>
    <row r="35" spans="1:311" ht="16.95" customHeight="1" x14ac:dyDescent="0.4">
      <c r="A35" s="11"/>
      <c r="B35" s="11"/>
      <c r="C35" s="11" t="s">
        <v>86</v>
      </c>
      <c r="D35" s="9">
        <v>0</v>
      </c>
      <c r="E35" s="9">
        <v>0</v>
      </c>
      <c r="F35" s="9">
        <v>0</v>
      </c>
      <c r="G35" s="9">
        <v>0</v>
      </c>
      <c r="H35" s="22">
        <v>0</v>
      </c>
      <c r="I35" s="22"/>
      <c r="J35" s="22">
        <v>0</v>
      </c>
      <c r="K35" s="22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16721</v>
      </c>
      <c r="V35" s="9">
        <v>16721</v>
      </c>
      <c r="W35" s="9">
        <v>1421.3</v>
      </c>
      <c r="X35" s="9">
        <v>0</v>
      </c>
      <c r="Y35" s="9">
        <v>0</v>
      </c>
      <c r="Z35" s="9">
        <v>0</v>
      </c>
      <c r="AA35" s="9">
        <v>0</v>
      </c>
      <c r="AB35" s="22">
        <v>1</v>
      </c>
      <c r="AC35" s="22"/>
      <c r="AD35" s="22">
        <v>16721</v>
      </c>
      <c r="AE35" s="22">
        <v>1421.3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1</v>
      </c>
      <c r="AO35" s="9">
        <v>16721</v>
      </c>
      <c r="AP35" s="9">
        <v>16721</v>
      </c>
      <c r="AQ35" s="9">
        <v>1421.3</v>
      </c>
      <c r="AR35" s="9">
        <v>0</v>
      </c>
      <c r="AS35" s="9">
        <v>0</v>
      </c>
      <c r="AT35" s="9">
        <v>0</v>
      </c>
      <c r="AU35" s="9">
        <v>0</v>
      </c>
      <c r="AV35" s="22">
        <v>1</v>
      </c>
      <c r="AW35" s="22"/>
      <c r="AX35" s="22">
        <v>16721</v>
      </c>
      <c r="AY35" s="22">
        <v>1421.3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1</v>
      </c>
      <c r="BI35" s="9">
        <v>16721</v>
      </c>
      <c r="BJ35" s="9">
        <v>16721</v>
      </c>
      <c r="BK35" s="9">
        <v>1421.3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22">
        <v>1</v>
      </c>
      <c r="BU35" s="22"/>
      <c r="BV35" s="22">
        <v>16721</v>
      </c>
      <c r="BW35" s="22">
        <v>1421.3</v>
      </c>
      <c r="BX35" s="9">
        <v>0</v>
      </c>
      <c r="BY35" s="9">
        <v>0</v>
      </c>
      <c r="BZ35" s="9">
        <v>0</v>
      </c>
      <c r="CA35" s="9">
        <v>0</v>
      </c>
      <c r="CB35" s="9">
        <v>1</v>
      </c>
      <c r="CC35" s="9">
        <v>17098</v>
      </c>
      <c r="CD35" s="9">
        <v>17098</v>
      </c>
      <c r="CE35" s="9">
        <v>1453.3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22">
        <v>1</v>
      </c>
      <c r="CO35" s="22"/>
      <c r="CP35" s="22">
        <v>17098</v>
      </c>
      <c r="CQ35" s="22">
        <v>1453.3</v>
      </c>
      <c r="CR35" s="9">
        <v>0</v>
      </c>
      <c r="CS35" s="9">
        <v>0</v>
      </c>
      <c r="CT35" s="9">
        <v>0</v>
      </c>
      <c r="CU35" s="9">
        <v>0</v>
      </c>
      <c r="CV35" s="9">
        <v>1</v>
      </c>
      <c r="CW35" s="9">
        <v>17098</v>
      </c>
      <c r="CX35" s="9">
        <v>17098</v>
      </c>
      <c r="CY35" s="9">
        <v>1453.3</v>
      </c>
      <c r="CZ35" s="9">
        <v>0</v>
      </c>
      <c r="DA35" s="9">
        <v>0</v>
      </c>
      <c r="DB35" s="9">
        <v>0</v>
      </c>
      <c r="DC35" s="9">
        <v>0</v>
      </c>
      <c r="DD35" s="9">
        <v>1</v>
      </c>
      <c r="DE35" s="9">
        <v>17098</v>
      </c>
      <c r="DF35" s="9">
        <v>17098</v>
      </c>
      <c r="DG35" s="9">
        <v>1453.3</v>
      </c>
      <c r="DH35" s="22">
        <v>2</v>
      </c>
      <c r="DI35" s="22"/>
      <c r="DJ35" s="22">
        <v>34196</v>
      </c>
      <c r="DK35" s="22">
        <v>2906.7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9">
        <v>1</v>
      </c>
      <c r="DU35" s="9">
        <v>17098</v>
      </c>
      <c r="DV35" s="9">
        <v>17098</v>
      </c>
      <c r="DW35" s="9">
        <v>1453.3</v>
      </c>
      <c r="DX35" s="9">
        <v>0</v>
      </c>
      <c r="DY35" s="9">
        <v>0</v>
      </c>
      <c r="DZ35" s="9">
        <v>0</v>
      </c>
      <c r="EA35" s="9">
        <v>0</v>
      </c>
      <c r="EB35" s="9">
        <v>0</v>
      </c>
      <c r="EC35" s="9">
        <v>0</v>
      </c>
      <c r="ED35" s="9">
        <v>0</v>
      </c>
      <c r="EE35" s="9">
        <v>0</v>
      </c>
      <c r="EF35" s="22">
        <v>1</v>
      </c>
      <c r="EG35" s="22"/>
      <c r="EH35" s="22">
        <v>17098</v>
      </c>
      <c r="EI35" s="22">
        <v>1453.3</v>
      </c>
      <c r="EJ35" s="9">
        <v>1</v>
      </c>
      <c r="EK35" s="9">
        <v>17098</v>
      </c>
      <c r="EL35" s="9">
        <v>17098</v>
      </c>
      <c r="EM35" s="9">
        <v>1453.3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</v>
      </c>
      <c r="EV35" s="9">
        <v>1</v>
      </c>
      <c r="EW35" s="9">
        <v>17098</v>
      </c>
      <c r="EX35" s="9">
        <v>17098</v>
      </c>
      <c r="EY35" s="9">
        <v>1453.3</v>
      </c>
      <c r="EZ35" s="22">
        <v>2</v>
      </c>
      <c r="FA35" s="22"/>
      <c r="FB35" s="22">
        <v>34196</v>
      </c>
      <c r="FC35" s="22">
        <v>2906.7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9">
        <v>1</v>
      </c>
      <c r="FM35" s="9">
        <v>17098</v>
      </c>
      <c r="FN35" s="9">
        <v>17098</v>
      </c>
      <c r="FO35" s="9">
        <v>1453.3</v>
      </c>
      <c r="FP35" s="9">
        <v>0</v>
      </c>
      <c r="FQ35" s="9">
        <v>0</v>
      </c>
      <c r="FR35" s="9">
        <v>0</v>
      </c>
      <c r="FS35" s="9">
        <v>0</v>
      </c>
      <c r="FT35" s="22">
        <v>1</v>
      </c>
      <c r="FU35" s="22"/>
      <c r="FV35" s="22">
        <v>17098</v>
      </c>
      <c r="FW35" s="22">
        <v>1453.3</v>
      </c>
      <c r="FX35" s="9">
        <v>0</v>
      </c>
      <c r="FY35" s="9">
        <v>0</v>
      </c>
      <c r="FZ35" s="9">
        <v>0</v>
      </c>
      <c r="GA35" s="9">
        <v>0</v>
      </c>
      <c r="GB35" s="9">
        <v>1</v>
      </c>
      <c r="GC35" s="9">
        <v>17098</v>
      </c>
      <c r="GD35" s="9">
        <v>17098</v>
      </c>
      <c r="GE35" s="9">
        <v>1453.3</v>
      </c>
      <c r="GF35" s="9">
        <v>0</v>
      </c>
      <c r="GG35" s="9">
        <v>0</v>
      </c>
      <c r="GH35" s="9">
        <v>0</v>
      </c>
      <c r="GI35" s="9">
        <v>0</v>
      </c>
      <c r="GJ35" s="9">
        <v>0</v>
      </c>
      <c r="GK35" s="9">
        <v>0</v>
      </c>
      <c r="GL35" s="9">
        <v>0</v>
      </c>
      <c r="GM35" s="9">
        <v>0</v>
      </c>
      <c r="GN35" s="9">
        <v>1</v>
      </c>
      <c r="GO35" s="9">
        <v>17098</v>
      </c>
      <c r="GP35" s="9">
        <v>17098</v>
      </c>
      <c r="GQ35" s="9">
        <v>1453.3</v>
      </c>
      <c r="GR35" s="22">
        <v>2</v>
      </c>
      <c r="GS35" s="22"/>
      <c r="GT35" s="22">
        <v>34196</v>
      </c>
      <c r="GU35" s="22">
        <v>2906.7</v>
      </c>
      <c r="GV35" s="9">
        <v>0</v>
      </c>
      <c r="GW35" s="9">
        <v>0</v>
      </c>
      <c r="GX35" s="9">
        <v>0</v>
      </c>
      <c r="GY35" s="9">
        <v>0</v>
      </c>
      <c r="GZ35" s="9">
        <v>0</v>
      </c>
      <c r="HA35" s="9">
        <v>0</v>
      </c>
      <c r="HB35" s="9">
        <v>0</v>
      </c>
      <c r="HC35" s="9">
        <v>0</v>
      </c>
      <c r="HD35" s="9">
        <v>0</v>
      </c>
      <c r="HE35" s="9">
        <v>0</v>
      </c>
      <c r="HF35" s="9">
        <v>0</v>
      </c>
      <c r="HG35" s="9">
        <v>0</v>
      </c>
      <c r="HH35" s="9">
        <v>1</v>
      </c>
      <c r="HI35" s="9">
        <v>17098</v>
      </c>
      <c r="HJ35" s="9">
        <v>17098</v>
      </c>
      <c r="HK35" s="9">
        <v>1453.3</v>
      </c>
      <c r="HL35" s="22">
        <v>1</v>
      </c>
      <c r="HM35" s="22"/>
      <c r="HN35" s="22">
        <v>17098</v>
      </c>
      <c r="HO35" s="22">
        <v>1453.3</v>
      </c>
      <c r="HP35" s="9">
        <v>0</v>
      </c>
      <c r="HQ35" s="9">
        <v>0</v>
      </c>
      <c r="HR35" s="9">
        <v>0</v>
      </c>
      <c r="HS35" s="9">
        <v>0</v>
      </c>
      <c r="HT35" s="9">
        <v>0</v>
      </c>
      <c r="HU35" s="9">
        <v>0</v>
      </c>
      <c r="HV35" s="9">
        <v>0</v>
      </c>
      <c r="HW35" s="9">
        <v>0</v>
      </c>
      <c r="HX35" s="9">
        <v>0</v>
      </c>
      <c r="HY35" s="9">
        <v>0</v>
      </c>
      <c r="HZ35" s="9">
        <v>0</v>
      </c>
      <c r="IA35" s="9">
        <v>0</v>
      </c>
      <c r="IB35" s="9">
        <v>1</v>
      </c>
      <c r="IC35" s="9">
        <v>17098</v>
      </c>
      <c r="ID35" s="9">
        <v>17098</v>
      </c>
      <c r="IE35" s="9">
        <v>1453.3</v>
      </c>
      <c r="IF35" s="22">
        <v>1</v>
      </c>
      <c r="IG35" s="22"/>
      <c r="IH35" s="22">
        <v>17098</v>
      </c>
      <c r="II35" s="22">
        <v>1453.3</v>
      </c>
      <c r="IJ35" s="9">
        <v>0</v>
      </c>
      <c r="IK35" s="9">
        <v>0</v>
      </c>
      <c r="IL35" s="9">
        <v>0</v>
      </c>
      <c r="IM35" s="9">
        <v>0</v>
      </c>
      <c r="IN35" s="9">
        <v>0</v>
      </c>
      <c r="IO35" s="9">
        <v>0</v>
      </c>
      <c r="IP35" s="9">
        <v>0</v>
      </c>
      <c r="IQ35" s="9">
        <v>0</v>
      </c>
      <c r="IR35" s="9">
        <v>1</v>
      </c>
      <c r="IS35" s="9">
        <v>17098</v>
      </c>
      <c r="IT35" s="9">
        <v>17098</v>
      </c>
      <c r="IU35" s="9">
        <v>1453.3</v>
      </c>
      <c r="IV35" s="9">
        <v>0</v>
      </c>
      <c r="IW35" s="9">
        <v>0</v>
      </c>
      <c r="IX35" s="9">
        <v>0</v>
      </c>
      <c r="IY35" s="9">
        <v>0</v>
      </c>
      <c r="IZ35" s="9">
        <v>0</v>
      </c>
      <c r="JA35" s="9">
        <v>0</v>
      </c>
      <c r="JB35" s="9">
        <v>0</v>
      </c>
      <c r="JC35" s="9">
        <v>0</v>
      </c>
      <c r="JD35" s="22">
        <v>1</v>
      </c>
      <c r="JE35" s="22"/>
      <c r="JF35" s="22">
        <v>17098</v>
      </c>
      <c r="JG35" s="22">
        <v>1453.3</v>
      </c>
      <c r="JH35" s="9">
        <v>0</v>
      </c>
      <c r="JI35" s="9">
        <v>0</v>
      </c>
      <c r="JJ35" s="9">
        <v>0</v>
      </c>
      <c r="JK35" s="9">
        <v>0</v>
      </c>
      <c r="JL35" s="9">
        <v>1</v>
      </c>
      <c r="JM35" s="9">
        <v>15783</v>
      </c>
      <c r="JN35" s="9">
        <v>15783</v>
      </c>
      <c r="JO35" s="9">
        <v>1341.6</v>
      </c>
      <c r="JP35" s="9">
        <v>0</v>
      </c>
      <c r="JQ35" s="9">
        <v>0</v>
      </c>
      <c r="JR35" s="9">
        <v>0</v>
      </c>
      <c r="JS35" s="9">
        <v>0</v>
      </c>
      <c r="JT35" s="9">
        <v>0</v>
      </c>
      <c r="JU35" s="9">
        <v>0</v>
      </c>
      <c r="JV35" s="9">
        <v>0</v>
      </c>
      <c r="JW35" s="9">
        <v>0</v>
      </c>
      <c r="JX35" s="22">
        <v>1</v>
      </c>
      <c r="JY35" s="22"/>
      <c r="JZ35" s="22">
        <v>15783</v>
      </c>
      <c r="KA35" s="22">
        <v>1341.6</v>
      </c>
      <c r="KB35" s="9">
        <v>1</v>
      </c>
      <c r="KC35" s="9">
        <v>15783</v>
      </c>
      <c r="KD35" s="9">
        <v>15783</v>
      </c>
      <c r="KE35" s="9">
        <v>1341.6</v>
      </c>
      <c r="KF35" s="9">
        <v>0</v>
      </c>
      <c r="KG35" s="9">
        <v>0</v>
      </c>
      <c r="KH35" s="9">
        <v>0</v>
      </c>
      <c r="KI35" s="9">
        <v>0</v>
      </c>
      <c r="KJ35" s="9">
        <v>0</v>
      </c>
      <c r="KK35" s="9">
        <v>0</v>
      </c>
      <c r="KL35" s="9">
        <v>0</v>
      </c>
      <c r="KM35" s="9">
        <v>0</v>
      </c>
      <c r="KN35" s="9">
        <v>0</v>
      </c>
      <c r="KO35" s="9">
        <v>0</v>
      </c>
      <c r="KP35" s="9">
        <v>0</v>
      </c>
      <c r="KQ35" s="9">
        <v>0</v>
      </c>
      <c r="KR35" s="22">
        <v>1</v>
      </c>
      <c r="KS35" s="22"/>
      <c r="KT35" s="22">
        <v>15783</v>
      </c>
      <c r="KU35" s="22">
        <v>1341.6</v>
      </c>
      <c r="KV35" s="22">
        <v>17</v>
      </c>
      <c r="KW35" s="22"/>
      <c r="KX35" s="22">
        <v>286905</v>
      </c>
      <c r="KY35" s="22">
        <v>24386.9</v>
      </c>
    </row>
    <row r="36" spans="1:311" ht="16.95" customHeight="1" x14ac:dyDescent="0.4">
      <c r="A36" s="15"/>
      <c r="B36" s="15"/>
      <c r="C36" s="15" t="s">
        <v>246</v>
      </c>
      <c r="D36" s="16">
        <v>0</v>
      </c>
      <c r="E36" s="16">
        <v>0</v>
      </c>
      <c r="F36" s="16">
        <v>0</v>
      </c>
      <c r="G36" s="16">
        <v>0</v>
      </c>
      <c r="H36" s="23">
        <v>0</v>
      </c>
      <c r="I36" s="23"/>
      <c r="J36" s="23">
        <v>0</v>
      </c>
      <c r="K36" s="23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23">
        <v>0</v>
      </c>
      <c r="AC36" s="23"/>
      <c r="AD36" s="23">
        <v>0</v>
      </c>
      <c r="AE36" s="23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23">
        <v>0</v>
      </c>
      <c r="AW36" s="23"/>
      <c r="AX36" s="23">
        <v>0</v>
      </c>
      <c r="AY36" s="23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23">
        <v>0</v>
      </c>
      <c r="BU36" s="23"/>
      <c r="BV36" s="23">
        <v>0</v>
      </c>
      <c r="BW36" s="23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23">
        <v>0</v>
      </c>
      <c r="CO36" s="23"/>
      <c r="CP36" s="23">
        <v>0</v>
      </c>
      <c r="CQ36" s="23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23">
        <v>0</v>
      </c>
      <c r="DI36" s="23"/>
      <c r="DJ36" s="23">
        <v>0</v>
      </c>
      <c r="DK36" s="23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23">
        <v>0</v>
      </c>
      <c r="EG36" s="23"/>
      <c r="EH36" s="23">
        <v>0</v>
      </c>
      <c r="EI36" s="23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23">
        <v>0</v>
      </c>
      <c r="FA36" s="23"/>
      <c r="FB36" s="23">
        <v>0</v>
      </c>
      <c r="FC36" s="23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23">
        <v>0</v>
      </c>
      <c r="FU36" s="23"/>
      <c r="FV36" s="23">
        <v>0</v>
      </c>
      <c r="FW36" s="23">
        <v>0</v>
      </c>
      <c r="FX36" s="16">
        <v>2</v>
      </c>
      <c r="FY36" s="16">
        <v>1053</v>
      </c>
      <c r="FZ36" s="16">
        <v>2105</v>
      </c>
      <c r="GA36" s="16">
        <v>178.9</v>
      </c>
      <c r="GB36" s="16">
        <v>5</v>
      </c>
      <c r="GC36" s="16">
        <v>1053</v>
      </c>
      <c r="GD36" s="16">
        <v>5264</v>
      </c>
      <c r="GE36" s="16">
        <v>447.4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23">
        <v>7</v>
      </c>
      <c r="GS36" s="23"/>
      <c r="GT36" s="23">
        <v>7369</v>
      </c>
      <c r="GU36" s="23">
        <v>626.4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23">
        <v>0</v>
      </c>
      <c r="HM36" s="23"/>
      <c r="HN36" s="23">
        <v>0</v>
      </c>
      <c r="HO36" s="23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  <c r="IB36" s="16">
        <v>0</v>
      </c>
      <c r="IC36" s="16">
        <v>0</v>
      </c>
      <c r="ID36" s="16">
        <v>0</v>
      </c>
      <c r="IE36" s="16">
        <v>0</v>
      </c>
      <c r="IF36" s="23">
        <v>0</v>
      </c>
      <c r="IG36" s="23"/>
      <c r="IH36" s="23">
        <v>0</v>
      </c>
      <c r="II36" s="23">
        <v>0</v>
      </c>
      <c r="IJ36" s="16">
        <v>0</v>
      </c>
      <c r="IK36" s="16">
        <v>0</v>
      </c>
      <c r="IL36" s="16">
        <v>0</v>
      </c>
      <c r="IM36" s="16">
        <v>0</v>
      </c>
      <c r="IN36" s="16">
        <v>0</v>
      </c>
      <c r="IO36" s="16">
        <v>0</v>
      </c>
      <c r="IP36" s="16">
        <v>0</v>
      </c>
      <c r="IQ36" s="16">
        <v>0</v>
      </c>
      <c r="IR36" s="16">
        <v>0</v>
      </c>
      <c r="IS36" s="16">
        <v>0</v>
      </c>
      <c r="IT36" s="16">
        <v>0</v>
      </c>
      <c r="IU36" s="16">
        <v>0</v>
      </c>
      <c r="IV36" s="16">
        <v>0</v>
      </c>
      <c r="IW36" s="16">
        <v>0</v>
      </c>
      <c r="IX36" s="16">
        <v>0</v>
      </c>
      <c r="IY36" s="16">
        <v>0</v>
      </c>
      <c r="IZ36" s="16">
        <v>0</v>
      </c>
      <c r="JA36" s="16">
        <v>0</v>
      </c>
      <c r="JB36" s="16">
        <v>0</v>
      </c>
      <c r="JC36" s="16">
        <v>0</v>
      </c>
      <c r="JD36" s="23">
        <v>0</v>
      </c>
      <c r="JE36" s="23"/>
      <c r="JF36" s="23">
        <v>0</v>
      </c>
      <c r="JG36" s="23">
        <v>0</v>
      </c>
      <c r="JH36" s="16">
        <v>0</v>
      </c>
      <c r="JI36" s="16">
        <v>0</v>
      </c>
      <c r="JJ36" s="16">
        <v>0</v>
      </c>
      <c r="JK36" s="16">
        <v>0</v>
      </c>
      <c r="JL36" s="16">
        <v>0</v>
      </c>
      <c r="JM36" s="16">
        <v>0</v>
      </c>
      <c r="JN36" s="16">
        <v>0</v>
      </c>
      <c r="JO36" s="16">
        <v>0</v>
      </c>
      <c r="JP36" s="16">
        <v>0</v>
      </c>
      <c r="JQ36" s="16">
        <v>0</v>
      </c>
      <c r="JR36" s="16">
        <v>0</v>
      </c>
      <c r="JS36" s="16">
        <v>0</v>
      </c>
      <c r="JT36" s="16">
        <v>0</v>
      </c>
      <c r="JU36" s="16">
        <v>0</v>
      </c>
      <c r="JV36" s="16">
        <v>0</v>
      </c>
      <c r="JW36" s="16">
        <v>0</v>
      </c>
      <c r="JX36" s="23">
        <v>0</v>
      </c>
      <c r="JY36" s="23"/>
      <c r="JZ36" s="23">
        <v>0</v>
      </c>
      <c r="KA36" s="23">
        <v>0</v>
      </c>
      <c r="KB36" s="16">
        <v>10</v>
      </c>
      <c r="KC36" s="16">
        <v>855</v>
      </c>
      <c r="KD36" s="16">
        <v>8547</v>
      </c>
      <c r="KE36" s="16">
        <v>726.5</v>
      </c>
      <c r="KF36" s="16">
        <v>0</v>
      </c>
      <c r="KG36" s="16">
        <v>0</v>
      </c>
      <c r="KH36" s="16">
        <v>0</v>
      </c>
      <c r="KI36" s="16">
        <v>0</v>
      </c>
      <c r="KJ36" s="16">
        <v>0</v>
      </c>
      <c r="KK36" s="16">
        <v>0</v>
      </c>
      <c r="KL36" s="16">
        <v>0</v>
      </c>
      <c r="KM36" s="16">
        <v>0</v>
      </c>
      <c r="KN36" s="16">
        <v>0</v>
      </c>
      <c r="KO36" s="16">
        <v>0</v>
      </c>
      <c r="KP36" s="16">
        <v>0</v>
      </c>
      <c r="KQ36" s="16">
        <v>0</v>
      </c>
      <c r="KR36" s="23">
        <v>10</v>
      </c>
      <c r="KS36" s="23"/>
      <c r="KT36" s="23">
        <v>8547</v>
      </c>
      <c r="KU36" s="23">
        <v>726.5</v>
      </c>
      <c r="KV36" s="23">
        <v>17</v>
      </c>
      <c r="KW36" s="23"/>
      <c r="KX36" s="23">
        <v>15916</v>
      </c>
      <c r="KY36" s="23">
        <v>1352.9</v>
      </c>
    </row>
    <row r="37" spans="1:311" ht="16.95" customHeight="1" x14ac:dyDescent="0.4">
      <c r="A37" s="11"/>
      <c r="B37" s="11"/>
      <c r="C37" s="11" t="s">
        <v>87</v>
      </c>
      <c r="D37" s="9">
        <v>0</v>
      </c>
      <c r="E37" s="9">
        <v>0</v>
      </c>
      <c r="F37" s="9">
        <v>0</v>
      </c>
      <c r="G37" s="9">
        <v>0</v>
      </c>
      <c r="H37" s="22">
        <v>0</v>
      </c>
      <c r="I37" s="22"/>
      <c r="J37" s="22">
        <v>0</v>
      </c>
      <c r="K37" s="22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</v>
      </c>
      <c r="U37" s="9">
        <v>15305</v>
      </c>
      <c r="V37" s="9">
        <v>15305</v>
      </c>
      <c r="W37" s="9">
        <v>1300.9000000000001</v>
      </c>
      <c r="X37" s="9">
        <v>0</v>
      </c>
      <c r="Y37" s="9">
        <v>0</v>
      </c>
      <c r="Z37" s="9">
        <v>0</v>
      </c>
      <c r="AA37" s="9">
        <v>0</v>
      </c>
      <c r="AB37" s="22">
        <v>1</v>
      </c>
      <c r="AC37" s="22"/>
      <c r="AD37" s="22">
        <v>15305</v>
      </c>
      <c r="AE37" s="22">
        <v>1300.9000000000001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22">
        <v>0</v>
      </c>
      <c r="AW37" s="22"/>
      <c r="AX37" s="22">
        <v>0</v>
      </c>
      <c r="AY37" s="22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22">
        <v>0</v>
      </c>
      <c r="BU37" s="22"/>
      <c r="BV37" s="22">
        <v>0</v>
      </c>
      <c r="BW37" s="22">
        <v>0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1</v>
      </c>
      <c r="CK37" s="9">
        <v>15652</v>
      </c>
      <c r="CL37" s="9">
        <v>15652</v>
      </c>
      <c r="CM37" s="9">
        <v>1330.4</v>
      </c>
      <c r="CN37" s="22">
        <v>1</v>
      </c>
      <c r="CO37" s="22"/>
      <c r="CP37" s="22">
        <v>15652</v>
      </c>
      <c r="CQ37" s="22">
        <v>1330.4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9">
        <v>0</v>
      </c>
      <c r="DE37" s="9">
        <v>0</v>
      </c>
      <c r="DF37" s="9">
        <v>0</v>
      </c>
      <c r="DG37" s="9">
        <v>0</v>
      </c>
      <c r="DH37" s="22">
        <v>0</v>
      </c>
      <c r="DI37" s="22"/>
      <c r="DJ37" s="22">
        <v>0</v>
      </c>
      <c r="DK37" s="22">
        <v>0</v>
      </c>
      <c r="DL37" s="9">
        <v>0</v>
      </c>
      <c r="DM37" s="9">
        <v>0</v>
      </c>
      <c r="DN37" s="9">
        <v>0</v>
      </c>
      <c r="DO37" s="9">
        <v>0</v>
      </c>
      <c r="DP37" s="9">
        <v>0</v>
      </c>
      <c r="DQ37" s="9">
        <v>0</v>
      </c>
      <c r="DR37" s="9">
        <v>0</v>
      </c>
      <c r="DS37" s="9">
        <v>0</v>
      </c>
      <c r="DT37" s="9">
        <v>0</v>
      </c>
      <c r="DU37" s="9">
        <v>0</v>
      </c>
      <c r="DV37" s="9">
        <v>0</v>
      </c>
      <c r="DW37" s="9">
        <v>0</v>
      </c>
      <c r="DX37" s="9">
        <v>0</v>
      </c>
      <c r="DY37" s="9">
        <v>0</v>
      </c>
      <c r="DZ37" s="9">
        <v>0</v>
      </c>
      <c r="EA37" s="9">
        <v>0</v>
      </c>
      <c r="EB37" s="9">
        <v>0</v>
      </c>
      <c r="EC37" s="9">
        <v>0</v>
      </c>
      <c r="ED37" s="9">
        <v>0</v>
      </c>
      <c r="EE37" s="9">
        <v>0</v>
      </c>
      <c r="EF37" s="22">
        <v>0</v>
      </c>
      <c r="EG37" s="22"/>
      <c r="EH37" s="22">
        <v>0</v>
      </c>
      <c r="EI37" s="22">
        <v>0</v>
      </c>
      <c r="EJ37" s="9">
        <v>0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22">
        <v>0</v>
      </c>
      <c r="FA37" s="22"/>
      <c r="FB37" s="22">
        <v>0</v>
      </c>
      <c r="FC37" s="22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9">
        <v>1</v>
      </c>
      <c r="FM37" s="9">
        <v>15652</v>
      </c>
      <c r="FN37" s="9">
        <v>15652</v>
      </c>
      <c r="FO37" s="9">
        <v>1330.4</v>
      </c>
      <c r="FP37" s="9">
        <v>0</v>
      </c>
      <c r="FQ37" s="9">
        <v>0</v>
      </c>
      <c r="FR37" s="9">
        <v>0</v>
      </c>
      <c r="FS37" s="9">
        <v>0</v>
      </c>
      <c r="FT37" s="22">
        <v>1</v>
      </c>
      <c r="FU37" s="22"/>
      <c r="FV37" s="22">
        <v>15652</v>
      </c>
      <c r="FW37" s="22">
        <v>1330.4</v>
      </c>
      <c r="FX37" s="9">
        <v>0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9">
        <v>0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  <c r="GJ37" s="9">
        <v>0</v>
      </c>
      <c r="GK37" s="9">
        <v>0</v>
      </c>
      <c r="GL37" s="9">
        <v>0</v>
      </c>
      <c r="GM37" s="9">
        <v>0</v>
      </c>
      <c r="GN37" s="9">
        <v>0</v>
      </c>
      <c r="GO37" s="9">
        <v>0</v>
      </c>
      <c r="GP37" s="9">
        <v>0</v>
      </c>
      <c r="GQ37" s="9">
        <v>0</v>
      </c>
      <c r="GR37" s="22">
        <v>0</v>
      </c>
      <c r="GS37" s="22"/>
      <c r="GT37" s="22">
        <v>0</v>
      </c>
      <c r="GU37" s="22">
        <v>0</v>
      </c>
      <c r="GV37" s="9">
        <v>0</v>
      </c>
      <c r="GW37" s="9">
        <v>0</v>
      </c>
      <c r="GX37" s="9">
        <v>0</v>
      </c>
      <c r="GY37" s="9">
        <v>0</v>
      </c>
      <c r="GZ37" s="9">
        <v>0</v>
      </c>
      <c r="HA37" s="9">
        <v>0</v>
      </c>
      <c r="HB37" s="9">
        <v>0</v>
      </c>
      <c r="HC37" s="9">
        <v>0</v>
      </c>
      <c r="HD37" s="9">
        <v>0</v>
      </c>
      <c r="HE37" s="9">
        <v>0</v>
      </c>
      <c r="HF37" s="9">
        <v>0</v>
      </c>
      <c r="HG37" s="9">
        <v>0</v>
      </c>
      <c r="HH37" s="9">
        <v>0</v>
      </c>
      <c r="HI37" s="9">
        <v>0</v>
      </c>
      <c r="HJ37" s="9">
        <v>0</v>
      </c>
      <c r="HK37" s="9">
        <v>0</v>
      </c>
      <c r="HL37" s="22">
        <v>0</v>
      </c>
      <c r="HM37" s="22"/>
      <c r="HN37" s="22">
        <v>0</v>
      </c>
      <c r="HO37" s="22">
        <v>0</v>
      </c>
      <c r="HP37" s="9">
        <v>0</v>
      </c>
      <c r="HQ37" s="9">
        <v>0</v>
      </c>
      <c r="HR37" s="9">
        <v>0</v>
      </c>
      <c r="HS37" s="9">
        <v>0</v>
      </c>
      <c r="HT37" s="9">
        <v>0</v>
      </c>
      <c r="HU37" s="9">
        <v>0</v>
      </c>
      <c r="HV37" s="9">
        <v>0</v>
      </c>
      <c r="HW37" s="9">
        <v>0</v>
      </c>
      <c r="HX37" s="9">
        <v>0</v>
      </c>
      <c r="HY37" s="9">
        <v>0</v>
      </c>
      <c r="HZ37" s="9">
        <v>0</v>
      </c>
      <c r="IA37" s="9">
        <v>0</v>
      </c>
      <c r="IB37" s="9">
        <v>0</v>
      </c>
      <c r="IC37" s="9">
        <v>0</v>
      </c>
      <c r="ID37" s="9">
        <v>0</v>
      </c>
      <c r="IE37" s="9">
        <v>0</v>
      </c>
      <c r="IF37" s="22">
        <v>0</v>
      </c>
      <c r="IG37" s="22"/>
      <c r="IH37" s="22">
        <v>0</v>
      </c>
      <c r="II37" s="22">
        <v>0</v>
      </c>
      <c r="IJ37" s="9">
        <v>0</v>
      </c>
      <c r="IK37" s="9">
        <v>0</v>
      </c>
      <c r="IL37" s="9">
        <v>0</v>
      </c>
      <c r="IM37" s="9">
        <v>0</v>
      </c>
      <c r="IN37" s="9">
        <v>0</v>
      </c>
      <c r="IO37" s="9">
        <v>0</v>
      </c>
      <c r="IP37" s="9">
        <v>0</v>
      </c>
      <c r="IQ37" s="9">
        <v>0</v>
      </c>
      <c r="IR37" s="9">
        <v>1</v>
      </c>
      <c r="IS37" s="9">
        <v>15652</v>
      </c>
      <c r="IT37" s="9">
        <v>15652</v>
      </c>
      <c r="IU37" s="9">
        <v>1330.4</v>
      </c>
      <c r="IV37" s="9">
        <v>0</v>
      </c>
      <c r="IW37" s="9">
        <v>0</v>
      </c>
      <c r="IX37" s="9">
        <v>0</v>
      </c>
      <c r="IY37" s="9">
        <v>0</v>
      </c>
      <c r="IZ37" s="9">
        <v>0</v>
      </c>
      <c r="JA37" s="9">
        <v>0</v>
      </c>
      <c r="JB37" s="9">
        <v>0</v>
      </c>
      <c r="JC37" s="9">
        <v>0</v>
      </c>
      <c r="JD37" s="22">
        <v>1</v>
      </c>
      <c r="JE37" s="22"/>
      <c r="JF37" s="22">
        <v>15652</v>
      </c>
      <c r="JG37" s="22">
        <v>1330.4</v>
      </c>
      <c r="JH37" s="9">
        <v>0</v>
      </c>
      <c r="JI37" s="9">
        <v>0</v>
      </c>
      <c r="JJ37" s="9">
        <v>0</v>
      </c>
      <c r="JK37" s="9">
        <v>0</v>
      </c>
      <c r="JL37" s="9">
        <v>0</v>
      </c>
      <c r="JM37" s="9">
        <v>0</v>
      </c>
      <c r="JN37" s="9">
        <v>0</v>
      </c>
      <c r="JO37" s="9">
        <v>0</v>
      </c>
      <c r="JP37" s="9">
        <v>0</v>
      </c>
      <c r="JQ37" s="9">
        <v>0</v>
      </c>
      <c r="JR37" s="9">
        <v>0</v>
      </c>
      <c r="JS37" s="9">
        <v>0</v>
      </c>
      <c r="JT37" s="9">
        <v>0</v>
      </c>
      <c r="JU37" s="9">
        <v>0</v>
      </c>
      <c r="JV37" s="9">
        <v>0</v>
      </c>
      <c r="JW37" s="9">
        <v>0</v>
      </c>
      <c r="JX37" s="22">
        <v>0</v>
      </c>
      <c r="JY37" s="22"/>
      <c r="JZ37" s="22">
        <v>0</v>
      </c>
      <c r="KA37" s="22">
        <v>0</v>
      </c>
      <c r="KB37" s="9">
        <v>0</v>
      </c>
      <c r="KC37" s="9">
        <v>0</v>
      </c>
      <c r="KD37" s="9">
        <v>0</v>
      </c>
      <c r="KE37" s="9">
        <v>0</v>
      </c>
      <c r="KF37" s="9">
        <v>0</v>
      </c>
      <c r="KG37" s="9">
        <v>0</v>
      </c>
      <c r="KH37" s="9">
        <v>0</v>
      </c>
      <c r="KI37" s="9">
        <v>0</v>
      </c>
      <c r="KJ37" s="9">
        <v>0</v>
      </c>
      <c r="KK37" s="9">
        <v>0</v>
      </c>
      <c r="KL37" s="9">
        <v>0</v>
      </c>
      <c r="KM37" s="9">
        <v>0</v>
      </c>
      <c r="KN37" s="9">
        <v>0</v>
      </c>
      <c r="KO37" s="9">
        <v>0</v>
      </c>
      <c r="KP37" s="9">
        <v>0</v>
      </c>
      <c r="KQ37" s="9">
        <v>0</v>
      </c>
      <c r="KR37" s="22">
        <v>0</v>
      </c>
      <c r="KS37" s="22"/>
      <c r="KT37" s="22">
        <v>0</v>
      </c>
      <c r="KU37" s="22">
        <v>0</v>
      </c>
      <c r="KV37" s="22">
        <v>4</v>
      </c>
      <c r="KW37" s="22"/>
      <c r="KX37" s="22">
        <v>62261</v>
      </c>
      <c r="KY37" s="22">
        <v>5292.2</v>
      </c>
    </row>
    <row r="38" spans="1:311" ht="16.95" customHeight="1" x14ac:dyDescent="0.4">
      <c r="A38" s="15"/>
      <c r="B38" s="15"/>
      <c r="C38" s="15" t="s">
        <v>162</v>
      </c>
      <c r="D38" s="16">
        <v>0</v>
      </c>
      <c r="E38" s="16">
        <v>0</v>
      </c>
      <c r="F38" s="16">
        <v>0</v>
      </c>
      <c r="G38" s="16">
        <v>0</v>
      </c>
      <c r="H38" s="23">
        <v>0</v>
      </c>
      <c r="I38" s="23"/>
      <c r="J38" s="23">
        <v>0</v>
      </c>
      <c r="K38" s="23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23">
        <v>0</v>
      </c>
      <c r="AC38" s="23"/>
      <c r="AD38" s="23">
        <v>0</v>
      </c>
      <c r="AE38" s="23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23">
        <v>0</v>
      </c>
      <c r="AW38" s="23"/>
      <c r="AX38" s="23">
        <v>0</v>
      </c>
      <c r="AY38" s="23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23">
        <v>0</v>
      </c>
      <c r="BU38" s="23"/>
      <c r="BV38" s="23">
        <v>0</v>
      </c>
      <c r="BW38" s="23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2</v>
      </c>
      <c r="CG38" s="16">
        <v>5327</v>
      </c>
      <c r="CH38" s="16">
        <v>10655</v>
      </c>
      <c r="CI38" s="16">
        <v>905.7</v>
      </c>
      <c r="CJ38" s="16">
        <v>0</v>
      </c>
      <c r="CK38" s="16">
        <v>0</v>
      </c>
      <c r="CL38" s="16">
        <v>0</v>
      </c>
      <c r="CM38" s="16">
        <v>0</v>
      </c>
      <c r="CN38" s="23">
        <v>2</v>
      </c>
      <c r="CO38" s="23"/>
      <c r="CP38" s="23">
        <v>10655</v>
      </c>
      <c r="CQ38" s="23">
        <v>905.7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23">
        <v>0</v>
      </c>
      <c r="DI38" s="23"/>
      <c r="DJ38" s="23">
        <v>0</v>
      </c>
      <c r="DK38" s="23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23">
        <v>0</v>
      </c>
      <c r="EG38" s="23"/>
      <c r="EH38" s="23">
        <v>0</v>
      </c>
      <c r="EI38" s="23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23">
        <v>0</v>
      </c>
      <c r="FA38" s="23"/>
      <c r="FB38" s="23">
        <v>0</v>
      </c>
      <c r="FC38" s="23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1</v>
      </c>
      <c r="FQ38" s="16">
        <v>5327</v>
      </c>
      <c r="FR38" s="16">
        <v>5327</v>
      </c>
      <c r="FS38" s="16">
        <v>452.8</v>
      </c>
      <c r="FT38" s="23">
        <v>1</v>
      </c>
      <c r="FU38" s="23"/>
      <c r="FV38" s="23">
        <v>5327</v>
      </c>
      <c r="FW38" s="23">
        <v>452.8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23">
        <v>0</v>
      </c>
      <c r="GS38" s="23"/>
      <c r="GT38" s="23">
        <v>0</v>
      </c>
      <c r="GU38" s="23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23">
        <v>0</v>
      </c>
      <c r="HM38" s="23"/>
      <c r="HN38" s="23">
        <v>0</v>
      </c>
      <c r="HO38" s="23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  <c r="IB38" s="16">
        <v>0</v>
      </c>
      <c r="IC38" s="16">
        <v>0</v>
      </c>
      <c r="ID38" s="16">
        <v>0</v>
      </c>
      <c r="IE38" s="16">
        <v>0</v>
      </c>
      <c r="IF38" s="23">
        <v>0</v>
      </c>
      <c r="IG38" s="23"/>
      <c r="IH38" s="23">
        <v>0</v>
      </c>
      <c r="II38" s="23">
        <v>0</v>
      </c>
      <c r="IJ38" s="16">
        <v>0</v>
      </c>
      <c r="IK38" s="16">
        <v>0</v>
      </c>
      <c r="IL38" s="16">
        <v>0</v>
      </c>
      <c r="IM38" s="16">
        <v>0</v>
      </c>
      <c r="IN38" s="16">
        <v>0</v>
      </c>
      <c r="IO38" s="16">
        <v>0</v>
      </c>
      <c r="IP38" s="16">
        <v>0</v>
      </c>
      <c r="IQ38" s="16">
        <v>0</v>
      </c>
      <c r="IR38" s="16">
        <v>0</v>
      </c>
      <c r="IS38" s="16">
        <v>0</v>
      </c>
      <c r="IT38" s="16">
        <v>0</v>
      </c>
      <c r="IU38" s="16">
        <v>0</v>
      </c>
      <c r="IV38" s="16">
        <v>0</v>
      </c>
      <c r="IW38" s="16">
        <v>0</v>
      </c>
      <c r="IX38" s="16">
        <v>0</v>
      </c>
      <c r="IY38" s="16">
        <v>0</v>
      </c>
      <c r="IZ38" s="16">
        <v>0</v>
      </c>
      <c r="JA38" s="16">
        <v>0</v>
      </c>
      <c r="JB38" s="16">
        <v>0</v>
      </c>
      <c r="JC38" s="16">
        <v>0</v>
      </c>
      <c r="JD38" s="23">
        <v>0</v>
      </c>
      <c r="JE38" s="23"/>
      <c r="JF38" s="23">
        <v>0</v>
      </c>
      <c r="JG38" s="23">
        <v>0</v>
      </c>
      <c r="JH38" s="16">
        <v>0</v>
      </c>
      <c r="JI38" s="16">
        <v>0</v>
      </c>
      <c r="JJ38" s="16">
        <v>0</v>
      </c>
      <c r="JK38" s="16">
        <v>0</v>
      </c>
      <c r="JL38" s="16">
        <v>0</v>
      </c>
      <c r="JM38" s="16">
        <v>0</v>
      </c>
      <c r="JN38" s="16">
        <v>0</v>
      </c>
      <c r="JO38" s="16">
        <v>0</v>
      </c>
      <c r="JP38" s="16">
        <v>0</v>
      </c>
      <c r="JQ38" s="16">
        <v>0</v>
      </c>
      <c r="JR38" s="16">
        <v>0</v>
      </c>
      <c r="JS38" s="16">
        <v>0</v>
      </c>
      <c r="JT38" s="16">
        <v>0</v>
      </c>
      <c r="JU38" s="16">
        <v>0</v>
      </c>
      <c r="JV38" s="16">
        <v>0</v>
      </c>
      <c r="JW38" s="16">
        <v>0</v>
      </c>
      <c r="JX38" s="23">
        <v>0</v>
      </c>
      <c r="JY38" s="23"/>
      <c r="JZ38" s="23">
        <v>0</v>
      </c>
      <c r="KA38" s="23">
        <v>0</v>
      </c>
      <c r="KB38" s="16">
        <v>0</v>
      </c>
      <c r="KC38" s="16">
        <v>0</v>
      </c>
      <c r="KD38" s="16">
        <v>0</v>
      </c>
      <c r="KE38" s="16">
        <v>0</v>
      </c>
      <c r="KF38" s="16">
        <v>0</v>
      </c>
      <c r="KG38" s="16">
        <v>0</v>
      </c>
      <c r="KH38" s="16">
        <v>0</v>
      </c>
      <c r="KI38" s="16">
        <v>0</v>
      </c>
      <c r="KJ38" s="16">
        <v>0</v>
      </c>
      <c r="KK38" s="16">
        <v>0</v>
      </c>
      <c r="KL38" s="16">
        <v>0</v>
      </c>
      <c r="KM38" s="16">
        <v>0</v>
      </c>
      <c r="KN38" s="16">
        <v>0</v>
      </c>
      <c r="KO38" s="16">
        <v>0</v>
      </c>
      <c r="KP38" s="16">
        <v>0</v>
      </c>
      <c r="KQ38" s="16">
        <v>0</v>
      </c>
      <c r="KR38" s="23">
        <v>0</v>
      </c>
      <c r="KS38" s="23"/>
      <c r="KT38" s="23">
        <v>0</v>
      </c>
      <c r="KU38" s="23">
        <v>0</v>
      </c>
      <c r="KV38" s="23">
        <v>3</v>
      </c>
      <c r="KW38" s="23"/>
      <c r="KX38" s="23">
        <v>15982</v>
      </c>
      <c r="KY38" s="23">
        <v>1358.5</v>
      </c>
    </row>
    <row r="39" spans="1:311" ht="16.95" customHeight="1" x14ac:dyDescent="0.4">
      <c r="A39" s="11"/>
      <c r="B39" s="11"/>
      <c r="C39" s="11" t="s">
        <v>234</v>
      </c>
      <c r="D39" s="9">
        <v>0</v>
      </c>
      <c r="E39" s="9">
        <v>0</v>
      </c>
      <c r="F39" s="9">
        <v>0</v>
      </c>
      <c r="G39" s="9">
        <v>0</v>
      </c>
      <c r="H39" s="22">
        <v>0</v>
      </c>
      <c r="I39" s="22"/>
      <c r="J39" s="22">
        <v>0</v>
      </c>
      <c r="K39" s="22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22">
        <v>0</v>
      </c>
      <c r="AC39" s="22"/>
      <c r="AD39" s="22">
        <v>0</v>
      </c>
      <c r="AE39" s="22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22">
        <v>0</v>
      </c>
      <c r="AW39" s="22"/>
      <c r="AX39" s="22">
        <v>0</v>
      </c>
      <c r="AY39" s="22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22">
        <v>0</v>
      </c>
      <c r="BU39" s="22"/>
      <c r="BV39" s="22">
        <v>0</v>
      </c>
      <c r="BW39" s="22">
        <v>0</v>
      </c>
      <c r="BX39" s="9">
        <v>0</v>
      </c>
      <c r="BY39" s="9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22">
        <v>0</v>
      </c>
      <c r="CO39" s="22"/>
      <c r="CP39" s="22">
        <v>0</v>
      </c>
      <c r="CQ39" s="22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9">
        <v>0</v>
      </c>
      <c r="DE39" s="9">
        <v>0</v>
      </c>
      <c r="DF39" s="9">
        <v>0</v>
      </c>
      <c r="DG39" s="9">
        <v>0</v>
      </c>
      <c r="DH39" s="22">
        <v>0</v>
      </c>
      <c r="DI39" s="22"/>
      <c r="DJ39" s="22">
        <v>0</v>
      </c>
      <c r="DK39" s="22">
        <v>0</v>
      </c>
      <c r="DL39" s="9">
        <v>0</v>
      </c>
      <c r="DM39" s="9">
        <v>0</v>
      </c>
      <c r="DN39" s="9">
        <v>0</v>
      </c>
      <c r="DO39" s="9">
        <v>0</v>
      </c>
      <c r="DP39" s="9">
        <v>0</v>
      </c>
      <c r="DQ39" s="9">
        <v>0</v>
      </c>
      <c r="DR39" s="9">
        <v>0</v>
      </c>
      <c r="DS39" s="9">
        <v>0</v>
      </c>
      <c r="DT39" s="9">
        <v>0</v>
      </c>
      <c r="DU39" s="9">
        <v>0</v>
      </c>
      <c r="DV39" s="9">
        <v>0</v>
      </c>
      <c r="DW39" s="9">
        <v>0</v>
      </c>
      <c r="DX39" s="9">
        <v>0</v>
      </c>
      <c r="DY39" s="9">
        <v>0</v>
      </c>
      <c r="DZ39" s="9">
        <v>0</v>
      </c>
      <c r="EA39" s="9">
        <v>0</v>
      </c>
      <c r="EB39" s="9">
        <v>0</v>
      </c>
      <c r="EC39" s="9">
        <v>0</v>
      </c>
      <c r="ED39" s="9">
        <v>0</v>
      </c>
      <c r="EE39" s="9">
        <v>0</v>
      </c>
      <c r="EF39" s="22">
        <v>0</v>
      </c>
      <c r="EG39" s="22"/>
      <c r="EH39" s="22">
        <v>0</v>
      </c>
      <c r="EI39" s="22">
        <v>0</v>
      </c>
      <c r="EJ39" s="9">
        <v>0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22">
        <v>0</v>
      </c>
      <c r="FA39" s="22"/>
      <c r="FB39" s="22">
        <v>0</v>
      </c>
      <c r="FC39" s="22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9">
        <v>1</v>
      </c>
      <c r="FM39" s="9">
        <v>9207</v>
      </c>
      <c r="FN39" s="9">
        <v>9207</v>
      </c>
      <c r="FO39" s="9">
        <v>782.6</v>
      </c>
      <c r="FP39" s="9">
        <v>0</v>
      </c>
      <c r="FQ39" s="9">
        <v>0</v>
      </c>
      <c r="FR39" s="9">
        <v>0</v>
      </c>
      <c r="FS39" s="9">
        <v>0</v>
      </c>
      <c r="FT39" s="22">
        <v>1</v>
      </c>
      <c r="FU39" s="22"/>
      <c r="FV39" s="22">
        <v>9207</v>
      </c>
      <c r="FW39" s="22">
        <v>782.6</v>
      </c>
      <c r="FX39" s="9">
        <v>0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9">
        <v>0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9">
        <v>0</v>
      </c>
      <c r="GK39" s="9">
        <v>0</v>
      </c>
      <c r="GL39" s="9">
        <v>0</v>
      </c>
      <c r="GM39" s="9">
        <v>0</v>
      </c>
      <c r="GN39" s="9">
        <v>0</v>
      </c>
      <c r="GO39" s="9">
        <v>0</v>
      </c>
      <c r="GP39" s="9">
        <v>0</v>
      </c>
      <c r="GQ39" s="9">
        <v>0</v>
      </c>
      <c r="GR39" s="22">
        <v>0</v>
      </c>
      <c r="GS39" s="22"/>
      <c r="GT39" s="22">
        <v>0</v>
      </c>
      <c r="GU39" s="22">
        <v>0</v>
      </c>
      <c r="GV39" s="9">
        <v>0</v>
      </c>
      <c r="GW39" s="9">
        <v>0</v>
      </c>
      <c r="GX39" s="9">
        <v>0</v>
      </c>
      <c r="GY39" s="9">
        <v>0</v>
      </c>
      <c r="GZ39" s="9">
        <v>0</v>
      </c>
      <c r="HA39" s="9">
        <v>0</v>
      </c>
      <c r="HB39" s="9">
        <v>0</v>
      </c>
      <c r="HC39" s="9">
        <v>0</v>
      </c>
      <c r="HD39" s="9">
        <v>0</v>
      </c>
      <c r="HE39" s="9">
        <v>0</v>
      </c>
      <c r="HF39" s="9">
        <v>0</v>
      </c>
      <c r="HG39" s="9">
        <v>0</v>
      </c>
      <c r="HH39" s="9">
        <v>0</v>
      </c>
      <c r="HI39" s="9">
        <v>0</v>
      </c>
      <c r="HJ39" s="9">
        <v>0</v>
      </c>
      <c r="HK39" s="9">
        <v>0</v>
      </c>
      <c r="HL39" s="22">
        <v>0</v>
      </c>
      <c r="HM39" s="22"/>
      <c r="HN39" s="22">
        <v>0</v>
      </c>
      <c r="HO39" s="22">
        <v>0</v>
      </c>
      <c r="HP39" s="9">
        <v>0</v>
      </c>
      <c r="HQ39" s="9">
        <v>0</v>
      </c>
      <c r="HR39" s="9">
        <v>0</v>
      </c>
      <c r="HS39" s="9">
        <v>0</v>
      </c>
      <c r="HT39" s="9">
        <v>0</v>
      </c>
      <c r="HU39" s="9">
        <v>0</v>
      </c>
      <c r="HV39" s="9">
        <v>0</v>
      </c>
      <c r="HW39" s="9">
        <v>0</v>
      </c>
      <c r="HX39" s="9">
        <v>0</v>
      </c>
      <c r="HY39" s="9">
        <v>0</v>
      </c>
      <c r="HZ39" s="9">
        <v>0</v>
      </c>
      <c r="IA39" s="9">
        <v>0</v>
      </c>
      <c r="IB39" s="9">
        <v>0</v>
      </c>
      <c r="IC39" s="9">
        <v>0</v>
      </c>
      <c r="ID39" s="9">
        <v>0</v>
      </c>
      <c r="IE39" s="9">
        <v>0</v>
      </c>
      <c r="IF39" s="22">
        <v>0</v>
      </c>
      <c r="IG39" s="22"/>
      <c r="IH39" s="22">
        <v>0</v>
      </c>
      <c r="II39" s="22">
        <v>0</v>
      </c>
      <c r="IJ39" s="9">
        <v>0</v>
      </c>
      <c r="IK39" s="9">
        <v>0</v>
      </c>
      <c r="IL39" s="9">
        <v>0</v>
      </c>
      <c r="IM39" s="9">
        <v>0</v>
      </c>
      <c r="IN39" s="9">
        <v>0</v>
      </c>
      <c r="IO39" s="9">
        <v>0</v>
      </c>
      <c r="IP39" s="9">
        <v>0</v>
      </c>
      <c r="IQ39" s="9">
        <v>0</v>
      </c>
      <c r="IR39" s="9">
        <v>0</v>
      </c>
      <c r="IS39" s="9">
        <v>0</v>
      </c>
      <c r="IT39" s="9">
        <v>0</v>
      </c>
      <c r="IU39" s="9">
        <v>0</v>
      </c>
      <c r="IV39" s="9">
        <v>0</v>
      </c>
      <c r="IW39" s="9">
        <v>0</v>
      </c>
      <c r="IX39" s="9">
        <v>0</v>
      </c>
      <c r="IY39" s="9">
        <v>0</v>
      </c>
      <c r="IZ39" s="9">
        <v>0</v>
      </c>
      <c r="JA39" s="9">
        <v>0</v>
      </c>
      <c r="JB39" s="9">
        <v>0</v>
      </c>
      <c r="JC39" s="9">
        <v>0</v>
      </c>
      <c r="JD39" s="22">
        <v>0</v>
      </c>
      <c r="JE39" s="22"/>
      <c r="JF39" s="22">
        <v>0</v>
      </c>
      <c r="JG39" s="22">
        <v>0</v>
      </c>
      <c r="JH39" s="9">
        <v>0</v>
      </c>
      <c r="JI39" s="9">
        <v>0</v>
      </c>
      <c r="JJ39" s="9">
        <v>0</v>
      </c>
      <c r="JK39" s="9">
        <v>0</v>
      </c>
      <c r="JL39" s="9">
        <v>0</v>
      </c>
      <c r="JM39" s="9">
        <v>0</v>
      </c>
      <c r="JN39" s="9">
        <v>0</v>
      </c>
      <c r="JO39" s="9">
        <v>0</v>
      </c>
      <c r="JP39" s="9">
        <v>0</v>
      </c>
      <c r="JQ39" s="9">
        <v>0</v>
      </c>
      <c r="JR39" s="9">
        <v>0</v>
      </c>
      <c r="JS39" s="9">
        <v>0</v>
      </c>
      <c r="JT39" s="9">
        <v>0</v>
      </c>
      <c r="JU39" s="9">
        <v>0</v>
      </c>
      <c r="JV39" s="9">
        <v>0</v>
      </c>
      <c r="JW39" s="9">
        <v>0</v>
      </c>
      <c r="JX39" s="22">
        <v>0</v>
      </c>
      <c r="JY39" s="22"/>
      <c r="JZ39" s="22">
        <v>0</v>
      </c>
      <c r="KA39" s="22">
        <v>0</v>
      </c>
      <c r="KB39" s="9">
        <v>0</v>
      </c>
      <c r="KC39" s="9">
        <v>0</v>
      </c>
      <c r="KD39" s="9">
        <v>0</v>
      </c>
      <c r="KE39" s="9">
        <v>0</v>
      </c>
      <c r="KF39" s="9">
        <v>0</v>
      </c>
      <c r="KG39" s="9">
        <v>0</v>
      </c>
      <c r="KH39" s="9">
        <v>0</v>
      </c>
      <c r="KI39" s="9">
        <v>0</v>
      </c>
      <c r="KJ39" s="9">
        <v>0</v>
      </c>
      <c r="KK39" s="9">
        <v>0</v>
      </c>
      <c r="KL39" s="9">
        <v>0</v>
      </c>
      <c r="KM39" s="9">
        <v>0</v>
      </c>
      <c r="KN39" s="9">
        <v>0</v>
      </c>
      <c r="KO39" s="9">
        <v>0</v>
      </c>
      <c r="KP39" s="9">
        <v>0</v>
      </c>
      <c r="KQ39" s="9">
        <v>0</v>
      </c>
      <c r="KR39" s="22">
        <v>0</v>
      </c>
      <c r="KS39" s="22"/>
      <c r="KT39" s="22">
        <v>0</v>
      </c>
      <c r="KU39" s="22">
        <v>0</v>
      </c>
      <c r="KV39" s="22">
        <v>1</v>
      </c>
      <c r="KW39" s="22"/>
      <c r="KX39" s="22">
        <v>9207</v>
      </c>
      <c r="KY39" s="22">
        <v>782.6</v>
      </c>
    </row>
    <row r="40" spans="1:311" ht="16.95" customHeight="1" x14ac:dyDescent="0.4">
      <c r="A40" s="15"/>
      <c r="B40" s="15"/>
      <c r="C40" s="15" t="s">
        <v>176</v>
      </c>
      <c r="D40" s="16">
        <v>0</v>
      </c>
      <c r="E40" s="16">
        <v>0</v>
      </c>
      <c r="F40" s="16">
        <v>0</v>
      </c>
      <c r="G40" s="16">
        <v>0</v>
      </c>
      <c r="H40" s="23">
        <v>0</v>
      </c>
      <c r="I40" s="23"/>
      <c r="J40" s="23">
        <v>0</v>
      </c>
      <c r="K40" s="23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23">
        <v>0</v>
      </c>
      <c r="AC40" s="23"/>
      <c r="AD40" s="23">
        <v>0</v>
      </c>
      <c r="AE40" s="23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23">
        <v>0</v>
      </c>
      <c r="AW40" s="23"/>
      <c r="AX40" s="23">
        <v>0</v>
      </c>
      <c r="AY40" s="23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23">
        <v>0</v>
      </c>
      <c r="BU40" s="23"/>
      <c r="BV40" s="23">
        <v>0</v>
      </c>
      <c r="BW40" s="23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23">
        <v>0</v>
      </c>
      <c r="CO40" s="23"/>
      <c r="CP40" s="23">
        <v>0</v>
      </c>
      <c r="CQ40" s="23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5</v>
      </c>
      <c r="CW40" s="16">
        <v>724</v>
      </c>
      <c r="CX40" s="16">
        <v>3619</v>
      </c>
      <c r="CY40" s="16">
        <v>307.60000000000002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23">
        <v>5</v>
      </c>
      <c r="DI40" s="23"/>
      <c r="DJ40" s="23">
        <v>3619</v>
      </c>
      <c r="DK40" s="23">
        <v>307.60000000000002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23">
        <v>0</v>
      </c>
      <c r="EG40" s="23"/>
      <c r="EH40" s="23">
        <v>0</v>
      </c>
      <c r="EI40" s="23">
        <v>0</v>
      </c>
      <c r="EJ40" s="16">
        <v>5</v>
      </c>
      <c r="EK40" s="16">
        <v>724</v>
      </c>
      <c r="EL40" s="16">
        <v>3619</v>
      </c>
      <c r="EM40" s="16">
        <v>307.60000000000002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23">
        <v>5</v>
      </c>
      <c r="FA40" s="23"/>
      <c r="FB40" s="23">
        <v>3619</v>
      </c>
      <c r="FC40" s="23">
        <v>307.60000000000002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5</v>
      </c>
      <c r="FM40" s="16">
        <v>724</v>
      </c>
      <c r="FN40" s="16">
        <v>3619</v>
      </c>
      <c r="FO40" s="16">
        <v>307.60000000000002</v>
      </c>
      <c r="FP40" s="16">
        <v>0</v>
      </c>
      <c r="FQ40" s="16">
        <v>0</v>
      </c>
      <c r="FR40" s="16">
        <v>0</v>
      </c>
      <c r="FS40" s="16">
        <v>0</v>
      </c>
      <c r="FT40" s="23">
        <v>5</v>
      </c>
      <c r="FU40" s="23"/>
      <c r="FV40" s="23">
        <v>3619</v>
      </c>
      <c r="FW40" s="23">
        <v>307.60000000000002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23">
        <v>0</v>
      </c>
      <c r="GS40" s="23"/>
      <c r="GT40" s="23">
        <v>0</v>
      </c>
      <c r="GU40" s="23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23">
        <v>0</v>
      </c>
      <c r="HM40" s="23"/>
      <c r="HN40" s="23">
        <v>0</v>
      </c>
      <c r="HO40" s="23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10</v>
      </c>
      <c r="HU40" s="16">
        <v>724</v>
      </c>
      <c r="HV40" s="16">
        <v>7238</v>
      </c>
      <c r="HW40" s="16">
        <v>615.20000000000005</v>
      </c>
      <c r="HX40" s="16">
        <v>0</v>
      </c>
      <c r="HY40" s="16">
        <v>0</v>
      </c>
      <c r="HZ40" s="16">
        <v>0</v>
      </c>
      <c r="IA40" s="16">
        <v>0</v>
      </c>
      <c r="IB40" s="16">
        <v>0</v>
      </c>
      <c r="IC40" s="16">
        <v>0</v>
      </c>
      <c r="ID40" s="16">
        <v>0</v>
      </c>
      <c r="IE40" s="16">
        <v>0</v>
      </c>
      <c r="IF40" s="23">
        <v>10</v>
      </c>
      <c r="IG40" s="23"/>
      <c r="IH40" s="23">
        <v>7238</v>
      </c>
      <c r="II40" s="23">
        <v>615.20000000000005</v>
      </c>
      <c r="IJ40" s="16">
        <v>0</v>
      </c>
      <c r="IK40" s="16">
        <v>0</v>
      </c>
      <c r="IL40" s="16">
        <v>0</v>
      </c>
      <c r="IM40" s="16">
        <v>0</v>
      </c>
      <c r="IN40" s="16">
        <v>0</v>
      </c>
      <c r="IO40" s="16">
        <v>0</v>
      </c>
      <c r="IP40" s="16">
        <v>0</v>
      </c>
      <c r="IQ40" s="16">
        <v>0</v>
      </c>
      <c r="IR40" s="16">
        <v>0</v>
      </c>
      <c r="IS40" s="16">
        <v>0</v>
      </c>
      <c r="IT40" s="16">
        <v>0</v>
      </c>
      <c r="IU40" s="16">
        <v>0</v>
      </c>
      <c r="IV40" s="16">
        <v>0</v>
      </c>
      <c r="IW40" s="16">
        <v>0</v>
      </c>
      <c r="IX40" s="16">
        <v>0</v>
      </c>
      <c r="IY40" s="16">
        <v>0</v>
      </c>
      <c r="IZ40" s="16">
        <v>0</v>
      </c>
      <c r="JA40" s="16">
        <v>0</v>
      </c>
      <c r="JB40" s="16">
        <v>0</v>
      </c>
      <c r="JC40" s="16">
        <v>0</v>
      </c>
      <c r="JD40" s="23">
        <v>0</v>
      </c>
      <c r="JE40" s="23"/>
      <c r="JF40" s="23">
        <v>0</v>
      </c>
      <c r="JG40" s="23">
        <v>0</v>
      </c>
      <c r="JH40" s="16">
        <v>0</v>
      </c>
      <c r="JI40" s="16">
        <v>0</v>
      </c>
      <c r="JJ40" s="16">
        <v>0</v>
      </c>
      <c r="JK40" s="16">
        <v>0</v>
      </c>
      <c r="JL40" s="16">
        <v>0</v>
      </c>
      <c r="JM40" s="16">
        <v>0</v>
      </c>
      <c r="JN40" s="16">
        <v>0</v>
      </c>
      <c r="JO40" s="16">
        <v>0</v>
      </c>
      <c r="JP40" s="16">
        <v>0</v>
      </c>
      <c r="JQ40" s="16">
        <v>0</v>
      </c>
      <c r="JR40" s="16">
        <v>0</v>
      </c>
      <c r="JS40" s="16">
        <v>0</v>
      </c>
      <c r="JT40" s="16">
        <v>10</v>
      </c>
      <c r="JU40" s="16">
        <v>724</v>
      </c>
      <c r="JV40" s="16">
        <v>7238</v>
      </c>
      <c r="JW40" s="16">
        <v>615.20000000000005</v>
      </c>
      <c r="JX40" s="23">
        <v>10</v>
      </c>
      <c r="JY40" s="23"/>
      <c r="JZ40" s="23">
        <v>7238</v>
      </c>
      <c r="KA40" s="23">
        <v>615.20000000000005</v>
      </c>
      <c r="KB40" s="16">
        <v>0</v>
      </c>
      <c r="KC40" s="16">
        <v>0</v>
      </c>
      <c r="KD40" s="16">
        <v>0</v>
      </c>
      <c r="KE40" s="16">
        <v>0</v>
      </c>
      <c r="KF40" s="16">
        <v>0</v>
      </c>
      <c r="KG40" s="16">
        <v>0</v>
      </c>
      <c r="KH40" s="16">
        <v>0</v>
      </c>
      <c r="KI40" s="16">
        <v>0</v>
      </c>
      <c r="KJ40" s="16">
        <v>0</v>
      </c>
      <c r="KK40" s="16">
        <v>0</v>
      </c>
      <c r="KL40" s="16">
        <v>0</v>
      </c>
      <c r="KM40" s="16">
        <v>0</v>
      </c>
      <c r="KN40" s="16">
        <v>0</v>
      </c>
      <c r="KO40" s="16">
        <v>0</v>
      </c>
      <c r="KP40" s="16">
        <v>0</v>
      </c>
      <c r="KQ40" s="16">
        <v>0</v>
      </c>
      <c r="KR40" s="23">
        <v>0</v>
      </c>
      <c r="KS40" s="23"/>
      <c r="KT40" s="23">
        <v>0</v>
      </c>
      <c r="KU40" s="23">
        <v>0</v>
      </c>
      <c r="KV40" s="23">
        <v>35</v>
      </c>
      <c r="KW40" s="23"/>
      <c r="KX40" s="23">
        <v>25333</v>
      </c>
      <c r="KY40" s="23">
        <v>2153.3000000000002</v>
      </c>
    </row>
    <row r="41" spans="1:311" ht="16.95" customHeight="1" x14ac:dyDescent="0.4">
      <c r="A41" s="11"/>
      <c r="B41" s="11"/>
      <c r="C41" s="11" t="s">
        <v>283</v>
      </c>
      <c r="D41" s="9">
        <v>0</v>
      </c>
      <c r="E41" s="9">
        <v>0</v>
      </c>
      <c r="F41" s="9">
        <v>0</v>
      </c>
      <c r="G41" s="9">
        <v>0</v>
      </c>
      <c r="H41" s="22">
        <v>0</v>
      </c>
      <c r="I41" s="22"/>
      <c r="J41" s="22">
        <v>0</v>
      </c>
      <c r="K41" s="22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22">
        <v>0</v>
      </c>
      <c r="AC41" s="22"/>
      <c r="AD41" s="22">
        <v>0</v>
      </c>
      <c r="AE41" s="22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22">
        <v>0</v>
      </c>
      <c r="AW41" s="22"/>
      <c r="AX41" s="22">
        <v>0</v>
      </c>
      <c r="AY41" s="22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22">
        <v>0</v>
      </c>
      <c r="BU41" s="22"/>
      <c r="BV41" s="22">
        <v>0</v>
      </c>
      <c r="BW41" s="22">
        <v>0</v>
      </c>
      <c r="BX41" s="9">
        <v>0</v>
      </c>
      <c r="BY41" s="9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22">
        <v>0</v>
      </c>
      <c r="CO41" s="22"/>
      <c r="CP41" s="22">
        <v>0</v>
      </c>
      <c r="CQ41" s="22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9">
        <v>0</v>
      </c>
      <c r="DE41" s="9">
        <v>0</v>
      </c>
      <c r="DF41" s="9">
        <v>0</v>
      </c>
      <c r="DG41" s="9">
        <v>0</v>
      </c>
      <c r="DH41" s="22">
        <v>0</v>
      </c>
      <c r="DI41" s="22"/>
      <c r="DJ41" s="22">
        <v>0</v>
      </c>
      <c r="DK41" s="22">
        <v>0</v>
      </c>
      <c r="DL41" s="9">
        <v>0</v>
      </c>
      <c r="DM41" s="9">
        <v>0</v>
      </c>
      <c r="DN41" s="9">
        <v>0</v>
      </c>
      <c r="DO41" s="9">
        <v>0</v>
      </c>
      <c r="DP41" s="9">
        <v>0</v>
      </c>
      <c r="DQ41" s="9">
        <v>0</v>
      </c>
      <c r="DR41" s="9">
        <v>0</v>
      </c>
      <c r="DS41" s="9">
        <v>0</v>
      </c>
      <c r="DT41" s="9">
        <v>0</v>
      </c>
      <c r="DU41" s="9">
        <v>0</v>
      </c>
      <c r="DV41" s="9">
        <v>0</v>
      </c>
      <c r="DW41" s="9">
        <v>0</v>
      </c>
      <c r="DX41" s="9">
        <v>0</v>
      </c>
      <c r="DY41" s="9">
        <v>0</v>
      </c>
      <c r="DZ41" s="9">
        <v>0</v>
      </c>
      <c r="EA41" s="9">
        <v>0</v>
      </c>
      <c r="EB41" s="9">
        <v>0</v>
      </c>
      <c r="EC41" s="9">
        <v>0</v>
      </c>
      <c r="ED41" s="9">
        <v>0</v>
      </c>
      <c r="EE41" s="9">
        <v>0</v>
      </c>
      <c r="EF41" s="22">
        <v>0</v>
      </c>
      <c r="EG41" s="22"/>
      <c r="EH41" s="22">
        <v>0</v>
      </c>
      <c r="EI41" s="22">
        <v>0</v>
      </c>
      <c r="EJ41" s="9">
        <v>0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22">
        <v>0</v>
      </c>
      <c r="FA41" s="22"/>
      <c r="FB41" s="22">
        <v>0</v>
      </c>
      <c r="FC41" s="22">
        <v>0</v>
      </c>
      <c r="FD41" s="9">
        <v>0</v>
      </c>
      <c r="FE41" s="9">
        <v>0</v>
      </c>
      <c r="FF41" s="9">
        <v>0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9">
        <v>0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9">
        <v>0</v>
      </c>
      <c r="FS41" s="9">
        <v>0</v>
      </c>
      <c r="FT41" s="22">
        <v>0</v>
      </c>
      <c r="FU41" s="22"/>
      <c r="FV41" s="22">
        <v>0</v>
      </c>
      <c r="FW41" s="22">
        <v>0</v>
      </c>
      <c r="FX41" s="9">
        <v>0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9">
        <v>0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9">
        <v>0</v>
      </c>
      <c r="GQ41" s="9">
        <v>0</v>
      </c>
      <c r="GR41" s="22">
        <v>0</v>
      </c>
      <c r="GS41" s="22"/>
      <c r="GT41" s="22">
        <v>0</v>
      </c>
      <c r="GU41" s="22">
        <v>0</v>
      </c>
      <c r="GV41" s="9">
        <v>0</v>
      </c>
      <c r="GW41" s="9">
        <v>0</v>
      </c>
      <c r="GX41" s="9">
        <v>0</v>
      </c>
      <c r="GY41" s="9">
        <v>0</v>
      </c>
      <c r="GZ41" s="9">
        <v>0</v>
      </c>
      <c r="HA41" s="9">
        <v>0</v>
      </c>
      <c r="HB41" s="9">
        <v>0</v>
      </c>
      <c r="HC41" s="9">
        <v>0</v>
      </c>
      <c r="HD41" s="9">
        <v>0</v>
      </c>
      <c r="HE41" s="9">
        <v>0</v>
      </c>
      <c r="HF41" s="9">
        <v>0</v>
      </c>
      <c r="HG41" s="9">
        <v>0</v>
      </c>
      <c r="HH41" s="9">
        <v>0</v>
      </c>
      <c r="HI41" s="9">
        <v>0</v>
      </c>
      <c r="HJ41" s="9">
        <v>0</v>
      </c>
      <c r="HK41" s="9">
        <v>0</v>
      </c>
      <c r="HL41" s="22">
        <v>0</v>
      </c>
      <c r="HM41" s="22"/>
      <c r="HN41" s="22">
        <v>0</v>
      </c>
      <c r="HO41" s="22">
        <v>0</v>
      </c>
      <c r="HP41" s="9">
        <v>0</v>
      </c>
      <c r="HQ41" s="9">
        <v>0</v>
      </c>
      <c r="HR41" s="9">
        <v>0</v>
      </c>
      <c r="HS41" s="9">
        <v>0</v>
      </c>
      <c r="HT41" s="9">
        <v>0</v>
      </c>
      <c r="HU41" s="9">
        <v>0</v>
      </c>
      <c r="HV41" s="9">
        <v>0</v>
      </c>
      <c r="HW41" s="9">
        <v>0</v>
      </c>
      <c r="HX41" s="9">
        <v>1</v>
      </c>
      <c r="HY41" s="9">
        <v>38144</v>
      </c>
      <c r="HZ41" s="9">
        <v>38144</v>
      </c>
      <c r="IA41" s="9">
        <v>3242.2</v>
      </c>
      <c r="IB41" s="9">
        <v>0</v>
      </c>
      <c r="IC41" s="9">
        <v>0</v>
      </c>
      <c r="ID41" s="9">
        <v>0</v>
      </c>
      <c r="IE41" s="9">
        <v>0</v>
      </c>
      <c r="IF41" s="22">
        <v>1</v>
      </c>
      <c r="IG41" s="22"/>
      <c r="IH41" s="22">
        <v>38144</v>
      </c>
      <c r="II41" s="22">
        <v>3242.2</v>
      </c>
      <c r="IJ41" s="9">
        <v>0</v>
      </c>
      <c r="IK41" s="9">
        <v>0</v>
      </c>
      <c r="IL41" s="9">
        <v>0</v>
      </c>
      <c r="IM41" s="9">
        <v>0</v>
      </c>
      <c r="IN41" s="9">
        <v>0</v>
      </c>
      <c r="IO41" s="9">
        <v>0</v>
      </c>
      <c r="IP41" s="9">
        <v>0</v>
      </c>
      <c r="IQ41" s="9">
        <v>0</v>
      </c>
      <c r="IR41" s="9">
        <v>0</v>
      </c>
      <c r="IS41" s="9">
        <v>0</v>
      </c>
      <c r="IT41" s="9">
        <v>0</v>
      </c>
      <c r="IU41" s="9">
        <v>0</v>
      </c>
      <c r="IV41" s="9">
        <v>0</v>
      </c>
      <c r="IW41" s="9">
        <v>0</v>
      </c>
      <c r="IX41" s="9">
        <v>0</v>
      </c>
      <c r="IY41" s="9">
        <v>0</v>
      </c>
      <c r="IZ41" s="9">
        <v>0</v>
      </c>
      <c r="JA41" s="9">
        <v>0</v>
      </c>
      <c r="JB41" s="9">
        <v>0</v>
      </c>
      <c r="JC41" s="9">
        <v>0</v>
      </c>
      <c r="JD41" s="22">
        <v>0</v>
      </c>
      <c r="JE41" s="22"/>
      <c r="JF41" s="22">
        <v>0</v>
      </c>
      <c r="JG41" s="22">
        <v>0</v>
      </c>
      <c r="JH41" s="9">
        <v>0</v>
      </c>
      <c r="JI41" s="9">
        <v>0</v>
      </c>
      <c r="JJ41" s="9">
        <v>0</v>
      </c>
      <c r="JK41" s="9">
        <v>0</v>
      </c>
      <c r="JL41" s="9">
        <v>0</v>
      </c>
      <c r="JM41" s="9">
        <v>0</v>
      </c>
      <c r="JN41" s="9">
        <v>0</v>
      </c>
      <c r="JO41" s="9">
        <v>0</v>
      </c>
      <c r="JP41" s="9">
        <v>0</v>
      </c>
      <c r="JQ41" s="9">
        <v>0</v>
      </c>
      <c r="JR41" s="9">
        <v>0</v>
      </c>
      <c r="JS41" s="9">
        <v>0</v>
      </c>
      <c r="JT41" s="9">
        <v>0</v>
      </c>
      <c r="JU41" s="9">
        <v>0</v>
      </c>
      <c r="JV41" s="9">
        <v>0</v>
      </c>
      <c r="JW41" s="9">
        <v>0</v>
      </c>
      <c r="JX41" s="22">
        <v>0</v>
      </c>
      <c r="JY41" s="22"/>
      <c r="JZ41" s="22">
        <v>0</v>
      </c>
      <c r="KA41" s="22">
        <v>0</v>
      </c>
      <c r="KB41" s="9">
        <v>0</v>
      </c>
      <c r="KC41" s="9">
        <v>0</v>
      </c>
      <c r="KD41" s="9">
        <v>0</v>
      </c>
      <c r="KE41" s="9">
        <v>0</v>
      </c>
      <c r="KF41" s="9">
        <v>0</v>
      </c>
      <c r="KG41" s="9">
        <v>0</v>
      </c>
      <c r="KH41" s="9">
        <v>0</v>
      </c>
      <c r="KI41" s="9">
        <v>0</v>
      </c>
      <c r="KJ41" s="9">
        <v>0</v>
      </c>
      <c r="KK41" s="9">
        <v>0</v>
      </c>
      <c r="KL41" s="9">
        <v>0</v>
      </c>
      <c r="KM41" s="9">
        <v>0</v>
      </c>
      <c r="KN41" s="9">
        <v>0</v>
      </c>
      <c r="KO41" s="9">
        <v>0</v>
      </c>
      <c r="KP41" s="9">
        <v>0</v>
      </c>
      <c r="KQ41" s="9">
        <v>0</v>
      </c>
      <c r="KR41" s="22">
        <v>0</v>
      </c>
      <c r="KS41" s="22"/>
      <c r="KT41" s="22">
        <v>0</v>
      </c>
      <c r="KU41" s="22">
        <v>0</v>
      </c>
      <c r="KV41" s="22">
        <v>1</v>
      </c>
      <c r="KW41" s="22"/>
      <c r="KX41" s="22">
        <v>38144</v>
      </c>
      <c r="KY41" s="22">
        <v>3242.2</v>
      </c>
    </row>
    <row r="42" spans="1:311" ht="16.95" customHeight="1" x14ac:dyDescent="0.4">
      <c r="A42" s="15"/>
      <c r="B42" s="15"/>
      <c r="C42" s="15" t="s">
        <v>123</v>
      </c>
      <c r="D42" s="16">
        <v>0</v>
      </c>
      <c r="E42" s="16">
        <v>0</v>
      </c>
      <c r="F42" s="16">
        <v>0</v>
      </c>
      <c r="G42" s="16">
        <v>0</v>
      </c>
      <c r="H42" s="23">
        <v>0</v>
      </c>
      <c r="I42" s="23"/>
      <c r="J42" s="23">
        <v>0</v>
      </c>
      <c r="K42" s="23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23">
        <v>0</v>
      </c>
      <c r="AC42" s="23"/>
      <c r="AD42" s="23">
        <v>0</v>
      </c>
      <c r="AE42" s="23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10</v>
      </c>
      <c r="AS42" s="16">
        <v>488</v>
      </c>
      <c r="AT42" s="16">
        <v>4884</v>
      </c>
      <c r="AU42" s="16">
        <v>415.1</v>
      </c>
      <c r="AV42" s="23">
        <v>10</v>
      </c>
      <c r="AW42" s="23"/>
      <c r="AX42" s="23">
        <v>4884</v>
      </c>
      <c r="AY42" s="23">
        <v>415.1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23">
        <v>0</v>
      </c>
      <c r="BU42" s="23"/>
      <c r="BV42" s="23">
        <v>0</v>
      </c>
      <c r="BW42" s="23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10</v>
      </c>
      <c r="CC42" s="16">
        <v>499</v>
      </c>
      <c r="CD42" s="16">
        <v>4994</v>
      </c>
      <c r="CE42" s="16">
        <v>424.5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23">
        <v>10</v>
      </c>
      <c r="CO42" s="23"/>
      <c r="CP42" s="23">
        <v>4994</v>
      </c>
      <c r="CQ42" s="23">
        <v>424.5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23">
        <v>0</v>
      </c>
      <c r="DI42" s="23"/>
      <c r="DJ42" s="23">
        <v>0</v>
      </c>
      <c r="DK42" s="23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10</v>
      </c>
      <c r="DY42" s="16">
        <v>499</v>
      </c>
      <c r="DZ42" s="16">
        <v>4994</v>
      </c>
      <c r="EA42" s="16">
        <v>424.5</v>
      </c>
      <c r="EB42" s="16">
        <v>0</v>
      </c>
      <c r="EC42" s="16">
        <v>0</v>
      </c>
      <c r="ED42" s="16">
        <v>0</v>
      </c>
      <c r="EE42" s="16">
        <v>0</v>
      </c>
      <c r="EF42" s="23">
        <v>10</v>
      </c>
      <c r="EG42" s="23"/>
      <c r="EH42" s="23">
        <v>4994</v>
      </c>
      <c r="EI42" s="23">
        <v>424.5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23">
        <v>0</v>
      </c>
      <c r="FA42" s="23"/>
      <c r="FB42" s="23">
        <v>0</v>
      </c>
      <c r="FC42" s="23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23">
        <v>0</v>
      </c>
      <c r="FU42" s="23"/>
      <c r="FV42" s="23">
        <v>0</v>
      </c>
      <c r="FW42" s="23">
        <v>0</v>
      </c>
      <c r="FX42" s="16">
        <v>10</v>
      </c>
      <c r="FY42" s="16">
        <v>499</v>
      </c>
      <c r="FZ42" s="16">
        <v>4994</v>
      </c>
      <c r="GA42" s="16">
        <v>424.5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23">
        <v>10</v>
      </c>
      <c r="GS42" s="23"/>
      <c r="GT42" s="23">
        <v>4994</v>
      </c>
      <c r="GU42" s="23">
        <v>424.5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23">
        <v>0</v>
      </c>
      <c r="HM42" s="23"/>
      <c r="HN42" s="23">
        <v>0</v>
      </c>
      <c r="HO42" s="23">
        <v>0</v>
      </c>
      <c r="HP42" s="16">
        <v>10</v>
      </c>
      <c r="HQ42" s="16">
        <v>499</v>
      </c>
      <c r="HR42" s="16">
        <v>4994</v>
      </c>
      <c r="HS42" s="16">
        <v>424.5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  <c r="IB42" s="16">
        <v>0</v>
      </c>
      <c r="IC42" s="16">
        <v>0</v>
      </c>
      <c r="ID42" s="16">
        <v>0</v>
      </c>
      <c r="IE42" s="16">
        <v>0</v>
      </c>
      <c r="IF42" s="23">
        <v>10</v>
      </c>
      <c r="IG42" s="23"/>
      <c r="IH42" s="23">
        <v>4994</v>
      </c>
      <c r="II42" s="23">
        <v>424.5</v>
      </c>
      <c r="IJ42" s="16">
        <v>10</v>
      </c>
      <c r="IK42" s="16">
        <v>499</v>
      </c>
      <c r="IL42" s="16">
        <v>4994</v>
      </c>
      <c r="IM42" s="16">
        <v>424.5</v>
      </c>
      <c r="IN42" s="16">
        <v>0</v>
      </c>
      <c r="IO42" s="16">
        <v>0</v>
      </c>
      <c r="IP42" s="16">
        <v>0</v>
      </c>
      <c r="IQ42" s="16">
        <v>0</v>
      </c>
      <c r="IR42" s="16">
        <v>0</v>
      </c>
      <c r="IS42" s="16">
        <v>0</v>
      </c>
      <c r="IT42" s="16">
        <v>0</v>
      </c>
      <c r="IU42" s="16">
        <v>0</v>
      </c>
      <c r="IV42" s="16">
        <v>0</v>
      </c>
      <c r="IW42" s="16">
        <v>0</v>
      </c>
      <c r="IX42" s="16">
        <v>0</v>
      </c>
      <c r="IY42" s="16">
        <v>0</v>
      </c>
      <c r="IZ42" s="16">
        <v>0</v>
      </c>
      <c r="JA42" s="16">
        <v>0</v>
      </c>
      <c r="JB42" s="16">
        <v>0</v>
      </c>
      <c r="JC42" s="16">
        <v>0</v>
      </c>
      <c r="JD42" s="23">
        <v>10</v>
      </c>
      <c r="JE42" s="23"/>
      <c r="JF42" s="23">
        <v>4994</v>
      </c>
      <c r="JG42" s="23">
        <v>424.5</v>
      </c>
      <c r="JH42" s="16">
        <v>0</v>
      </c>
      <c r="JI42" s="16">
        <v>0</v>
      </c>
      <c r="JJ42" s="16">
        <v>0</v>
      </c>
      <c r="JK42" s="16">
        <v>0</v>
      </c>
      <c r="JL42" s="16">
        <v>0</v>
      </c>
      <c r="JM42" s="16">
        <v>0</v>
      </c>
      <c r="JN42" s="16">
        <v>0</v>
      </c>
      <c r="JO42" s="16">
        <v>0</v>
      </c>
      <c r="JP42" s="16">
        <v>10</v>
      </c>
      <c r="JQ42" s="16">
        <v>499</v>
      </c>
      <c r="JR42" s="16">
        <v>4994</v>
      </c>
      <c r="JS42" s="16">
        <v>424.5</v>
      </c>
      <c r="JT42" s="16">
        <v>0</v>
      </c>
      <c r="JU42" s="16">
        <v>0</v>
      </c>
      <c r="JV42" s="16">
        <v>0</v>
      </c>
      <c r="JW42" s="16">
        <v>0</v>
      </c>
      <c r="JX42" s="23">
        <v>10</v>
      </c>
      <c r="JY42" s="23"/>
      <c r="JZ42" s="23">
        <v>4994</v>
      </c>
      <c r="KA42" s="23">
        <v>424.5</v>
      </c>
      <c r="KB42" s="16">
        <v>0</v>
      </c>
      <c r="KC42" s="16">
        <v>0</v>
      </c>
      <c r="KD42" s="16">
        <v>0</v>
      </c>
      <c r="KE42" s="16">
        <v>0</v>
      </c>
      <c r="KF42" s="16">
        <v>0</v>
      </c>
      <c r="KG42" s="16">
        <v>0</v>
      </c>
      <c r="KH42" s="16">
        <v>0</v>
      </c>
      <c r="KI42" s="16">
        <v>0</v>
      </c>
      <c r="KJ42" s="16">
        <v>0</v>
      </c>
      <c r="KK42" s="16">
        <v>0</v>
      </c>
      <c r="KL42" s="16">
        <v>0</v>
      </c>
      <c r="KM42" s="16">
        <v>0</v>
      </c>
      <c r="KN42" s="16">
        <v>10</v>
      </c>
      <c r="KO42" s="16">
        <v>499</v>
      </c>
      <c r="KP42" s="16">
        <v>4994</v>
      </c>
      <c r="KQ42" s="16">
        <v>424.5</v>
      </c>
      <c r="KR42" s="23">
        <v>10</v>
      </c>
      <c r="KS42" s="23"/>
      <c r="KT42" s="23">
        <v>4994</v>
      </c>
      <c r="KU42" s="23">
        <v>424.5</v>
      </c>
      <c r="KV42" s="23">
        <v>80</v>
      </c>
      <c r="KW42" s="23"/>
      <c r="KX42" s="23">
        <v>39842</v>
      </c>
      <c r="KY42" s="23">
        <v>3386.6</v>
      </c>
    </row>
    <row r="43" spans="1:311" ht="16.95" customHeight="1" x14ac:dyDescent="0.4">
      <c r="A43" s="11"/>
      <c r="B43" s="11"/>
      <c r="C43" s="11" t="s">
        <v>248</v>
      </c>
      <c r="D43" s="9">
        <v>0</v>
      </c>
      <c r="E43" s="9">
        <v>0</v>
      </c>
      <c r="F43" s="9">
        <v>0</v>
      </c>
      <c r="G43" s="9">
        <v>0</v>
      </c>
      <c r="H43" s="22">
        <v>0</v>
      </c>
      <c r="I43" s="22"/>
      <c r="J43" s="22">
        <v>0</v>
      </c>
      <c r="K43" s="22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22">
        <v>0</v>
      </c>
      <c r="AC43" s="22"/>
      <c r="AD43" s="22">
        <v>0</v>
      </c>
      <c r="AE43" s="22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22">
        <v>0</v>
      </c>
      <c r="AW43" s="22"/>
      <c r="AX43" s="22">
        <v>0</v>
      </c>
      <c r="AY43" s="22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22">
        <v>0</v>
      </c>
      <c r="BU43" s="22"/>
      <c r="BV43" s="22">
        <v>0</v>
      </c>
      <c r="BW43" s="22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22">
        <v>0</v>
      </c>
      <c r="CO43" s="22"/>
      <c r="CP43" s="22">
        <v>0</v>
      </c>
      <c r="CQ43" s="22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22">
        <v>0</v>
      </c>
      <c r="DI43" s="22"/>
      <c r="DJ43" s="22">
        <v>0</v>
      </c>
      <c r="DK43" s="22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9">
        <v>0</v>
      </c>
      <c r="DU43" s="9">
        <v>0</v>
      </c>
      <c r="DV43" s="9">
        <v>0</v>
      </c>
      <c r="DW43" s="9">
        <v>0</v>
      </c>
      <c r="DX43" s="9">
        <v>0</v>
      </c>
      <c r="DY43" s="9">
        <v>0</v>
      </c>
      <c r="DZ43" s="9">
        <v>0</v>
      </c>
      <c r="EA43" s="9">
        <v>0</v>
      </c>
      <c r="EB43" s="9">
        <v>0</v>
      </c>
      <c r="EC43" s="9">
        <v>0</v>
      </c>
      <c r="ED43" s="9">
        <v>0</v>
      </c>
      <c r="EE43" s="9">
        <v>0</v>
      </c>
      <c r="EF43" s="22">
        <v>0</v>
      </c>
      <c r="EG43" s="22"/>
      <c r="EH43" s="22">
        <v>0</v>
      </c>
      <c r="EI43" s="22">
        <v>0</v>
      </c>
      <c r="EJ43" s="9">
        <v>0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22">
        <v>0</v>
      </c>
      <c r="FA43" s="22"/>
      <c r="FB43" s="22">
        <v>0</v>
      </c>
      <c r="FC43" s="22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9">
        <v>0</v>
      </c>
      <c r="FM43" s="9">
        <v>0</v>
      </c>
      <c r="FN43" s="9">
        <v>0</v>
      </c>
      <c r="FO43" s="9">
        <v>0</v>
      </c>
      <c r="FP43" s="9">
        <v>0</v>
      </c>
      <c r="FQ43" s="9">
        <v>0</v>
      </c>
      <c r="FR43" s="9">
        <v>0</v>
      </c>
      <c r="FS43" s="9">
        <v>0</v>
      </c>
      <c r="FT43" s="22">
        <v>0</v>
      </c>
      <c r="FU43" s="22"/>
      <c r="FV43" s="22">
        <v>0</v>
      </c>
      <c r="FW43" s="22">
        <v>0</v>
      </c>
      <c r="FX43" s="9">
        <v>1</v>
      </c>
      <c r="FY43" s="9">
        <v>13751</v>
      </c>
      <c r="FZ43" s="9">
        <v>13751</v>
      </c>
      <c r="GA43" s="9">
        <v>1168.8</v>
      </c>
      <c r="GB43" s="9">
        <v>0</v>
      </c>
      <c r="GC43" s="9">
        <v>0</v>
      </c>
      <c r="GD43" s="9">
        <v>0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  <c r="GJ43" s="9">
        <v>0</v>
      </c>
      <c r="GK43" s="9">
        <v>0</v>
      </c>
      <c r="GL43" s="9">
        <v>0</v>
      </c>
      <c r="GM43" s="9">
        <v>0</v>
      </c>
      <c r="GN43" s="9">
        <v>0</v>
      </c>
      <c r="GO43" s="9">
        <v>0</v>
      </c>
      <c r="GP43" s="9">
        <v>0</v>
      </c>
      <c r="GQ43" s="9">
        <v>0</v>
      </c>
      <c r="GR43" s="22">
        <v>1</v>
      </c>
      <c r="GS43" s="22"/>
      <c r="GT43" s="22">
        <v>13751</v>
      </c>
      <c r="GU43" s="22">
        <v>1168.8</v>
      </c>
      <c r="GV43" s="9">
        <v>0</v>
      </c>
      <c r="GW43" s="9">
        <v>0</v>
      </c>
      <c r="GX43" s="9">
        <v>0</v>
      </c>
      <c r="GY43" s="9">
        <v>0</v>
      </c>
      <c r="GZ43" s="9">
        <v>0</v>
      </c>
      <c r="HA43" s="9">
        <v>0</v>
      </c>
      <c r="HB43" s="9">
        <v>0</v>
      </c>
      <c r="HC43" s="9">
        <v>0</v>
      </c>
      <c r="HD43" s="9">
        <v>0</v>
      </c>
      <c r="HE43" s="9">
        <v>0</v>
      </c>
      <c r="HF43" s="9">
        <v>0</v>
      </c>
      <c r="HG43" s="9">
        <v>0</v>
      </c>
      <c r="HH43" s="9">
        <v>0</v>
      </c>
      <c r="HI43" s="9">
        <v>0</v>
      </c>
      <c r="HJ43" s="9">
        <v>0</v>
      </c>
      <c r="HK43" s="9">
        <v>0</v>
      </c>
      <c r="HL43" s="22">
        <v>0</v>
      </c>
      <c r="HM43" s="22"/>
      <c r="HN43" s="22">
        <v>0</v>
      </c>
      <c r="HO43" s="22">
        <v>0</v>
      </c>
      <c r="HP43" s="9">
        <v>0</v>
      </c>
      <c r="HQ43" s="9">
        <v>0</v>
      </c>
      <c r="HR43" s="9">
        <v>0</v>
      </c>
      <c r="HS43" s="9">
        <v>0</v>
      </c>
      <c r="HT43" s="9">
        <v>0</v>
      </c>
      <c r="HU43" s="9">
        <v>0</v>
      </c>
      <c r="HV43" s="9">
        <v>0</v>
      </c>
      <c r="HW43" s="9">
        <v>0</v>
      </c>
      <c r="HX43" s="9">
        <v>0</v>
      </c>
      <c r="HY43" s="9">
        <v>0</v>
      </c>
      <c r="HZ43" s="9">
        <v>0</v>
      </c>
      <c r="IA43" s="9">
        <v>0</v>
      </c>
      <c r="IB43" s="9">
        <v>0</v>
      </c>
      <c r="IC43" s="9">
        <v>0</v>
      </c>
      <c r="ID43" s="9">
        <v>0</v>
      </c>
      <c r="IE43" s="9">
        <v>0</v>
      </c>
      <c r="IF43" s="22">
        <v>0</v>
      </c>
      <c r="IG43" s="22"/>
      <c r="IH43" s="22">
        <v>0</v>
      </c>
      <c r="II43" s="22">
        <v>0</v>
      </c>
      <c r="IJ43" s="9">
        <v>0</v>
      </c>
      <c r="IK43" s="9">
        <v>0</v>
      </c>
      <c r="IL43" s="9">
        <v>0</v>
      </c>
      <c r="IM43" s="9">
        <v>0</v>
      </c>
      <c r="IN43" s="9">
        <v>0</v>
      </c>
      <c r="IO43" s="9">
        <v>0</v>
      </c>
      <c r="IP43" s="9">
        <v>0</v>
      </c>
      <c r="IQ43" s="9">
        <v>0</v>
      </c>
      <c r="IR43" s="9">
        <v>0</v>
      </c>
      <c r="IS43" s="9">
        <v>0</v>
      </c>
      <c r="IT43" s="9">
        <v>0</v>
      </c>
      <c r="IU43" s="9">
        <v>0</v>
      </c>
      <c r="IV43" s="9">
        <v>0</v>
      </c>
      <c r="IW43" s="9">
        <v>0</v>
      </c>
      <c r="IX43" s="9">
        <v>0</v>
      </c>
      <c r="IY43" s="9">
        <v>0</v>
      </c>
      <c r="IZ43" s="9">
        <v>0</v>
      </c>
      <c r="JA43" s="9">
        <v>0</v>
      </c>
      <c r="JB43" s="9">
        <v>0</v>
      </c>
      <c r="JC43" s="9">
        <v>0</v>
      </c>
      <c r="JD43" s="22">
        <v>0</v>
      </c>
      <c r="JE43" s="22"/>
      <c r="JF43" s="22">
        <v>0</v>
      </c>
      <c r="JG43" s="22">
        <v>0</v>
      </c>
      <c r="JH43" s="9">
        <v>0</v>
      </c>
      <c r="JI43" s="9">
        <v>0</v>
      </c>
      <c r="JJ43" s="9">
        <v>0</v>
      </c>
      <c r="JK43" s="9">
        <v>0</v>
      </c>
      <c r="JL43" s="9">
        <v>0</v>
      </c>
      <c r="JM43" s="9">
        <v>0</v>
      </c>
      <c r="JN43" s="9">
        <v>0</v>
      </c>
      <c r="JO43" s="9">
        <v>0</v>
      </c>
      <c r="JP43" s="9">
        <v>0</v>
      </c>
      <c r="JQ43" s="9">
        <v>0</v>
      </c>
      <c r="JR43" s="9">
        <v>0</v>
      </c>
      <c r="JS43" s="9">
        <v>0</v>
      </c>
      <c r="JT43" s="9">
        <v>0</v>
      </c>
      <c r="JU43" s="9">
        <v>0</v>
      </c>
      <c r="JV43" s="9">
        <v>0</v>
      </c>
      <c r="JW43" s="9">
        <v>0</v>
      </c>
      <c r="JX43" s="22">
        <v>0</v>
      </c>
      <c r="JY43" s="22"/>
      <c r="JZ43" s="22">
        <v>0</v>
      </c>
      <c r="KA43" s="22">
        <v>0</v>
      </c>
      <c r="KB43" s="9">
        <v>1</v>
      </c>
      <c r="KC43" s="9">
        <v>11180</v>
      </c>
      <c r="KD43" s="9">
        <v>11180</v>
      </c>
      <c r="KE43" s="9">
        <v>950.3</v>
      </c>
      <c r="KF43" s="9">
        <v>0</v>
      </c>
      <c r="KG43" s="9">
        <v>0</v>
      </c>
      <c r="KH43" s="9">
        <v>0</v>
      </c>
      <c r="KI43" s="9">
        <v>0</v>
      </c>
      <c r="KJ43" s="9">
        <v>0</v>
      </c>
      <c r="KK43" s="9">
        <v>0</v>
      </c>
      <c r="KL43" s="9">
        <v>0</v>
      </c>
      <c r="KM43" s="9">
        <v>0</v>
      </c>
      <c r="KN43" s="9">
        <v>0</v>
      </c>
      <c r="KO43" s="9">
        <v>0</v>
      </c>
      <c r="KP43" s="9">
        <v>0</v>
      </c>
      <c r="KQ43" s="9">
        <v>0</v>
      </c>
      <c r="KR43" s="22">
        <v>1</v>
      </c>
      <c r="KS43" s="22"/>
      <c r="KT43" s="22">
        <v>11180</v>
      </c>
      <c r="KU43" s="22">
        <v>950.3</v>
      </c>
      <c r="KV43" s="22">
        <v>2</v>
      </c>
      <c r="KW43" s="22"/>
      <c r="KX43" s="22">
        <v>24931</v>
      </c>
      <c r="KY43" s="22">
        <v>2119.1</v>
      </c>
    </row>
    <row r="44" spans="1:311" ht="16.95" customHeight="1" x14ac:dyDescent="0.4">
      <c r="A44" s="15"/>
      <c r="B44" s="15"/>
      <c r="C44" s="15" t="s">
        <v>133</v>
      </c>
      <c r="D44" s="16">
        <v>0</v>
      </c>
      <c r="E44" s="16">
        <v>0</v>
      </c>
      <c r="F44" s="16">
        <v>0</v>
      </c>
      <c r="G44" s="16">
        <v>0</v>
      </c>
      <c r="H44" s="23">
        <v>0</v>
      </c>
      <c r="I44" s="23"/>
      <c r="J44" s="23">
        <v>0</v>
      </c>
      <c r="K44" s="23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23">
        <v>0</v>
      </c>
      <c r="AC44" s="23"/>
      <c r="AD44" s="23">
        <v>0</v>
      </c>
      <c r="AE44" s="23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23">
        <v>0</v>
      </c>
      <c r="AW44" s="23"/>
      <c r="AX44" s="23">
        <v>0</v>
      </c>
      <c r="AY44" s="23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3</v>
      </c>
      <c r="BE44" s="16">
        <v>7366</v>
      </c>
      <c r="BF44" s="16">
        <v>22098</v>
      </c>
      <c r="BG44" s="16">
        <v>1878.3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23">
        <v>3</v>
      </c>
      <c r="BU44" s="23"/>
      <c r="BV44" s="23">
        <v>22098</v>
      </c>
      <c r="BW44" s="23">
        <v>1878.3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23">
        <v>0</v>
      </c>
      <c r="CO44" s="23"/>
      <c r="CP44" s="23">
        <v>0</v>
      </c>
      <c r="CQ44" s="23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23">
        <v>0</v>
      </c>
      <c r="DI44" s="23"/>
      <c r="DJ44" s="23">
        <v>0</v>
      </c>
      <c r="DK44" s="23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23">
        <v>0</v>
      </c>
      <c r="EG44" s="23"/>
      <c r="EH44" s="23">
        <v>0</v>
      </c>
      <c r="EI44" s="23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23">
        <v>0</v>
      </c>
      <c r="FA44" s="23"/>
      <c r="FB44" s="23">
        <v>0</v>
      </c>
      <c r="FC44" s="23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23">
        <v>0</v>
      </c>
      <c r="FU44" s="23"/>
      <c r="FV44" s="23">
        <v>0</v>
      </c>
      <c r="FW44" s="23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23">
        <v>0</v>
      </c>
      <c r="GS44" s="23"/>
      <c r="GT44" s="23">
        <v>0</v>
      </c>
      <c r="GU44" s="23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23">
        <v>0</v>
      </c>
      <c r="HM44" s="23"/>
      <c r="HN44" s="23">
        <v>0</v>
      </c>
      <c r="HO44" s="23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  <c r="IB44" s="16">
        <v>0</v>
      </c>
      <c r="IC44" s="16">
        <v>0</v>
      </c>
      <c r="ID44" s="16">
        <v>0</v>
      </c>
      <c r="IE44" s="16">
        <v>0</v>
      </c>
      <c r="IF44" s="23">
        <v>0</v>
      </c>
      <c r="IG44" s="23"/>
      <c r="IH44" s="23">
        <v>0</v>
      </c>
      <c r="II44" s="23">
        <v>0</v>
      </c>
      <c r="IJ44" s="16">
        <v>0</v>
      </c>
      <c r="IK44" s="16">
        <v>0</v>
      </c>
      <c r="IL44" s="16">
        <v>0</v>
      </c>
      <c r="IM44" s="16">
        <v>0</v>
      </c>
      <c r="IN44" s="16">
        <v>0</v>
      </c>
      <c r="IO44" s="16">
        <v>0</v>
      </c>
      <c r="IP44" s="16">
        <v>0</v>
      </c>
      <c r="IQ44" s="16">
        <v>0</v>
      </c>
      <c r="IR44" s="16">
        <v>0</v>
      </c>
      <c r="IS44" s="16">
        <v>0</v>
      </c>
      <c r="IT44" s="16">
        <v>0</v>
      </c>
      <c r="IU44" s="16">
        <v>0</v>
      </c>
      <c r="IV44" s="16">
        <v>0</v>
      </c>
      <c r="IW44" s="16">
        <v>0</v>
      </c>
      <c r="IX44" s="16">
        <v>0</v>
      </c>
      <c r="IY44" s="16">
        <v>0</v>
      </c>
      <c r="IZ44" s="16">
        <v>0</v>
      </c>
      <c r="JA44" s="16">
        <v>0</v>
      </c>
      <c r="JB44" s="16">
        <v>0</v>
      </c>
      <c r="JC44" s="16">
        <v>0</v>
      </c>
      <c r="JD44" s="23">
        <v>0</v>
      </c>
      <c r="JE44" s="23"/>
      <c r="JF44" s="23">
        <v>0</v>
      </c>
      <c r="JG44" s="23">
        <v>0</v>
      </c>
      <c r="JH44" s="16">
        <v>0</v>
      </c>
      <c r="JI44" s="16">
        <v>0</v>
      </c>
      <c r="JJ44" s="16">
        <v>0</v>
      </c>
      <c r="JK44" s="16">
        <v>0</v>
      </c>
      <c r="JL44" s="16">
        <v>0</v>
      </c>
      <c r="JM44" s="16">
        <v>0</v>
      </c>
      <c r="JN44" s="16">
        <v>0</v>
      </c>
      <c r="JO44" s="16">
        <v>0</v>
      </c>
      <c r="JP44" s="16">
        <v>0</v>
      </c>
      <c r="JQ44" s="16">
        <v>0</v>
      </c>
      <c r="JR44" s="16">
        <v>0</v>
      </c>
      <c r="JS44" s="16">
        <v>0</v>
      </c>
      <c r="JT44" s="16">
        <v>0</v>
      </c>
      <c r="JU44" s="16">
        <v>0</v>
      </c>
      <c r="JV44" s="16">
        <v>0</v>
      </c>
      <c r="JW44" s="16">
        <v>0</v>
      </c>
      <c r="JX44" s="23">
        <v>0</v>
      </c>
      <c r="JY44" s="23"/>
      <c r="JZ44" s="23">
        <v>0</v>
      </c>
      <c r="KA44" s="23">
        <v>0</v>
      </c>
      <c r="KB44" s="16">
        <v>0</v>
      </c>
      <c r="KC44" s="16">
        <v>0</v>
      </c>
      <c r="KD44" s="16">
        <v>0</v>
      </c>
      <c r="KE44" s="16">
        <v>0</v>
      </c>
      <c r="KF44" s="16">
        <v>0</v>
      </c>
      <c r="KG44" s="16">
        <v>0</v>
      </c>
      <c r="KH44" s="16">
        <v>0</v>
      </c>
      <c r="KI44" s="16">
        <v>0</v>
      </c>
      <c r="KJ44" s="16">
        <v>0</v>
      </c>
      <c r="KK44" s="16">
        <v>0</v>
      </c>
      <c r="KL44" s="16">
        <v>0</v>
      </c>
      <c r="KM44" s="16">
        <v>0</v>
      </c>
      <c r="KN44" s="16">
        <v>0</v>
      </c>
      <c r="KO44" s="16">
        <v>0</v>
      </c>
      <c r="KP44" s="16">
        <v>0</v>
      </c>
      <c r="KQ44" s="16">
        <v>0</v>
      </c>
      <c r="KR44" s="23">
        <v>0</v>
      </c>
      <c r="KS44" s="23"/>
      <c r="KT44" s="23">
        <v>0</v>
      </c>
      <c r="KU44" s="23">
        <v>0</v>
      </c>
      <c r="KV44" s="23">
        <v>3</v>
      </c>
      <c r="KW44" s="23"/>
      <c r="KX44" s="23">
        <v>22098</v>
      </c>
      <c r="KY44" s="23">
        <v>1878.3</v>
      </c>
    </row>
    <row r="45" spans="1:311" ht="16.95" customHeight="1" x14ac:dyDescent="0.4">
      <c r="A45" s="11"/>
      <c r="B45" s="11"/>
      <c r="C45" s="11" t="s">
        <v>103</v>
      </c>
      <c r="D45" s="9">
        <v>0</v>
      </c>
      <c r="E45" s="9">
        <v>0</v>
      </c>
      <c r="F45" s="9">
        <v>0</v>
      </c>
      <c r="G45" s="9">
        <v>0</v>
      </c>
      <c r="H45" s="22">
        <v>0</v>
      </c>
      <c r="I45" s="22"/>
      <c r="J45" s="22">
        <v>0</v>
      </c>
      <c r="K45" s="22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22">
        <v>0</v>
      </c>
      <c r="AC45" s="22"/>
      <c r="AD45" s="22">
        <v>0</v>
      </c>
      <c r="AE45" s="22">
        <v>0</v>
      </c>
      <c r="AF45" s="9">
        <v>1</v>
      </c>
      <c r="AG45" s="9">
        <v>13505</v>
      </c>
      <c r="AH45" s="9">
        <v>13505</v>
      </c>
      <c r="AI45" s="9">
        <v>1147.9000000000001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22">
        <v>1</v>
      </c>
      <c r="AW45" s="22"/>
      <c r="AX45" s="22">
        <v>13505</v>
      </c>
      <c r="AY45" s="22">
        <v>1147.9000000000001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22">
        <v>0</v>
      </c>
      <c r="BU45" s="22"/>
      <c r="BV45" s="22">
        <v>0</v>
      </c>
      <c r="BW45" s="22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1</v>
      </c>
      <c r="CK45" s="9">
        <v>13811</v>
      </c>
      <c r="CL45" s="9">
        <v>13811</v>
      </c>
      <c r="CM45" s="9">
        <v>1173.9000000000001</v>
      </c>
      <c r="CN45" s="22">
        <v>1</v>
      </c>
      <c r="CO45" s="22"/>
      <c r="CP45" s="22">
        <v>13811</v>
      </c>
      <c r="CQ45" s="22">
        <v>1173.9000000000001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22">
        <v>0</v>
      </c>
      <c r="DI45" s="22"/>
      <c r="DJ45" s="22">
        <v>0</v>
      </c>
      <c r="DK45" s="22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22">
        <v>0</v>
      </c>
      <c r="EG45" s="22"/>
      <c r="EH45" s="22">
        <v>0</v>
      </c>
      <c r="EI45" s="22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1</v>
      </c>
      <c r="ES45" s="9">
        <v>13811</v>
      </c>
      <c r="ET45" s="9">
        <v>13811</v>
      </c>
      <c r="EU45" s="9">
        <v>1173.9000000000001</v>
      </c>
      <c r="EV45" s="9">
        <v>0</v>
      </c>
      <c r="EW45" s="9">
        <v>0</v>
      </c>
      <c r="EX45" s="9">
        <v>0</v>
      </c>
      <c r="EY45" s="9">
        <v>0</v>
      </c>
      <c r="EZ45" s="22">
        <v>1</v>
      </c>
      <c r="FA45" s="22"/>
      <c r="FB45" s="22">
        <v>13811</v>
      </c>
      <c r="FC45" s="22">
        <v>1173.9000000000001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22">
        <v>0</v>
      </c>
      <c r="FU45" s="22"/>
      <c r="FV45" s="22">
        <v>0</v>
      </c>
      <c r="FW45" s="22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L45" s="9">
        <v>0</v>
      </c>
      <c r="GM45" s="9">
        <v>0</v>
      </c>
      <c r="GN45" s="9">
        <v>0</v>
      </c>
      <c r="GO45" s="9">
        <v>0</v>
      </c>
      <c r="GP45" s="9">
        <v>0</v>
      </c>
      <c r="GQ45" s="9">
        <v>0</v>
      </c>
      <c r="GR45" s="22">
        <v>0</v>
      </c>
      <c r="GS45" s="22"/>
      <c r="GT45" s="22">
        <v>0</v>
      </c>
      <c r="GU45" s="22">
        <v>0</v>
      </c>
      <c r="GV45" s="9">
        <v>0</v>
      </c>
      <c r="GW45" s="9">
        <v>0</v>
      </c>
      <c r="GX45" s="9">
        <v>0</v>
      </c>
      <c r="GY45" s="9">
        <v>0</v>
      </c>
      <c r="GZ45" s="9">
        <v>1</v>
      </c>
      <c r="HA45" s="9">
        <v>13811</v>
      </c>
      <c r="HB45" s="9">
        <v>13811</v>
      </c>
      <c r="HC45" s="9">
        <v>1173.9000000000001</v>
      </c>
      <c r="HD45" s="9">
        <v>0</v>
      </c>
      <c r="HE45" s="9">
        <v>0</v>
      </c>
      <c r="HF45" s="9">
        <v>0</v>
      </c>
      <c r="HG45" s="9">
        <v>0</v>
      </c>
      <c r="HH45" s="9">
        <v>0</v>
      </c>
      <c r="HI45" s="9">
        <v>0</v>
      </c>
      <c r="HJ45" s="9">
        <v>0</v>
      </c>
      <c r="HK45" s="9">
        <v>0</v>
      </c>
      <c r="HL45" s="22">
        <v>1</v>
      </c>
      <c r="HM45" s="22"/>
      <c r="HN45" s="22">
        <v>13811</v>
      </c>
      <c r="HO45" s="22">
        <v>1173.9000000000001</v>
      </c>
      <c r="HP45" s="9">
        <v>0</v>
      </c>
      <c r="HQ45" s="9">
        <v>0</v>
      </c>
      <c r="HR45" s="9">
        <v>0</v>
      </c>
      <c r="HS45" s="9">
        <v>0</v>
      </c>
      <c r="HT45" s="9">
        <v>0</v>
      </c>
      <c r="HU45" s="9">
        <v>0</v>
      </c>
      <c r="HV45" s="9">
        <v>0</v>
      </c>
      <c r="HW45" s="9">
        <v>0</v>
      </c>
      <c r="HX45" s="9">
        <v>0</v>
      </c>
      <c r="HY45" s="9">
        <v>0</v>
      </c>
      <c r="HZ45" s="9">
        <v>0</v>
      </c>
      <c r="IA45" s="9">
        <v>0</v>
      </c>
      <c r="IB45" s="9">
        <v>0</v>
      </c>
      <c r="IC45" s="9">
        <v>0</v>
      </c>
      <c r="ID45" s="9">
        <v>0</v>
      </c>
      <c r="IE45" s="9">
        <v>0</v>
      </c>
      <c r="IF45" s="22">
        <v>0</v>
      </c>
      <c r="IG45" s="22"/>
      <c r="IH45" s="22">
        <v>0</v>
      </c>
      <c r="II45" s="22">
        <v>0</v>
      </c>
      <c r="IJ45" s="9">
        <v>0</v>
      </c>
      <c r="IK45" s="9">
        <v>0</v>
      </c>
      <c r="IL45" s="9">
        <v>0</v>
      </c>
      <c r="IM45" s="9">
        <v>0</v>
      </c>
      <c r="IN45" s="9">
        <v>0</v>
      </c>
      <c r="IO45" s="9">
        <v>0</v>
      </c>
      <c r="IP45" s="9">
        <v>0</v>
      </c>
      <c r="IQ45" s="9">
        <v>0</v>
      </c>
      <c r="IR45" s="9">
        <v>0</v>
      </c>
      <c r="IS45" s="9">
        <v>0</v>
      </c>
      <c r="IT45" s="9">
        <v>0</v>
      </c>
      <c r="IU45" s="9">
        <v>0</v>
      </c>
      <c r="IV45" s="9">
        <v>0</v>
      </c>
      <c r="IW45" s="9">
        <v>0</v>
      </c>
      <c r="IX45" s="9">
        <v>0</v>
      </c>
      <c r="IY45" s="9">
        <v>0</v>
      </c>
      <c r="IZ45" s="9">
        <v>0</v>
      </c>
      <c r="JA45" s="9">
        <v>0</v>
      </c>
      <c r="JB45" s="9">
        <v>0</v>
      </c>
      <c r="JC45" s="9">
        <v>0</v>
      </c>
      <c r="JD45" s="22">
        <v>0</v>
      </c>
      <c r="JE45" s="22"/>
      <c r="JF45" s="22">
        <v>0</v>
      </c>
      <c r="JG45" s="22">
        <v>0</v>
      </c>
      <c r="JH45" s="9">
        <v>0</v>
      </c>
      <c r="JI45" s="9">
        <v>0</v>
      </c>
      <c r="JJ45" s="9">
        <v>0</v>
      </c>
      <c r="JK45" s="9">
        <v>0</v>
      </c>
      <c r="JL45" s="9">
        <v>1</v>
      </c>
      <c r="JM45" s="9">
        <v>13705</v>
      </c>
      <c r="JN45" s="9">
        <v>13705</v>
      </c>
      <c r="JO45" s="9">
        <v>1164.9000000000001</v>
      </c>
      <c r="JP45" s="9">
        <v>0</v>
      </c>
      <c r="JQ45" s="9">
        <v>0</v>
      </c>
      <c r="JR45" s="9">
        <v>0</v>
      </c>
      <c r="JS45" s="9">
        <v>0</v>
      </c>
      <c r="JT45" s="9">
        <v>1</v>
      </c>
      <c r="JU45" s="9">
        <v>13705</v>
      </c>
      <c r="JV45" s="9">
        <v>13705</v>
      </c>
      <c r="JW45" s="9">
        <v>1164.9000000000001</v>
      </c>
      <c r="JX45" s="22">
        <v>2</v>
      </c>
      <c r="JY45" s="22"/>
      <c r="JZ45" s="22">
        <v>27410</v>
      </c>
      <c r="KA45" s="22">
        <v>2329.9</v>
      </c>
      <c r="KB45" s="9">
        <v>0</v>
      </c>
      <c r="KC45" s="9">
        <v>0</v>
      </c>
      <c r="KD45" s="9">
        <v>0</v>
      </c>
      <c r="KE45" s="9">
        <v>0</v>
      </c>
      <c r="KF45" s="9">
        <v>0</v>
      </c>
      <c r="KG45" s="9">
        <v>0</v>
      </c>
      <c r="KH45" s="9">
        <v>0</v>
      </c>
      <c r="KI45" s="9">
        <v>0</v>
      </c>
      <c r="KJ45" s="9">
        <v>0</v>
      </c>
      <c r="KK45" s="9">
        <v>0</v>
      </c>
      <c r="KL45" s="9">
        <v>0</v>
      </c>
      <c r="KM45" s="9">
        <v>0</v>
      </c>
      <c r="KN45" s="9">
        <v>0</v>
      </c>
      <c r="KO45" s="9">
        <v>0</v>
      </c>
      <c r="KP45" s="9">
        <v>0</v>
      </c>
      <c r="KQ45" s="9">
        <v>0</v>
      </c>
      <c r="KR45" s="22">
        <v>0</v>
      </c>
      <c r="KS45" s="22"/>
      <c r="KT45" s="22">
        <v>0</v>
      </c>
      <c r="KU45" s="22">
        <v>0</v>
      </c>
      <c r="KV45" s="22">
        <v>6</v>
      </c>
      <c r="KW45" s="22"/>
      <c r="KX45" s="22">
        <v>82348</v>
      </c>
      <c r="KY45" s="22">
        <v>6999.6</v>
      </c>
    </row>
    <row r="46" spans="1:311" ht="16.95" customHeight="1" x14ac:dyDescent="0.4">
      <c r="A46" s="15"/>
      <c r="B46" s="15"/>
      <c r="C46" s="15" t="s">
        <v>146</v>
      </c>
      <c r="D46" s="16">
        <v>0</v>
      </c>
      <c r="E46" s="16">
        <v>0</v>
      </c>
      <c r="F46" s="16">
        <v>0</v>
      </c>
      <c r="G46" s="16">
        <v>0</v>
      </c>
      <c r="H46" s="23">
        <v>0</v>
      </c>
      <c r="I46" s="23"/>
      <c r="J46" s="23">
        <v>0</v>
      </c>
      <c r="K46" s="23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23">
        <v>0</v>
      </c>
      <c r="AC46" s="23"/>
      <c r="AD46" s="23">
        <v>0</v>
      </c>
      <c r="AE46" s="23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23">
        <v>0</v>
      </c>
      <c r="AW46" s="23"/>
      <c r="AX46" s="23">
        <v>0</v>
      </c>
      <c r="AY46" s="23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1</v>
      </c>
      <c r="BM46" s="16">
        <v>5708</v>
      </c>
      <c r="BN46" s="16">
        <v>5708</v>
      </c>
      <c r="BO46" s="16">
        <v>485.2</v>
      </c>
      <c r="BP46" s="16">
        <v>0</v>
      </c>
      <c r="BQ46" s="16">
        <v>0</v>
      </c>
      <c r="BR46" s="16">
        <v>0</v>
      </c>
      <c r="BS46" s="16">
        <v>0</v>
      </c>
      <c r="BT46" s="23">
        <v>1</v>
      </c>
      <c r="BU46" s="23"/>
      <c r="BV46" s="23">
        <v>5708</v>
      </c>
      <c r="BW46" s="23">
        <v>485.2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23">
        <v>0</v>
      </c>
      <c r="CO46" s="23"/>
      <c r="CP46" s="23">
        <v>0</v>
      </c>
      <c r="CQ46" s="23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23">
        <v>0</v>
      </c>
      <c r="DI46" s="23"/>
      <c r="DJ46" s="23">
        <v>0</v>
      </c>
      <c r="DK46" s="23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23">
        <v>0</v>
      </c>
      <c r="EG46" s="23"/>
      <c r="EH46" s="23">
        <v>0</v>
      </c>
      <c r="EI46" s="23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23">
        <v>0</v>
      </c>
      <c r="FA46" s="23"/>
      <c r="FB46" s="23">
        <v>0</v>
      </c>
      <c r="FC46" s="23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23">
        <v>0</v>
      </c>
      <c r="FU46" s="23"/>
      <c r="FV46" s="23">
        <v>0</v>
      </c>
      <c r="FW46" s="23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23">
        <v>0</v>
      </c>
      <c r="GS46" s="23"/>
      <c r="GT46" s="23">
        <v>0</v>
      </c>
      <c r="GU46" s="23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23">
        <v>0</v>
      </c>
      <c r="HM46" s="23"/>
      <c r="HN46" s="23">
        <v>0</v>
      </c>
      <c r="HO46" s="23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  <c r="IB46" s="16">
        <v>0</v>
      </c>
      <c r="IC46" s="16">
        <v>0</v>
      </c>
      <c r="ID46" s="16">
        <v>0</v>
      </c>
      <c r="IE46" s="16">
        <v>0</v>
      </c>
      <c r="IF46" s="23">
        <v>0</v>
      </c>
      <c r="IG46" s="23"/>
      <c r="IH46" s="23">
        <v>0</v>
      </c>
      <c r="II46" s="23">
        <v>0</v>
      </c>
      <c r="IJ46" s="16">
        <v>0</v>
      </c>
      <c r="IK46" s="16">
        <v>0</v>
      </c>
      <c r="IL46" s="16">
        <v>0</v>
      </c>
      <c r="IM46" s="16">
        <v>0</v>
      </c>
      <c r="IN46" s="16">
        <v>0</v>
      </c>
      <c r="IO46" s="16">
        <v>0</v>
      </c>
      <c r="IP46" s="16">
        <v>0</v>
      </c>
      <c r="IQ46" s="16">
        <v>0</v>
      </c>
      <c r="IR46" s="16">
        <v>0</v>
      </c>
      <c r="IS46" s="16">
        <v>0</v>
      </c>
      <c r="IT46" s="16">
        <v>0</v>
      </c>
      <c r="IU46" s="16">
        <v>0</v>
      </c>
      <c r="IV46" s="16">
        <v>0</v>
      </c>
      <c r="IW46" s="16">
        <v>0</v>
      </c>
      <c r="IX46" s="16">
        <v>0</v>
      </c>
      <c r="IY46" s="16">
        <v>0</v>
      </c>
      <c r="IZ46" s="16">
        <v>0</v>
      </c>
      <c r="JA46" s="16">
        <v>0</v>
      </c>
      <c r="JB46" s="16">
        <v>0</v>
      </c>
      <c r="JC46" s="16">
        <v>0</v>
      </c>
      <c r="JD46" s="23">
        <v>0</v>
      </c>
      <c r="JE46" s="23"/>
      <c r="JF46" s="23">
        <v>0</v>
      </c>
      <c r="JG46" s="23">
        <v>0</v>
      </c>
      <c r="JH46" s="16">
        <v>0</v>
      </c>
      <c r="JI46" s="16">
        <v>0</v>
      </c>
      <c r="JJ46" s="16">
        <v>0</v>
      </c>
      <c r="JK46" s="16">
        <v>0</v>
      </c>
      <c r="JL46" s="16">
        <v>0</v>
      </c>
      <c r="JM46" s="16">
        <v>0</v>
      </c>
      <c r="JN46" s="16">
        <v>0</v>
      </c>
      <c r="JO46" s="16">
        <v>0</v>
      </c>
      <c r="JP46" s="16">
        <v>0</v>
      </c>
      <c r="JQ46" s="16">
        <v>0</v>
      </c>
      <c r="JR46" s="16">
        <v>0</v>
      </c>
      <c r="JS46" s="16">
        <v>0</v>
      </c>
      <c r="JT46" s="16">
        <v>0</v>
      </c>
      <c r="JU46" s="16">
        <v>0</v>
      </c>
      <c r="JV46" s="16">
        <v>0</v>
      </c>
      <c r="JW46" s="16">
        <v>0</v>
      </c>
      <c r="JX46" s="23">
        <v>0</v>
      </c>
      <c r="JY46" s="23"/>
      <c r="JZ46" s="23">
        <v>0</v>
      </c>
      <c r="KA46" s="23">
        <v>0</v>
      </c>
      <c r="KB46" s="16">
        <v>0</v>
      </c>
      <c r="KC46" s="16">
        <v>0</v>
      </c>
      <c r="KD46" s="16">
        <v>0</v>
      </c>
      <c r="KE46" s="16">
        <v>0</v>
      </c>
      <c r="KF46" s="16">
        <v>0</v>
      </c>
      <c r="KG46" s="16">
        <v>0</v>
      </c>
      <c r="KH46" s="16">
        <v>0</v>
      </c>
      <c r="KI46" s="16">
        <v>0</v>
      </c>
      <c r="KJ46" s="16">
        <v>0</v>
      </c>
      <c r="KK46" s="16">
        <v>0</v>
      </c>
      <c r="KL46" s="16">
        <v>0</v>
      </c>
      <c r="KM46" s="16">
        <v>0</v>
      </c>
      <c r="KN46" s="16">
        <v>0</v>
      </c>
      <c r="KO46" s="16">
        <v>0</v>
      </c>
      <c r="KP46" s="16">
        <v>0</v>
      </c>
      <c r="KQ46" s="16">
        <v>0</v>
      </c>
      <c r="KR46" s="23">
        <v>0</v>
      </c>
      <c r="KS46" s="23"/>
      <c r="KT46" s="23">
        <v>0</v>
      </c>
      <c r="KU46" s="23">
        <v>0</v>
      </c>
      <c r="KV46" s="23">
        <v>1</v>
      </c>
      <c r="KW46" s="23"/>
      <c r="KX46" s="23">
        <v>5708</v>
      </c>
      <c r="KY46" s="23">
        <v>485.2</v>
      </c>
    </row>
    <row r="47" spans="1:311" ht="16.95" customHeight="1" x14ac:dyDescent="0.4">
      <c r="A47" s="11"/>
      <c r="B47" s="11"/>
      <c r="C47" s="11" t="s">
        <v>207</v>
      </c>
      <c r="D47" s="9">
        <v>0</v>
      </c>
      <c r="E47" s="9">
        <v>0</v>
      </c>
      <c r="F47" s="9">
        <v>0</v>
      </c>
      <c r="G47" s="9">
        <v>0</v>
      </c>
      <c r="H47" s="22">
        <v>0</v>
      </c>
      <c r="I47" s="22"/>
      <c r="J47" s="22">
        <v>0</v>
      </c>
      <c r="K47" s="22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22">
        <v>0</v>
      </c>
      <c r="AC47" s="22"/>
      <c r="AD47" s="22">
        <v>0</v>
      </c>
      <c r="AE47" s="22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22">
        <v>0</v>
      </c>
      <c r="AW47" s="22"/>
      <c r="AX47" s="22">
        <v>0</v>
      </c>
      <c r="AY47" s="22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P47" s="9">
        <v>0</v>
      </c>
      <c r="BQ47" s="9">
        <v>0</v>
      </c>
      <c r="BR47" s="9">
        <v>0</v>
      </c>
      <c r="BS47" s="9">
        <v>0</v>
      </c>
      <c r="BT47" s="22">
        <v>0</v>
      </c>
      <c r="BU47" s="22"/>
      <c r="BV47" s="22">
        <v>0</v>
      </c>
      <c r="BW47" s="22">
        <v>0</v>
      </c>
      <c r="BX47" s="9">
        <v>0</v>
      </c>
      <c r="BY47" s="9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22">
        <v>0</v>
      </c>
      <c r="CO47" s="22"/>
      <c r="CP47" s="22">
        <v>0</v>
      </c>
      <c r="CQ47" s="22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9">
        <v>0</v>
      </c>
      <c r="DE47" s="9">
        <v>0</v>
      </c>
      <c r="DF47" s="9">
        <v>0</v>
      </c>
      <c r="DG47" s="9">
        <v>0</v>
      </c>
      <c r="DH47" s="22">
        <v>0</v>
      </c>
      <c r="DI47" s="22"/>
      <c r="DJ47" s="22">
        <v>0</v>
      </c>
      <c r="DK47" s="22">
        <v>0</v>
      </c>
      <c r="DL47" s="9">
        <v>0</v>
      </c>
      <c r="DM47" s="9">
        <v>0</v>
      </c>
      <c r="DN47" s="9">
        <v>0</v>
      </c>
      <c r="DO47" s="9">
        <v>0</v>
      </c>
      <c r="DP47" s="9">
        <v>0</v>
      </c>
      <c r="DQ47" s="9">
        <v>0</v>
      </c>
      <c r="DR47" s="9">
        <v>0</v>
      </c>
      <c r="DS47" s="9">
        <v>0</v>
      </c>
      <c r="DT47" s="9">
        <v>0</v>
      </c>
      <c r="DU47" s="9">
        <v>0</v>
      </c>
      <c r="DV47" s="9">
        <v>0</v>
      </c>
      <c r="DW47" s="9">
        <v>0</v>
      </c>
      <c r="DX47" s="9">
        <v>0</v>
      </c>
      <c r="DY47" s="9">
        <v>0</v>
      </c>
      <c r="DZ47" s="9">
        <v>0</v>
      </c>
      <c r="EA47" s="9">
        <v>0</v>
      </c>
      <c r="EB47" s="9">
        <v>0</v>
      </c>
      <c r="EC47" s="9">
        <v>0</v>
      </c>
      <c r="ED47" s="9">
        <v>0</v>
      </c>
      <c r="EE47" s="9">
        <v>0</v>
      </c>
      <c r="EF47" s="22">
        <v>0</v>
      </c>
      <c r="EG47" s="22"/>
      <c r="EH47" s="22">
        <v>0</v>
      </c>
      <c r="EI47" s="22">
        <v>0</v>
      </c>
      <c r="EJ47" s="9">
        <v>1</v>
      </c>
      <c r="EK47" s="9">
        <v>5739</v>
      </c>
      <c r="EL47" s="9">
        <v>5739</v>
      </c>
      <c r="EM47" s="9">
        <v>487.8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22">
        <v>1</v>
      </c>
      <c r="FA47" s="22"/>
      <c r="FB47" s="22">
        <v>5739</v>
      </c>
      <c r="FC47" s="22">
        <v>487.8</v>
      </c>
      <c r="FD47" s="9">
        <v>0</v>
      </c>
      <c r="FE47" s="9">
        <v>0</v>
      </c>
      <c r="FF47" s="9">
        <v>0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9">
        <v>0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9">
        <v>0</v>
      </c>
      <c r="FS47" s="9">
        <v>0</v>
      </c>
      <c r="FT47" s="22">
        <v>0</v>
      </c>
      <c r="FU47" s="22"/>
      <c r="FV47" s="22">
        <v>0</v>
      </c>
      <c r="FW47" s="22">
        <v>0</v>
      </c>
      <c r="FX47" s="9">
        <v>0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9">
        <v>0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  <c r="GJ47" s="9">
        <v>0</v>
      </c>
      <c r="GK47" s="9">
        <v>0</v>
      </c>
      <c r="GL47" s="9">
        <v>0</v>
      </c>
      <c r="GM47" s="9">
        <v>0</v>
      </c>
      <c r="GN47" s="9">
        <v>0</v>
      </c>
      <c r="GO47" s="9">
        <v>0</v>
      </c>
      <c r="GP47" s="9">
        <v>0</v>
      </c>
      <c r="GQ47" s="9">
        <v>0</v>
      </c>
      <c r="GR47" s="22">
        <v>0</v>
      </c>
      <c r="GS47" s="22"/>
      <c r="GT47" s="22">
        <v>0</v>
      </c>
      <c r="GU47" s="22">
        <v>0</v>
      </c>
      <c r="GV47" s="9">
        <v>0</v>
      </c>
      <c r="GW47" s="9">
        <v>0</v>
      </c>
      <c r="GX47" s="9">
        <v>0</v>
      </c>
      <c r="GY47" s="9">
        <v>0</v>
      </c>
      <c r="GZ47" s="9">
        <v>0</v>
      </c>
      <c r="HA47" s="9">
        <v>0</v>
      </c>
      <c r="HB47" s="9">
        <v>0</v>
      </c>
      <c r="HC47" s="9">
        <v>0</v>
      </c>
      <c r="HD47" s="9">
        <v>0</v>
      </c>
      <c r="HE47" s="9">
        <v>0</v>
      </c>
      <c r="HF47" s="9">
        <v>0</v>
      </c>
      <c r="HG47" s="9">
        <v>0</v>
      </c>
      <c r="HH47" s="9">
        <v>0</v>
      </c>
      <c r="HI47" s="9">
        <v>0</v>
      </c>
      <c r="HJ47" s="9">
        <v>0</v>
      </c>
      <c r="HK47" s="9">
        <v>0</v>
      </c>
      <c r="HL47" s="22">
        <v>0</v>
      </c>
      <c r="HM47" s="22"/>
      <c r="HN47" s="22">
        <v>0</v>
      </c>
      <c r="HO47" s="22">
        <v>0</v>
      </c>
      <c r="HP47" s="9">
        <v>0</v>
      </c>
      <c r="HQ47" s="9">
        <v>0</v>
      </c>
      <c r="HR47" s="9">
        <v>0</v>
      </c>
      <c r="HS47" s="9">
        <v>0</v>
      </c>
      <c r="HT47" s="9">
        <v>0</v>
      </c>
      <c r="HU47" s="9">
        <v>0</v>
      </c>
      <c r="HV47" s="9">
        <v>0</v>
      </c>
      <c r="HW47" s="9">
        <v>0</v>
      </c>
      <c r="HX47" s="9">
        <v>0</v>
      </c>
      <c r="HY47" s="9">
        <v>0</v>
      </c>
      <c r="HZ47" s="9">
        <v>0</v>
      </c>
      <c r="IA47" s="9">
        <v>0</v>
      </c>
      <c r="IB47" s="9">
        <v>0</v>
      </c>
      <c r="IC47" s="9">
        <v>0</v>
      </c>
      <c r="ID47" s="9">
        <v>0</v>
      </c>
      <c r="IE47" s="9">
        <v>0</v>
      </c>
      <c r="IF47" s="22">
        <v>0</v>
      </c>
      <c r="IG47" s="22"/>
      <c r="IH47" s="22">
        <v>0</v>
      </c>
      <c r="II47" s="22">
        <v>0</v>
      </c>
      <c r="IJ47" s="9">
        <v>0</v>
      </c>
      <c r="IK47" s="9">
        <v>0</v>
      </c>
      <c r="IL47" s="9">
        <v>0</v>
      </c>
      <c r="IM47" s="9">
        <v>0</v>
      </c>
      <c r="IN47" s="9">
        <v>0</v>
      </c>
      <c r="IO47" s="9">
        <v>0</v>
      </c>
      <c r="IP47" s="9">
        <v>0</v>
      </c>
      <c r="IQ47" s="9">
        <v>0</v>
      </c>
      <c r="IR47" s="9">
        <v>0</v>
      </c>
      <c r="IS47" s="9">
        <v>0</v>
      </c>
      <c r="IT47" s="9">
        <v>0</v>
      </c>
      <c r="IU47" s="9">
        <v>0</v>
      </c>
      <c r="IV47" s="9">
        <v>0</v>
      </c>
      <c r="IW47" s="9">
        <v>0</v>
      </c>
      <c r="IX47" s="9">
        <v>0</v>
      </c>
      <c r="IY47" s="9">
        <v>0</v>
      </c>
      <c r="IZ47" s="9">
        <v>0</v>
      </c>
      <c r="JA47" s="9">
        <v>0</v>
      </c>
      <c r="JB47" s="9">
        <v>0</v>
      </c>
      <c r="JC47" s="9">
        <v>0</v>
      </c>
      <c r="JD47" s="22">
        <v>0</v>
      </c>
      <c r="JE47" s="22"/>
      <c r="JF47" s="22">
        <v>0</v>
      </c>
      <c r="JG47" s="22">
        <v>0</v>
      </c>
      <c r="JH47" s="9">
        <v>0</v>
      </c>
      <c r="JI47" s="9">
        <v>0</v>
      </c>
      <c r="JJ47" s="9">
        <v>0</v>
      </c>
      <c r="JK47" s="9">
        <v>0</v>
      </c>
      <c r="JL47" s="9">
        <v>0</v>
      </c>
      <c r="JM47" s="9">
        <v>0</v>
      </c>
      <c r="JN47" s="9">
        <v>0</v>
      </c>
      <c r="JO47" s="9">
        <v>0</v>
      </c>
      <c r="JP47" s="9">
        <v>0</v>
      </c>
      <c r="JQ47" s="9">
        <v>0</v>
      </c>
      <c r="JR47" s="9">
        <v>0</v>
      </c>
      <c r="JS47" s="9">
        <v>0</v>
      </c>
      <c r="JT47" s="9">
        <v>0</v>
      </c>
      <c r="JU47" s="9">
        <v>0</v>
      </c>
      <c r="JV47" s="9">
        <v>0</v>
      </c>
      <c r="JW47" s="9">
        <v>0</v>
      </c>
      <c r="JX47" s="22">
        <v>0</v>
      </c>
      <c r="JY47" s="22"/>
      <c r="JZ47" s="22">
        <v>0</v>
      </c>
      <c r="KA47" s="22">
        <v>0</v>
      </c>
      <c r="KB47" s="9">
        <v>0</v>
      </c>
      <c r="KC47" s="9">
        <v>0</v>
      </c>
      <c r="KD47" s="9">
        <v>0</v>
      </c>
      <c r="KE47" s="9">
        <v>0</v>
      </c>
      <c r="KF47" s="9">
        <v>0</v>
      </c>
      <c r="KG47" s="9">
        <v>0</v>
      </c>
      <c r="KH47" s="9">
        <v>0</v>
      </c>
      <c r="KI47" s="9">
        <v>0</v>
      </c>
      <c r="KJ47" s="9">
        <v>0</v>
      </c>
      <c r="KK47" s="9">
        <v>0</v>
      </c>
      <c r="KL47" s="9">
        <v>0</v>
      </c>
      <c r="KM47" s="9">
        <v>0</v>
      </c>
      <c r="KN47" s="9">
        <v>0</v>
      </c>
      <c r="KO47" s="9">
        <v>0</v>
      </c>
      <c r="KP47" s="9">
        <v>0</v>
      </c>
      <c r="KQ47" s="9">
        <v>0</v>
      </c>
      <c r="KR47" s="22">
        <v>0</v>
      </c>
      <c r="KS47" s="22"/>
      <c r="KT47" s="22">
        <v>0</v>
      </c>
      <c r="KU47" s="22">
        <v>0</v>
      </c>
      <c r="KV47" s="22">
        <v>1</v>
      </c>
      <c r="KW47" s="22"/>
      <c r="KX47" s="22">
        <v>5739</v>
      </c>
      <c r="KY47" s="22">
        <v>487.8</v>
      </c>
    </row>
    <row r="48" spans="1:311" ht="16.95" customHeight="1" x14ac:dyDescent="0.4">
      <c r="A48" s="15"/>
      <c r="B48" s="15"/>
      <c r="C48" s="15" t="s">
        <v>40</v>
      </c>
      <c r="D48" s="16">
        <v>2</v>
      </c>
      <c r="E48" s="16">
        <v>19293</v>
      </c>
      <c r="F48" s="16">
        <v>38586</v>
      </c>
      <c r="G48" s="16">
        <v>3279.8</v>
      </c>
      <c r="H48" s="23">
        <v>2</v>
      </c>
      <c r="I48" s="23"/>
      <c r="J48" s="23">
        <v>38586</v>
      </c>
      <c r="K48" s="23">
        <v>3279.8</v>
      </c>
      <c r="L48" s="16">
        <v>2</v>
      </c>
      <c r="M48" s="16">
        <v>19293</v>
      </c>
      <c r="N48" s="16">
        <v>38586</v>
      </c>
      <c r="O48" s="16">
        <v>3279.8</v>
      </c>
      <c r="P48" s="16">
        <v>2</v>
      </c>
      <c r="Q48" s="16">
        <v>19293</v>
      </c>
      <c r="R48" s="16">
        <v>38586</v>
      </c>
      <c r="S48" s="16">
        <v>3279.8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23">
        <v>4</v>
      </c>
      <c r="AC48" s="23"/>
      <c r="AD48" s="23">
        <v>77172</v>
      </c>
      <c r="AE48" s="23">
        <v>6559.6</v>
      </c>
      <c r="AF48" s="16">
        <v>3</v>
      </c>
      <c r="AG48" s="16">
        <v>19293</v>
      </c>
      <c r="AH48" s="16">
        <v>57879</v>
      </c>
      <c r="AI48" s="16">
        <v>4919.7</v>
      </c>
      <c r="AJ48" s="16">
        <v>2</v>
      </c>
      <c r="AK48" s="16">
        <v>19293</v>
      </c>
      <c r="AL48" s="16">
        <v>38586</v>
      </c>
      <c r="AM48" s="16">
        <v>3279.8</v>
      </c>
      <c r="AN48" s="16">
        <v>2</v>
      </c>
      <c r="AO48" s="16">
        <v>19293</v>
      </c>
      <c r="AP48" s="16">
        <v>38586</v>
      </c>
      <c r="AQ48" s="16">
        <v>3279.8</v>
      </c>
      <c r="AR48" s="16">
        <v>2</v>
      </c>
      <c r="AS48" s="16">
        <v>19293</v>
      </c>
      <c r="AT48" s="16">
        <v>38586</v>
      </c>
      <c r="AU48" s="16">
        <v>3279.8</v>
      </c>
      <c r="AV48" s="23">
        <v>9</v>
      </c>
      <c r="AW48" s="23"/>
      <c r="AX48" s="23">
        <v>173637</v>
      </c>
      <c r="AY48" s="23">
        <v>14759.1</v>
      </c>
      <c r="AZ48" s="16">
        <v>2</v>
      </c>
      <c r="BA48" s="16">
        <v>19293</v>
      </c>
      <c r="BB48" s="16">
        <v>38586</v>
      </c>
      <c r="BC48" s="16">
        <v>3279.8</v>
      </c>
      <c r="BD48" s="16">
        <v>0</v>
      </c>
      <c r="BE48" s="16">
        <v>0</v>
      </c>
      <c r="BF48" s="16">
        <v>0</v>
      </c>
      <c r="BG48" s="16">
        <v>0</v>
      </c>
      <c r="BH48" s="16">
        <v>2</v>
      </c>
      <c r="BI48" s="16">
        <v>19293</v>
      </c>
      <c r="BJ48" s="16">
        <v>38586</v>
      </c>
      <c r="BK48" s="16">
        <v>3279.8</v>
      </c>
      <c r="BL48" s="16">
        <v>3</v>
      </c>
      <c r="BM48" s="16">
        <v>19730</v>
      </c>
      <c r="BN48" s="16">
        <v>59189</v>
      </c>
      <c r="BO48" s="16">
        <v>5031.1000000000004</v>
      </c>
      <c r="BP48" s="16">
        <v>3</v>
      </c>
      <c r="BQ48" s="16">
        <v>19730</v>
      </c>
      <c r="BR48" s="16">
        <v>59189</v>
      </c>
      <c r="BS48" s="16">
        <v>5031.1000000000004</v>
      </c>
      <c r="BT48" s="23">
        <v>10</v>
      </c>
      <c r="BU48" s="23"/>
      <c r="BV48" s="23">
        <v>195550</v>
      </c>
      <c r="BW48" s="23">
        <v>16621.8</v>
      </c>
      <c r="BX48" s="16">
        <v>2</v>
      </c>
      <c r="BY48" s="16">
        <v>19730</v>
      </c>
      <c r="BZ48" s="16">
        <v>39459</v>
      </c>
      <c r="CA48" s="16">
        <v>3354</v>
      </c>
      <c r="CB48" s="16">
        <v>0</v>
      </c>
      <c r="CC48" s="16">
        <v>0</v>
      </c>
      <c r="CD48" s="16">
        <v>0</v>
      </c>
      <c r="CE48" s="16">
        <v>0</v>
      </c>
      <c r="CF48" s="16">
        <v>2</v>
      </c>
      <c r="CG48" s="16">
        <v>19730</v>
      </c>
      <c r="CH48" s="16">
        <v>39459</v>
      </c>
      <c r="CI48" s="16">
        <v>3354</v>
      </c>
      <c r="CJ48" s="16">
        <v>0</v>
      </c>
      <c r="CK48" s="16">
        <v>0</v>
      </c>
      <c r="CL48" s="16">
        <v>0</v>
      </c>
      <c r="CM48" s="16">
        <v>0</v>
      </c>
      <c r="CN48" s="23">
        <v>4</v>
      </c>
      <c r="CO48" s="23"/>
      <c r="CP48" s="23">
        <v>78918</v>
      </c>
      <c r="CQ48" s="23">
        <v>6708</v>
      </c>
      <c r="CR48" s="16">
        <v>2</v>
      </c>
      <c r="CS48" s="16">
        <v>19730</v>
      </c>
      <c r="CT48" s="16">
        <v>39459</v>
      </c>
      <c r="CU48" s="16">
        <v>3354</v>
      </c>
      <c r="CV48" s="16">
        <v>2</v>
      </c>
      <c r="CW48" s="16">
        <v>19730</v>
      </c>
      <c r="CX48" s="16">
        <v>39459</v>
      </c>
      <c r="CY48" s="16">
        <v>3354</v>
      </c>
      <c r="CZ48" s="16">
        <v>2</v>
      </c>
      <c r="DA48" s="16">
        <v>19730</v>
      </c>
      <c r="DB48" s="16">
        <v>39459</v>
      </c>
      <c r="DC48" s="16">
        <v>3354</v>
      </c>
      <c r="DD48" s="16">
        <v>2</v>
      </c>
      <c r="DE48" s="16">
        <v>19730</v>
      </c>
      <c r="DF48" s="16">
        <v>39459</v>
      </c>
      <c r="DG48" s="16">
        <v>3354</v>
      </c>
      <c r="DH48" s="23">
        <v>8</v>
      </c>
      <c r="DI48" s="23"/>
      <c r="DJ48" s="23">
        <v>157836</v>
      </c>
      <c r="DK48" s="23">
        <v>13416.1</v>
      </c>
      <c r="DL48" s="16">
        <v>0</v>
      </c>
      <c r="DM48" s="16">
        <v>0</v>
      </c>
      <c r="DN48" s="16">
        <v>0</v>
      </c>
      <c r="DO48" s="16">
        <v>0</v>
      </c>
      <c r="DP48" s="16">
        <v>2</v>
      </c>
      <c r="DQ48" s="16">
        <v>19730</v>
      </c>
      <c r="DR48" s="16">
        <v>39459</v>
      </c>
      <c r="DS48" s="16">
        <v>3354</v>
      </c>
      <c r="DT48" s="16">
        <v>0</v>
      </c>
      <c r="DU48" s="16">
        <v>0</v>
      </c>
      <c r="DV48" s="16">
        <v>0</v>
      </c>
      <c r="DW48" s="16">
        <v>0</v>
      </c>
      <c r="DX48" s="16">
        <v>2</v>
      </c>
      <c r="DY48" s="16">
        <v>19730</v>
      </c>
      <c r="DZ48" s="16">
        <v>39459</v>
      </c>
      <c r="EA48" s="16">
        <v>3354</v>
      </c>
      <c r="EB48" s="16">
        <v>0</v>
      </c>
      <c r="EC48" s="16">
        <v>0</v>
      </c>
      <c r="ED48" s="16">
        <v>0</v>
      </c>
      <c r="EE48" s="16">
        <v>0</v>
      </c>
      <c r="EF48" s="23">
        <v>4</v>
      </c>
      <c r="EG48" s="23"/>
      <c r="EH48" s="23">
        <v>78918</v>
      </c>
      <c r="EI48" s="23">
        <v>6708</v>
      </c>
      <c r="EJ48" s="16">
        <v>0</v>
      </c>
      <c r="EK48" s="16">
        <v>0</v>
      </c>
      <c r="EL48" s="16">
        <v>0</v>
      </c>
      <c r="EM48" s="16">
        <v>0</v>
      </c>
      <c r="EN48" s="16">
        <v>2</v>
      </c>
      <c r="EO48" s="16">
        <v>19730</v>
      </c>
      <c r="EP48" s="16">
        <v>39459</v>
      </c>
      <c r="EQ48" s="16">
        <v>3354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23">
        <v>2</v>
      </c>
      <c r="FA48" s="23"/>
      <c r="FB48" s="23">
        <v>39459</v>
      </c>
      <c r="FC48" s="23">
        <v>3354</v>
      </c>
      <c r="FD48" s="16">
        <v>2</v>
      </c>
      <c r="FE48" s="16">
        <v>19730</v>
      </c>
      <c r="FF48" s="16">
        <v>39459</v>
      </c>
      <c r="FG48" s="16">
        <v>3354</v>
      </c>
      <c r="FH48" s="16">
        <v>0</v>
      </c>
      <c r="FI48" s="16">
        <v>0</v>
      </c>
      <c r="FJ48" s="16">
        <v>0</v>
      </c>
      <c r="FK48" s="16">
        <v>0</v>
      </c>
      <c r="FL48" s="16">
        <v>2</v>
      </c>
      <c r="FM48" s="16">
        <v>19730</v>
      </c>
      <c r="FN48" s="16">
        <v>39459</v>
      </c>
      <c r="FO48" s="16">
        <v>3354</v>
      </c>
      <c r="FP48" s="16">
        <v>0</v>
      </c>
      <c r="FQ48" s="16">
        <v>0</v>
      </c>
      <c r="FR48" s="16">
        <v>0</v>
      </c>
      <c r="FS48" s="16">
        <v>0</v>
      </c>
      <c r="FT48" s="23">
        <v>4</v>
      </c>
      <c r="FU48" s="23"/>
      <c r="FV48" s="23">
        <v>78918</v>
      </c>
      <c r="FW48" s="23">
        <v>6708</v>
      </c>
      <c r="FX48" s="16">
        <v>0</v>
      </c>
      <c r="FY48" s="16">
        <v>0</v>
      </c>
      <c r="FZ48" s="16">
        <v>0</v>
      </c>
      <c r="GA48" s="16">
        <v>0</v>
      </c>
      <c r="GB48" s="16">
        <v>2</v>
      </c>
      <c r="GC48" s="16">
        <v>19730</v>
      </c>
      <c r="GD48" s="16">
        <v>39459</v>
      </c>
      <c r="GE48" s="16">
        <v>3354</v>
      </c>
      <c r="GF48" s="16">
        <v>0</v>
      </c>
      <c r="GG48" s="16">
        <v>0</v>
      </c>
      <c r="GH48" s="16">
        <v>0</v>
      </c>
      <c r="GI48" s="16">
        <v>0</v>
      </c>
      <c r="GJ48" s="16">
        <v>2</v>
      </c>
      <c r="GK48" s="16">
        <v>19730</v>
      </c>
      <c r="GL48" s="16">
        <v>39459</v>
      </c>
      <c r="GM48" s="16">
        <v>3354</v>
      </c>
      <c r="GN48" s="16">
        <v>0</v>
      </c>
      <c r="GO48" s="16">
        <v>0</v>
      </c>
      <c r="GP48" s="16">
        <v>0</v>
      </c>
      <c r="GQ48" s="16">
        <v>0</v>
      </c>
      <c r="GR48" s="23">
        <v>4</v>
      </c>
      <c r="GS48" s="23"/>
      <c r="GT48" s="23">
        <v>78918</v>
      </c>
      <c r="GU48" s="23">
        <v>6708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2</v>
      </c>
      <c r="HE48" s="16">
        <v>19730</v>
      </c>
      <c r="HF48" s="16">
        <v>39459</v>
      </c>
      <c r="HG48" s="16">
        <v>3354</v>
      </c>
      <c r="HH48" s="16">
        <v>2</v>
      </c>
      <c r="HI48" s="16">
        <v>19730</v>
      </c>
      <c r="HJ48" s="16">
        <v>39459</v>
      </c>
      <c r="HK48" s="16">
        <v>3354</v>
      </c>
      <c r="HL48" s="23">
        <v>4</v>
      </c>
      <c r="HM48" s="23"/>
      <c r="HN48" s="23">
        <v>78918</v>
      </c>
      <c r="HO48" s="23">
        <v>6708</v>
      </c>
      <c r="HP48" s="16">
        <v>0</v>
      </c>
      <c r="HQ48" s="16">
        <v>0</v>
      </c>
      <c r="HR48" s="16">
        <v>0</v>
      </c>
      <c r="HS48" s="16">
        <v>0</v>
      </c>
      <c r="HT48" s="16">
        <v>2</v>
      </c>
      <c r="HU48" s="16">
        <v>19730</v>
      </c>
      <c r="HV48" s="16">
        <v>39459</v>
      </c>
      <c r="HW48" s="16">
        <v>3354</v>
      </c>
      <c r="HX48" s="16">
        <v>2</v>
      </c>
      <c r="HY48" s="16">
        <v>19730</v>
      </c>
      <c r="HZ48" s="16">
        <v>39459</v>
      </c>
      <c r="IA48" s="16">
        <v>3354</v>
      </c>
      <c r="IB48" s="16">
        <v>2</v>
      </c>
      <c r="IC48" s="16">
        <v>19730</v>
      </c>
      <c r="ID48" s="16">
        <v>39459</v>
      </c>
      <c r="IE48" s="16">
        <v>3354</v>
      </c>
      <c r="IF48" s="23">
        <v>6</v>
      </c>
      <c r="IG48" s="23"/>
      <c r="IH48" s="23">
        <v>118377</v>
      </c>
      <c r="II48" s="23">
        <v>10062</v>
      </c>
      <c r="IJ48" s="16">
        <v>2</v>
      </c>
      <c r="IK48" s="16">
        <v>19730</v>
      </c>
      <c r="IL48" s="16">
        <v>39459</v>
      </c>
      <c r="IM48" s="16">
        <v>3354</v>
      </c>
      <c r="IN48" s="16">
        <v>2</v>
      </c>
      <c r="IO48" s="16">
        <v>19730</v>
      </c>
      <c r="IP48" s="16">
        <v>39459</v>
      </c>
      <c r="IQ48" s="16">
        <v>3354</v>
      </c>
      <c r="IR48" s="16">
        <v>2</v>
      </c>
      <c r="IS48" s="16">
        <v>19730</v>
      </c>
      <c r="IT48" s="16">
        <v>39459</v>
      </c>
      <c r="IU48" s="16">
        <v>3354</v>
      </c>
      <c r="IV48" s="16">
        <v>0</v>
      </c>
      <c r="IW48" s="16">
        <v>0</v>
      </c>
      <c r="IX48" s="16">
        <v>0</v>
      </c>
      <c r="IY48" s="16">
        <v>0</v>
      </c>
      <c r="IZ48" s="16">
        <v>2</v>
      </c>
      <c r="JA48" s="16">
        <v>19730</v>
      </c>
      <c r="JB48" s="16">
        <v>39459</v>
      </c>
      <c r="JC48" s="16">
        <v>3354</v>
      </c>
      <c r="JD48" s="23">
        <v>8</v>
      </c>
      <c r="JE48" s="23"/>
      <c r="JF48" s="23">
        <v>157836</v>
      </c>
      <c r="JG48" s="23">
        <v>13416.1</v>
      </c>
      <c r="JH48" s="16">
        <v>4</v>
      </c>
      <c r="JI48" s="16">
        <v>19730</v>
      </c>
      <c r="JJ48" s="16">
        <v>78918</v>
      </c>
      <c r="JK48" s="16">
        <v>6708</v>
      </c>
      <c r="JL48" s="16">
        <v>2</v>
      </c>
      <c r="JM48" s="16">
        <v>19730</v>
      </c>
      <c r="JN48" s="16">
        <v>39459</v>
      </c>
      <c r="JO48" s="16">
        <v>3354</v>
      </c>
      <c r="JP48" s="16">
        <v>2</v>
      </c>
      <c r="JQ48" s="16">
        <v>19730</v>
      </c>
      <c r="JR48" s="16">
        <v>39459</v>
      </c>
      <c r="JS48" s="16">
        <v>3354</v>
      </c>
      <c r="JT48" s="16">
        <v>2</v>
      </c>
      <c r="JU48" s="16">
        <v>19730</v>
      </c>
      <c r="JV48" s="16">
        <v>39459</v>
      </c>
      <c r="JW48" s="16">
        <v>3354</v>
      </c>
      <c r="JX48" s="23">
        <v>10</v>
      </c>
      <c r="JY48" s="23"/>
      <c r="JZ48" s="23">
        <v>197295</v>
      </c>
      <c r="KA48" s="23">
        <v>16770.099999999999</v>
      </c>
      <c r="KB48" s="16">
        <v>2</v>
      </c>
      <c r="KC48" s="16">
        <v>19730</v>
      </c>
      <c r="KD48" s="16">
        <v>39459</v>
      </c>
      <c r="KE48" s="16">
        <v>3354</v>
      </c>
      <c r="KF48" s="16">
        <v>2</v>
      </c>
      <c r="KG48" s="16">
        <v>19730</v>
      </c>
      <c r="KH48" s="16">
        <v>39459</v>
      </c>
      <c r="KI48" s="16">
        <v>3354</v>
      </c>
      <c r="KJ48" s="16">
        <v>0</v>
      </c>
      <c r="KK48" s="16">
        <v>0</v>
      </c>
      <c r="KL48" s="16">
        <v>0</v>
      </c>
      <c r="KM48" s="16">
        <v>0</v>
      </c>
      <c r="KN48" s="16">
        <v>2</v>
      </c>
      <c r="KO48" s="16">
        <v>19730</v>
      </c>
      <c r="KP48" s="16">
        <v>39459</v>
      </c>
      <c r="KQ48" s="16">
        <v>3354</v>
      </c>
      <c r="KR48" s="23">
        <v>6</v>
      </c>
      <c r="KS48" s="23"/>
      <c r="KT48" s="23">
        <v>118377</v>
      </c>
      <c r="KU48" s="23">
        <v>10062</v>
      </c>
      <c r="KV48" s="23">
        <v>85</v>
      </c>
      <c r="KW48" s="23"/>
      <c r="KX48" s="23">
        <v>1668715</v>
      </c>
      <c r="KY48" s="23">
        <v>141840.79999999999</v>
      </c>
    </row>
    <row r="49" spans="1:311" ht="16.95" customHeight="1" x14ac:dyDescent="0.4">
      <c r="A49" s="11"/>
      <c r="B49" s="11"/>
      <c r="C49" s="11" t="s">
        <v>120</v>
      </c>
      <c r="D49" s="9">
        <v>0</v>
      </c>
      <c r="E49" s="9">
        <v>0</v>
      </c>
      <c r="F49" s="9">
        <v>0</v>
      </c>
      <c r="G49" s="9">
        <v>0</v>
      </c>
      <c r="H49" s="22">
        <v>0</v>
      </c>
      <c r="I49" s="22"/>
      <c r="J49" s="22">
        <v>0</v>
      </c>
      <c r="K49" s="22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22">
        <v>0</v>
      </c>
      <c r="AC49" s="22"/>
      <c r="AD49" s="22">
        <v>0</v>
      </c>
      <c r="AE49" s="22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2</v>
      </c>
      <c r="AS49" s="9">
        <v>8231</v>
      </c>
      <c r="AT49" s="9">
        <v>16463</v>
      </c>
      <c r="AU49" s="9">
        <v>1399.4</v>
      </c>
      <c r="AV49" s="22">
        <v>2</v>
      </c>
      <c r="AW49" s="22"/>
      <c r="AX49" s="22">
        <v>16463</v>
      </c>
      <c r="AY49" s="22">
        <v>1399.4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</v>
      </c>
      <c r="BS49" s="9">
        <v>0</v>
      </c>
      <c r="BT49" s="22">
        <v>0</v>
      </c>
      <c r="BU49" s="22"/>
      <c r="BV49" s="22">
        <v>0</v>
      </c>
      <c r="BW49" s="22">
        <v>0</v>
      </c>
      <c r="BX49" s="9">
        <v>0</v>
      </c>
      <c r="BY49" s="9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2</v>
      </c>
      <c r="CK49" s="9">
        <v>8418</v>
      </c>
      <c r="CL49" s="9">
        <v>16837</v>
      </c>
      <c r="CM49" s="9">
        <v>1431.1</v>
      </c>
      <c r="CN49" s="22">
        <v>2</v>
      </c>
      <c r="CO49" s="22"/>
      <c r="CP49" s="22">
        <v>16837</v>
      </c>
      <c r="CQ49" s="22">
        <v>1431.1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22">
        <v>0</v>
      </c>
      <c r="DI49" s="22"/>
      <c r="DJ49" s="22">
        <v>0</v>
      </c>
      <c r="DK49" s="22">
        <v>0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9">
        <v>0</v>
      </c>
      <c r="DU49" s="9">
        <v>0</v>
      </c>
      <c r="DV49" s="9">
        <v>0</v>
      </c>
      <c r="DW49" s="9">
        <v>0</v>
      </c>
      <c r="DX49" s="9">
        <v>0</v>
      </c>
      <c r="DY49" s="9">
        <v>0</v>
      </c>
      <c r="DZ49" s="9">
        <v>0</v>
      </c>
      <c r="EA49" s="9">
        <v>0</v>
      </c>
      <c r="EB49" s="9">
        <v>0</v>
      </c>
      <c r="EC49" s="9">
        <v>0</v>
      </c>
      <c r="ED49" s="9">
        <v>0</v>
      </c>
      <c r="EE49" s="9">
        <v>0</v>
      </c>
      <c r="EF49" s="22">
        <v>0</v>
      </c>
      <c r="EG49" s="22"/>
      <c r="EH49" s="22">
        <v>0</v>
      </c>
      <c r="EI49" s="22">
        <v>0</v>
      </c>
      <c r="EJ49" s="9">
        <v>2</v>
      </c>
      <c r="EK49" s="9">
        <v>8418</v>
      </c>
      <c r="EL49" s="9">
        <v>16837</v>
      </c>
      <c r="EM49" s="9">
        <v>1431.1</v>
      </c>
      <c r="EN49" s="9">
        <v>0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22">
        <v>2</v>
      </c>
      <c r="FA49" s="22"/>
      <c r="FB49" s="22">
        <v>16837</v>
      </c>
      <c r="FC49" s="22">
        <v>1431.1</v>
      </c>
      <c r="FD49" s="9">
        <v>0</v>
      </c>
      <c r="FE49" s="9">
        <v>0</v>
      </c>
      <c r="FF49" s="9">
        <v>0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9">
        <v>0</v>
      </c>
      <c r="FM49" s="9">
        <v>0</v>
      </c>
      <c r="FN49" s="9">
        <v>0</v>
      </c>
      <c r="FO49" s="9">
        <v>0</v>
      </c>
      <c r="FP49" s="9">
        <v>2</v>
      </c>
      <c r="FQ49" s="9">
        <v>8418</v>
      </c>
      <c r="FR49" s="9">
        <v>16837</v>
      </c>
      <c r="FS49" s="9">
        <v>1431.1</v>
      </c>
      <c r="FT49" s="22">
        <v>2</v>
      </c>
      <c r="FU49" s="22"/>
      <c r="FV49" s="22">
        <v>16837</v>
      </c>
      <c r="FW49" s="22">
        <v>1431.1</v>
      </c>
      <c r="FX49" s="9">
        <v>0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9">
        <v>0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  <c r="GJ49" s="9">
        <v>0</v>
      </c>
      <c r="GK49" s="9">
        <v>0</v>
      </c>
      <c r="GL49" s="9">
        <v>0</v>
      </c>
      <c r="GM49" s="9">
        <v>0</v>
      </c>
      <c r="GN49" s="9">
        <v>0</v>
      </c>
      <c r="GO49" s="9">
        <v>0</v>
      </c>
      <c r="GP49" s="9">
        <v>0</v>
      </c>
      <c r="GQ49" s="9">
        <v>0</v>
      </c>
      <c r="GR49" s="22">
        <v>0</v>
      </c>
      <c r="GS49" s="22"/>
      <c r="GT49" s="22">
        <v>0</v>
      </c>
      <c r="GU49" s="22">
        <v>0</v>
      </c>
      <c r="GV49" s="9">
        <v>0</v>
      </c>
      <c r="GW49" s="9">
        <v>0</v>
      </c>
      <c r="GX49" s="9">
        <v>0</v>
      </c>
      <c r="GY49" s="9">
        <v>0</v>
      </c>
      <c r="GZ49" s="9">
        <v>0</v>
      </c>
      <c r="HA49" s="9">
        <v>0</v>
      </c>
      <c r="HB49" s="9">
        <v>0</v>
      </c>
      <c r="HC49" s="9">
        <v>0</v>
      </c>
      <c r="HD49" s="9">
        <v>0</v>
      </c>
      <c r="HE49" s="9">
        <v>0</v>
      </c>
      <c r="HF49" s="9">
        <v>0</v>
      </c>
      <c r="HG49" s="9">
        <v>0</v>
      </c>
      <c r="HH49" s="9">
        <v>0</v>
      </c>
      <c r="HI49" s="9">
        <v>0</v>
      </c>
      <c r="HJ49" s="9">
        <v>0</v>
      </c>
      <c r="HK49" s="9">
        <v>0</v>
      </c>
      <c r="HL49" s="22">
        <v>0</v>
      </c>
      <c r="HM49" s="22"/>
      <c r="HN49" s="22">
        <v>0</v>
      </c>
      <c r="HO49" s="22">
        <v>0</v>
      </c>
      <c r="HP49" s="9">
        <v>0</v>
      </c>
      <c r="HQ49" s="9">
        <v>0</v>
      </c>
      <c r="HR49" s="9">
        <v>0</v>
      </c>
      <c r="HS49" s="9">
        <v>0</v>
      </c>
      <c r="HT49" s="9">
        <v>0</v>
      </c>
      <c r="HU49" s="9">
        <v>0</v>
      </c>
      <c r="HV49" s="9">
        <v>0</v>
      </c>
      <c r="HW49" s="9">
        <v>0</v>
      </c>
      <c r="HX49" s="9">
        <v>0</v>
      </c>
      <c r="HY49" s="9">
        <v>0</v>
      </c>
      <c r="HZ49" s="9">
        <v>0</v>
      </c>
      <c r="IA49" s="9">
        <v>0</v>
      </c>
      <c r="IB49" s="9">
        <v>0</v>
      </c>
      <c r="IC49" s="9">
        <v>0</v>
      </c>
      <c r="ID49" s="9">
        <v>0</v>
      </c>
      <c r="IE49" s="9">
        <v>0</v>
      </c>
      <c r="IF49" s="22">
        <v>0</v>
      </c>
      <c r="IG49" s="22"/>
      <c r="IH49" s="22">
        <v>0</v>
      </c>
      <c r="II49" s="22">
        <v>0</v>
      </c>
      <c r="IJ49" s="9">
        <v>0</v>
      </c>
      <c r="IK49" s="9">
        <v>0</v>
      </c>
      <c r="IL49" s="9">
        <v>0</v>
      </c>
      <c r="IM49" s="9">
        <v>0</v>
      </c>
      <c r="IN49" s="9">
        <v>0</v>
      </c>
      <c r="IO49" s="9">
        <v>0</v>
      </c>
      <c r="IP49" s="9">
        <v>0</v>
      </c>
      <c r="IQ49" s="9">
        <v>0</v>
      </c>
      <c r="IR49" s="9">
        <v>0</v>
      </c>
      <c r="IS49" s="9">
        <v>0</v>
      </c>
      <c r="IT49" s="9">
        <v>0</v>
      </c>
      <c r="IU49" s="9">
        <v>0</v>
      </c>
      <c r="IV49" s="9">
        <v>0</v>
      </c>
      <c r="IW49" s="9">
        <v>0</v>
      </c>
      <c r="IX49" s="9">
        <v>0</v>
      </c>
      <c r="IY49" s="9">
        <v>0</v>
      </c>
      <c r="IZ49" s="9">
        <v>0</v>
      </c>
      <c r="JA49" s="9">
        <v>0</v>
      </c>
      <c r="JB49" s="9">
        <v>0</v>
      </c>
      <c r="JC49" s="9">
        <v>0</v>
      </c>
      <c r="JD49" s="22">
        <v>0</v>
      </c>
      <c r="JE49" s="22"/>
      <c r="JF49" s="22">
        <v>0</v>
      </c>
      <c r="JG49" s="22">
        <v>0</v>
      </c>
      <c r="JH49" s="9">
        <v>2</v>
      </c>
      <c r="JI49" s="9">
        <v>8418</v>
      </c>
      <c r="JJ49" s="9">
        <v>16837</v>
      </c>
      <c r="JK49" s="9">
        <v>1431.1</v>
      </c>
      <c r="JL49" s="9">
        <v>0</v>
      </c>
      <c r="JM49" s="9">
        <v>0</v>
      </c>
      <c r="JN49" s="9">
        <v>0</v>
      </c>
      <c r="JO49" s="9">
        <v>0</v>
      </c>
      <c r="JP49" s="9">
        <v>0</v>
      </c>
      <c r="JQ49" s="9">
        <v>0</v>
      </c>
      <c r="JR49" s="9">
        <v>0</v>
      </c>
      <c r="JS49" s="9">
        <v>0</v>
      </c>
      <c r="JT49" s="9">
        <v>0</v>
      </c>
      <c r="JU49" s="9">
        <v>0</v>
      </c>
      <c r="JV49" s="9">
        <v>0</v>
      </c>
      <c r="JW49" s="9">
        <v>0</v>
      </c>
      <c r="JX49" s="22">
        <v>2</v>
      </c>
      <c r="JY49" s="22"/>
      <c r="JZ49" s="22">
        <v>16837</v>
      </c>
      <c r="KA49" s="22">
        <v>1431.1</v>
      </c>
      <c r="KB49" s="9">
        <v>0</v>
      </c>
      <c r="KC49" s="9">
        <v>0</v>
      </c>
      <c r="KD49" s="9">
        <v>0</v>
      </c>
      <c r="KE49" s="9">
        <v>0</v>
      </c>
      <c r="KF49" s="9">
        <v>0</v>
      </c>
      <c r="KG49" s="9">
        <v>0</v>
      </c>
      <c r="KH49" s="9">
        <v>0</v>
      </c>
      <c r="KI49" s="9">
        <v>0</v>
      </c>
      <c r="KJ49" s="9">
        <v>0</v>
      </c>
      <c r="KK49" s="9">
        <v>0</v>
      </c>
      <c r="KL49" s="9">
        <v>0</v>
      </c>
      <c r="KM49" s="9">
        <v>0</v>
      </c>
      <c r="KN49" s="9">
        <v>0</v>
      </c>
      <c r="KO49" s="9">
        <v>0</v>
      </c>
      <c r="KP49" s="9">
        <v>0</v>
      </c>
      <c r="KQ49" s="9">
        <v>0</v>
      </c>
      <c r="KR49" s="22">
        <v>0</v>
      </c>
      <c r="KS49" s="22"/>
      <c r="KT49" s="22">
        <v>0</v>
      </c>
      <c r="KU49" s="22">
        <v>0</v>
      </c>
      <c r="KV49" s="22">
        <v>10</v>
      </c>
      <c r="KW49" s="22"/>
      <c r="KX49" s="22">
        <v>83811</v>
      </c>
      <c r="KY49" s="22">
        <v>7123.9</v>
      </c>
    </row>
    <row r="50" spans="1:311" ht="16.95" customHeight="1" x14ac:dyDescent="0.4">
      <c r="A50" s="15"/>
      <c r="B50" s="15"/>
      <c r="C50" s="15" t="s">
        <v>136</v>
      </c>
      <c r="D50" s="16">
        <v>0</v>
      </c>
      <c r="E50" s="16">
        <v>0</v>
      </c>
      <c r="F50" s="16">
        <v>0</v>
      </c>
      <c r="G50" s="16">
        <v>0</v>
      </c>
      <c r="H50" s="23">
        <v>0</v>
      </c>
      <c r="I50" s="23"/>
      <c r="J50" s="23">
        <v>0</v>
      </c>
      <c r="K50" s="23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23">
        <v>0</v>
      </c>
      <c r="AC50" s="23"/>
      <c r="AD50" s="23">
        <v>0</v>
      </c>
      <c r="AE50" s="23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23">
        <v>0</v>
      </c>
      <c r="AW50" s="23"/>
      <c r="AX50" s="23">
        <v>0</v>
      </c>
      <c r="AY50" s="23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2</v>
      </c>
      <c r="BE50" s="16">
        <v>5968</v>
      </c>
      <c r="BF50" s="16">
        <v>11935</v>
      </c>
      <c r="BG50" s="16">
        <v>1014.5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23">
        <v>2</v>
      </c>
      <c r="BU50" s="23"/>
      <c r="BV50" s="23">
        <v>11935</v>
      </c>
      <c r="BW50" s="23">
        <v>1014.5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23">
        <v>0</v>
      </c>
      <c r="CO50" s="23"/>
      <c r="CP50" s="23">
        <v>0</v>
      </c>
      <c r="CQ50" s="23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2</v>
      </c>
      <c r="DE50" s="16">
        <v>6103</v>
      </c>
      <c r="DF50" s="16">
        <v>12206</v>
      </c>
      <c r="DG50" s="16">
        <v>1037.5</v>
      </c>
      <c r="DH50" s="23">
        <v>2</v>
      </c>
      <c r="DI50" s="23"/>
      <c r="DJ50" s="23">
        <v>12206</v>
      </c>
      <c r="DK50" s="23">
        <v>1037.5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23">
        <v>0</v>
      </c>
      <c r="EG50" s="23"/>
      <c r="EH50" s="23">
        <v>0</v>
      </c>
      <c r="EI50" s="23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2</v>
      </c>
      <c r="EW50" s="16">
        <v>6103</v>
      </c>
      <c r="EX50" s="16">
        <v>12206</v>
      </c>
      <c r="EY50" s="16">
        <v>1037.5</v>
      </c>
      <c r="EZ50" s="23">
        <v>2</v>
      </c>
      <c r="FA50" s="23"/>
      <c r="FB50" s="23">
        <v>12206</v>
      </c>
      <c r="FC50" s="23">
        <v>1037.5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23">
        <v>0</v>
      </c>
      <c r="FU50" s="23"/>
      <c r="FV50" s="23">
        <v>0</v>
      </c>
      <c r="FW50" s="23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23">
        <v>0</v>
      </c>
      <c r="GS50" s="23"/>
      <c r="GT50" s="23">
        <v>0</v>
      </c>
      <c r="GU50" s="23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1</v>
      </c>
      <c r="HA50" s="16">
        <v>6103</v>
      </c>
      <c r="HB50" s="16">
        <v>6103</v>
      </c>
      <c r="HC50" s="16">
        <v>518.79999999999995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23">
        <v>1</v>
      </c>
      <c r="HM50" s="23"/>
      <c r="HN50" s="23">
        <v>6103</v>
      </c>
      <c r="HO50" s="23">
        <v>518.79999999999995</v>
      </c>
      <c r="HP50" s="16">
        <v>0</v>
      </c>
      <c r="HQ50" s="16">
        <v>0</v>
      </c>
      <c r="HR50" s="16">
        <v>0</v>
      </c>
      <c r="HS50" s="16">
        <v>0</v>
      </c>
      <c r="HT50" s="16">
        <v>2</v>
      </c>
      <c r="HU50" s="16">
        <v>6103</v>
      </c>
      <c r="HV50" s="16">
        <v>12206</v>
      </c>
      <c r="HW50" s="16">
        <v>1037.5</v>
      </c>
      <c r="HX50" s="16">
        <v>0</v>
      </c>
      <c r="HY50" s="16">
        <v>0</v>
      </c>
      <c r="HZ50" s="16">
        <v>0</v>
      </c>
      <c r="IA50" s="16">
        <v>0</v>
      </c>
      <c r="IB50" s="16">
        <v>0</v>
      </c>
      <c r="IC50" s="16">
        <v>0</v>
      </c>
      <c r="ID50" s="16">
        <v>0</v>
      </c>
      <c r="IE50" s="16">
        <v>0</v>
      </c>
      <c r="IF50" s="23">
        <v>2</v>
      </c>
      <c r="IG50" s="23"/>
      <c r="IH50" s="23">
        <v>12206</v>
      </c>
      <c r="II50" s="23">
        <v>1037.5</v>
      </c>
      <c r="IJ50" s="16">
        <v>0</v>
      </c>
      <c r="IK50" s="16">
        <v>0</v>
      </c>
      <c r="IL50" s="16">
        <v>0</v>
      </c>
      <c r="IM50" s="16">
        <v>0</v>
      </c>
      <c r="IN50" s="16">
        <v>0</v>
      </c>
      <c r="IO50" s="16">
        <v>0</v>
      </c>
      <c r="IP50" s="16">
        <v>0</v>
      </c>
      <c r="IQ50" s="16">
        <v>0</v>
      </c>
      <c r="IR50" s="16">
        <v>0</v>
      </c>
      <c r="IS50" s="16">
        <v>0</v>
      </c>
      <c r="IT50" s="16">
        <v>0</v>
      </c>
      <c r="IU50" s="16">
        <v>0</v>
      </c>
      <c r="IV50" s="16">
        <v>0</v>
      </c>
      <c r="IW50" s="16">
        <v>0</v>
      </c>
      <c r="IX50" s="16">
        <v>0</v>
      </c>
      <c r="IY50" s="16">
        <v>0</v>
      </c>
      <c r="IZ50" s="16">
        <v>0</v>
      </c>
      <c r="JA50" s="16">
        <v>0</v>
      </c>
      <c r="JB50" s="16">
        <v>0</v>
      </c>
      <c r="JC50" s="16">
        <v>0</v>
      </c>
      <c r="JD50" s="23">
        <v>0</v>
      </c>
      <c r="JE50" s="23"/>
      <c r="JF50" s="23">
        <v>0</v>
      </c>
      <c r="JG50" s="23">
        <v>0</v>
      </c>
      <c r="JH50" s="16">
        <v>0</v>
      </c>
      <c r="JI50" s="16">
        <v>0</v>
      </c>
      <c r="JJ50" s="16">
        <v>0</v>
      </c>
      <c r="JK50" s="16">
        <v>0</v>
      </c>
      <c r="JL50" s="16">
        <v>0</v>
      </c>
      <c r="JM50" s="16">
        <v>0</v>
      </c>
      <c r="JN50" s="16">
        <v>0</v>
      </c>
      <c r="JO50" s="16">
        <v>0</v>
      </c>
      <c r="JP50" s="16">
        <v>0</v>
      </c>
      <c r="JQ50" s="16">
        <v>0</v>
      </c>
      <c r="JR50" s="16">
        <v>0</v>
      </c>
      <c r="JS50" s="16">
        <v>0</v>
      </c>
      <c r="JT50" s="16">
        <v>2</v>
      </c>
      <c r="JU50" s="16">
        <v>5972</v>
      </c>
      <c r="JV50" s="16">
        <v>11944</v>
      </c>
      <c r="JW50" s="16">
        <v>1015.2</v>
      </c>
      <c r="JX50" s="23">
        <v>2</v>
      </c>
      <c r="JY50" s="23"/>
      <c r="JZ50" s="23">
        <v>11944</v>
      </c>
      <c r="KA50" s="23">
        <v>1015.2</v>
      </c>
      <c r="KB50" s="16">
        <v>0</v>
      </c>
      <c r="KC50" s="16">
        <v>0</v>
      </c>
      <c r="KD50" s="16">
        <v>0</v>
      </c>
      <c r="KE50" s="16">
        <v>0</v>
      </c>
      <c r="KF50" s="16">
        <v>0</v>
      </c>
      <c r="KG50" s="16">
        <v>0</v>
      </c>
      <c r="KH50" s="16">
        <v>0</v>
      </c>
      <c r="KI50" s="16">
        <v>0</v>
      </c>
      <c r="KJ50" s="16">
        <v>0</v>
      </c>
      <c r="KK50" s="16">
        <v>0</v>
      </c>
      <c r="KL50" s="16">
        <v>0</v>
      </c>
      <c r="KM50" s="16">
        <v>0</v>
      </c>
      <c r="KN50" s="16">
        <v>0</v>
      </c>
      <c r="KO50" s="16">
        <v>0</v>
      </c>
      <c r="KP50" s="16">
        <v>0</v>
      </c>
      <c r="KQ50" s="16">
        <v>0</v>
      </c>
      <c r="KR50" s="23">
        <v>0</v>
      </c>
      <c r="KS50" s="23"/>
      <c r="KT50" s="23">
        <v>0</v>
      </c>
      <c r="KU50" s="23">
        <v>0</v>
      </c>
      <c r="KV50" s="23">
        <v>11</v>
      </c>
      <c r="KW50" s="23"/>
      <c r="KX50" s="23">
        <v>66600</v>
      </c>
      <c r="KY50" s="23">
        <v>5661</v>
      </c>
    </row>
    <row r="51" spans="1:311" ht="16.95" customHeight="1" x14ac:dyDescent="0.4">
      <c r="A51" s="11"/>
      <c r="B51" s="11"/>
      <c r="C51" s="11" t="s">
        <v>70</v>
      </c>
      <c r="D51" s="9">
        <v>0</v>
      </c>
      <c r="E51" s="9">
        <v>0</v>
      </c>
      <c r="F51" s="9">
        <v>0</v>
      </c>
      <c r="G51" s="9">
        <v>0</v>
      </c>
      <c r="H51" s="22">
        <v>0</v>
      </c>
      <c r="I51" s="22"/>
      <c r="J51" s="22">
        <v>0</v>
      </c>
      <c r="K51" s="22">
        <v>0</v>
      </c>
      <c r="L51" s="9">
        <v>2</v>
      </c>
      <c r="M51" s="9">
        <v>6478</v>
      </c>
      <c r="N51" s="9">
        <v>12956</v>
      </c>
      <c r="O51" s="9">
        <v>1101.3</v>
      </c>
      <c r="P51" s="9">
        <v>0</v>
      </c>
      <c r="Q51" s="9">
        <v>0</v>
      </c>
      <c r="R51" s="9">
        <v>0</v>
      </c>
      <c r="S51" s="9">
        <v>0</v>
      </c>
      <c r="T51" s="9">
        <v>3</v>
      </c>
      <c r="U51" s="9">
        <v>6478</v>
      </c>
      <c r="V51" s="9">
        <v>19434</v>
      </c>
      <c r="W51" s="9">
        <v>1651.9</v>
      </c>
      <c r="X51" s="9">
        <v>0</v>
      </c>
      <c r="Y51" s="9">
        <v>0</v>
      </c>
      <c r="Z51" s="9">
        <v>0</v>
      </c>
      <c r="AA51" s="9">
        <v>0</v>
      </c>
      <c r="AB51" s="22">
        <v>5</v>
      </c>
      <c r="AC51" s="22"/>
      <c r="AD51" s="22">
        <v>32390</v>
      </c>
      <c r="AE51" s="22">
        <v>2753.2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3</v>
      </c>
      <c r="AO51" s="9">
        <v>6478</v>
      </c>
      <c r="AP51" s="9">
        <v>19434</v>
      </c>
      <c r="AQ51" s="9">
        <v>1651.9</v>
      </c>
      <c r="AR51" s="9">
        <v>0</v>
      </c>
      <c r="AS51" s="9">
        <v>0</v>
      </c>
      <c r="AT51" s="9">
        <v>0</v>
      </c>
      <c r="AU51" s="9">
        <v>0</v>
      </c>
      <c r="AV51" s="22">
        <v>3</v>
      </c>
      <c r="AW51" s="22"/>
      <c r="AX51" s="22">
        <v>19434</v>
      </c>
      <c r="AY51" s="22">
        <v>1651.9</v>
      </c>
      <c r="AZ51" s="9">
        <v>0</v>
      </c>
      <c r="BA51" s="9">
        <v>0</v>
      </c>
      <c r="BB51" s="9">
        <v>0</v>
      </c>
      <c r="BC51" s="9">
        <v>0</v>
      </c>
      <c r="BD51" s="9">
        <v>2</v>
      </c>
      <c r="BE51" s="9">
        <v>6478</v>
      </c>
      <c r="BF51" s="9">
        <v>12956</v>
      </c>
      <c r="BG51" s="9">
        <v>1101.3</v>
      </c>
      <c r="BH51" s="9">
        <v>0</v>
      </c>
      <c r="BI51" s="9">
        <v>0</v>
      </c>
      <c r="BJ51" s="9">
        <v>0</v>
      </c>
      <c r="BK51" s="9">
        <v>0</v>
      </c>
      <c r="BL51" s="9">
        <v>2</v>
      </c>
      <c r="BM51" s="9">
        <v>6624</v>
      </c>
      <c r="BN51" s="9">
        <v>13248</v>
      </c>
      <c r="BO51" s="9">
        <v>1126.0999999999999</v>
      </c>
      <c r="BP51" s="9">
        <v>0</v>
      </c>
      <c r="BQ51" s="9">
        <v>0</v>
      </c>
      <c r="BR51" s="9">
        <v>0</v>
      </c>
      <c r="BS51" s="9">
        <v>0</v>
      </c>
      <c r="BT51" s="22">
        <v>4</v>
      </c>
      <c r="BU51" s="22"/>
      <c r="BV51" s="22">
        <v>26204</v>
      </c>
      <c r="BW51" s="22">
        <v>2227.3000000000002</v>
      </c>
      <c r="BX51" s="9">
        <v>2</v>
      </c>
      <c r="BY51" s="9">
        <v>6624</v>
      </c>
      <c r="BZ51" s="9">
        <v>13248</v>
      </c>
      <c r="CA51" s="9">
        <v>1126.0999999999999</v>
      </c>
      <c r="CB51" s="9">
        <v>2</v>
      </c>
      <c r="CC51" s="9">
        <v>6624</v>
      </c>
      <c r="CD51" s="9">
        <v>13248</v>
      </c>
      <c r="CE51" s="9">
        <v>1126.0999999999999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22">
        <v>4</v>
      </c>
      <c r="CO51" s="22"/>
      <c r="CP51" s="22">
        <v>26496</v>
      </c>
      <c r="CQ51" s="22">
        <v>2252.1999999999998</v>
      </c>
      <c r="CR51" s="9">
        <v>3</v>
      </c>
      <c r="CS51" s="9">
        <v>6624</v>
      </c>
      <c r="CT51" s="9">
        <v>19872</v>
      </c>
      <c r="CU51" s="9">
        <v>1689.1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9">
        <v>2</v>
      </c>
      <c r="DE51" s="9">
        <v>6624</v>
      </c>
      <c r="DF51" s="9">
        <v>13248</v>
      </c>
      <c r="DG51" s="9">
        <v>1126.0999999999999</v>
      </c>
      <c r="DH51" s="22">
        <v>5</v>
      </c>
      <c r="DI51" s="22"/>
      <c r="DJ51" s="22">
        <v>33120</v>
      </c>
      <c r="DK51" s="22">
        <v>2815.2</v>
      </c>
      <c r="DL51" s="9">
        <v>0</v>
      </c>
      <c r="DM51" s="9">
        <v>0</v>
      </c>
      <c r="DN51" s="9">
        <v>0</v>
      </c>
      <c r="DO51" s="9">
        <v>0</v>
      </c>
      <c r="DP51" s="9">
        <v>2</v>
      </c>
      <c r="DQ51" s="9">
        <v>6624</v>
      </c>
      <c r="DR51" s="9">
        <v>13248</v>
      </c>
      <c r="DS51" s="9">
        <v>1126.0999999999999</v>
      </c>
      <c r="DT51" s="9">
        <v>0</v>
      </c>
      <c r="DU51" s="9">
        <v>0</v>
      </c>
      <c r="DV51" s="9">
        <v>0</v>
      </c>
      <c r="DW51" s="9">
        <v>0</v>
      </c>
      <c r="DX51" s="9">
        <v>2</v>
      </c>
      <c r="DY51" s="9">
        <v>6624</v>
      </c>
      <c r="DZ51" s="9">
        <v>13248</v>
      </c>
      <c r="EA51" s="9">
        <v>1126.0999999999999</v>
      </c>
      <c r="EB51" s="9">
        <v>0</v>
      </c>
      <c r="EC51" s="9">
        <v>0</v>
      </c>
      <c r="ED51" s="9">
        <v>0</v>
      </c>
      <c r="EE51" s="9">
        <v>0</v>
      </c>
      <c r="EF51" s="22">
        <v>4</v>
      </c>
      <c r="EG51" s="22"/>
      <c r="EH51" s="22">
        <v>26496</v>
      </c>
      <c r="EI51" s="22">
        <v>2252.1999999999998</v>
      </c>
      <c r="EJ51" s="9">
        <v>0</v>
      </c>
      <c r="EK51" s="9">
        <v>0</v>
      </c>
      <c r="EL51" s="9">
        <v>0</v>
      </c>
      <c r="EM51" s="9">
        <v>0</v>
      </c>
      <c r="EN51" s="9">
        <v>3</v>
      </c>
      <c r="EO51" s="9">
        <v>6624</v>
      </c>
      <c r="EP51" s="9">
        <v>19872</v>
      </c>
      <c r="EQ51" s="9">
        <v>1689.1</v>
      </c>
      <c r="ER51" s="9">
        <v>0</v>
      </c>
      <c r="ES51" s="9">
        <v>0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22">
        <v>3</v>
      </c>
      <c r="FA51" s="22"/>
      <c r="FB51" s="22">
        <v>19872</v>
      </c>
      <c r="FC51" s="22">
        <v>1689.1</v>
      </c>
      <c r="FD51" s="9">
        <v>0</v>
      </c>
      <c r="FE51" s="9">
        <v>0</v>
      </c>
      <c r="FF51" s="9">
        <v>0</v>
      </c>
      <c r="FG51" s="9">
        <v>0</v>
      </c>
      <c r="FH51" s="9">
        <v>2</v>
      </c>
      <c r="FI51" s="9">
        <v>6624</v>
      </c>
      <c r="FJ51" s="9">
        <v>13248</v>
      </c>
      <c r="FK51" s="9">
        <v>1126.0999999999999</v>
      </c>
      <c r="FL51" s="9">
        <v>0</v>
      </c>
      <c r="FM51" s="9">
        <v>0</v>
      </c>
      <c r="FN51" s="9">
        <v>0</v>
      </c>
      <c r="FO51" s="9">
        <v>0</v>
      </c>
      <c r="FP51" s="9">
        <v>0</v>
      </c>
      <c r="FQ51" s="9">
        <v>0</v>
      </c>
      <c r="FR51" s="9">
        <v>0</v>
      </c>
      <c r="FS51" s="9">
        <v>0</v>
      </c>
      <c r="FT51" s="22">
        <v>2</v>
      </c>
      <c r="FU51" s="22"/>
      <c r="FV51" s="22">
        <v>13248</v>
      </c>
      <c r="FW51" s="22">
        <v>1126.0999999999999</v>
      </c>
      <c r="FX51" s="9">
        <v>0</v>
      </c>
      <c r="FY51" s="9">
        <v>0</v>
      </c>
      <c r="FZ51" s="9">
        <v>0</v>
      </c>
      <c r="GA51" s="9">
        <v>0</v>
      </c>
      <c r="GB51" s="9">
        <v>3</v>
      </c>
      <c r="GC51" s="9">
        <v>6624</v>
      </c>
      <c r="GD51" s="9">
        <v>19872</v>
      </c>
      <c r="GE51" s="9">
        <v>1689.1</v>
      </c>
      <c r="GF51" s="9">
        <v>0</v>
      </c>
      <c r="GG51" s="9">
        <v>0</v>
      </c>
      <c r="GH51" s="9">
        <v>0</v>
      </c>
      <c r="GI51" s="9">
        <v>0</v>
      </c>
      <c r="GJ51" s="9">
        <v>0</v>
      </c>
      <c r="GK51" s="9">
        <v>0</v>
      </c>
      <c r="GL51" s="9">
        <v>0</v>
      </c>
      <c r="GM51" s="9">
        <v>0</v>
      </c>
      <c r="GN51" s="9">
        <v>3</v>
      </c>
      <c r="GO51" s="9">
        <v>6624</v>
      </c>
      <c r="GP51" s="9">
        <v>19872</v>
      </c>
      <c r="GQ51" s="9">
        <v>1689.1</v>
      </c>
      <c r="GR51" s="22">
        <v>6</v>
      </c>
      <c r="GS51" s="22"/>
      <c r="GT51" s="22">
        <v>39744</v>
      </c>
      <c r="GU51" s="22">
        <v>3378.2</v>
      </c>
      <c r="GV51" s="9">
        <v>0</v>
      </c>
      <c r="GW51" s="9">
        <v>0</v>
      </c>
      <c r="GX51" s="9">
        <v>0</v>
      </c>
      <c r="GY51" s="9">
        <v>0</v>
      </c>
      <c r="GZ51" s="9">
        <v>0</v>
      </c>
      <c r="HA51" s="9">
        <v>0</v>
      </c>
      <c r="HB51" s="9">
        <v>0</v>
      </c>
      <c r="HC51" s="9">
        <v>0</v>
      </c>
      <c r="HD51" s="9">
        <v>0</v>
      </c>
      <c r="HE51" s="9">
        <v>0</v>
      </c>
      <c r="HF51" s="9">
        <v>0</v>
      </c>
      <c r="HG51" s="9">
        <v>0</v>
      </c>
      <c r="HH51" s="9">
        <v>0</v>
      </c>
      <c r="HI51" s="9">
        <v>0</v>
      </c>
      <c r="HJ51" s="9">
        <v>0</v>
      </c>
      <c r="HK51" s="9">
        <v>0</v>
      </c>
      <c r="HL51" s="22">
        <v>0</v>
      </c>
      <c r="HM51" s="22"/>
      <c r="HN51" s="22">
        <v>0</v>
      </c>
      <c r="HO51" s="22">
        <v>0</v>
      </c>
      <c r="HP51" s="9">
        <v>0</v>
      </c>
      <c r="HQ51" s="9">
        <v>0</v>
      </c>
      <c r="HR51" s="9">
        <v>0</v>
      </c>
      <c r="HS51" s="9">
        <v>0</v>
      </c>
      <c r="HT51" s="9">
        <v>2</v>
      </c>
      <c r="HU51" s="9">
        <v>6624</v>
      </c>
      <c r="HV51" s="9">
        <v>13248</v>
      </c>
      <c r="HW51" s="9">
        <v>1126.0999999999999</v>
      </c>
      <c r="HX51" s="9">
        <v>2</v>
      </c>
      <c r="HY51" s="9">
        <v>6624</v>
      </c>
      <c r="HZ51" s="9">
        <v>13248</v>
      </c>
      <c r="IA51" s="9">
        <v>1126.0999999999999</v>
      </c>
      <c r="IB51" s="9">
        <v>0</v>
      </c>
      <c r="IC51" s="9">
        <v>0</v>
      </c>
      <c r="ID51" s="9">
        <v>0</v>
      </c>
      <c r="IE51" s="9">
        <v>0</v>
      </c>
      <c r="IF51" s="22">
        <v>4</v>
      </c>
      <c r="IG51" s="22"/>
      <c r="IH51" s="22">
        <v>26496</v>
      </c>
      <c r="II51" s="22">
        <v>2252.1999999999998</v>
      </c>
      <c r="IJ51" s="9">
        <v>0</v>
      </c>
      <c r="IK51" s="9">
        <v>0</v>
      </c>
      <c r="IL51" s="9">
        <v>0</v>
      </c>
      <c r="IM51" s="9">
        <v>0</v>
      </c>
      <c r="IN51" s="9">
        <v>0</v>
      </c>
      <c r="IO51" s="9">
        <v>0</v>
      </c>
      <c r="IP51" s="9">
        <v>0</v>
      </c>
      <c r="IQ51" s="9">
        <v>0</v>
      </c>
      <c r="IR51" s="9">
        <v>3</v>
      </c>
      <c r="IS51" s="9">
        <v>6624</v>
      </c>
      <c r="IT51" s="9">
        <v>19872</v>
      </c>
      <c r="IU51" s="9">
        <v>1689.1</v>
      </c>
      <c r="IV51" s="9">
        <v>0</v>
      </c>
      <c r="IW51" s="9">
        <v>0</v>
      </c>
      <c r="IX51" s="9">
        <v>0</v>
      </c>
      <c r="IY51" s="9">
        <v>0</v>
      </c>
      <c r="IZ51" s="9">
        <v>2</v>
      </c>
      <c r="JA51" s="9">
        <v>6624</v>
      </c>
      <c r="JB51" s="9">
        <v>13248</v>
      </c>
      <c r="JC51" s="9">
        <v>1126.0999999999999</v>
      </c>
      <c r="JD51" s="22">
        <v>5</v>
      </c>
      <c r="JE51" s="22"/>
      <c r="JF51" s="22">
        <v>33120</v>
      </c>
      <c r="JG51" s="22">
        <v>2815.2</v>
      </c>
      <c r="JH51" s="9">
        <v>0</v>
      </c>
      <c r="JI51" s="9">
        <v>0</v>
      </c>
      <c r="JJ51" s="9">
        <v>0</v>
      </c>
      <c r="JK51" s="9">
        <v>0</v>
      </c>
      <c r="JL51" s="9">
        <v>2</v>
      </c>
      <c r="JM51" s="9">
        <v>6624</v>
      </c>
      <c r="JN51" s="9">
        <v>13248</v>
      </c>
      <c r="JO51" s="9">
        <v>1126.0999999999999</v>
      </c>
      <c r="JP51" s="9">
        <v>0</v>
      </c>
      <c r="JQ51" s="9">
        <v>0</v>
      </c>
      <c r="JR51" s="9">
        <v>0</v>
      </c>
      <c r="JS51" s="9">
        <v>0</v>
      </c>
      <c r="JT51" s="9">
        <v>0</v>
      </c>
      <c r="JU51" s="9">
        <v>0</v>
      </c>
      <c r="JV51" s="9">
        <v>0</v>
      </c>
      <c r="JW51" s="9">
        <v>0</v>
      </c>
      <c r="JX51" s="22">
        <v>2</v>
      </c>
      <c r="JY51" s="22"/>
      <c r="JZ51" s="22">
        <v>13248</v>
      </c>
      <c r="KA51" s="22">
        <v>1126.0999999999999</v>
      </c>
      <c r="KB51" s="9">
        <v>0</v>
      </c>
      <c r="KC51" s="9">
        <v>0</v>
      </c>
      <c r="KD51" s="9">
        <v>0</v>
      </c>
      <c r="KE51" s="9">
        <v>0</v>
      </c>
      <c r="KF51" s="9">
        <v>0</v>
      </c>
      <c r="KG51" s="9">
        <v>0</v>
      </c>
      <c r="KH51" s="9">
        <v>0</v>
      </c>
      <c r="KI51" s="9">
        <v>0</v>
      </c>
      <c r="KJ51" s="9">
        <v>0</v>
      </c>
      <c r="KK51" s="9">
        <v>0</v>
      </c>
      <c r="KL51" s="9">
        <v>0</v>
      </c>
      <c r="KM51" s="9">
        <v>0</v>
      </c>
      <c r="KN51" s="9">
        <v>0</v>
      </c>
      <c r="KO51" s="9">
        <v>0</v>
      </c>
      <c r="KP51" s="9">
        <v>0</v>
      </c>
      <c r="KQ51" s="9">
        <v>0</v>
      </c>
      <c r="KR51" s="22">
        <v>0</v>
      </c>
      <c r="KS51" s="22"/>
      <c r="KT51" s="22">
        <v>0</v>
      </c>
      <c r="KU51" s="22">
        <v>0</v>
      </c>
      <c r="KV51" s="22">
        <v>47</v>
      </c>
      <c r="KW51" s="22"/>
      <c r="KX51" s="22">
        <v>309868</v>
      </c>
      <c r="KY51" s="22">
        <v>26338.799999999999</v>
      </c>
    </row>
    <row r="52" spans="1:311" ht="16.95" customHeight="1" x14ac:dyDescent="0.4">
      <c r="A52" s="15"/>
      <c r="B52" s="15"/>
      <c r="C52" s="15" t="s">
        <v>321</v>
      </c>
      <c r="D52" s="16">
        <v>0</v>
      </c>
      <c r="E52" s="16">
        <v>0</v>
      </c>
      <c r="F52" s="16">
        <v>0</v>
      </c>
      <c r="G52" s="16">
        <v>0</v>
      </c>
      <c r="H52" s="23">
        <v>0</v>
      </c>
      <c r="I52" s="23"/>
      <c r="J52" s="23">
        <v>0</v>
      </c>
      <c r="K52" s="23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23">
        <v>0</v>
      </c>
      <c r="AC52" s="23"/>
      <c r="AD52" s="23">
        <v>0</v>
      </c>
      <c r="AE52" s="23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23">
        <v>0</v>
      </c>
      <c r="AW52" s="23"/>
      <c r="AX52" s="23">
        <v>0</v>
      </c>
      <c r="AY52" s="23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23">
        <v>0</v>
      </c>
      <c r="BU52" s="23"/>
      <c r="BV52" s="23">
        <v>0</v>
      </c>
      <c r="BW52" s="23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23">
        <v>0</v>
      </c>
      <c r="CO52" s="23"/>
      <c r="CP52" s="23">
        <v>0</v>
      </c>
      <c r="CQ52" s="23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23">
        <v>0</v>
      </c>
      <c r="DI52" s="23"/>
      <c r="DJ52" s="23">
        <v>0</v>
      </c>
      <c r="DK52" s="23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  <c r="DT52" s="16">
        <v>0</v>
      </c>
      <c r="DU52" s="16">
        <v>0</v>
      </c>
      <c r="DV52" s="16">
        <v>0</v>
      </c>
      <c r="DW52" s="16">
        <v>0</v>
      </c>
      <c r="DX52" s="16">
        <v>0</v>
      </c>
      <c r="DY52" s="16">
        <v>0</v>
      </c>
      <c r="DZ52" s="16">
        <v>0</v>
      </c>
      <c r="EA52" s="16">
        <v>0</v>
      </c>
      <c r="EB52" s="16">
        <v>0</v>
      </c>
      <c r="EC52" s="16">
        <v>0</v>
      </c>
      <c r="ED52" s="16">
        <v>0</v>
      </c>
      <c r="EE52" s="16">
        <v>0</v>
      </c>
      <c r="EF52" s="23">
        <v>0</v>
      </c>
      <c r="EG52" s="23"/>
      <c r="EH52" s="23">
        <v>0</v>
      </c>
      <c r="EI52" s="23">
        <v>0</v>
      </c>
      <c r="EJ52" s="16">
        <v>0</v>
      </c>
      <c r="EK52" s="16">
        <v>0</v>
      </c>
      <c r="EL52" s="16">
        <v>0</v>
      </c>
      <c r="EM52" s="16">
        <v>0</v>
      </c>
      <c r="EN52" s="16">
        <v>0</v>
      </c>
      <c r="EO52" s="16">
        <v>0</v>
      </c>
      <c r="EP52" s="16">
        <v>0</v>
      </c>
      <c r="EQ52" s="16">
        <v>0</v>
      </c>
      <c r="ER52" s="16">
        <v>0</v>
      </c>
      <c r="ES52" s="16">
        <v>0</v>
      </c>
      <c r="ET52" s="16">
        <v>0</v>
      </c>
      <c r="EU52" s="16">
        <v>0</v>
      </c>
      <c r="EV52" s="16">
        <v>0</v>
      </c>
      <c r="EW52" s="16">
        <v>0</v>
      </c>
      <c r="EX52" s="16">
        <v>0</v>
      </c>
      <c r="EY52" s="16">
        <v>0</v>
      </c>
      <c r="EZ52" s="23">
        <v>0</v>
      </c>
      <c r="FA52" s="23"/>
      <c r="FB52" s="23">
        <v>0</v>
      </c>
      <c r="FC52" s="23">
        <v>0</v>
      </c>
      <c r="FD52" s="16">
        <v>0</v>
      </c>
      <c r="FE52" s="16">
        <v>0</v>
      </c>
      <c r="FF52" s="16">
        <v>0</v>
      </c>
      <c r="FG52" s="16">
        <v>0</v>
      </c>
      <c r="FH52" s="16">
        <v>0</v>
      </c>
      <c r="FI52" s="16">
        <v>0</v>
      </c>
      <c r="FJ52" s="16">
        <v>0</v>
      </c>
      <c r="FK52" s="16">
        <v>0</v>
      </c>
      <c r="FL52" s="16">
        <v>0</v>
      </c>
      <c r="FM52" s="16">
        <v>0</v>
      </c>
      <c r="FN52" s="16">
        <v>0</v>
      </c>
      <c r="FO52" s="16">
        <v>0</v>
      </c>
      <c r="FP52" s="16">
        <v>0</v>
      </c>
      <c r="FQ52" s="16">
        <v>0</v>
      </c>
      <c r="FR52" s="16">
        <v>0</v>
      </c>
      <c r="FS52" s="16">
        <v>0</v>
      </c>
      <c r="FT52" s="23">
        <v>0</v>
      </c>
      <c r="FU52" s="23"/>
      <c r="FV52" s="23">
        <v>0</v>
      </c>
      <c r="FW52" s="23">
        <v>0</v>
      </c>
      <c r="FX52" s="16">
        <v>0</v>
      </c>
      <c r="FY52" s="16">
        <v>0</v>
      </c>
      <c r="FZ52" s="16">
        <v>0</v>
      </c>
      <c r="GA52" s="16">
        <v>0</v>
      </c>
      <c r="GB52" s="16">
        <v>0</v>
      </c>
      <c r="GC52" s="16">
        <v>0</v>
      </c>
      <c r="GD52" s="16">
        <v>0</v>
      </c>
      <c r="GE52" s="16">
        <v>0</v>
      </c>
      <c r="GF52" s="16">
        <v>0</v>
      </c>
      <c r="GG52" s="16">
        <v>0</v>
      </c>
      <c r="GH52" s="16">
        <v>0</v>
      </c>
      <c r="GI52" s="16">
        <v>0</v>
      </c>
      <c r="GJ52" s="16">
        <v>0</v>
      </c>
      <c r="GK52" s="16">
        <v>0</v>
      </c>
      <c r="GL52" s="16">
        <v>0</v>
      </c>
      <c r="GM52" s="16">
        <v>0</v>
      </c>
      <c r="GN52" s="16">
        <v>0</v>
      </c>
      <c r="GO52" s="16">
        <v>0</v>
      </c>
      <c r="GP52" s="16">
        <v>0</v>
      </c>
      <c r="GQ52" s="16">
        <v>0</v>
      </c>
      <c r="GR52" s="23">
        <v>0</v>
      </c>
      <c r="GS52" s="23"/>
      <c r="GT52" s="23">
        <v>0</v>
      </c>
      <c r="GU52" s="23">
        <v>0</v>
      </c>
      <c r="GV52" s="16">
        <v>0</v>
      </c>
      <c r="GW52" s="16">
        <v>0</v>
      </c>
      <c r="GX52" s="16">
        <v>0</v>
      </c>
      <c r="GY52" s="16">
        <v>0</v>
      </c>
      <c r="GZ52" s="16">
        <v>0</v>
      </c>
      <c r="HA52" s="16">
        <v>0</v>
      </c>
      <c r="HB52" s="16">
        <v>0</v>
      </c>
      <c r="HC52" s="16">
        <v>0</v>
      </c>
      <c r="HD52" s="16">
        <v>0</v>
      </c>
      <c r="HE52" s="16">
        <v>0</v>
      </c>
      <c r="HF52" s="16">
        <v>0</v>
      </c>
      <c r="HG52" s="16">
        <v>0</v>
      </c>
      <c r="HH52" s="16">
        <v>0</v>
      </c>
      <c r="HI52" s="16">
        <v>0</v>
      </c>
      <c r="HJ52" s="16">
        <v>0</v>
      </c>
      <c r="HK52" s="16">
        <v>0</v>
      </c>
      <c r="HL52" s="23">
        <v>0</v>
      </c>
      <c r="HM52" s="23"/>
      <c r="HN52" s="23">
        <v>0</v>
      </c>
      <c r="HO52" s="23">
        <v>0</v>
      </c>
      <c r="HP52" s="16">
        <v>0</v>
      </c>
      <c r="HQ52" s="16">
        <v>0</v>
      </c>
      <c r="HR52" s="16">
        <v>0</v>
      </c>
      <c r="HS52" s="16">
        <v>0</v>
      </c>
      <c r="HT52" s="16">
        <v>0</v>
      </c>
      <c r="HU52" s="16">
        <v>0</v>
      </c>
      <c r="HV52" s="16">
        <v>0</v>
      </c>
      <c r="HW52" s="16">
        <v>0</v>
      </c>
      <c r="HX52" s="16">
        <v>0</v>
      </c>
      <c r="HY52" s="16">
        <v>0</v>
      </c>
      <c r="HZ52" s="16">
        <v>0</v>
      </c>
      <c r="IA52" s="16">
        <v>0</v>
      </c>
      <c r="IB52" s="16">
        <v>0</v>
      </c>
      <c r="IC52" s="16">
        <v>0</v>
      </c>
      <c r="ID52" s="16">
        <v>0</v>
      </c>
      <c r="IE52" s="16">
        <v>0</v>
      </c>
      <c r="IF52" s="23">
        <v>0</v>
      </c>
      <c r="IG52" s="23"/>
      <c r="IH52" s="23">
        <v>0</v>
      </c>
      <c r="II52" s="23">
        <v>0</v>
      </c>
      <c r="IJ52" s="16">
        <v>0</v>
      </c>
      <c r="IK52" s="16">
        <v>0</v>
      </c>
      <c r="IL52" s="16">
        <v>0</v>
      </c>
      <c r="IM52" s="16">
        <v>0</v>
      </c>
      <c r="IN52" s="16">
        <v>0</v>
      </c>
      <c r="IO52" s="16">
        <v>0</v>
      </c>
      <c r="IP52" s="16">
        <v>0</v>
      </c>
      <c r="IQ52" s="16">
        <v>0</v>
      </c>
      <c r="IR52" s="16">
        <v>0</v>
      </c>
      <c r="IS52" s="16">
        <v>0</v>
      </c>
      <c r="IT52" s="16">
        <v>0</v>
      </c>
      <c r="IU52" s="16">
        <v>0</v>
      </c>
      <c r="IV52" s="16">
        <v>0</v>
      </c>
      <c r="IW52" s="16">
        <v>0</v>
      </c>
      <c r="IX52" s="16">
        <v>0</v>
      </c>
      <c r="IY52" s="16">
        <v>0</v>
      </c>
      <c r="IZ52" s="16">
        <v>0</v>
      </c>
      <c r="JA52" s="16">
        <v>0</v>
      </c>
      <c r="JB52" s="16">
        <v>0</v>
      </c>
      <c r="JC52" s="16">
        <v>0</v>
      </c>
      <c r="JD52" s="23">
        <v>0</v>
      </c>
      <c r="JE52" s="23"/>
      <c r="JF52" s="23">
        <v>0</v>
      </c>
      <c r="JG52" s="23">
        <v>0</v>
      </c>
      <c r="JH52" s="16">
        <v>0</v>
      </c>
      <c r="JI52" s="16">
        <v>0</v>
      </c>
      <c r="JJ52" s="16">
        <v>0</v>
      </c>
      <c r="JK52" s="16">
        <v>0</v>
      </c>
      <c r="JL52" s="16">
        <v>0</v>
      </c>
      <c r="JM52" s="16">
        <v>0</v>
      </c>
      <c r="JN52" s="16">
        <v>0</v>
      </c>
      <c r="JO52" s="16">
        <v>0</v>
      </c>
      <c r="JP52" s="16">
        <v>0</v>
      </c>
      <c r="JQ52" s="16">
        <v>0</v>
      </c>
      <c r="JR52" s="16">
        <v>0</v>
      </c>
      <c r="JS52" s="16">
        <v>0</v>
      </c>
      <c r="JT52" s="16">
        <v>1</v>
      </c>
      <c r="JU52" s="16">
        <v>37815</v>
      </c>
      <c r="JV52" s="16">
        <v>37815</v>
      </c>
      <c r="JW52" s="16">
        <v>3214.3</v>
      </c>
      <c r="JX52" s="23">
        <v>1</v>
      </c>
      <c r="JY52" s="23"/>
      <c r="JZ52" s="23">
        <v>37815</v>
      </c>
      <c r="KA52" s="23">
        <v>3214.3</v>
      </c>
      <c r="KB52" s="16">
        <v>0</v>
      </c>
      <c r="KC52" s="16">
        <v>0</v>
      </c>
      <c r="KD52" s="16">
        <v>0</v>
      </c>
      <c r="KE52" s="16">
        <v>0</v>
      </c>
      <c r="KF52" s="16">
        <v>0</v>
      </c>
      <c r="KG52" s="16">
        <v>0</v>
      </c>
      <c r="KH52" s="16">
        <v>0</v>
      </c>
      <c r="KI52" s="16">
        <v>0</v>
      </c>
      <c r="KJ52" s="16">
        <v>0</v>
      </c>
      <c r="KK52" s="16">
        <v>0</v>
      </c>
      <c r="KL52" s="16">
        <v>0</v>
      </c>
      <c r="KM52" s="16">
        <v>0</v>
      </c>
      <c r="KN52" s="16">
        <v>0</v>
      </c>
      <c r="KO52" s="16">
        <v>0</v>
      </c>
      <c r="KP52" s="16">
        <v>0</v>
      </c>
      <c r="KQ52" s="16">
        <v>0</v>
      </c>
      <c r="KR52" s="23">
        <v>0</v>
      </c>
      <c r="KS52" s="23"/>
      <c r="KT52" s="23">
        <v>0</v>
      </c>
      <c r="KU52" s="23">
        <v>0</v>
      </c>
      <c r="KV52" s="23">
        <v>1</v>
      </c>
      <c r="KW52" s="23"/>
      <c r="KX52" s="23">
        <v>37815</v>
      </c>
      <c r="KY52" s="23">
        <v>3214.3</v>
      </c>
    </row>
    <row r="53" spans="1:311" ht="16.95" customHeight="1" x14ac:dyDescent="0.4">
      <c r="A53" s="11"/>
      <c r="B53" s="11"/>
      <c r="C53" s="11" t="s">
        <v>222</v>
      </c>
      <c r="D53" s="9">
        <v>0</v>
      </c>
      <c r="E53" s="9">
        <v>0</v>
      </c>
      <c r="F53" s="9">
        <v>0</v>
      </c>
      <c r="G53" s="9">
        <v>0</v>
      </c>
      <c r="H53" s="22">
        <v>0</v>
      </c>
      <c r="I53" s="22"/>
      <c r="J53" s="22">
        <v>0</v>
      </c>
      <c r="K53" s="22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22">
        <v>0</v>
      </c>
      <c r="AC53" s="22"/>
      <c r="AD53" s="22">
        <v>0</v>
      </c>
      <c r="AE53" s="22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22">
        <v>0</v>
      </c>
      <c r="AW53" s="22"/>
      <c r="AX53" s="22">
        <v>0</v>
      </c>
      <c r="AY53" s="22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</v>
      </c>
      <c r="BS53" s="9">
        <v>0</v>
      </c>
      <c r="BT53" s="22">
        <v>0</v>
      </c>
      <c r="BU53" s="22"/>
      <c r="BV53" s="22">
        <v>0</v>
      </c>
      <c r="BW53" s="22">
        <v>0</v>
      </c>
      <c r="BX53" s="9">
        <v>0</v>
      </c>
      <c r="BY53" s="9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22">
        <v>0</v>
      </c>
      <c r="CO53" s="22"/>
      <c r="CP53" s="22">
        <v>0</v>
      </c>
      <c r="CQ53" s="22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22">
        <v>0</v>
      </c>
      <c r="DI53" s="22"/>
      <c r="DJ53" s="22">
        <v>0</v>
      </c>
      <c r="DK53" s="22">
        <v>0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9">
        <v>0</v>
      </c>
      <c r="DU53" s="9">
        <v>0</v>
      </c>
      <c r="DV53" s="9">
        <v>0</v>
      </c>
      <c r="DW53" s="9">
        <v>0</v>
      </c>
      <c r="DX53" s="9">
        <v>0</v>
      </c>
      <c r="DY53" s="9">
        <v>0</v>
      </c>
      <c r="DZ53" s="9">
        <v>0</v>
      </c>
      <c r="EA53" s="9">
        <v>0</v>
      </c>
      <c r="EB53" s="9">
        <v>0</v>
      </c>
      <c r="EC53" s="9">
        <v>0</v>
      </c>
      <c r="ED53" s="9">
        <v>0</v>
      </c>
      <c r="EE53" s="9">
        <v>0</v>
      </c>
      <c r="EF53" s="22">
        <v>0</v>
      </c>
      <c r="EG53" s="22"/>
      <c r="EH53" s="22">
        <v>0</v>
      </c>
      <c r="EI53" s="22">
        <v>0</v>
      </c>
      <c r="EJ53" s="9">
        <v>0</v>
      </c>
      <c r="EK53" s="9">
        <v>0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1</v>
      </c>
      <c r="EW53" s="9">
        <v>14468</v>
      </c>
      <c r="EX53" s="9">
        <v>14468</v>
      </c>
      <c r="EY53" s="9">
        <v>1229.8</v>
      </c>
      <c r="EZ53" s="22">
        <v>1</v>
      </c>
      <c r="FA53" s="22"/>
      <c r="FB53" s="22">
        <v>14468</v>
      </c>
      <c r="FC53" s="22">
        <v>1229.8</v>
      </c>
      <c r="FD53" s="9">
        <v>0</v>
      </c>
      <c r="FE53" s="9">
        <v>0</v>
      </c>
      <c r="FF53" s="9">
        <v>0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9">
        <v>1</v>
      </c>
      <c r="FM53" s="9">
        <v>14468</v>
      </c>
      <c r="FN53" s="9">
        <v>14468</v>
      </c>
      <c r="FO53" s="9">
        <v>1229.8</v>
      </c>
      <c r="FP53" s="9">
        <v>0</v>
      </c>
      <c r="FQ53" s="9">
        <v>0</v>
      </c>
      <c r="FR53" s="9">
        <v>0</v>
      </c>
      <c r="FS53" s="9">
        <v>0</v>
      </c>
      <c r="FT53" s="22">
        <v>1</v>
      </c>
      <c r="FU53" s="22"/>
      <c r="FV53" s="22">
        <v>14468</v>
      </c>
      <c r="FW53" s="22">
        <v>1229.8</v>
      </c>
      <c r="FX53" s="9">
        <v>0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9">
        <v>0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  <c r="GJ53" s="9">
        <v>0</v>
      </c>
      <c r="GK53" s="9">
        <v>0</v>
      </c>
      <c r="GL53" s="9">
        <v>0</v>
      </c>
      <c r="GM53" s="9">
        <v>0</v>
      </c>
      <c r="GN53" s="9">
        <v>0</v>
      </c>
      <c r="GO53" s="9">
        <v>0</v>
      </c>
      <c r="GP53" s="9">
        <v>0</v>
      </c>
      <c r="GQ53" s="9">
        <v>0</v>
      </c>
      <c r="GR53" s="22">
        <v>0</v>
      </c>
      <c r="GS53" s="22"/>
      <c r="GT53" s="22">
        <v>0</v>
      </c>
      <c r="GU53" s="22">
        <v>0</v>
      </c>
      <c r="GV53" s="9">
        <v>0</v>
      </c>
      <c r="GW53" s="9">
        <v>0</v>
      </c>
      <c r="GX53" s="9">
        <v>0</v>
      </c>
      <c r="GY53" s="9">
        <v>0</v>
      </c>
      <c r="GZ53" s="9">
        <v>0</v>
      </c>
      <c r="HA53" s="9">
        <v>0</v>
      </c>
      <c r="HB53" s="9">
        <v>0</v>
      </c>
      <c r="HC53" s="9">
        <v>0</v>
      </c>
      <c r="HD53" s="9">
        <v>0</v>
      </c>
      <c r="HE53" s="9">
        <v>0</v>
      </c>
      <c r="HF53" s="9">
        <v>0</v>
      </c>
      <c r="HG53" s="9">
        <v>0</v>
      </c>
      <c r="HH53" s="9">
        <v>0</v>
      </c>
      <c r="HI53" s="9">
        <v>0</v>
      </c>
      <c r="HJ53" s="9">
        <v>0</v>
      </c>
      <c r="HK53" s="9">
        <v>0</v>
      </c>
      <c r="HL53" s="22">
        <v>0</v>
      </c>
      <c r="HM53" s="22"/>
      <c r="HN53" s="22">
        <v>0</v>
      </c>
      <c r="HO53" s="22">
        <v>0</v>
      </c>
      <c r="HP53" s="9">
        <v>0</v>
      </c>
      <c r="HQ53" s="9">
        <v>0</v>
      </c>
      <c r="HR53" s="9">
        <v>0</v>
      </c>
      <c r="HS53" s="9">
        <v>0</v>
      </c>
      <c r="HT53" s="9">
        <v>0</v>
      </c>
      <c r="HU53" s="9">
        <v>0</v>
      </c>
      <c r="HV53" s="9">
        <v>0</v>
      </c>
      <c r="HW53" s="9">
        <v>0</v>
      </c>
      <c r="HX53" s="9">
        <v>0</v>
      </c>
      <c r="HY53" s="9">
        <v>0</v>
      </c>
      <c r="HZ53" s="9">
        <v>0</v>
      </c>
      <c r="IA53" s="9">
        <v>0</v>
      </c>
      <c r="IB53" s="9">
        <v>0</v>
      </c>
      <c r="IC53" s="9">
        <v>0</v>
      </c>
      <c r="ID53" s="9">
        <v>0</v>
      </c>
      <c r="IE53" s="9">
        <v>0</v>
      </c>
      <c r="IF53" s="22">
        <v>0</v>
      </c>
      <c r="IG53" s="22"/>
      <c r="IH53" s="22">
        <v>0</v>
      </c>
      <c r="II53" s="22">
        <v>0</v>
      </c>
      <c r="IJ53" s="9">
        <v>0</v>
      </c>
      <c r="IK53" s="9">
        <v>0</v>
      </c>
      <c r="IL53" s="9">
        <v>0</v>
      </c>
      <c r="IM53" s="9">
        <v>0</v>
      </c>
      <c r="IN53" s="9">
        <v>0</v>
      </c>
      <c r="IO53" s="9">
        <v>0</v>
      </c>
      <c r="IP53" s="9">
        <v>0</v>
      </c>
      <c r="IQ53" s="9">
        <v>0</v>
      </c>
      <c r="IR53" s="9">
        <v>0</v>
      </c>
      <c r="IS53" s="9">
        <v>0</v>
      </c>
      <c r="IT53" s="9">
        <v>0</v>
      </c>
      <c r="IU53" s="9">
        <v>0</v>
      </c>
      <c r="IV53" s="9">
        <v>0</v>
      </c>
      <c r="IW53" s="9">
        <v>0</v>
      </c>
      <c r="IX53" s="9">
        <v>0</v>
      </c>
      <c r="IY53" s="9">
        <v>0</v>
      </c>
      <c r="IZ53" s="9">
        <v>0</v>
      </c>
      <c r="JA53" s="9">
        <v>0</v>
      </c>
      <c r="JB53" s="9">
        <v>0</v>
      </c>
      <c r="JC53" s="9">
        <v>0</v>
      </c>
      <c r="JD53" s="22">
        <v>0</v>
      </c>
      <c r="JE53" s="22"/>
      <c r="JF53" s="22">
        <v>0</v>
      </c>
      <c r="JG53" s="22">
        <v>0</v>
      </c>
      <c r="JH53" s="9">
        <v>1</v>
      </c>
      <c r="JI53" s="9">
        <v>14468</v>
      </c>
      <c r="JJ53" s="9">
        <v>14468</v>
      </c>
      <c r="JK53" s="9">
        <v>1229.8</v>
      </c>
      <c r="JL53" s="9">
        <v>0</v>
      </c>
      <c r="JM53" s="9">
        <v>0</v>
      </c>
      <c r="JN53" s="9">
        <v>0</v>
      </c>
      <c r="JO53" s="9">
        <v>0</v>
      </c>
      <c r="JP53" s="9">
        <v>0</v>
      </c>
      <c r="JQ53" s="9">
        <v>0</v>
      </c>
      <c r="JR53" s="9">
        <v>0</v>
      </c>
      <c r="JS53" s="9">
        <v>0</v>
      </c>
      <c r="JT53" s="9">
        <v>0</v>
      </c>
      <c r="JU53" s="9">
        <v>0</v>
      </c>
      <c r="JV53" s="9">
        <v>0</v>
      </c>
      <c r="JW53" s="9">
        <v>0</v>
      </c>
      <c r="JX53" s="22">
        <v>1</v>
      </c>
      <c r="JY53" s="22"/>
      <c r="JZ53" s="22">
        <v>14468</v>
      </c>
      <c r="KA53" s="22">
        <v>1229.8</v>
      </c>
      <c r="KB53" s="9">
        <v>0</v>
      </c>
      <c r="KC53" s="9">
        <v>0</v>
      </c>
      <c r="KD53" s="9">
        <v>0</v>
      </c>
      <c r="KE53" s="9">
        <v>0</v>
      </c>
      <c r="KF53" s="9">
        <v>0</v>
      </c>
      <c r="KG53" s="9">
        <v>0</v>
      </c>
      <c r="KH53" s="9">
        <v>0</v>
      </c>
      <c r="KI53" s="9">
        <v>0</v>
      </c>
      <c r="KJ53" s="9">
        <v>0</v>
      </c>
      <c r="KK53" s="9">
        <v>0</v>
      </c>
      <c r="KL53" s="9">
        <v>0</v>
      </c>
      <c r="KM53" s="9">
        <v>0</v>
      </c>
      <c r="KN53" s="9">
        <v>0</v>
      </c>
      <c r="KO53" s="9">
        <v>0</v>
      </c>
      <c r="KP53" s="9">
        <v>0</v>
      </c>
      <c r="KQ53" s="9">
        <v>0</v>
      </c>
      <c r="KR53" s="22">
        <v>0</v>
      </c>
      <c r="KS53" s="22"/>
      <c r="KT53" s="22">
        <v>0</v>
      </c>
      <c r="KU53" s="22">
        <v>0</v>
      </c>
      <c r="KV53" s="22">
        <v>3</v>
      </c>
      <c r="KW53" s="22"/>
      <c r="KX53" s="22">
        <v>43404</v>
      </c>
      <c r="KY53" s="22">
        <v>3689.3</v>
      </c>
    </row>
    <row r="54" spans="1:311" ht="16.95" customHeight="1" x14ac:dyDescent="0.4">
      <c r="A54" s="15"/>
      <c r="B54" s="15"/>
      <c r="C54" s="15" t="s">
        <v>202</v>
      </c>
      <c r="D54" s="16">
        <v>0</v>
      </c>
      <c r="E54" s="16">
        <v>0</v>
      </c>
      <c r="F54" s="16">
        <v>0</v>
      </c>
      <c r="G54" s="16">
        <v>0</v>
      </c>
      <c r="H54" s="23">
        <v>0</v>
      </c>
      <c r="I54" s="23"/>
      <c r="J54" s="23">
        <v>0</v>
      </c>
      <c r="K54" s="23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23">
        <v>0</v>
      </c>
      <c r="AC54" s="23"/>
      <c r="AD54" s="23">
        <v>0</v>
      </c>
      <c r="AE54" s="23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23">
        <v>0</v>
      </c>
      <c r="AW54" s="23"/>
      <c r="AX54" s="23">
        <v>0</v>
      </c>
      <c r="AY54" s="23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23">
        <v>0</v>
      </c>
      <c r="BU54" s="23"/>
      <c r="BV54" s="23">
        <v>0</v>
      </c>
      <c r="BW54" s="23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0</v>
      </c>
      <c r="CN54" s="23">
        <v>0</v>
      </c>
      <c r="CO54" s="23"/>
      <c r="CP54" s="23">
        <v>0</v>
      </c>
      <c r="CQ54" s="23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23">
        <v>0</v>
      </c>
      <c r="DI54" s="23"/>
      <c r="DJ54" s="23">
        <v>0</v>
      </c>
      <c r="DK54" s="23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0</v>
      </c>
      <c r="DT54" s="16">
        <v>0</v>
      </c>
      <c r="DU54" s="16">
        <v>0</v>
      </c>
      <c r="DV54" s="16">
        <v>0</v>
      </c>
      <c r="DW54" s="16">
        <v>0</v>
      </c>
      <c r="DX54" s="16">
        <v>0</v>
      </c>
      <c r="DY54" s="16">
        <v>0</v>
      </c>
      <c r="DZ54" s="16">
        <v>0</v>
      </c>
      <c r="EA54" s="16">
        <v>0</v>
      </c>
      <c r="EB54" s="16">
        <v>1</v>
      </c>
      <c r="EC54" s="16">
        <v>14468</v>
      </c>
      <c r="ED54" s="16">
        <v>14468</v>
      </c>
      <c r="EE54" s="16">
        <v>1229.8</v>
      </c>
      <c r="EF54" s="23">
        <v>1</v>
      </c>
      <c r="EG54" s="23"/>
      <c r="EH54" s="23">
        <v>14468</v>
      </c>
      <c r="EI54" s="23">
        <v>1229.8</v>
      </c>
      <c r="EJ54" s="16">
        <v>0</v>
      </c>
      <c r="EK54" s="16">
        <v>0</v>
      </c>
      <c r="EL54" s="16">
        <v>0</v>
      </c>
      <c r="EM54" s="16">
        <v>0</v>
      </c>
      <c r="EN54" s="16">
        <v>2</v>
      </c>
      <c r="EO54" s="16">
        <v>14468</v>
      </c>
      <c r="EP54" s="16">
        <v>28937</v>
      </c>
      <c r="EQ54" s="16">
        <v>2459.6</v>
      </c>
      <c r="ER54" s="16">
        <v>0</v>
      </c>
      <c r="ES54" s="16">
        <v>0</v>
      </c>
      <c r="ET54" s="16">
        <v>0</v>
      </c>
      <c r="EU54" s="16">
        <v>0</v>
      </c>
      <c r="EV54" s="16">
        <v>0</v>
      </c>
      <c r="EW54" s="16">
        <v>0</v>
      </c>
      <c r="EX54" s="16">
        <v>0</v>
      </c>
      <c r="EY54" s="16">
        <v>0</v>
      </c>
      <c r="EZ54" s="23">
        <v>2</v>
      </c>
      <c r="FA54" s="23"/>
      <c r="FB54" s="23">
        <v>28937</v>
      </c>
      <c r="FC54" s="23">
        <v>2459.6</v>
      </c>
      <c r="FD54" s="16">
        <v>0</v>
      </c>
      <c r="FE54" s="16">
        <v>0</v>
      </c>
      <c r="FF54" s="16">
        <v>0</v>
      </c>
      <c r="FG54" s="16">
        <v>0</v>
      </c>
      <c r="FH54" s="16">
        <v>0</v>
      </c>
      <c r="FI54" s="16">
        <v>0</v>
      </c>
      <c r="FJ54" s="16">
        <v>0</v>
      </c>
      <c r="FK54" s="16">
        <v>0</v>
      </c>
      <c r="FL54" s="16">
        <v>1</v>
      </c>
      <c r="FM54" s="16">
        <v>14468</v>
      </c>
      <c r="FN54" s="16">
        <v>14468</v>
      </c>
      <c r="FO54" s="16">
        <v>1229.8</v>
      </c>
      <c r="FP54" s="16">
        <v>0</v>
      </c>
      <c r="FQ54" s="16">
        <v>0</v>
      </c>
      <c r="FR54" s="16">
        <v>0</v>
      </c>
      <c r="FS54" s="16">
        <v>0</v>
      </c>
      <c r="FT54" s="23">
        <v>1</v>
      </c>
      <c r="FU54" s="23"/>
      <c r="FV54" s="23">
        <v>14468</v>
      </c>
      <c r="FW54" s="23">
        <v>1229.8</v>
      </c>
      <c r="FX54" s="16">
        <v>0</v>
      </c>
      <c r="FY54" s="16">
        <v>0</v>
      </c>
      <c r="FZ54" s="16">
        <v>0</v>
      </c>
      <c r="GA54" s="16">
        <v>0</v>
      </c>
      <c r="GB54" s="16">
        <v>0</v>
      </c>
      <c r="GC54" s="16">
        <v>0</v>
      </c>
      <c r="GD54" s="16">
        <v>0</v>
      </c>
      <c r="GE54" s="16">
        <v>0</v>
      </c>
      <c r="GF54" s="16">
        <v>0</v>
      </c>
      <c r="GG54" s="16">
        <v>0</v>
      </c>
      <c r="GH54" s="16">
        <v>0</v>
      </c>
      <c r="GI54" s="16">
        <v>0</v>
      </c>
      <c r="GJ54" s="16">
        <v>0</v>
      </c>
      <c r="GK54" s="16">
        <v>0</v>
      </c>
      <c r="GL54" s="16">
        <v>0</v>
      </c>
      <c r="GM54" s="16">
        <v>0</v>
      </c>
      <c r="GN54" s="16">
        <v>2</v>
      </c>
      <c r="GO54" s="16">
        <v>14468</v>
      </c>
      <c r="GP54" s="16">
        <v>28937</v>
      </c>
      <c r="GQ54" s="16">
        <v>2459.6</v>
      </c>
      <c r="GR54" s="23">
        <v>2</v>
      </c>
      <c r="GS54" s="23"/>
      <c r="GT54" s="23">
        <v>28937</v>
      </c>
      <c r="GU54" s="23">
        <v>2459.6</v>
      </c>
      <c r="GV54" s="16">
        <v>0</v>
      </c>
      <c r="GW54" s="16">
        <v>0</v>
      </c>
      <c r="GX54" s="16">
        <v>0</v>
      </c>
      <c r="GY54" s="16">
        <v>0</v>
      </c>
      <c r="GZ54" s="16">
        <v>0</v>
      </c>
      <c r="HA54" s="16">
        <v>0</v>
      </c>
      <c r="HB54" s="16">
        <v>0</v>
      </c>
      <c r="HC54" s="16">
        <v>0</v>
      </c>
      <c r="HD54" s="16">
        <v>0</v>
      </c>
      <c r="HE54" s="16">
        <v>0</v>
      </c>
      <c r="HF54" s="16">
        <v>0</v>
      </c>
      <c r="HG54" s="16">
        <v>0</v>
      </c>
      <c r="HH54" s="16">
        <v>0</v>
      </c>
      <c r="HI54" s="16">
        <v>0</v>
      </c>
      <c r="HJ54" s="16">
        <v>0</v>
      </c>
      <c r="HK54" s="16">
        <v>0</v>
      </c>
      <c r="HL54" s="23">
        <v>0</v>
      </c>
      <c r="HM54" s="23"/>
      <c r="HN54" s="23">
        <v>0</v>
      </c>
      <c r="HO54" s="23">
        <v>0</v>
      </c>
      <c r="HP54" s="16">
        <v>2</v>
      </c>
      <c r="HQ54" s="16">
        <v>14468</v>
      </c>
      <c r="HR54" s="16">
        <v>28937</v>
      </c>
      <c r="HS54" s="16">
        <v>2459.6</v>
      </c>
      <c r="HT54" s="16">
        <v>0</v>
      </c>
      <c r="HU54" s="16">
        <v>0</v>
      </c>
      <c r="HV54" s="16">
        <v>0</v>
      </c>
      <c r="HW54" s="16">
        <v>0</v>
      </c>
      <c r="HX54" s="16">
        <v>0</v>
      </c>
      <c r="HY54" s="16">
        <v>0</v>
      </c>
      <c r="HZ54" s="16">
        <v>0</v>
      </c>
      <c r="IA54" s="16">
        <v>0</v>
      </c>
      <c r="IB54" s="16">
        <v>0</v>
      </c>
      <c r="IC54" s="16">
        <v>0</v>
      </c>
      <c r="ID54" s="16">
        <v>0</v>
      </c>
      <c r="IE54" s="16">
        <v>0</v>
      </c>
      <c r="IF54" s="23">
        <v>2</v>
      </c>
      <c r="IG54" s="23"/>
      <c r="IH54" s="23">
        <v>28937</v>
      </c>
      <c r="II54" s="23">
        <v>2459.6</v>
      </c>
      <c r="IJ54" s="16">
        <v>0</v>
      </c>
      <c r="IK54" s="16">
        <v>0</v>
      </c>
      <c r="IL54" s="16">
        <v>0</v>
      </c>
      <c r="IM54" s="16">
        <v>0</v>
      </c>
      <c r="IN54" s="16">
        <v>0</v>
      </c>
      <c r="IO54" s="16">
        <v>0</v>
      </c>
      <c r="IP54" s="16">
        <v>0</v>
      </c>
      <c r="IQ54" s="16">
        <v>0</v>
      </c>
      <c r="IR54" s="16">
        <v>2</v>
      </c>
      <c r="IS54" s="16">
        <v>14468</v>
      </c>
      <c r="IT54" s="16">
        <v>28937</v>
      </c>
      <c r="IU54" s="16">
        <v>2459.6</v>
      </c>
      <c r="IV54" s="16">
        <v>0</v>
      </c>
      <c r="IW54" s="16">
        <v>0</v>
      </c>
      <c r="IX54" s="16">
        <v>0</v>
      </c>
      <c r="IY54" s="16">
        <v>0</v>
      </c>
      <c r="IZ54" s="16">
        <v>0</v>
      </c>
      <c r="JA54" s="16">
        <v>0</v>
      </c>
      <c r="JB54" s="16">
        <v>0</v>
      </c>
      <c r="JC54" s="16">
        <v>0</v>
      </c>
      <c r="JD54" s="23">
        <v>2</v>
      </c>
      <c r="JE54" s="23"/>
      <c r="JF54" s="23">
        <v>28937</v>
      </c>
      <c r="JG54" s="23">
        <v>2459.6</v>
      </c>
      <c r="JH54" s="16">
        <v>0</v>
      </c>
      <c r="JI54" s="16">
        <v>0</v>
      </c>
      <c r="JJ54" s="16">
        <v>0</v>
      </c>
      <c r="JK54" s="16">
        <v>0</v>
      </c>
      <c r="JL54" s="16">
        <v>0</v>
      </c>
      <c r="JM54" s="16">
        <v>0</v>
      </c>
      <c r="JN54" s="16">
        <v>0</v>
      </c>
      <c r="JO54" s="16">
        <v>0</v>
      </c>
      <c r="JP54" s="16">
        <v>0</v>
      </c>
      <c r="JQ54" s="16">
        <v>0</v>
      </c>
      <c r="JR54" s="16">
        <v>0</v>
      </c>
      <c r="JS54" s="16">
        <v>0</v>
      </c>
      <c r="JT54" s="16">
        <v>0</v>
      </c>
      <c r="JU54" s="16">
        <v>0</v>
      </c>
      <c r="JV54" s="16">
        <v>0</v>
      </c>
      <c r="JW54" s="16">
        <v>0</v>
      </c>
      <c r="JX54" s="23">
        <v>0</v>
      </c>
      <c r="JY54" s="23"/>
      <c r="JZ54" s="23">
        <v>0</v>
      </c>
      <c r="KA54" s="23">
        <v>0</v>
      </c>
      <c r="KB54" s="16">
        <v>0</v>
      </c>
      <c r="KC54" s="16">
        <v>0</v>
      </c>
      <c r="KD54" s="16">
        <v>0</v>
      </c>
      <c r="KE54" s="16">
        <v>0</v>
      </c>
      <c r="KF54" s="16">
        <v>0</v>
      </c>
      <c r="KG54" s="16">
        <v>0</v>
      </c>
      <c r="KH54" s="16">
        <v>0</v>
      </c>
      <c r="KI54" s="16">
        <v>0</v>
      </c>
      <c r="KJ54" s="16">
        <v>0</v>
      </c>
      <c r="KK54" s="16">
        <v>0</v>
      </c>
      <c r="KL54" s="16">
        <v>0</v>
      </c>
      <c r="KM54" s="16">
        <v>0</v>
      </c>
      <c r="KN54" s="16">
        <v>2</v>
      </c>
      <c r="KO54" s="16">
        <v>14468</v>
      </c>
      <c r="KP54" s="16">
        <v>28937</v>
      </c>
      <c r="KQ54" s="16">
        <v>2459.6</v>
      </c>
      <c r="KR54" s="23">
        <v>2</v>
      </c>
      <c r="KS54" s="23"/>
      <c r="KT54" s="23">
        <v>28937</v>
      </c>
      <c r="KU54" s="23">
        <v>2459.6</v>
      </c>
      <c r="KV54" s="23">
        <v>12</v>
      </c>
      <c r="KW54" s="23"/>
      <c r="KX54" s="23">
        <v>173621</v>
      </c>
      <c r="KY54" s="23">
        <v>14757.8</v>
      </c>
    </row>
    <row r="55" spans="1:311" ht="16.95" customHeight="1" x14ac:dyDescent="0.4">
      <c r="A55" s="11"/>
      <c r="B55" s="11"/>
      <c r="C55" s="11" t="s">
        <v>310</v>
      </c>
      <c r="D55" s="9">
        <v>0</v>
      </c>
      <c r="E55" s="9">
        <v>0</v>
      </c>
      <c r="F55" s="9">
        <v>0</v>
      </c>
      <c r="G55" s="9">
        <v>0</v>
      </c>
      <c r="H55" s="22">
        <v>0</v>
      </c>
      <c r="I55" s="22"/>
      <c r="J55" s="22">
        <v>0</v>
      </c>
      <c r="K55" s="22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22">
        <v>0</v>
      </c>
      <c r="AC55" s="22"/>
      <c r="AD55" s="22">
        <v>0</v>
      </c>
      <c r="AE55" s="22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22">
        <v>0</v>
      </c>
      <c r="AW55" s="22"/>
      <c r="AX55" s="22">
        <v>0</v>
      </c>
      <c r="AY55" s="22">
        <v>0</v>
      </c>
      <c r="AZ55" s="9">
        <v>0</v>
      </c>
      <c r="BA55" s="9">
        <v>0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0</v>
      </c>
      <c r="BP55" s="9">
        <v>0</v>
      </c>
      <c r="BQ55" s="9">
        <v>0</v>
      </c>
      <c r="BR55" s="9">
        <v>0</v>
      </c>
      <c r="BS55" s="9">
        <v>0</v>
      </c>
      <c r="BT55" s="22">
        <v>0</v>
      </c>
      <c r="BU55" s="22"/>
      <c r="BV55" s="22">
        <v>0</v>
      </c>
      <c r="BW55" s="22">
        <v>0</v>
      </c>
      <c r="BX55" s="9">
        <v>0</v>
      </c>
      <c r="BY55" s="9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22">
        <v>0</v>
      </c>
      <c r="CO55" s="22"/>
      <c r="CP55" s="22">
        <v>0</v>
      </c>
      <c r="CQ55" s="22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9">
        <v>0</v>
      </c>
      <c r="DE55" s="9">
        <v>0</v>
      </c>
      <c r="DF55" s="9">
        <v>0</v>
      </c>
      <c r="DG55" s="9">
        <v>0</v>
      </c>
      <c r="DH55" s="22">
        <v>0</v>
      </c>
      <c r="DI55" s="22"/>
      <c r="DJ55" s="22">
        <v>0</v>
      </c>
      <c r="DK55" s="22">
        <v>0</v>
      </c>
      <c r="DL55" s="9">
        <v>0</v>
      </c>
      <c r="DM55" s="9">
        <v>0</v>
      </c>
      <c r="DN55" s="9">
        <v>0</v>
      </c>
      <c r="DO55" s="9">
        <v>0</v>
      </c>
      <c r="DP55" s="9">
        <v>0</v>
      </c>
      <c r="DQ55" s="9">
        <v>0</v>
      </c>
      <c r="DR55" s="9">
        <v>0</v>
      </c>
      <c r="DS55" s="9">
        <v>0</v>
      </c>
      <c r="DT55" s="9">
        <v>0</v>
      </c>
      <c r="DU55" s="9">
        <v>0</v>
      </c>
      <c r="DV55" s="9">
        <v>0</v>
      </c>
      <c r="DW55" s="9">
        <v>0</v>
      </c>
      <c r="DX55" s="9">
        <v>0</v>
      </c>
      <c r="DY55" s="9">
        <v>0</v>
      </c>
      <c r="DZ55" s="9">
        <v>0</v>
      </c>
      <c r="EA55" s="9">
        <v>0</v>
      </c>
      <c r="EB55" s="9">
        <v>0</v>
      </c>
      <c r="EC55" s="9">
        <v>0</v>
      </c>
      <c r="ED55" s="9">
        <v>0</v>
      </c>
      <c r="EE55" s="9">
        <v>0</v>
      </c>
      <c r="EF55" s="22">
        <v>0</v>
      </c>
      <c r="EG55" s="22"/>
      <c r="EH55" s="22">
        <v>0</v>
      </c>
      <c r="EI55" s="22">
        <v>0</v>
      </c>
      <c r="EJ55" s="9">
        <v>0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22">
        <v>0</v>
      </c>
      <c r="FA55" s="22"/>
      <c r="FB55" s="22">
        <v>0</v>
      </c>
      <c r="FC55" s="22">
        <v>0</v>
      </c>
      <c r="FD55" s="9">
        <v>0</v>
      </c>
      <c r="FE55" s="9">
        <v>0</v>
      </c>
      <c r="FF55" s="9">
        <v>0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9">
        <v>0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9">
        <v>0</v>
      </c>
      <c r="FS55" s="9">
        <v>0</v>
      </c>
      <c r="FT55" s="22">
        <v>0</v>
      </c>
      <c r="FU55" s="22"/>
      <c r="FV55" s="22">
        <v>0</v>
      </c>
      <c r="FW55" s="22">
        <v>0</v>
      </c>
      <c r="FX55" s="9">
        <v>0</v>
      </c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9">
        <v>0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>
        <v>0</v>
      </c>
      <c r="GO55" s="9">
        <v>0</v>
      </c>
      <c r="GP55" s="9">
        <v>0</v>
      </c>
      <c r="GQ55" s="9">
        <v>0</v>
      </c>
      <c r="GR55" s="22">
        <v>0</v>
      </c>
      <c r="GS55" s="22"/>
      <c r="GT55" s="22">
        <v>0</v>
      </c>
      <c r="GU55" s="22">
        <v>0</v>
      </c>
      <c r="GV55" s="9">
        <v>0</v>
      </c>
      <c r="GW55" s="9">
        <v>0</v>
      </c>
      <c r="GX55" s="9">
        <v>0</v>
      </c>
      <c r="GY55" s="9">
        <v>0</v>
      </c>
      <c r="GZ55" s="9">
        <v>0</v>
      </c>
      <c r="HA55" s="9">
        <v>0</v>
      </c>
      <c r="HB55" s="9">
        <v>0</v>
      </c>
      <c r="HC55" s="9">
        <v>0</v>
      </c>
      <c r="HD55" s="9">
        <v>0</v>
      </c>
      <c r="HE55" s="9">
        <v>0</v>
      </c>
      <c r="HF55" s="9">
        <v>0</v>
      </c>
      <c r="HG55" s="9">
        <v>0</v>
      </c>
      <c r="HH55" s="9">
        <v>0</v>
      </c>
      <c r="HI55" s="9">
        <v>0</v>
      </c>
      <c r="HJ55" s="9">
        <v>0</v>
      </c>
      <c r="HK55" s="9">
        <v>0</v>
      </c>
      <c r="HL55" s="22">
        <v>0</v>
      </c>
      <c r="HM55" s="22"/>
      <c r="HN55" s="22">
        <v>0</v>
      </c>
      <c r="HO55" s="22">
        <v>0</v>
      </c>
      <c r="HP55" s="9">
        <v>0</v>
      </c>
      <c r="HQ55" s="9">
        <v>0</v>
      </c>
      <c r="HR55" s="9">
        <v>0</v>
      </c>
      <c r="HS55" s="9">
        <v>0</v>
      </c>
      <c r="HT55" s="9">
        <v>0</v>
      </c>
      <c r="HU55" s="9">
        <v>0</v>
      </c>
      <c r="HV55" s="9">
        <v>0</v>
      </c>
      <c r="HW55" s="9">
        <v>0</v>
      </c>
      <c r="HX55" s="9">
        <v>0</v>
      </c>
      <c r="HY55" s="9">
        <v>0</v>
      </c>
      <c r="HZ55" s="9">
        <v>0</v>
      </c>
      <c r="IA55" s="9">
        <v>0</v>
      </c>
      <c r="IB55" s="9">
        <v>0</v>
      </c>
      <c r="IC55" s="9">
        <v>0</v>
      </c>
      <c r="ID55" s="9">
        <v>0</v>
      </c>
      <c r="IE55" s="9">
        <v>0</v>
      </c>
      <c r="IF55" s="22">
        <v>0</v>
      </c>
      <c r="IG55" s="22"/>
      <c r="IH55" s="22">
        <v>0</v>
      </c>
      <c r="II55" s="22">
        <v>0</v>
      </c>
      <c r="IJ55" s="9">
        <v>0</v>
      </c>
      <c r="IK55" s="9">
        <v>0</v>
      </c>
      <c r="IL55" s="9">
        <v>0</v>
      </c>
      <c r="IM55" s="9">
        <v>0</v>
      </c>
      <c r="IN55" s="9">
        <v>0</v>
      </c>
      <c r="IO55" s="9">
        <v>0</v>
      </c>
      <c r="IP55" s="9">
        <v>0</v>
      </c>
      <c r="IQ55" s="9">
        <v>0</v>
      </c>
      <c r="IR55" s="9">
        <v>0</v>
      </c>
      <c r="IS55" s="9">
        <v>0</v>
      </c>
      <c r="IT55" s="9">
        <v>0</v>
      </c>
      <c r="IU55" s="9">
        <v>0</v>
      </c>
      <c r="IV55" s="9">
        <v>0</v>
      </c>
      <c r="IW55" s="9">
        <v>0</v>
      </c>
      <c r="IX55" s="9">
        <v>0</v>
      </c>
      <c r="IY55" s="9">
        <v>0</v>
      </c>
      <c r="IZ55" s="9">
        <v>0</v>
      </c>
      <c r="JA55" s="9">
        <v>0</v>
      </c>
      <c r="JB55" s="9">
        <v>0</v>
      </c>
      <c r="JC55" s="9">
        <v>0</v>
      </c>
      <c r="JD55" s="22">
        <v>0</v>
      </c>
      <c r="JE55" s="22"/>
      <c r="JF55" s="22">
        <v>0</v>
      </c>
      <c r="JG55" s="22">
        <v>0</v>
      </c>
      <c r="JH55" s="9">
        <v>1</v>
      </c>
      <c r="JI55" s="9">
        <v>6313</v>
      </c>
      <c r="JJ55" s="9">
        <v>6313</v>
      </c>
      <c r="JK55" s="9">
        <v>536.6</v>
      </c>
      <c r="JL55" s="9">
        <v>0</v>
      </c>
      <c r="JM55" s="9">
        <v>0</v>
      </c>
      <c r="JN55" s="9">
        <v>0</v>
      </c>
      <c r="JO55" s="9">
        <v>0</v>
      </c>
      <c r="JP55" s="9">
        <v>0</v>
      </c>
      <c r="JQ55" s="9">
        <v>0</v>
      </c>
      <c r="JR55" s="9">
        <v>0</v>
      </c>
      <c r="JS55" s="9">
        <v>0</v>
      </c>
      <c r="JT55" s="9">
        <v>0</v>
      </c>
      <c r="JU55" s="9">
        <v>0</v>
      </c>
      <c r="JV55" s="9">
        <v>0</v>
      </c>
      <c r="JW55" s="9">
        <v>0</v>
      </c>
      <c r="JX55" s="22">
        <v>1</v>
      </c>
      <c r="JY55" s="22"/>
      <c r="JZ55" s="22">
        <v>6313</v>
      </c>
      <c r="KA55" s="22">
        <v>536.6</v>
      </c>
      <c r="KB55" s="9">
        <v>0</v>
      </c>
      <c r="KC55" s="9">
        <v>0</v>
      </c>
      <c r="KD55" s="9">
        <v>0</v>
      </c>
      <c r="KE55" s="9">
        <v>0</v>
      </c>
      <c r="KF55" s="9">
        <v>0</v>
      </c>
      <c r="KG55" s="9">
        <v>0</v>
      </c>
      <c r="KH55" s="9">
        <v>0</v>
      </c>
      <c r="KI55" s="9">
        <v>0</v>
      </c>
      <c r="KJ55" s="9">
        <v>0</v>
      </c>
      <c r="KK55" s="9">
        <v>0</v>
      </c>
      <c r="KL55" s="9">
        <v>0</v>
      </c>
      <c r="KM55" s="9">
        <v>0</v>
      </c>
      <c r="KN55" s="9">
        <v>0</v>
      </c>
      <c r="KO55" s="9">
        <v>0</v>
      </c>
      <c r="KP55" s="9">
        <v>0</v>
      </c>
      <c r="KQ55" s="9">
        <v>0</v>
      </c>
      <c r="KR55" s="22">
        <v>0</v>
      </c>
      <c r="KS55" s="22"/>
      <c r="KT55" s="22">
        <v>0</v>
      </c>
      <c r="KU55" s="22">
        <v>0</v>
      </c>
      <c r="KV55" s="22">
        <v>1</v>
      </c>
      <c r="KW55" s="22"/>
      <c r="KX55" s="22">
        <v>6313</v>
      </c>
      <c r="KY55" s="22">
        <v>536.6</v>
      </c>
    </row>
    <row r="56" spans="1:311" ht="16.95" customHeight="1" x14ac:dyDescent="0.4">
      <c r="A56" s="15"/>
      <c r="B56" s="15"/>
      <c r="C56" s="15" t="s">
        <v>324</v>
      </c>
      <c r="D56" s="16">
        <v>0</v>
      </c>
      <c r="E56" s="16">
        <v>0</v>
      </c>
      <c r="F56" s="16">
        <v>0</v>
      </c>
      <c r="G56" s="16">
        <v>0</v>
      </c>
      <c r="H56" s="23">
        <v>0</v>
      </c>
      <c r="I56" s="23"/>
      <c r="J56" s="23">
        <v>0</v>
      </c>
      <c r="K56" s="23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23">
        <v>0</v>
      </c>
      <c r="AC56" s="23"/>
      <c r="AD56" s="23">
        <v>0</v>
      </c>
      <c r="AE56" s="23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23">
        <v>0</v>
      </c>
      <c r="AW56" s="23"/>
      <c r="AX56" s="23">
        <v>0</v>
      </c>
      <c r="AY56" s="23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23">
        <v>0</v>
      </c>
      <c r="BU56" s="23"/>
      <c r="BV56" s="23">
        <v>0</v>
      </c>
      <c r="BW56" s="23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23">
        <v>0</v>
      </c>
      <c r="CO56" s="23"/>
      <c r="CP56" s="23">
        <v>0</v>
      </c>
      <c r="CQ56" s="23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23">
        <v>0</v>
      </c>
      <c r="DI56" s="23"/>
      <c r="DJ56" s="23">
        <v>0</v>
      </c>
      <c r="DK56" s="23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0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23">
        <v>0</v>
      </c>
      <c r="EG56" s="23"/>
      <c r="EH56" s="23">
        <v>0</v>
      </c>
      <c r="EI56" s="23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0</v>
      </c>
      <c r="EU56" s="16">
        <v>0</v>
      </c>
      <c r="EV56" s="16">
        <v>0</v>
      </c>
      <c r="EW56" s="16">
        <v>0</v>
      </c>
      <c r="EX56" s="16">
        <v>0</v>
      </c>
      <c r="EY56" s="16">
        <v>0</v>
      </c>
      <c r="EZ56" s="23">
        <v>0</v>
      </c>
      <c r="FA56" s="23"/>
      <c r="FB56" s="23">
        <v>0</v>
      </c>
      <c r="FC56" s="23">
        <v>0</v>
      </c>
      <c r="FD56" s="16">
        <v>0</v>
      </c>
      <c r="FE56" s="16">
        <v>0</v>
      </c>
      <c r="FF56" s="16">
        <v>0</v>
      </c>
      <c r="FG56" s="16">
        <v>0</v>
      </c>
      <c r="FH56" s="16">
        <v>0</v>
      </c>
      <c r="FI56" s="16">
        <v>0</v>
      </c>
      <c r="FJ56" s="16">
        <v>0</v>
      </c>
      <c r="FK56" s="16">
        <v>0</v>
      </c>
      <c r="FL56" s="16">
        <v>0</v>
      </c>
      <c r="FM56" s="16">
        <v>0</v>
      </c>
      <c r="FN56" s="16">
        <v>0</v>
      </c>
      <c r="FO56" s="16">
        <v>0</v>
      </c>
      <c r="FP56" s="16">
        <v>0</v>
      </c>
      <c r="FQ56" s="16">
        <v>0</v>
      </c>
      <c r="FR56" s="16">
        <v>0</v>
      </c>
      <c r="FS56" s="16">
        <v>0</v>
      </c>
      <c r="FT56" s="23">
        <v>0</v>
      </c>
      <c r="FU56" s="23"/>
      <c r="FV56" s="23">
        <v>0</v>
      </c>
      <c r="FW56" s="23">
        <v>0</v>
      </c>
      <c r="FX56" s="16">
        <v>0</v>
      </c>
      <c r="FY56" s="16">
        <v>0</v>
      </c>
      <c r="FZ56" s="16">
        <v>0</v>
      </c>
      <c r="GA56" s="16">
        <v>0</v>
      </c>
      <c r="GB56" s="16">
        <v>0</v>
      </c>
      <c r="GC56" s="16">
        <v>0</v>
      </c>
      <c r="GD56" s="16">
        <v>0</v>
      </c>
      <c r="GE56" s="16">
        <v>0</v>
      </c>
      <c r="GF56" s="16">
        <v>0</v>
      </c>
      <c r="GG56" s="16">
        <v>0</v>
      </c>
      <c r="GH56" s="16">
        <v>0</v>
      </c>
      <c r="GI56" s="16">
        <v>0</v>
      </c>
      <c r="GJ56" s="16">
        <v>0</v>
      </c>
      <c r="GK56" s="16">
        <v>0</v>
      </c>
      <c r="GL56" s="16">
        <v>0</v>
      </c>
      <c r="GM56" s="16">
        <v>0</v>
      </c>
      <c r="GN56" s="16">
        <v>0</v>
      </c>
      <c r="GO56" s="16">
        <v>0</v>
      </c>
      <c r="GP56" s="16">
        <v>0</v>
      </c>
      <c r="GQ56" s="16">
        <v>0</v>
      </c>
      <c r="GR56" s="23">
        <v>0</v>
      </c>
      <c r="GS56" s="23"/>
      <c r="GT56" s="23">
        <v>0</v>
      </c>
      <c r="GU56" s="23">
        <v>0</v>
      </c>
      <c r="GV56" s="16">
        <v>0</v>
      </c>
      <c r="GW56" s="16">
        <v>0</v>
      </c>
      <c r="GX56" s="16">
        <v>0</v>
      </c>
      <c r="GY56" s="16">
        <v>0</v>
      </c>
      <c r="GZ56" s="16">
        <v>0</v>
      </c>
      <c r="HA56" s="16">
        <v>0</v>
      </c>
      <c r="HB56" s="16">
        <v>0</v>
      </c>
      <c r="HC56" s="16">
        <v>0</v>
      </c>
      <c r="HD56" s="16">
        <v>0</v>
      </c>
      <c r="HE56" s="16">
        <v>0</v>
      </c>
      <c r="HF56" s="16">
        <v>0</v>
      </c>
      <c r="HG56" s="16">
        <v>0</v>
      </c>
      <c r="HH56" s="16">
        <v>0</v>
      </c>
      <c r="HI56" s="16">
        <v>0</v>
      </c>
      <c r="HJ56" s="16">
        <v>0</v>
      </c>
      <c r="HK56" s="16">
        <v>0</v>
      </c>
      <c r="HL56" s="23">
        <v>0</v>
      </c>
      <c r="HM56" s="23"/>
      <c r="HN56" s="23">
        <v>0</v>
      </c>
      <c r="HO56" s="23">
        <v>0</v>
      </c>
      <c r="HP56" s="16">
        <v>0</v>
      </c>
      <c r="HQ56" s="16">
        <v>0</v>
      </c>
      <c r="HR56" s="16">
        <v>0</v>
      </c>
      <c r="HS56" s="16">
        <v>0</v>
      </c>
      <c r="HT56" s="16">
        <v>0</v>
      </c>
      <c r="HU56" s="16">
        <v>0</v>
      </c>
      <c r="HV56" s="16">
        <v>0</v>
      </c>
      <c r="HW56" s="16">
        <v>0</v>
      </c>
      <c r="HX56" s="16">
        <v>0</v>
      </c>
      <c r="HY56" s="16">
        <v>0</v>
      </c>
      <c r="HZ56" s="16">
        <v>0</v>
      </c>
      <c r="IA56" s="16">
        <v>0</v>
      </c>
      <c r="IB56" s="16">
        <v>0</v>
      </c>
      <c r="IC56" s="16">
        <v>0</v>
      </c>
      <c r="ID56" s="16">
        <v>0</v>
      </c>
      <c r="IE56" s="16">
        <v>0</v>
      </c>
      <c r="IF56" s="23">
        <v>0</v>
      </c>
      <c r="IG56" s="23"/>
      <c r="IH56" s="23">
        <v>0</v>
      </c>
      <c r="II56" s="23">
        <v>0</v>
      </c>
      <c r="IJ56" s="16">
        <v>0</v>
      </c>
      <c r="IK56" s="16">
        <v>0</v>
      </c>
      <c r="IL56" s="16">
        <v>0</v>
      </c>
      <c r="IM56" s="16">
        <v>0</v>
      </c>
      <c r="IN56" s="16">
        <v>0</v>
      </c>
      <c r="IO56" s="16">
        <v>0</v>
      </c>
      <c r="IP56" s="16">
        <v>0</v>
      </c>
      <c r="IQ56" s="16">
        <v>0</v>
      </c>
      <c r="IR56" s="16">
        <v>0</v>
      </c>
      <c r="IS56" s="16">
        <v>0</v>
      </c>
      <c r="IT56" s="16">
        <v>0</v>
      </c>
      <c r="IU56" s="16">
        <v>0</v>
      </c>
      <c r="IV56" s="16">
        <v>0</v>
      </c>
      <c r="IW56" s="16">
        <v>0</v>
      </c>
      <c r="IX56" s="16">
        <v>0</v>
      </c>
      <c r="IY56" s="16">
        <v>0</v>
      </c>
      <c r="IZ56" s="16">
        <v>0</v>
      </c>
      <c r="JA56" s="16">
        <v>0</v>
      </c>
      <c r="JB56" s="16">
        <v>0</v>
      </c>
      <c r="JC56" s="16">
        <v>0</v>
      </c>
      <c r="JD56" s="23">
        <v>0</v>
      </c>
      <c r="JE56" s="23"/>
      <c r="JF56" s="23">
        <v>0</v>
      </c>
      <c r="JG56" s="23">
        <v>0</v>
      </c>
      <c r="JH56" s="16">
        <v>0</v>
      </c>
      <c r="JI56" s="16">
        <v>0</v>
      </c>
      <c r="JJ56" s="16">
        <v>0</v>
      </c>
      <c r="JK56" s="16">
        <v>0</v>
      </c>
      <c r="JL56" s="16">
        <v>0</v>
      </c>
      <c r="JM56" s="16">
        <v>0</v>
      </c>
      <c r="JN56" s="16">
        <v>0</v>
      </c>
      <c r="JO56" s="16">
        <v>0</v>
      </c>
      <c r="JP56" s="16">
        <v>0</v>
      </c>
      <c r="JQ56" s="16">
        <v>0</v>
      </c>
      <c r="JR56" s="16">
        <v>0</v>
      </c>
      <c r="JS56" s="16">
        <v>0</v>
      </c>
      <c r="JT56" s="16">
        <v>0</v>
      </c>
      <c r="JU56" s="16">
        <v>0</v>
      </c>
      <c r="JV56" s="16">
        <v>0</v>
      </c>
      <c r="JW56" s="16">
        <v>0</v>
      </c>
      <c r="JX56" s="23">
        <v>0</v>
      </c>
      <c r="JY56" s="23"/>
      <c r="JZ56" s="23">
        <v>0</v>
      </c>
      <c r="KA56" s="23">
        <v>0</v>
      </c>
      <c r="KB56" s="16">
        <v>2</v>
      </c>
      <c r="KC56" s="16">
        <v>6397</v>
      </c>
      <c r="KD56" s="16">
        <v>12794</v>
      </c>
      <c r="KE56" s="16">
        <v>1087.5</v>
      </c>
      <c r="KF56" s="16">
        <v>2</v>
      </c>
      <c r="KG56" s="16">
        <v>6624</v>
      </c>
      <c r="KH56" s="16">
        <v>13248</v>
      </c>
      <c r="KI56" s="16">
        <v>1126.0999999999999</v>
      </c>
      <c r="KJ56" s="16">
        <v>0</v>
      </c>
      <c r="KK56" s="16">
        <v>0</v>
      </c>
      <c r="KL56" s="16">
        <v>0</v>
      </c>
      <c r="KM56" s="16">
        <v>0</v>
      </c>
      <c r="KN56" s="16">
        <v>0</v>
      </c>
      <c r="KO56" s="16">
        <v>0</v>
      </c>
      <c r="KP56" s="16">
        <v>0</v>
      </c>
      <c r="KQ56" s="16">
        <v>0</v>
      </c>
      <c r="KR56" s="23">
        <v>4</v>
      </c>
      <c r="KS56" s="23"/>
      <c r="KT56" s="23">
        <v>26042</v>
      </c>
      <c r="KU56" s="23">
        <v>2213.6</v>
      </c>
      <c r="KV56" s="23">
        <v>4</v>
      </c>
      <c r="KW56" s="23"/>
      <c r="KX56" s="23">
        <v>26042</v>
      </c>
      <c r="KY56" s="23">
        <v>2213.6</v>
      </c>
    </row>
    <row r="57" spans="1:311" ht="16.95" customHeight="1" x14ac:dyDescent="0.4">
      <c r="A57" s="7" t="s">
        <v>65</v>
      </c>
      <c r="B57" s="7" t="s">
        <v>395</v>
      </c>
      <c r="C57" s="7"/>
      <c r="D57" s="8">
        <v>0</v>
      </c>
      <c r="E57" s="8">
        <v>0</v>
      </c>
      <c r="F57" s="8">
        <v>0</v>
      </c>
      <c r="G57" s="8">
        <v>0</v>
      </c>
      <c r="H57" s="20">
        <v>0</v>
      </c>
      <c r="I57" s="20">
        <v>0</v>
      </c>
      <c r="J57" s="20">
        <v>0</v>
      </c>
      <c r="K57" s="20">
        <v>0</v>
      </c>
      <c r="L57" s="8">
        <v>1</v>
      </c>
      <c r="M57" s="8">
        <v>0</v>
      </c>
      <c r="N57" s="8">
        <v>10933</v>
      </c>
      <c r="O57" s="8">
        <v>929.3</v>
      </c>
      <c r="P57" s="8">
        <v>2</v>
      </c>
      <c r="Q57" s="8">
        <v>0</v>
      </c>
      <c r="R57" s="8">
        <v>29584</v>
      </c>
      <c r="S57" s="8">
        <v>2514.6</v>
      </c>
      <c r="T57" s="8">
        <v>1</v>
      </c>
      <c r="U57" s="8">
        <v>0</v>
      </c>
      <c r="V57" s="8">
        <v>10933</v>
      </c>
      <c r="W57" s="8">
        <v>929.3</v>
      </c>
      <c r="X57" s="8">
        <v>0</v>
      </c>
      <c r="Y57" s="8">
        <v>0</v>
      </c>
      <c r="Z57" s="8">
        <v>0</v>
      </c>
      <c r="AA57" s="8">
        <v>0</v>
      </c>
      <c r="AB57" s="20">
        <v>4</v>
      </c>
      <c r="AC57" s="20">
        <v>0</v>
      </c>
      <c r="AD57" s="20">
        <v>51450</v>
      </c>
      <c r="AE57" s="20">
        <v>4373.3</v>
      </c>
      <c r="AF57" s="8">
        <v>1</v>
      </c>
      <c r="AG57" s="8">
        <v>0</v>
      </c>
      <c r="AH57" s="8">
        <v>18651</v>
      </c>
      <c r="AI57" s="8">
        <v>1585.3</v>
      </c>
      <c r="AJ57" s="8">
        <v>2</v>
      </c>
      <c r="AK57" s="8">
        <v>0</v>
      </c>
      <c r="AL57" s="8">
        <v>29713</v>
      </c>
      <c r="AM57" s="8">
        <v>2525.6</v>
      </c>
      <c r="AN57" s="8">
        <v>1</v>
      </c>
      <c r="AO57" s="8">
        <v>0</v>
      </c>
      <c r="AP57" s="8">
        <v>11062</v>
      </c>
      <c r="AQ57" s="8">
        <v>940.3</v>
      </c>
      <c r="AR57" s="8">
        <v>1</v>
      </c>
      <c r="AS57" s="8">
        <v>0</v>
      </c>
      <c r="AT57" s="8">
        <v>11062</v>
      </c>
      <c r="AU57" s="8">
        <v>940.3</v>
      </c>
      <c r="AV57" s="20">
        <v>5</v>
      </c>
      <c r="AW57" s="20">
        <v>0</v>
      </c>
      <c r="AX57" s="20">
        <v>70488</v>
      </c>
      <c r="AY57" s="20">
        <v>5991.5</v>
      </c>
      <c r="AZ57" s="8">
        <v>1</v>
      </c>
      <c r="BA57" s="8">
        <v>0</v>
      </c>
      <c r="BB57" s="8">
        <v>11062</v>
      </c>
      <c r="BC57" s="8">
        <v>940.3</v>
      </c>
      <c r="BD57" s="8">
        <v>1</v>
      </c>
      <c r="BE57" s="8">
        <v>0</v>
      </c>
      <c r="BF57" s="8">
        <v>11062</v>
      </c>
      <c r="BG57" s="8">
        <v>940.3</v>
      </c>
      <c r="BH57" s="8">
        <v>0</v>
      </c>
      <c r="BI57" s="8">
        <v>0</v>
      </c>
      <c r="BJ57" s="8">
        <v>0</v>
      </c>
      <c r="BK57" s="8">
        <v>0</v>
      </c>
      <c r="BL57" s="8">
        <v>1</v>
      </c>
      <c r="BM57" s="8">
        <v>0</v>
      </c>
      <c r="BN57" s="8">
        <v>11311</v>
      </c>
      <c r="BO57" s="8">
        <v>961.4</v>
      </c>
      <c r="BP57" s="8">
        <v>2</v>
      </c>
      <c r="BQ57" s="8">
        <v>0</v>
      </c>
      <c r="BR57" s="8">
        <v>20518</v>
      </c>
      <c r="BS57" s="8">
        <v>1744</v>
      </c>
      <c r="BT57" s="20">
        <v>5</v>
      </c>
      <c r="BU57" s="20">
        <v>0</v>
      </c>
      <c r="BV57" s="20">
        <v>53953</v>
      </c>
      <c r="BW57" s="20">
        <v>4586</v>
      </c>
      <c r="BX57" s="8">
        <v>2</v>
      </c>
      <c r="BY57" s="8">
        <v>0</v>
      </c>
      <c r="BZ57" s="8">
        <v>30383</v>
      </c>
      <c r="CA57" s="8">
        <v>2582.6</v>
      </c>
      <c r="CB57" s="8">
        <v>0</v>
      </c>
      <c r="CC57" s="8">
        <v>0</v>
      </c>
      <c r="CD57" s="8">
        <v>0</v>
      </c>
      <c r="CE57" s="8">
        <v>0</v>
      </c>
      <c r="CF57" s="8">
        <v>2</v>
      </c>
      <c r="CG57" s="8">
        <v>0</v>
      </c>
      <c r="CH57" s="8">
        <v>30383</v>
      </c>
      <c r="CI57" s="8">
        <v>2582.6</v>
      </c>
      <c r="CJ57" s="8">
        <v>1</v>
      </c>
      <c r="CK57" s="8">
        <v>0</v>
      </c>
      <c r="CL57" s="8">
        <v>11311</v>
      </c>
      <c r="CM57" s="8">
        <v>961.4</v>
      </c>
      <c r="CN57" s="20">
        <v>5</v>
      </c>
      <c r="CO57" s="20">
        <v>0</v>
      </c>
      <c r="CP57" s="20">
        <v>72077</v>
      </c>
      <c r="CQ57" s="20">
        <v>6126.5</v>
      </c>
      <c r="CR57" s="8">
        <v>1</v>
      </c>
      <c r="CS57" s="8">
        <v>0</v>
      </c>
      <c r="CT57" s="8">
        <v>11311</v>
      </c>
      <c r="CU57" s="8">
        <v>961.4</v>
      </c>
      <c r="CV57" s="8">
        <v>2</v>
      </c>
      <c r="CW57" s="8">
        <v>0</v>
      </c>
      <c r="CX57" s="8">
        <v>29067</v>
      </c>
      <c r="CY57" s="8">
        <v>2470.6999999999998</v>
      </c>
      <c r="CZ57" s="8">
        <v>1</v>
      </c>
      <c r="DA57" s="8">
        <v>0</v>
      </c>
      <c r="DB57" s="8">
        <v>17756</v>
      </c>
      <c r="DC57" s="8">
        <v>1509.3</v>
      </c>
      <c r="DD57" s="8">
        <v>1</v>
      </c>
      <c r="DE57" s="8">
        <v>0</v>
      </c>
      <c r="DF57" s="8">
        <v>11311</v>
      </c>
      <c r="DG57" s="8">
        <v>961.4</v>
      </c>
      <c r="DH57" s="20">
        <v>5</v>
      </c>
      <c r="DI57" s="20">
        <v>0</v>
      </c>
      <c r="DJ57" s="20">
        <v>69445</v>
      </c>
      <c r="DK57" s="20">
        <v>5902.8</v>
      </c>
      <c r="DL57" s="8">
        <v>2</v>
      </c>
      <c r="DM57" s="8">
        <v>0</v>
      </c>
      <c r="DN57" s="8">
        <v>30383</v>
      </c>
      <c r="DO57" s="8">
        <v>2582.6</v>
      </c>
      <c r="DP57" s="8">
        <v>1</v>
      </c>
      <c r="DQ57" s="8">
        <v>0</v>
      </c>
      <c r="DR57" s="8">
        <v>11311</v>
      </c>
      <c r="DS57" s="8">
        <v>961.4</v>
      </c>
      <c r="DT57" s="8">
        <v>3</v>
      </c>
      <c r="DU57" s="8">
        <v>0</v>
      </c>
      <c r="DV57" s="8">
        <v>39590</v>
      </c>
      <c r="DW57" s="8">
        <v>3365.2</v>
      </c>
      <c r="DX57" s="8">
        <v>2</v>
      </c>
      <c r="DY57" s="8">
        <v>0</v>
      </c>
      <c r="DZ57" s="8">
        <v>30383</v>
      </c>
      <c r="EA57" s="8">
        <v>2582.6</v>
      </c>
      <c r="EB57" s="8">
        <v>1</v>
      </c>
      <c r="EC57" s="8">
        <v>0</v>
      </c>
      <c r="ED57" s="8">
        <v>11311</v>
      </c>
      <c r="EE57" s="8">
        <v>961.4</v>
      </c>
      <c r="EF57" s="20">
        <v>9</v>
      </c>
      <c r="EG57" s="20">
        <v>0</v>
      </c>
      <c r="EH57" s="20">
        <v>122978</v>
      </c>
      <c r="EI57" s="20">
        <v>10453.1</v>
      </c>
      <c r="EJ57" s="8">
        <v>2</v>
      </c>
      <c r="EK57" s="8">
        <v>0</v>
      </c>
      <c r="EL57" s="8">
        <v>30383</v>
      </c>
      <c r="EM57" s="8">
        <v>2582.6</v>
      </c>
      <c r="EN57" s="8">
        <v>2</v>
      </c>
      <c r="EO57" s="8">
        <v>0</v>
      </c>
      <c r="EP57" s="8">
        <v>22622</v>
      </c>
      <c r="EQ57" s="8">
        <v>1922.9</v>
      </c>
      <c r="ER57" s="8">
        <v>2</v>
      </c>
      <c r="ES57" s="8">
        <v>0</v>
      </c>
      <c r="ET57" s="8">
        <v>30383</v>
      </c>
      <c r="EU57" s="8">
        <v>2582.6</v>
      </c>
      <c r="EV57" s="8">
        <v>2</v>
      </c>
      <c r="EW57" s="8">
        <v>0</v>
      </c>
      <c r="EX57" s="8">
        <v>30383</v>
      </c>
      <c r="EY57" s="8">
        <v>2582.6</v>
      </c>
      <c r="EZ57" s="20">
        <v>8</v>
      </c>
      <c r="FA57" s="20">
        <v>0</v>
      </c>
      <c r="FB57" s="20">
        <v>113771</v>
      </c>
      <c r="FC57" s="20">
        <v>9670.5</v>
      </c>
      <c r="FD57" s="8">
        <v>1</v>
      </c>
      <c r="FE57" s="8">
        <v>0</v>
      </c>
      <c r="FF57" s="8">
        <v>11311</v>
      </c>
      <c r="FG57" s="8">
        <v>961.4</v>
      </c>
      <c r="FH57" s="8">
        <v>0</v>
      </c>
      <c r="FI57" s="8">
        <v>0</v>
      </c>
      <c r="FJ57" s="8">
        <v>0</v>
      </c>
      <c r="FK57" s="8">
        <v>0</v>
      </c>
      <c r="FL57" s="8">
        <v>3</v>
      </c>
      <c r="FM57" s="8">
        <v>0</v>
      </c>
      <c r="FN57" s="8">
        <v>41694</v>
      </c>
      <c r="FO57" s="8">
        <v>3544</v>
      </c>
      <c r="FP57" s="8">
        <v>0</v>
      </c>
      <c r="FQ57" s="8">
        <v>0</v>
      </c>
      <c r="FR57" s="8">
        <v>0</v>
      </c>
      <c r="FS57" s="8">
        <v>0</v>
      </c>
      <c r="FT57" s="20">
        <v>4</v>
      </c>
      <c r="FU57" s="20">
        <v>0</v>
      </c>
      <c r="FV57" s="20">
        <v>53005</v>
      </c>
      <c r="FW57" s="20">
        <v>4505.3999999999996</v>
      </c>
      <c r="FX57" s="8">
        <v>2</v>
      </c>
      <c r="FY57" s="8">
        <v>0</v>
      </c>
      <c r="FZ57" s="8">
        <v>30383</v>
      </c>
      <c r="GA57" s="8">
        <v>2582.6</v>
      </c>
      <c r="GB57" s="8">
        <v>1</v>
      </c>
      <c r="GC57" s="8">
        <v>0</v>
      </c>
      <c r="GD57" s="8">
        <v>11311</v>
      </c>
      <c r="GE57" s="8">
        <v>961.4</v>
      </c>
      <c r="GF57" s="8">
        <v>1</v>
      </c>
      <c r="GG57" s="8">
        <v>0</v>
      </c>
      <c r="GH57" s="8">
        <v>11311</v>
      </c>
      <c r="GI57" s="8">
        <v>961.4</v>
      </c>
      <c r="GJ57" s="8">
        <v>2</v>
      </c>
      <c r="GK57" s="8">
        <v>0</v>
      </c>
      <c r="GL57" s="8">
        <v>30383</v>
      </c>
      <c r="GM57" s="8">
        <v>2582.6</v>
      </c>
      <c r="GN57" s="8">
        <v>1</v>
      </c>
      <c r="GO57" s="8">
        <v>0</v>
      </c>
      <c r="GP57" s="8">
        <v>19072</v>
      </c>
      <c r="GQ57" s="8">
        <v>1621.1</v>
      </c>
      <c r="GR57" s="20">
        <v>7</v>
      </c>
      <c r="GS57" s="20">
        <v>0</v>
      </c>
      <c r="GT57" s="20">
        <v>102460</v>
      </c>
      <c r="GU57" s="20">
        <v>8709.1</v>
      </c>
      <c r="GV57" s="8">
        <v>0</v>
      </c>
      <c r="GW57" s="8">
        <v>0</v>
      </c>
      <c r="GX57" s="8">
        <v>0</v>
      </c>
      <c r="GY57" s="8">
        <v>0</v>
      </c>
      <c r="GZ57" s="8">
        <v>1</v>
      </c>
      <c r="HA57" s="8">
        <v>0</v>
      </c>
      <c r="HB57" s="8">
        <v>11311</v>
      </c>
      <c r="HC57" s="8">
        <v>961.4</v>
      </c>
      <c r="HD57" s="8">
        <v>0</v>
      </c>
      <c r="HE57" s="8">
        <v>0</v>
      </c>
      <c r="HF57" s="8">
        <v>0</v>
      </c>
      <c r="HG57" s="8">
        <v>0</v>
      </c>
      <c r="HH57" s="8">
        <v>2</v>
      </c>
      <c r="HI57" s="8">
        <v>0</v>
      </c>
      <c r="HJ57" s="8">
        <v>30383</v>
      </c>
      <c r="HK57" s="8">
        <v>2582.6</v>
      </c>
      <c r="HL57" s="20">
        <v>3</v>
      </c>
      <c r="HM57" s="20">
        <v>0</v>
      </c>
      <c r="HN57" s="20">
        <v>41694</v>
      </c>
      <c r="HO57" s="20">
        <v>3544</v>
      </c>
      <c r="HP57" s="8">
        <v>0</v>
      </c>
      <c r="HQ57" s="8">
        <v>0</v>
      </c>
      <c r="HR57" s="8">
        <v>0</v>
      </c>
      <c r="HS57" s="8">
        <v>0</v>
      </c>
      <c r="HT57" s="8">
        <v>1</v>
      </c>
      <c r="HU57" s="8">
        <v>0</v>
      </c>
      <c r="HV57" s="8">
        <v>11311</v>
      </c>
      <c r="HW57" s="8">
        <v>961.4</v>
      </c>
      <c r="HX57" s="8">
        <v>2</v>
      </c>
      <c r="HY57" s="8">
        <v>0</v>
      </c>
      <c r="HZ57" s="8">
        <v>30383</v>
      </c>
      <c r="IA57" s="8">
        <v>2582.6</v>
      </c>
      <c r="IB57" s="8">
        <v>2</v>
      </c>
      <c r="IC57" s="8">
        <v>0</v>
      </c>
      <c r="ID57" s="8">
        <v>20518</v>
      </c>
      <c r="IE57" s="8">
        <v>1744</v>
      </c>
      <c r="IF57" s="20">
        <v>5</v>
      </c>
      <c r="IG57" s="20">
        <v>0</v>
      </c>
      <c r="IH57" s="20">
        <v>62212</v>
      </c>
      <c r="II57" s="20">
        <v>5288</v>
      </c>
      <c r="IJ57" s="8">
        <v>0</v>
      </c>
      <c r="IK57" s="8">
        <v>0</v>
      </c>
      <c r="IL57" s="8">
        <v>0</v>
      </c>
      <c r="IM57" s="8">
        <v>0</v>
      </c>
      <c r="IN57" s="8">
        <v>2</v>
      </c>
      <c r="IO57" s="8">
        <v>0</v>
      </c>
      <c r="IP57" s="8">
        <v>30383</v>
      </c>
      <c r="IQ57" s="8">
        <v>2582.6</v>
      </c>
      <c r="IR57" s="8">
        <v>1</v>
      </c>
      <c r="IS57" s="8">
        <v>0</v>
      </c>
      <c r="IT57" s="8">
        <v>11311</v>
      </c>
      <c r="IU57" s="8">
        <v>961.4</v>
      </c>
      <c r="IV57" s="8">
        <v>0</v>
      </c>
      <c r="IW57" s="8">
        <v>0</v>
      </c>
      <c r="IX57" s="8">
        <v>0</v>
      </c>
      <c r="IY57" s="8">
        <v>0</v>
      </c>
      <c r="IZ57" s="8">
        <v>1</v>
      </c>
      <c r="JA57" s="8">
        <v>0</v>
      </c>
      <c r="JB57" s="8">
        <v>11311</v>
      </c>
      <c r="JC57" s="8">
        <v>961.4</v>
      </c>
      <c r="JD57" s="20">
        <v>4</v>
      </c>
      <c r="JE57" s="20">
        <v>0</v>
      </c>
      <c r="JF57" s="20">
        <v>53005</v>
      </c>
      <c r="JG57" s="20">
        <v>4505.3999999999996</v>
      </c>
      <c r="JH57" s="8">
        <v>0</v>
      </c>
      <c r="JI57" s="8">
        <v>0</v>
      </c>
      <c r="JJ57" s="8">
        <v>0</v>
      </c>
      <c r="JK57" s="8">
        <v>0</v>
      </c>
      <c r="JL57" s="8">
        <v>1</v>
      </c>
      <c r="JM57" s="8">
        <v>0</v>
      </c>
      <c r="JN57" s="8">
        <v>11311</v>
      </c>
      <c r="JO57" s="8">
        <v>961.4</v>
      </c>
      <c r="JP57" s="8">
        <v>2</v>
      </c>
      <c r="JQ57" s="8">
        <v>0</v>
      </c>
      <c r="JR57" s="8">
        <v>30383</v>
      </c>
      <c r="JS57" s="8">
        <v>2582.6</v>
      </c>
      <c r="JT57" s="8">
        <v>1</v>
      </c>
      <c r="JU57" s="8">
        <v>0</v>
      </c>
      <c r="JV57" s="8">
        <v>11311</v>
      </c>
      <c r="JW57" s="8">
        <v>961.4</v>
      </c>
      <c r="JX57" s="20">
        <v>4</v>
      </c>
      <c r="JY57" s="20">
        <v>0</v>
      </c>
      <c r="JZ57" s="20">
        <v>53005</v>
      </c>
      <c r="KA57" s="20">
        <v>4505.3999999999996</v>
      </c>
      <c r="KB57" s="8">
        <v>1</v>
      </c>
      <c r="KC57" s="8">
        <v>0</v>
      </c>
      <c r="KD57" s="8">
        <v>19072</v>
      </c>
      <c r="KE57" s="8">
        <v>1621.1</v>
      </c>
      <c r="KF57" s="8">
        <v>1</v>
      </c>
      <c r="KG57" s="8">
        <v>0</v>
      </c>
      <c r="KH57" s="8">
        <v>11311</v>
      </c>
      <c r="KI57" s="8">
        <v>961.4</v>
      </c>
      <c r="KJ57" s="8">
        <v>0</v>
      </c>
      <c r="KK57" s="8">
        <v>0</v>
      </c>
      <c r="KL57" s="8">
        <v>0</v>
      </c>
      <c r="KM57" s="8">
        <v>0</v>
      </c>
      <c r="KN57" s="8">
        <v>1</v>
      </c>
      <c r="KO57" s="8">
        <v>0</v>
      </c>
      <c r="KP57" s="8">
        <v>11311</v>
      </c>
      <c r="KQ57" s="8">
        <v>961.4</v>
      </c>
      <c r="KR57" s="20">
        <v>3</v>
      </c>
      <c r="KS57" s="20">
        <v>0</v>
      </c>
      <c r="KT57" s="20">
        <v>41694</v>
      </c>
      <c r="KU57" s="20">
        <v>3544</v>
      </c>
      <c r="KV57" s="20">
        <v>71</v>
      </c>
      <c r="KW57" s="20">
        <v>0</v>
      </c>
      <c r="KX57" s="20">
        <v>961237</v>
      </c>
      <c r="KY57" s="20">
        <v>81705.100000000006</v>
      </c>
    </row>
    <row r="58" spans="1:311" ht="16.95" customHeight="1" x14ac:dyDescent="0.4">
      <c r="A58" s="12"/>
      <c r="B58" s="12" t="s">
        <v>20</v>
      </c>
      <c r="C58" s="12" t="s">
        <v>395</v>
      </c>
      <c r="D58" s="10">
        <v>0</v>
      </c>
      <c r="E58" s="10">
        <v>0</v>
      </c>
      <c r="F58" s="10">
        <v>0</v>
      </c>
      <c r="G58" s="10">
        <v>0</v>
      </c>
      <c r="H58" s="21">
        <v>0</v>
      </c>
      <c r="I58" s="21">
        <v>0</v>
      </c>
      <c r="J58" s="21">
        <v>0</v>
      </c>
      <c r="K58" s="21">
        <v>0</v>
      </c>
      <c r="L58" s="10">
        <v>0</v>
      </c>
      <c r="M58" s="10">
        <v>0</v>
      </c>
      <c r="N58" s="10">
        <v>0</v>
      </c>
      <c r="O58" s="10">
        <v>0</v>
      </c>
      <c r="P58" s="10">
        <v>1</v>
      </c>
      <c r="Q58" s="10">
        <v>0</v>
      </c>
      <c r="R58" s="10">
        <v>18651</v>
      </c>
      <c r="S58" s="10">
        <v>1585.3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21">
        <v>1</v>
      </c>
      <c r="AC58" s="21">
        <v>0</v>
      </c>
      <c r="AD58" s="21">
        <v>18651</v>
      </c>
      <c r="AE58" s="21">
        <v>1585.3</v>
      </c>
      <c r="AF58" s="10">
        <v>1</v>
      </c>
      <c r="AG58" s="10">
        <v>0</v>
      </c>
      <c r="AH58" s="10">
        <v>18651</v>
      </c>
      <c r="AI58" s="10">
        <v>1585.3</v>
      </c>
      <c r="AJ58" s="10">
        <v>1</v>
      </c>
      <c r="AK58" s="10">
        <v>0</v>
      </c>
      <c r="AL58" s="10">
        <v>18651</v>
      </c>
      <c r="AM58" s="10">
        <v>1585.3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21">
        <v>2</v>
      </c>
      <c r="AW58" s="21">
        <v>0</v>
      </c>
      <c r="AX58" s="21">
        <v>37302</v>
      </c>
      <c r="AY58" s="21">
        <v>3170.7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21">
        <v>0</v>
      </c>
      <c r="BU58" s="21">
        <v>0</v>
      </c>
      <c r="BV58" s="21">
        <v>0</v>
      </c>
      <c r="BW58" s="21">
        <v>0</v>
      </c>
      <c r="BX58" s="10">
        <v>1</v>
      </c>
      <c r="BY58" s="10">
        <v>0</v>
      </c>
      <c r="BZ58" s="10">
        <v>19072</v>
      </c>
      <c r="CA58" s="10">
        <v>1621.1</v>
      </c>
      <c r="CB58" s="10">
        <v>0</v>
      </c>
      <c r="CC58" s="10">
        <v>0</v>
      </c>
      <c r="CD58" s="10">
        <v>0</v>
      </c>
      <c r="CE58" s="10">
        <v>0</v>
      </c>
      <c r="CF58" s="10">
        <v>1</v>
      </c>
      <c r="CG58" s="10">
        <v>0</v>
      </c>
      <c r="CH58" s="10">
        <v>19072</v>
      </c>
      <c r="CI58" s="10">
        <v>1621.1</v>
      </c>
      <c r="CJ58" s="10">
        <v>0</v>
      </c>
      <c r="CK58" s="10">
        <v>0</v>
      </c>
      <c r="CL58" s="10">
        <v>0</v>
      </c>
      <c r="CM58" s="10">
        <v>0</v>
      </c>
      <c r="CN58" s="21">
        <v>2</v>
      </c>
      <c r="CO58" s="21">
        <v>0</v>
      </c>
      <c r="CP58" s="21">
        <v>38144</v>
      </c>
      <c r="CQ58" s="21">
        <v>3242.2</v>
      </c>
      <c r="CR58" s="10">
        <v>0</v>
      </c>
      <c r="CS58" s="10">
        <v>0</v>
      </c>
      <c r="CT58" s="10">
        <v>0</v>
      </c>
      <c r="CU58" s="10">
        <v>0</v>
      </c>
      <c r="CV58" s="10">
        <v>1</v>
      </c>
      <c r="CW58" s="10">
        <v>0</v>
      </c>
      <c r="CX58" s="10">
        <v>17756</v>
      </c>
      <c r="CY58" s="10">
        <v>1509.3</v>
      </c>
      <c r="CZ58" s="10">
        <v>1</v>
      </c>
      <c r="DA58" s="10">
        <v>0</v>
      </c>
      <c r="DB58" s="10">
        <v>17756</v>
      </c>
      <c r="DC58" s="10">
        <v>1509.3</v>
      </c>
      <c r="DD58" s="10">
        <v>0</v>
      </c>
      <c r="DE58" s="10">
        <v>0</v>
      </c>
      <c r="DF58" s="10">
        <v>0</v>
      </c>
      <c r="DG58" s="10">
        <v>0</v>
      </c>
      <c r="DH58" s="21">
        <v>2</v>
      </c>
      <c r="DI58" s="21">
        <v>0</v>
      </c>
      <c r="DJ58" s="21">
        <v>35512</v>
      </c>
      <c r="DK58" s="21">
        <v>3018.5</v>
      </c>
      <c r="DL58" s="10">
        <v>1</v>
      </c>
      <c r="DM58" s="10">
        <v>0</v>
      </c>
      <c r="DN58" s="10">
        <v>19072</v>
      </c>
      <c r="DO58" s="10">
        <v>1621.1</v>
      </c>
      <c r="DP58" s="10">
        <v>0</v>
      </c>
      <c r="DQ58" s="10">
        <v>0</v>
      </c>
      <c r="DR58" s="10">
        <v>0</v>
      </c>
      <c r="DS58" s="10">
        <v>0</v>
      </c>
      <c r="DT58" s="10">
        <v>1</v>
      </c>
      <c r="DU58" s="10">
        <v>0</v>
      </c>
      <c r="DV58" s="10">
        <v>19072</v>
      </c>
      <c r="DW58" s="10">
        <v>1621.1</v>
      </c>
      <c r="DX58" s="10">
        <v>1</v>
      </c>
      <c r="DY58" s="10">
        <v>0</v>
      </c>
      <c r="DZ58" s="10">
        <v>19072</v>
      </c>
      <c r="EA58" s="10">
        <v>1621.1</v>
      </c>
      <c r="EB58" s="10">
        <v>0</v>
      </c>
      <c r="EC58" s="10">
        <v>0</v>
      </c>
      <c r="ED58" s="10">
        <v>0</v>
      </c>
      <c r="EE58" s="10">
        <v>0</v>
      </c>
      <c r="EF58" s="21">
        <v>3</v>
      </c>
      <c r="EG58" s="21">
        <v>0</v>
      </c>
      <c r="EH58" s="21">
        <v>57216</v>
      </c>
      <c r="EI58" s="21">
        <v>4863.3999999999996</v>
      </c>
      <c r="EJ58" s="10">
        <v>1</v>
      </c>
      <c r="EK58" s="10">
        <v>0</v>
      </c>
      <c r="EL58" s="10">
        <v>19072</v>
      </c>
      <c r="EM58" s="10">
        <v>1621.1</v>
      </c>
      <c r="EN58" s="10">
        <v>0</v>
      </c>
      <c r="EO58" s="10">
        <v>0</v>
      </c>
      <c r="EP58" s="10">
        <v>0</v>
      </c>
      <c r="EQ58" s="10">
        <v>0</v>
      </c>
      <c r="ER58" s="10">
        <v>1</v>
      </c>
      <c r="ES58" s="10">
        <v>0</v>
      </c>
      <c r="ET58" s="10">
        <v>19072</v>
      </c>
      <c r="EU58" s="10">
        <v>1621.1</v>
      </c>
      <c r="EV58" s="10">
        <v>1</v>
      </c>
      <c r="EW58" s="10">
        <v>0</v>
      </c>
      <c r="EX58" s="10">
        <v>19072</v>
      </c>
      <c r="EY58" s="10">
        <v>1621.1</v>
      </c>
      <c r="EZ58" s="21">
        <v>3</v>
      </c>
      <c r="FA58" s="21">
        <v>0</v>
      </c>
      <c r="FB58" s="21">
        <v>57216</v>
      </c>
      <c r="FC58" s="21">
        <v>4863.3999999999996</v>
      </c>
      <c r="FD58" s="10">
        <v>0</v>
      </c>
      <c r="FE58" s="10">
        <v>0</v>
      </c>
      <c r="FF58" s="10">
        <v>0</v>
      </c>
      <c r="FG58" s="10">
        <v>0</v>
      </c>
      <c r="FH58" s="10">
        <v>0</v>
      </c>
      <c r="FI58" s="10">
        <v>0</v>
      </c>
      <c r="FJ58" s="10">
        <v>0</v>
      </c>
      <c r="FK58" s="10">
        <v>0</v>
      </c>
      <c r="FL58" s="10">
        <v>1</v>
      </c>
      <c r="FM58" s="10">
        <v>0</v>
      </c>
      <c r="FN58" s="10">
        <v>19072</v>
      </c>
      <c r="FO58" s="10">
        <v>1621.1</v>
      </c>
      <c r="FP58" s="10">
        <v>0</v>
      </c>
      <c r="FQ58" s="10">
        <v>0</v>
      </c>
      <c r="FR58" s="10">
        <v>0</v>
      </c>
      <c r="FS58" s="10">
        <v>0</v>
      </c>
      <c r="FT58" s="21">
        <v>1</v>
      </c>
      <c r="FU58" s="21">
        <v>0</v>
      </c>
      <c r="FV58" s="21">
        <v>19072</v>
      </c>
      <c r="FW58" s="21">
        <v>1621.1</v>
      </c>
      <c r="FX58" s="10">
        <v>1</v>
      </c>
      <c r="FY58" s="10">
        <v>0</v>
      </c>
      <c r="FZ58" s="10">
        <v>19072</v>
      </c>
      <c r="GA58" s="10">
        <v>1621.1</v>
      </c>
      <c r="GB58" s="10">
        <v>0</v>
      </c>
      <c r="GC58" s="10">
        <v>0</v>
      </c>
      <c r="GD58" s="10">
        <v>0</v>
      </c>
      <c r="GE58" s="10">
        <v>0</v>
      </c>
      <c r="GF58" s="10">
        <v>0</v>
      </c>
      <c r="GG58" s="10">
        <v>0</v>
      </c>
      <c r="GH58" s="10">
        <v>0</v>
      </c>
      <c r="GI58" s="10">
        <v>0</v>
      </c>
      <c r="GJ58" s="10">
        <v>1</v>
      </c>
      <c r="GK58" s="10">
        <v>0</v>
      </c>
      <c r="GL58" s="10">
        <v>19072</v>
      </c>
      <c r="GM58" s="10">
        <v>1621.1</v>
      </c>
      <c r="GN58" s="10">
        <v>1</v>
      </c>
      <c r="GO58" s="10">
        <v>0</v>
      </c>
      <c r="GP58" s="10">
        <v>19072</v>
      </c>
      <c r="GQ58" s="10">
        <v>1621.1</v>
      </c>
      <c r="GR58" s="21">
        <v>3</v>
      </c>
      <c r="GS58" s="21">
        <v>0</v>
      </c>
      <c r="GT58" s="21">
        <v>57216</v>
      </c>
      <c r="GU58" s="21">
        <v>4863.3999999999996</v>
      </c>
      <c r="GV58" s="10">
        <v>0</v>
      </c>
      <c r="GW58" s="10">
        <v>0</v>
      </c>
      <c r="GX58" s="10">
        <v>0</v>
      </c>
      <c r="GY58" s="10">
        <v>0</v>
      </c>
      <c r="GZ58" s="10">
        <v>0</v>
      </c>
      <c r="HA58" s="10">
        <v>0</v>
      </c>
      <c r="HB58" s="10">
        <v>0</v>
      </c>
      <c r="HC58" s="10">
        <v>0</v>
      </c>
      <c r="HD58" s="10">
        <v>0</v>
      </c>
      <c r="HE58" s="10">
        <v>0</v>
      </c>
      <c r="HF58" s="10">
        <v>0</v>
      </c>
      <c r="HG58" s="10">
        <v>0</v>
      </c>
      <c r="HH58" s="10">
        <v>1</v>
      </c>
      <c r="HI58" s="10">
        <v>0</v>
      </c>
      <c r="HJ58" s="10">
        <v>19072</v>
      </c>
      <c r="HK58" s="10">
        <v>1621.1</v>
      </c>
      <c r="HL58" s="21">
        <v>1</v>
      </c>
      <c r="HM58" s="21">
        <v>0</v>
      </c>
      <c r="HN58" s="21">
        <v>19072</v>
      </c>
      <c r="HO58" s="21">
        <v>1621.1</v>
      </c>
      <c r="HP58" s="10">
        <v>0</v>
      </c>
      <c r="HQ58" s="10">
        <v>0</v>
      </c>
      <c r="HR58" s="10">
        <v>0</v>
      </c>
      <c r="HS58" s="10">
        <v>0</v>
      </c>
      <c r="HT58" s="10">
        <v>0</v>
      </c>
      <c r="HU58" s="10">
        <v>0</v>
      </c>
      <c r="HV58" s="10">
        <v>0</v>
      </c>
      <c r="HW58" s="10">
        <v>0</v>
      </c>
      <c r="HX58" s="10">
        <v>1</v>
      </c>
      <c r="HY58" s="10">
        <v>0</v>
      </c>
      <c r="HZ58" s="10">
        <v>19072</v>
      </c>
      <c r="IA58" s="10">
        <v>1621.1</v>
      </c>
      <c r="IB58" s="10">
        <v>0</v>
      </c>
      <c r="IC58" s="10">
        <v>0</v>
      </c>
      <c r="ID58" s="10">
        <v>0</v>
      </c>
      <c r="IE58" s="10">
        <v>0</v>
      </c>
      <c r="IF58" s="21">
        <v>1</v>
      </c>
      <c r="IG58" s="21">
        <v>0</v>
      </c>
      <c r="IH58" s="21">
        <v>19072</v>
      </c>
      <c r="II58" s="21">
        <v>1621.1</v>
      </c>
      <c r="IJ58" s="10">
        <v>0</v>
      </c>
      <c r="IK58" s="10">
        <v>0</v>
      </c>
      <c r="IL58" s="10">
        <v>0</v>
      </c>
      <c r="IM58" s="10">
        <v>0</v>
      </c>
      <c r="IN58" s="10">
        <v>1</v>
      </c>
      <c r="IO58" s="10">
        <v>0</v>
      </c>
      <c r="IP58" s="10">
        <v>19072</v>
      </c>
      <c r="IQ58" s="10">
        <v>1621.1</v>
      </c>
      <c r="IR58" s="10">
        <v>0</v>
      </c>
      <c r="IS58" s="10">
        <v>0</v>
      </c>
      <c r="IT58" s="10">
        <v>0</v>
      </c>
      <c r="IU58" s="10">
        <v>0</v>
      </c>
      <c r="IV58" s="10">
        <v>0</v>
      </c>
      <c r="IW58" s="10">
        <v>0</v>
      </c>
      <c r="IX58" s="10">
        <v>0</v>
      </c>
      <c r="IY58" s="10">
        <v>0</v>
      </c>
      <c r="IZ58" s="10">
        <v>0</v>
      </c>
      <c r="JA58" s="10">
        <v>0</v>
      </c>
      <c r="JB58" s="10">
        <v>0</v>
      </c>
      <c r="JC58" s="10">
        <v>0</v>
      </c>
      <c r="JD58" s="21">
        <v>1</v>
      </c>
      <c r="JE58" s="21">
        <v>0</v>
      </c>
      <c r="JF58" s="21">
        <v>19072</v>
      </c>
      <c r="JG58" s="21">
        <v>1621.1</v>
      </c>
      <c r="JH58" s="10">
        <v>0</v>
      </c>
      <c r="JI58" s="10">
        <v>0</v>
      </c>
      <c r="JJ58" s="10">
        <v>0</v>
      </c>
      <c r="JK58" s="10">
        <v>0</v>
      </c>
      <c r="JL58" s="10">
        <v>0</v>
      </c>
      <c r="JM58" s="10">
        <v>0</v>
      </c>
      <c r="JN58" s="10">
        <v>0</v>
      </c>
      <c r="JO58" s="10">
        <v>0</v>
      </c>
      <c r="JP58" s="10">
        <v>1</v>
      </c>
      <c r="JQ58" s="10">
        <v>0</v>
      </c>
      <c r="JR58" s="10">
        <v>19072</v>
      </c>
      <c r="JS58" s="10">
        <v>1621.1</v>
      </c>
      <c r="JT58" s="10">
        <v>0</v>
      </c>
      <c r="JU58" s="10">
        <v>0</v>
      </c>
      <c r="JV58" s="10">
        <v>0</v>
      </c>
      <c r="JW58" s="10">
        <v>0</v>
      </c>
      <c r="JX58" s="21">
        <v>1</v>
      </c>
      <c r="JY58" s="21">
        <v>0</v>
      </c>
      <c r="JZ58" s="21">
        <v>19072</v>
      </c>
      <c r="KA58" s="21">
        <v>1621.1</v>
      </c>
      <c r="KB58" s="10">
        <v>1</v>
      </c>
      <c r="KC58" s="10">
        <v>0</v>
      </c>
      <c r="KD58" s="10">
        <v>19072</v>
      </c>
      <c r="KE58" s="10">
        <v>1621.1</v>
      </c>
      <c r="KF58" s="10">
        <v>0</v>
      </c>
      <c r="KG58" s="10">
        <v>0</v>
      </c>
      <c r="KH58" s="10">
        <v>0</v>
      </c>
      <c r="KI58" s="10">
        <v>0</v>
      </c>
      <c r="KJ58" s="10">
        <v>0</v>
      </c>
      <c r="KK58" s="10">
        <v>0</v>
      </c>
      <c r="KL58" s="10">
        <v>0</v>
      </c>
      <c r="KM58" s="10">
        <v>0</v>
      </c>
      <c r="KN58" s="10">
        <v>0</v>
      </c>
      <c r="KO58" s="10">
        <v>0</v>
      </c>
      <c r="KP58" s="10">
        <v>0</v>
      </c>
      <c r="KQ58" s="10">
        <v>0</v>
      </c>
      <c r="KR58" s="21">
        <v>1</v>
      </c>
      <c r="KS58" s="21">
        <v>0</v>
      </c>
      <c r="KT58" s="21">
        <v>19072</v>
      </c>
      <c r="KU58" s="21">
        <v>1621.1</v>
      </c>
      <c r="KV58" s="21">
        <v>22</v>
      </c>
      <c r="KW58" s="21">
        <v>0</v>
      </c>
      <c r="KX58" s="21">
        <v>415689</v>
      </c>
      <c r="KY58" s="21">
        <v>35333.599999999999</v>
      </c>
    </row>
    <row r="59" spans="1:311" ht="16.95" customHeight="1" x14ac:dyDescent="0.4">
      <c r="A59" s="11"/>
      <c r="B59" s="11"/>
      <c r="C59" s="11" t="s">
        <v>76</v>
      </c>
      <c r="D59" s="9">
        <v>0</v>
      </c>
      <c r="E59" s="9">
        <v>0</v>
      </c>
      <c r="F59" s="9">
        <v>0</v>
      </c>
      <c r="G59" s="9">
        <v>0</v>
      </c>
      <c r="H59" s="22">
        <v>0</v>
      </c>
      <c r="I59" s="22"/>
      <c r="J59" s="22">
        <v>0</v>
      </c>
      <c r="K59" s="22">
        <v>0</v>
      </c>
      <c r="L59" s="9">
        <v>0</v>
      </c>
      <c r="M59" s="9">
        <v>0</v>
      </c>
      <c r="N59" s="9">
        <v>0</v>
      </c>
      <c r="O59" s="9">
        <v>0</v>
      </c>
      <c r="P59" s="9">
        <v>1</v>
      </c>
      <c r="Q59" s="9">
        <v>18651</v>
      </c>
      <c r="R59" s="9">
        <v>18651</v>
      </c>
      <c r="S59" s="9">
        <v>1585.3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22">
        <v>1</v>
      </c>
      <c r="AC59" s="22"/>
      <c r="AD59" s="22">
        <v>18651</v>
      </c>
      <c r="AE59" s="22">
        <v>1585.3</v>
      </c>
      <c r="AF59" s="9">
        <v>1</v>
      </c>
      <c r="AG59" s="9">
        <v>18651</v>
      </c>
      <c r="AH59" s="9">
        <v>18651</v>
      </c>
      <c r="AI59" s="9">
        <v>1585.3</v>
      </c>
      <c r="AJ59" s="9">
        <v>1</v>
      </c>
      <c r="AK59" s="9">
        <v>18651</v>
      </c>
      <c r="AL59" s="9">
        <v>18651</v>
      </c>
      <c r="AM59" s="9">
        <v>1585.3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22">
        <v>2</v>
      </c>
      <c r="AW59" s="22"/>
      <c r="AX59" s="22">
        <v>37302</v>
      </c>
      <c r="AY59" s="22">
        <v>3170.7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0</v>
      </c>
      <c r="BP59" s="9">
        <v>0</v>
      </c>
      <c r="BQ59" s="9">
        <v>0</v>
      </c>
      <c r="BR59" s="9">
        <v>0</v>
      </c>
      <c r="BS59" s="9">
        <v>0</v>
      </c>
      <c r="BT59" s="22">
        <v>0</v>
      </c>
      <c r="BU59" s="22"/>
      <c r="BV59" s="22">
        <v>0</v>
      </c>
      <c r="BW59" s="22">
        <v>0</v>
      </c>
      <c r="BX59" s="9">
        <v>1</v>
      </c>
      <c r="BY59" s="9">
        <v>19072</v>
      </c>
      <c r="BZ59" s="9">
        <v>19072</v>
      </c>
      <c r="CA59" s="9">
        <v>1621.1</v>
      </c>
      <c r="CB59" s="9">
        <v>0</v>
      </c>
      <c r="CC59" s="9">
        <v>0</v>
      </c>
      <c r="CD59" s="9">
        <v>0</v>
      </c>
      <c r="CE59" s="9">
        <v>0</v>
      </c>
      <c r="CF59" s="9">
        <v>1</v>
      </c>
      <c r="CG59" s="9">
        <v>19072</v>
      </c>
      <c r="CH59" s="9">
        <v>19072</v>
      </c>
      <c r="CI59" s="9">
        <v>1621.1</v>
      </c>
      <c r="CJ59" s="9">
        <v>0</v>
      </c>
      <c r="CK59" s="9">
        <v>0</v>
      </c>
      <c r="CL59" s="9">
        <v>0</v>
      </c>
      <c r="CM59" s="9">
        <v>0</v>
      </c>
      <c r="CN59" s="22">
        <v>2</v>
      </c>
      <c r="CO59" s="22"/>
      <c r="CP59" s="22">
        <v>38144</v>
      </c>
      <c r="CQ59" s="22">
        <v>3242.2</v>
      </c>
      <c r="CR59" s="9">
        <v>0</v>
      </c>
      <c r="CS59" s="9">
        <v>0</v>
      </c>
      <c r="CT59" s="9">
        <v>0</v>
      </c>
      <c r="CU59" s="9">
        <v>0</v>
      </c>
      <c r="CV59" s="9">
        <v>1</v>
      </c>
      <c r="CW59" s="9">
        <v>17756</v>
      </c>
      <c r="CX59" s="9">
        <v>17756</v>
      </c>
      <c r="CY59" s="9">
        <v>1509.3</v>
      </c>
      <c r="CZ59" s="9">
        <v>1</v>
      </c>
      <c r="DA59" s="9">
        <v>17756</v>
      </c>
      <c r="DB59" s="9">
        <v>17756</v>
      </c>
      <c r="DC59" s="9">
        <v>1509.3</v>
      </c>
      <c r="DD59" s="9">
        <v>0</v>
      </c>
      <c r="DE59" s="9">
        <v>0</v>
      </c>
      <c r="DF59" s="9">
        <v>0</v>
      </c>
      <c r="DG59" s="9">
        <v>0</v>
      </c>
      <c r="DH59" s="22">
        <v>2</v>
      </c>
      <c r="DI59" s="22"/>
      <c r="DJ59" s="22">
        <v>35512</v>
      </c>
      <c r="DK59" s="22">
        <v>3018.5</v>
      </c>
      <c r="DL59" s="9">
        <v>1</v>
      </c>
      <c r="DM59" s="9">
        <v>19072</v>
      </c>
      <c r="DN59" s="9">
        <v>19072</v>
      </c>
      <c r="DO59" s="9">
        <v>1621.1</v>
      </c>
      <c r="DP59" s="9">
        <v>0</v>
      </c>
      <c r="DQ59" s="9">
        <v>0</v>
      </c>
      <c r="DR59" s="9">
        <v>0</v>
      </c>
      <c r="DS59" s="9">
        <v>0</v>
      </c>
      <c r="DT59" s="9">
        <v>1</v>
      </c>
      <c r="DU59" s="9">
        <v>19072</v>
      </c>
      <c r="DV59" s="9">
        <v>19072</v>
      </c>
      <c r="DW59" s="9">
        <v>1621.1</v>
      </c>
      <c r="DX59" s="9">
        <v>1</v>
      </c>
      <c r="DY59" s="9">
        <v>19072</v>
      </c>
      <c r="DZ59" s="9">
        <v>19072</v>
      </c>
      <c r="EA59" s="9">
        <v>1621.1</v>
      </c>
      <c r="EB59" s="9">
        <v>0</v>
      </c>
      <c r="EC59" s="9">
        <v>0</v>
      </c>
      <c r="ED59" s="9">
        <v>0</v>
      </c>
      <c r="EE59" s="9">
        <v>0</v>
      </c>
      <c r="EF59" s="22">
        <v>3</v>
      </c>
      <c r="EG59" s="22"/>
      <c r="EH59" s="22">
        <v>57216</v>
      </c>
      <c r="EI59" s="22">
        <v>4863.3999999999996</v>
      </c>
      <c r="EJ59" s="9">
        <v>1</v>
      </c>
      <c r="EK59" s="9">
        <v>19072</v>
      </c>
      <c r="EL59" s="9">
        <v>19072</v>
      </c>
      <c r="EM59" s="9">
        <v>1621.1</v>
      </c>
      <c r="EN59" s="9">
        <v>0</v>
      </c>
      <c r="EO59" s="9">
        <v>0</v>
      </c>
      <c r="EP59" s="9">
        <v>0</v>
      </c>
      <c r="EQ59" s="9">
        <v>0</v>
      </c>
      <c r="ER59" s="9">
        <v>1</v>
      </c>
      <c r="ES59" s="9">
        <v>19072</v>
      </c>
      <c r="ET59" s="9">
        <v>19072</v>
      </c>
      <c r="EU59" s="9">
        <v>1621.1</v>
      </c>
      <c r="EV59" s="9">
        <v>1</v>
      </c>
      <c r="EW59" s="9">
        <v>19072</v>
      </c>
      <c r="EX59" s="9">
        <v>19072</v>
      </c>
      <c r="EY59" s="9">
        <v>1621.1</v>
      </c>
      <c r="EZ59" s="22">
        <v>3</v>
      </c>
      <c r="FA59" s="22"/>
      <c r="FB59" s="22">
        <v>57216</v>
      </c>
      <c r="FC59" s="22">
        <v>4863.3999999999996</v>
      </c>
      <c r="FD59" s="9">
        <v>0</v>
      </c>
      <c r="FE59" s="9">
        <v>0</v>
      </c>
      <c r="FF59" s="9">
        <v>0</v>
      </c>
      <c r="FG59" s="9">
        <v>0</v>
      </c>
      <c r="FH59" s="9">
        <v>0</v>
      </c>
      <c r="FI59" s="9">
        <v>0</v>
      </c>
      <c r="FJ59" s="9">
        <v>0</v>
      </c>
      <c r="FK59" s="9">
        <v>0</v>
      </c>
      <c r="FL59" s="9">
        <v>1</v>
      </c>
      <c r="FM59" s="9">
        <v>19072</v>
      </c>
      <c r="FN59" s="9">
        <v>19072</v>
      </c>
      <c r="FO59" s="9">
        <v>1621.1</v>
      </c>
      <c r="FP59" s="9">
        <v>0</v>
      </c>
      <c r="FQ59" s="9">
        <v>0</v>
      </c>
      <c r="FR59" s="9">
        <v>0</v>
      </c>
      <c r="FS59" s="9">
        <v>0</v>
      </c>
      <c r="FT59" s="22">
        <v>1</v>
      </c>
      <c r="FU59" s="22"/>
      <c r="FV59" s="22">
        <v>19072</v>
      </c>
      <c r="FW59" s="22">
        <v>1621.1</v>
      </c>
      <c r="FX59" s="9">
        <v>1</v>
      </c>
      <c r="FY59" s="9">
        <v>19072</v>
      </c>
      <c r="FZ59" s="9">
        <v>19072</v>
      </c>
      <c r="GA59" s="9">
        <v>1621.1</v>
      </c>
      <c r="GB59" s="9">
        <v>0</v>
      </c>
      <c r="GC59" s="9">
        <v>0</v>
      </c>
      <c r="GD59" s="9">
        <v>0</v>
      </c>
      <c r="GE59" s="9">
        <v>0</v>
      </c>
      <c r="GF59" s="9">
        <v>0</v>
      </c>
      <c r="GG59" s="9">
        <v>0</v>
      </c>
      <c r="GH59" s="9">
        <v>0</v>
      </c>
      <c r="GI59" s="9">
        <v>0</v>
      </c>
      <c r="GJ59" s="9">
        <v>1</v>
      </c>
      <c r="GK59" s="9">
        <v>19072</v>
      </c>
      <c r="GL59" s="9">
        <v>19072</v>
      </c>
      <c r="GM59" s="9">
        <v>1621.1</v>
      </c>
      <c r="GN59" s="9">
        <v>1</v>
      </c>
      <c r="GO59" s="9">
        <v>19072</v>
      </c>
      <c r="GP59" s="9">
        <v>19072</v>
      </c>
      <c r="GQ59" s="9">
        <v>1621.1</v>
      </c>
      <c r="GR59" s="22">
        <v>3</v>
      </c>
      <c r="GS59" s="22"/>
      <c r="GT59" s="22">
        <v>57216</v>
      </c>
      <c r="GU59" s="22">
        <v>4863.3999999999996</v>
      </c>
      <c r="GV59" s="9">
        <v>0</v>
      </c>
      <c r="GW59" s="9">
        <v>0</v>
      </c>
      <c r="GX59" s="9">
        <v>0</v>
      </c>
      <c r="GY59" s="9">
        <v>0</v>
      </c>
      <c r="GZ59" s="9">
        <v>0</v>
      </c>
      <c r="HA59" s="9">
        <v>0</v>
      </c>
      <c r="HB59" s="9">
        <v>0</v>
      </c>
      <c r="HC59" s="9">
        <v>0</v>
      </c>
      <c r="HD59" s="9">
        <v>0</v>
      </c>
      <c r="HE59" s="9">
        <v>0</v>
      </c>
      <c r="HF59" s="9">
        <v>0</v>
      </c>
      <c r="HG59" s="9">
        <v>0</v>
      </c>
      <c r="HH59" s="9">
        <v>1</v>
      </c>
      <c r="HI59" s="9">
        <v>19072</v>
      </c>
      <c r="HJ59" s="9">
        <v>19072</v>
      </c>
      <c r="HK59" s="9">
        <v>1621.1</v>
      </c>
      <c r="HL59" s="22">
        <v>1</v>
      </c>
      <c r="HM59" s="22"/>
      <c r="HN59" s="22">
        <v>19072</v>
      </c>
      <c r="HO59" s="22">
        <v>1621.1</v>
      </c>
      <c r="HP59" s="9">
        <v>0</v>
      </c>
      <c r="HQ59" s="9">
        <v>0</v>
      </c>
      <c r="HR59" s="9">
        <v>0</v>
      </c>
      <c r="HS59" s="9">
        <v>0</v>
      </c>
      <c r="HT59" s="9">
        <v>0</v>
      </c>
      <c r="HU59" s="9">
        <v>0</v>
      </c>
      <c r="HV59" s="9">
        <v>0</v>
      </c>
      <c r="HW59" s="9">
        <v>0</v>
      </c>
      <c r="HX59" s="9">
        <v>1</v>
      </c>
      <c r="HY59" s="9">
        <v>19072</v>
      </c>
      <c r="HZ59" s="9">
        <v>19072</v>
      </c>
      <c r="IA59" s="9">
        <v>1621.1</v>
      </c>
      <c r="IB59" s="9">
        <v>0</v>
      </c>
      <c r="IC59" s="9">
        <v>0</v>
      </c>
      <c r="ID59" s="9">
        <v>0</v>
      </c>
      <c r="IE59" s="9">
        <v>0</v>
      </c>
      <c r="IF59" s="22">
        <v>1</v>
      </c>
      <c r="IG59" s="22"/>
      <c r="IH59" s="22">
        <v>19072</v>
      </c>
      <c r="II59" s="22">
        <v>1621.1</v>
      </c>
      <c r="IJ59" s="9">
        <v>0</v>
      </c>
      <c r="IK59" s="9">
        <v>0</v>
      </c>
      <c r="IL59" s="9">
        <v>0</v>
      </c>
      <c r="IM59" s="9">
        <v>0</v>
      </c>
      <c r="IN59" s="9">
        <v>1</v>
      </c>
      <c r="IO59" s="9">
        <v>19072</v>
      </c>
      <c r="IP59" s="9">
        <v>19072</v>
      </c>
      <c r="IQ59" s="9">
        <v>1621.1</v>
      </c>
      <c r="IR59" s="9">
        <v>0</v>
      </c>
      <c r="IS59" s="9">
        <v>0</v>
      </c>
      <c r="IT59" s="9">
        <v>0</v>
      </c>
      <c r="IU59" s="9">
        <v>0</v>
      </c>
      <c r="IV59" s="9">
        <v>0</v>
      </c>
      <c r="IW59" s="9">
        <v>0</v>
      </c>
      <c r="IX59" s="9">
        <v>0</v>
      </c>
      <c r="IY59" s="9">
        <v>0</v>
      </c>
      <c r="IZ59" s="9">
        <v>0</v>
      </c>
      <c r="JA59" s="9">
        <v>0</v>
      </c>
      <c r="JB59" s="9">
        <v>0</v>
      </c>
      <c r="JC59" s="9">
        <v>0</v>
      </c>
      <c r="JD59" s="22">
        <v>1</v>
      </c>
      <c r="JE59" s="22"/>
      <c r="JF59" s="22">
        <v>19072</v>
      </c>
      <c r="JG59" s="22">
        <v>1621.1</v>
      </c>
      <c r="JH59" s="9">
        <v>0</v>
      </c>
      <c r="JI59" s="9">
        <v>0</v>
      </c>
      <c r="JJ59" s="9">
        <v>0</v>
      </c>
      <c r="JK59" s="9">
        <v>0</v>
      </c>
      <c r="JL59" s="9">
        <v>0</v>
      </c>
      <c r="JM59" s="9">
        <v>0</v>
      </c>
      <c r="JN59" s="9">
        <v>0</v>
      </c>
      <c r="JO59" s="9">
        <v>0</v>
      </c>
      <c r="JP59" s="9">
        <v>1</v>
      </c>
      <c r="JQ59" s="9">
        <v>19072</v>
      </c>
      <c r="JR59" s="9">
        <v>19072</v>
      </c>
      <c r="JS59" s="9">
        <v>1621.1</v>
      </c>
      <c r="JT59" s="9">
        <v>0</v>
      </c>
      <c r="JU59" s="9">
        <v>0</v>
      </c>
      <c r="JV59" s="9">
        <v>0</v>
      </c>
      <c r="JW59" s="9">
        <v>0</v>
      </c>
      <c r="JX59" s="22">
        <v>1</v>
      </c>
      <c r="JY59" s="22"/>
      <c r="JZ59" s="22">
        <v>19072</v>
      </c>
      <c r="KA59" s="22">
        <v>1621.1</v>
      </c>
      <c r="KB59" s="9">
        <v>1</v>
      </c>
      <c r="KC59" s="9">
        <v>19072</v>
      </c>
      <c r="KD59" s="9">
        <v>19072</v>
      </c>
      <c r="KE59" s="9">
        <v>1621.1</v>
      </c>
      <c r="KF59" s="9">
        <v>0</v>
      </c>
      <c r="KG59" s="9">
        <v>0</v>
      </c>
      <c r="KH59" s="9">
        <v>0</v>
      </c>
      <c r="KI59" s="9">
        <v>0</v>
      </c>
      <c r="KJ59" s="9">
        <v>0</v>
      </c>
      <c r="KK59" s="9">
        <v>0</v>
      </c>
      <c r="KL59" s="9">
        <v>0</v>
      </c>
      <c r="KM59" s="9">
        <v>0</v>
      </c>
      <c r="KN59" s="9">
        <v>0</v>
      </c>
      <c r="KO59" s="9">
        <v>0</v>
      </c>
      <c r="KP59" s="9">
        <v>0</v>
      </c>
      <c r="KQ59" s="9">
        <v>0</v>
      </c>
      <c r="KR59" s="22">
        <v>1</v>
      </c>
      <c r="KS59" s="22"/>
      <c r="KT59" s="22">
        <v>19072</v>
      </c>
      <c r="KU59" s="22">
        <v>1621.1</v>
      </c>
      <c r="KV59" s="22">
        <v>22</v>
      </c>
      <c r="KW59" s="22"/>
      <c r="KX59" s="22">
        <v>415689</v>
      </c>
      <c r="KY59" s="22">
        <v>35333.599999999999</v>
      </c>
    </row>
    <row r="60" spans="1:311" ht="16.95" customHeight="1" x14ac:dyDescent="0.4">
      <c r="A60" s="12"/>
      <c r="B60" s="12" t="s">
        <v>34</v>
      </c>
      <c r="C60" s="12" t="s">
        <v>395</v>
      </c>
      <c r="D60" s="10">
        <v>0</v>
      </c>
      <c r="E60" s="10">
        <v>0</v>
      </c>
      <c r="F60" s="10">
        <v>0</v>
      </c>
      <c r="G60" s="10">
        <v>0</v>
      </c>
      <c r="H60" s="21">
        <v>0</v>
      </c>
      <c r="I60" s="21">
        <v>0</v>
      </c>
      <c r="J60" s="21">
        <v>0</v>
      </c>
      <c r="K60" s="21">
        <v>0</v>
      </c>
      <c r="L60" s="10">
        <v>1</v>
      </c>
      <c r="M60" s="10">
        <v>0</v>
      </c>
      <c r="N60" s="10">
        <v>10933</v>
      </c>
      <c r="O60" s="10">
        <v>929.3</v>
      </c>
      <c r="P60" s="10">
        <v>1</v>
      </c>
      <c r="Q60" s="10">
        <v>0</v>
      </c>
      <c r="R60" s="10">
        <v>10933</v>
      </c>
      <c r="S60" s="10">
        <v>929.3</v>
      </c>
      <c r="T60" s="10">
        <v>1</v>
      </c>
      <c r="U60" s="10">
        <v>0</v>
      </c>
      <c r="V60" s="10">
        <v>10933</v>
      </c>
      <c r="W60" s="10">
        <v>929.3</v>
      </c>
      <c r="X60" s="10">
        <v>0</v>
      </c>
      <c r="Y60" s="10">
        <v>0</v>
      </c>
      <c r="Z60" s="10">
        <v>0</v>
      </c>
      <c r="AA60" s="10">
        <v>0</v>
      </c>
      <c r="AB60" s="21">
        <v>3</v>
      </c>
      <c r="AC60" s="21">
        <v>0</v>
      </c>
      <c r="AD60" s="21">
        <v>32799</v>
      </c>
      <c r="AE60" s="21">
        <v>2787.9</v>
      </c>
      <c r="AF60" s="10">
        <v>0</v>
      </c>
      <c r="AG60" s="10">
        <v>0</v>
      </c>
      <c r="AH60" s="10">
        <v>0</v>
      </c>
      <c r="AI60" s="10">
        <v>0</v>
      </c>
      <c r="AJ60" s="10">
        <v>1</v>
      </c>
      <c r="AK60" s="10">
        <v>0</v>
      </c>
      <c r="AL60" s="10">
        <v>11062</v>
      </c>
      <c r="AM60" s="10">
        <v>940.3</v>
      </c>
      <c r="AN60" s="10">
        <v>1</v>
      </c>
      <c r="AO60" s="10">
        <v>0</v>
      </c>
      <c r="AP60" s="10">
        <v>11062</v>
      </c>
      <c r="AQ60" s="10">
        <v>940.3</v>
      </c>
      <c r="AR60" s="10">
        <v>1</v>
      </c>
      <c r="AS60" s="10">
        <v>0</v>
      </c>
      <c r="AT60" s="10">
        <v>11062</v>
      </c>
      <c r="AU60" s="10">
        <v>940.3</v>
      </c>
      <c r="AV60" s="21">
        <v>3</v>
      </c>
      <c r="AW60" s="21">
        <v>0</v>
      </c>
      <c r="AX60" s="21">
        <v>33186</v>
      </c>
      <c r="AY60" s="21">
        <v>2820.8</v>
      </c>
      <c r="AZ60" s="10">
        <v>1</v>
      </c>
      <c r="BA60" s="10">
        <v>0</v>
      </c>
      <c r="BB60" s="10">
        <v>11062</v>
      </c>
      <c r="BC60" s="10">
        <v>940.3</v>
      </c>
      <c r="BD60" s="10">
        <v>1</v>
      </c>
      <c r="BE60" s="10">
        <v>0</v>
      </c>
      <c r="BF60" s="10">
        <v>11062</v>
      </c>
      <c r="BG60" s="10">
        <v>940.3</v>
      </c>
      <c r="BH60" s="10">
        <v>0</v>
      </c>
      <c r="BI60" s="10">
        <v>0</v>
      </c>
      <c r="BJ60" s="10">
        <v>0</v>
      </c>
      <c r="BK60" s="10">
        <v>0</v>
      </c>
      <c r="BL60" s="10">
        <v>1</v>
      </c>
      <c r="BM60" s="10">
        <v>0</v>
      </c>
      <c r="BN60" s="10">
        <v>11311</v>
      </c>
      <c r="BO60" s="10">
        <v>961.4</v>
      </c>
      <c r="BP60" s="10">
        <v>2</v>
      </c>
      <c r="BQ60" s="10">
        <v>0</v>
      </c>
      <c r="BR60" s="10">
        <v>20518</v>
      </c>
      <c r="BS60" s="10">
        <v>1744</v>
      </c>
      <c r="BT60" s="21">
        <v>5</v>
      </c>
      <c r="BU60" s="21">
        <v>0</v>
      </c>
      <c r="BV60" s="21">
        <v>53953</v>
      </c>
      <c r="BW60" s="21">
        <v>4586</v>
      </c>
      <c r="BX60" s="10">
        <v>1</v>
      </c>
      <c r="BY60" s="10">
        <v>0</v>
      </c>
      <c r="BZ60" s="10">
        <v>11311</v>
      </c>
      <c r="CA60" s="10">
        <v>961.4</v>
      </c>
      <c r="CB60" s="10">
        <v>0</v>
      </c>
      <c r="CC60" s="10">
        <v>0</v>
      </c>
      <c r="CD60" s="10">
        <v>0</v>
      </c>
      <c r="CE60" s="10">
        <v>0</v>
      </c>
      <c r="CF60" s="10">
        <v>1</v>
      </c>
      <c r="CG60" s="10">
        <v>0</v>
      </c>
      <c r="CH60" s="10">
        <v>11311</v>
      </c>
      <c r="CI60" s="10">
        <v>961.4</v>
      </c>
      <c r="CJ60" s="10">
        <v>1</v>
      </c>
      <c r="CK60" s="10">
        <v>0</v>
      </c>
      <c r="CL60" s="10">
        <v>11311</v>
      </c>
      <c r="CM60" s="10">
        <v>961.4</v>
      </c>
      <c r="CN60" s="21">
        <v>3</v>
      </c>
      <c r="CO60" s="21">
        <v>0</v>
      </c>
      <c r="CP60" s="21">
        <v>33933</v>
      </c>
      <c r="CQ60" s="21">
        <v>2884.3</v>
      </c>
      <c r="CR60" s="10">
        <v>1</v>
      </c>
      <c r="CS60" s="10">
        <v>0</v>
      </c>
      <c r="CT60" s="10">
        <v>11311</v>
      </c>
      <c r="CU60" s="10">
        <v>961.4</v>
      </c>
      <c r="CV60" s="10">
        <v>1</v>
      </c>
      <c r="CW60" s="10">
        <v>0</v>
      </c>
      <c r="CX60" s="10">
        <v>11311</v>
      </c>
      <c r="CY60" s="10">
        <v>961.4</v>
      </c>
      <c r="CZ60" s="10">
        <v>0</v>
      </c>
      <c r="DA60" s="10">
        <v>0</v>
      </c>
      <c r="DB60" s="10">
        <v>0</v>
      </c>
      <c r="DC60" s="10">
        <v>0</v>
      </c>
      <c r="DD60" s="10">
        <v>1</v>
      </c>
      <c r="DE60" s="10">
        <v>0</v>
      </c>
      <c r="DF60" s="10">
        <v>11311</v>
      </c>
      <c r="DG60" s="10">
        <v>961.4</v>
      </c>
      <c r="DH60" s="21">
        <v>3</v>
      </c>
      <c r="DI60" s="21">
        <v>0</v>
      </c>
      <c r="DJ60" s="21">
        <v>33933</v>
      </c>
      <c r="DK60" s="21">
        <v>2884.3</v>
      </c>
      <c r="DL60" s="10">
        <v>1</v>
      </c>
      <c r="DM60" s="10">
        <v>0</v>
      </c>
      <c r="DN60" s="10">
        <v>11311</v>
      </c>
      <c r="DO60" s="10">
        <v>961.4</v>
      </c>
      <c r="DP60" s="10">
        <v>1</v>
      </c>
      <c r="DQ60" s="10">
        <v>0</v>
      </c>
      <c r="DR60" s="10">
        <v>11311</v>
      </c>
      <c r="DS60" s="10">
        <v>961.4</v>
      </c>
      <c r="DT60" s="10">
        <v>2</v>
      </c>
      <c r="DU60" s="10">
        <v>0</v>
      </c>
      <c r="DV60" s="10">
        <v>20518</v>
      </c>
      <c r="DW60" s="10">
        <v>1744</v>
      </c>
      <c r="DX60" s="10">
        <v>1</v>
      </c>
      <c r="DY60" s="10">
        <v>0</v>
      </c>
      <c r="DZ60" s="10">
        <v>11311</v>
      </c>
      <c r="EA60" s="10">
        <v>961.4</v>
      </c>
      <c r="EB60" s="10">
        <v>1</v>
      </c>
      <c r="EC60" s="10">
        <v>0</v>
      </c>
      <c r="ED60" s="10">
        <v>11311</v>
      </c>
      <c r="EE60" s="10">
        <v>961.4</v>
      </c>
      <c r="EF60" s="21">
        <v>6</v>
      </c>
      <c r="EG60" s="21">
        <v>0</v>
      </c>
      <c r="EH60" s="21">
        <v>65762</v>
      </c>
      <c r="EI60" s="21">
        <v>5589.8</v>
      </c>
      <c r="EJ60" s="10">
        <v>1</v>
      </c>
      <c r="EK60" s="10">
        <v>0</v>
      </c>
      <c r="EL60" s="10">
        <v>11311</v>
      </c>
      <c r="EM60" s="10">
        <v>961.4</v>
      </c>
      <c r="EN60" s="10">
        <v>2</v>
      </c>
      <c r="EO60" s="10">
        <v>0</v>
      </c>
      <c r="EP60" s="10">
        <v>22622</v>
      </c>
      <c r="EQ60" s="10">
        <v>1922.9</v>
      </c>
      <c r="ER60" s="10">
        <v>1</v>
      </c>
      <c r="ES60" s="10">
        <v>0</v>
      </c>
      <c r="ET60" s="10">
        <v>11311</v>
      </c>
      <c r="EU60" s="10">
        <v>961.4</v>
      </c>
      <c r="EV60" s="10">
        <v>1</v>
      </c>
      <c r="EW60" s="10">
        <v>0</v>
      </c>
      <c r="EX60" s="10">
        <v>11311</v>
      </c>
      <c r="EY60" s="10">
        <v>961.4</v>
      </c>
      <c r="EZ60" s="21">
        <v>5</v>
      </c>
      <c r="FA60" s="21">
        <v>0</v>
      </c>
      <c r="FB60" s="21">
        <v>56555</v>
      </c>
      <c r="FC60" s="21">
        <v>4807.2</v>
      </c>
      <c r="FD60" s="10">
        <v>1</v>
      </c>
      <c r="FE60" s="10">
        <v>0</v>
      </c>
      <c r="FF60" s="10">
        <v>11311</v>
      </c>
      <c r="FG60" s="10">
        <v>961.4</v>
      </c>
      <c r="FH60" s="10">
        <v>0</v>
      </c>
      <c r="FI60" s="10">
        <v>0</v>
      </c>
      <c r="FJ60" s="10">
        <v>0</v>
      </c>
      <c r="FK60" s="10">
        <v>0</v>
      </c>
      <c r="FL60" s="10">
        <v>2</v>
      </c>
      <c r="FM60" s="10">
        <v>0</v>
      </c>
      <c r="FN60" s="10">
        <v>22622</v>
      </c>
      <c r="FO60" s="10">
        <v>1922.9</v>
      </c>
      <c r="FP60" s="10">
        <v>0</v>
      </c>
      <c r="FQ60" s="10">
        <v>0</v>
      </c>
      <c r="FR60" s="10">
        <v>0</v>
      </c>
      <c r="FS60" s="10">
        <v>0</v>
      </c>
      <c r="FT60" s="21">
        <v>3</v>
      </c>
      <c r="FU60" s="21">
        <v>0</v>
      </c>
      <c r="FV60" s="21">
        <v>33933</v>
      </c>
      <c r="FW60" s="21">
        <v>2884.3</v>
      </c>
      <c r="FX60" s="10">
        <v>1</v>
      </c>
      <c r="FY60" s="10">
        <v>0</v>
      </c>
      <c r="FZ60" s="10">
        <v>11311</v>
      </c>
      <c r="GA60" s="10">
        <v>961.4</v>
      </c>
      <c r="GB60" s="10">
        <v>1</v>
      </c>
      <c r="GC60" s="10">
        <v>0</v>
      </c>
      <c r="GD60" s="10">
        <v>11311</v>
      </c>
      <c r="GE60" s="10">
        <v>961.4</v>
      </c>
      <c r="GF60" s="10">
        <v>1</v>
      </c>
      <c r="GG60" s="10">
        <v>0</v>
      </c>
      <c r="GH60" s="10">
        <v>11311</v>
      </c>
      <c r="GI60" s="10">
        <v>961.4</v>
      </c>
      <c r="GJ60" s="10">
        <v>1</v>
      </c>
      <c r="GK60" s="10">
        <v>0</v>
      </c>
      <c r="GL60" s="10">
        <v>11311</v>
      </c>
      <c r="GM60" s="10">
        <v>961.4</v>
      </c>
      <c r="GN60" s="10">
        <v>0</v>
      </c>
      <c r="GO60" s="10">
        <v>0</v>
      </c>
      <c r="GP60" s="10">
        <v>0</v>
      </c>
      <c r="GQ60" s="10">
        <v>0</v>
      </c>
      <c r="GR60" s="21">
        <v>4</v>
      </c>
      <c r="GS60" s="21">
        <v>0</v>
      </c>
      <c r="GT60" s="21">
        <v>45244</v>
      </c>
      <c r="GU60" s="21">
        <v>3845.7</v>
      </c>
      <c r="GV60" s="10">
        <v>0</v>
      </c>
      <c r="GW60" s="10">
        <v>0</v>
      </c>
      <c r="GX60" s="10">
        <v>0</v>
      </c>
      <c r="GY60" s="10">
        <v>0</v>
      </c>
      <c r="GZ60" s="10">
        <v>1</v>
      </c>
      <c r="HA60" s="10">
        <v>0</v>
      </c>
      <c r="HB60" s="10">
        <v>11311</v>
      </c>
      <c r="HC60" s="10">
        <v>961.4</v>
      </c>
      <c r="HD60" s="10">
        <v>0</v>
      </c>
      <c r="HE60" s="10">
        <v>0</v>
      </c>
      <c r="HF60" s="10">
        <v>0</v>
      </c>
      <c r="HG60" s="10">
        <v>0</v>
      </c>
      <c r="HH60" s="10">
        <v>1</v>
      </c>
      <c r="HI60" s="10">
        <v>0</v>
      </c>
      <c r="HJ60" s="10">
        <v>11311</v>
      </c>
      <c r="HK60" s="10">
        <v>961.4</v>
      </c>
      <c r="HL60" s="21">
        <v>2</v>
      </c>
      <c r="HM60" s="21">
        <v>0</v>
      </c>
      <c r="HN60" s="21">
        <v>22622</v>
      </c>
      <c r="HO60" s="21">
        <v>1922.9</v>
      </c>
      <c r="HP60" s="10">
        <v>0</v>
      </c>
      <c r="HQ60" s="10">
        <v>0</v>
      </c>
      <c r="HR60" s="10">
        <v>0</v>
      </c>
      <c r="HS60" s="10">
        <v>0</v>
      </c>
      <c r="HT60" s="10">
        <v>1</v>
      </c>
      <c r="HU60" s="10">
        <v>0</v>
      </c>
      <c r="HV60" s="10">
        <v>11311</v>
      </c>
      <c r="HW60" s="10">
        <v>961.4</v>
      </c>
      <c r="HX60" s="10">
        <v>1</v>
      </c>
      <c r="HY60" s="10">
        <v>0</v>
      </c>
      <c r="HZ60" s="10">
        <v>11311</v>
      </c>
      <c r="IA60" s="10">
        <v>961.4</v>
      </c>
      <c r="IB60" s="10">
        <v>2</v>
      </c>
      <c r="IC60" s="10">
        <v>0</v>
      </c>
      <c r="ID60" s="10">
        <v>20518</v>
      </c>
      <c r="IE60" s="10">
        <v>1744</v>
      </c>
      <c r="IF60" s="21">
        <v>4</v>
      </c>
      <c r="IG60" s="21">
        <v>0</v>
      </c>
      <c r="IH60" s="21">
        <v>43140</v>
      </c>
      <c r="II60" s="21">
        <v>3666.9</v>
      </c>
      <c r="IJ60" s="10">
        <v>0</v>
      </c>
      <c r="IK60" s="10">
        <v>0</v>
      </c>
      <c r="IL60" s="10">
        <v>0</v>
      </c>
      <c r="IM60" s="10">
        <v>0</v>
      </c>
      <c r="IN60" s="10">
        <v>1</v>
      </c>
      <c r="IO60" s="10">
        <v>0</v>
      </c>
      <c r="IP60" s="10">
        <v>11311</v>
      </c>
      <c r="IQ60" s="10">
        <v>961.4</v>
      </c>
      <c r="IR60" s="10">
        <v>1</v>
      </c>
      <c r="IS60" s="10">
        <v>0</v>
      </c>
      <c r="IT60" s="10">
        <v>11311</v>
      </c>
      <c r="IU60" s="10">
        <v>961.4</v>
      </c>
      <c r="IV60" s="10">
        <v>0</v>
      </c>
      <c r="IW60" s="10">
        <v>0</v>
      </c>
      <c r="IX60" s="10">
        <v>0</v>
      </c>
      <c r="IY60" s="10">
        <v>0</v>
      </c>
      <c r="IZ60" s="10">
        <v>1</v>
      </c>
      <c r="JA60" s="10">
        <v>0</v>
      </c>
      <c r="JB60" s="10">
        <v>11311</v>
      </c>
      <c r="JC60" s="10">
        <v>961.4</v>
      </c>
      <c r="JD60" s="21">
        <v>3</v>
      </c>
      <c r="JE60" s="21">
        <v>0</v>
      </c>
      <c r="JF60" s="21">
        <v>33933</v>
      </c>
      <c r="JG60" s="21">
        <v>2884.3</v>
      </c>
      <c r="JH60" s="10">
        <v>0</v>
      </c>
      <c r="JI60" s="10">
        <v>0</v>
      </c>
      <c r="JJ60" s="10">
        <v>0</v>
      </c>
      <c r="JK60" s="10">
        <v>0</v>
      </c>
      <c r="JL60" s="10">
        <v>1</v>
      </c>
      <c r="JM60" s="10">
        <v>0</v>
      </c>
      <c r="JN60" s="10">
        <v>11311</v>
      </c>
      <c r="JO60" s="10">
        <v>961.4</v>
      </c>
      <c r="JP60" s="10">
        <v>1</v>
      </c>
      <c r="JQ60" s="10">
        <v>0</v>
      </c>
      <c r="JR60" s="10">
        <v>11311</v>
      </c>
      <c r="JS60" s="10">
        <v>961.4</v>
      </c>
      <c r="JT60" s="10">
        <v>1</v>
      </c>
      <c r="JU60" s="10">
        <v>0</v>
      </c>
      <c r="JV60" s="10">
        <v>11311</v>
      </c>
      <c r="JW60" s="10">
        <v>961.4</v>
      </c>
      <c r="JX60" s="21">
        <v>3</v>
      </c>
      <c r="JY60" s="21">
        <v>0</v>
      </c>
      <c r="JZ60" s="21">
        <v>33933</v>
      </c>
      <c r="KA60" s="21">
        <v>2884.3</v>
      </c>
      <c r="KB60" s="10">
        <v>0</v>
      </c>
      <c r="KC60" s="10">
        <v>0</v>
      </c>
      <c r="KD60" s="10">
        <v>0</v>
      </c>
      <c r="KE60" s="10">
        <v>0</v>
      </c>
      <c r="KF60" s="10">
        <v>1</v>
      </c>
      <c r="KG60" s="10">
        <v>0</v>
      </c>
      <c r="KH60" s="10">
        <v>11311</v>
      </c>
      <c r="KI60" s="10">
        <v>961.4</v>
      </c>
      <c r="KJ60" s="10">
        <v>0</v>
      </c>
      <c r="KK60" s="10">
        <v>0</v>
      </c>
      <c r="KL60" s="10">
        <v>0</v>
      </c>
      <c r="KM60" s="10">
        <v>0</v>
      </c>
      <c r="KN60" s="10">
        <v>1</v>
      </c>
      <c r="KO60" s="10">
        <v>0</v>
      </c>
      <c r="KP60" s="10">
        <v>11311</v>
      </c>
      <c r="KQ60" s="10">
        <v>961.4</v>
      </c>
      <c r="KR60" s="21">
        <v>2</v>
      </c>
      <c r="KS60" s="21">
        <v>0</v>
      </c>
      <c r="KT60" s="21">
        <v>22622</v>
      </c>
      <c r="KU60" s="21">
        <v>1922.9</v>
      </c>
      <c r="KV60" s="21">
        <v>49</v>
      </c>
      <c r="KW60" s="21">
        <v>0</v>
      </c>
      <c r="KX60" s="21">
        <v>545548</v>
      </c>
      <c r="KY60" s="21">
        <v>46371.6</v>
      </c>
    </row>
    <row r="61" spans="1:311" ht="16.95" customHeight="1" x14ac:dyDescent="0.4">
      <c r="A61" s="11"/>
      <c r="B61" s="11"/>
      <c r="C61" s="11" t="s">
        <v>150</v>
      </c>
      <c r="D61" s="9">
        <v>0</v>
      </c>
      <c r="E61" s="9">
        <v>0</v>
      </c>
      <c r="F61" s="9">
        <v>0</v>
      </c>
      <c r="G61" s="9">
        <v>0</v>
      </c>
      <c r="H61" s="22">
        <v>0</v>
      </c>
      <c r="I61" s="22"/>
      <c r="J61" s="22">
        <v>0</v>
      </c>
      <c r="K61" s="22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22">
        <v>0</v>
      </c>
      <c r="AC61" s="22"/>
      <c r="AD61" s="22">
        <v>0</v>
      </c>
      <c r="AE61" s="22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22">
        <v>0</v>
      </c>
      <c r="AW61" s="22"/>
      <c r="AX61" s="22">
        <v>0</v>
      </c>
      <c r="AY61" s="22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9">
        <v>1</v>
      </c>
      <c r="BQ61" s="9">
        <v>9207</v>
      </c>
      <c r="BR61" s="9">
        <v>9207</v>
      </c>
      <c r="BS61" s="9">
        <v>782.6</v>
      </c>
      <c r="BT61" s="22">
        <v>1</v>
      </c>
      <c r="BU61" s="22"/>
      <c r="BV61" s="22">
        <v>9207</v>
      </c>
      <c r="BW61" s="22">
        <v>782.6</v>
      </c>
      <c r="BX61" s="9">
        <v>0</v>
      </c>
      <c r="BY61" s="9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22">
        <v>0</v>
      </c>
      <c r="CO61" s="22"/>
      <c r="CP61" s="22">
        <v>0</v>
      </c>
      <c r="CQ61" s="22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22">
        <v>0</v>
      </c>
      <c r="DI61" s="22"/>
      <c r="DJ61" s="22">
        <v>0</v>
      </c>
      <c r="DK61" s="22">
        <v>0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9">
        <v>1</v>
      </c>
      <c r="DU61" s="9">
        <v>9207</v>
      </c>
      <c r="DV61" s="9">
        <v>9207</v>
      </c>
      <c r="DW61" s="9">
        <v>782.6</v>
      </c>
      <c r="DX61" s="9">
        <v>0</v>
      </c>
      <c r="DY61" s="9">
        <v>0</v>
      </c>
      <c r="DZ61" s="9">
        <v>0</v>
      </c>
      <c r="EA61" s="9">
        <v>0</v>
      </c>
      <c r="EB61" s="9">
        <v>0</v>
      </c>
      <c r="EC61" s="9">
        <v>0</v>
      </c>
      <c r="ED61" s="9">
        <v>0</v>
      </c>
      <c r="EE61" s="9">
        <v>0</v>
      </c>
      <c r="EF61" s="22">
        <v>1</v>
      </c>
      <c r="EG61" s="22"/>
      <c r="EH61" s="22">
        <v>9207</v>
      </c>
      <c r="EI61" s="22">
        <v>782.6</v>
      </c>
      <c r="EJ61" s="9">
        <v>0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0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22">
        <v>0</v>
      </c>
      <c r="FA61" s="22"/>
      <c r="FB61" s="22">
        <v>0</v>
      </c>
      <c r="FC61" s="22">
        <v>0</v>
      </c>
      <c r="FD61" s="9">
        <v>0</v>
      </c>
      <c r="FE61" s="9">
        <v>0</v>
      </c>
      <c r="FF61" s="9">
        <v>0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9">
        <v>0</v>
      </c>
      <c r="FM61" s="9">
        <v>0</v>
      </c>
      <c r="FN61" s="9">
        <v>0</v>
      </c>
      <c r="FO61" s="9">
        <v>0</v>
      </c>
      <c r="FP61" s="9">
        <v>0</v>
      </c>
      <c r="FQ61" s="9">
        <v>0</v>
      </c>
      <c r="FR61" s="9">
        <v>0</v>
      </c>
      <c r="FS61" s="9">
        <v>0</v>
      </c>
      <c r="FT61" s="22">
        <v>0</v>
      </c>
      <c r="FU61" s="22"/>
      <c r="FV61" s="22">
        <v>0</v>
      </c>
      <c r="FW61" s="22">
        <v>0</v>
      </c>
      <c r="FX61" s="9">
        <v>0</v>
      </c>
      <c r="FY61" s="9">
        <v>0</v>
      </c>
      <c r="FZ61" s="9">
        <v>0</v>
      </c>
      <c r="GA61" s="9">
        <v>0</v>
      </c>
      <c r="GB61" s="9">
        <v>0</v>
      </c>
      <c r="GC61" s="9">
        <v>0</v>
      </c>
      <c r="GD61" s="9">
        <v>0</v>
      </c>
      <c r="GE61" s="9">
        <v>0</v>
      </c>
      <c r="GF61" s="9">
        <v>0</v>
      </c>
      <c r="GG61" s="9">
        <v>0</v>
      </c>
      <c r="GH61" s="9">
        <v>0</v>
      </c>
      <c r="GI61" s="9">
        <v>0</v>
      </c>
      <c r="GJ61" s="9">
        <v>0</v>
      </c>
      <c r="GK61" s="9">
        <v>0</v>
      </c>
      <c r="GL61" s="9">
        <v>0</v>
      </c>
      <c r="GM61" s="9">
        <v>0</v>
      </c>
      <c r="GN61" s="9">
        <v>0</v>
      </c>
      <c r="GO61" s="9">
        <v>0</v>
      </c>
      <c r="GP61" s="9">
        <v>0</v>
      </c>
      <c r="GQ61" s="9">
        <v>0</v>
      </c>
      <c r="GR61" s="22">
        <v>0</v>
      </c>
      <c r="GS61" s="22"/>
      <c r="GT61" s="22">
        <v>0</v>
      </c>
      <c r="GU61" s="22">
        <v>0</v>
      </c>
      <c r="GV61" s="9">
        <v>0</v>
      </c>
      <c r="GW61" s="9">
        <v>0</v>
      </c>
      <c r="GX61" s="9">
        <v>0</v>
      </c>
      <c r="GY61" s="9">
        <v>0</v>
      </c>
      <c r="GZ61" s="9">
        <v>0</v>
      </c>
      <c r="HA61" s="9">
        <v>0</v>
      </c>
      <c r="HB61" s="9">
        <v>0</v>
      </c>
      <c r="HC61" s="9">
        <v>0</v>
      </c>
      <c r="HD61" s="9">
        <v>0</v>
      </c>
      <c r="HE61" s="9">
        <v>0</v>
      </c>
      <c r="HF61" s="9">
        <v>0</v>
      </c>
      <c r="HG61" s="9">
        <v>0</v>
      </c>
      <c r="HH61" s="9">
        <v>0</v>
      </c>
      <c r="HI61" s="9">
        <v>0</v>
      </c>
      <c r="HJ61" s="9">
        <v>0</v>
      </c>
      <c r="HK61" s="9">
        <v>0</v>
      </c>
      <c r="HL61" s="22">
        <v>0</v>
      </c>
      <c r="HM61" s="22"/>
      <c r="HN61" s="22">
        <v>0</v>
      </c>
      <c r="HO61" s="22">
        <v>0</v>
      </c>
      <c r="HP61" s="9">
        <v>0</v>
      </c>
      <c r="HQ61" s="9">
        <v>0</v>
      </c>
      <c r="HR61" s="9">
        <v>0</v>
      </c>
      <c r="HS61" s="9">
        <v>0</v>
      </c>
      <c r="HT61" s="9">
        <v>0</v>
      </c>
      <c r="HU61" s="9">
        <v>0</v>
      </c>
      <c r="HV61" s="9">
        <v>0</v>
      </c>
      <c r="HW61" s="9">
        <v>0</v>
      </c>
      <c r="HX61" s="9">
        <v>0</v>
      </c>
      <c r="HY61" s="9">
        <v>0</v>
      </c>
      <c r="HZ61" s="9">
        <v>0</v>
      </c>
      <c r="IA61" s="9">
        <v>0</v>
      </c>
      <c r="IB61" s="9">
        <v>1</v>
      </c>
      <c r="IC61" s="9">
        <v>9207</v>
      </c>
      <c r="ID61" s="9">
        <v>9207</v>
      </c>
      <c r="IE61" s="9">
        <v>782.6</v>
      </c>
      <c r="IF61" s="22">
        <v>1</v>
      </c>
      <c r="IG61" s="22"/>
      <c r="IH61" s="22">
        <v>9207</v>
      </c>
      <c r="II61" s="22">
        <v>782.6</v>
      </c>
      <c r="IJ61" s="9">
        <v>0</v>
      </c>
      <c r="IK61" s="9">
        <v>0</v>
      </c>
      <c r="IL61" s="9">
        <v>0</v>
      </c>
      <c r="IM61" s="9">
        <v>0</v>
      </c>
      <c r="IN61" s="9">
        <v>0</v>
      </c>
      <c r="IO61" s="9">
        <v>0</v>
      </c>
      <c r="IP61" s="9">
        <v>0</v>
      </c>
      <c r="IQ61" s="9">
        <v>0</v>
      </c>
      <c r="IR61" s="9">
        <v>0</v>
      </c>
      <c r="IS61" s="9">
        <v>0</v>
      </c>
      <c r="IT61" s="9">
        <v>0</v>
      </c>
      <c r="IU61" s="9">
        <v>0</v>
      </c>
      <c r="IV61" s="9">
        <v>0</v>
      </c>
      <c r="IW61" s="9">
        <v>0</v>
      </c>
      <c r="IX61" s="9">
        <v>0</v>
      </c>
      <c r="IY61" s="9">
        <v>0</v>
      </c>
      <c r="IZ61" s="9">
        <v>0</v>
      </c>
      <c r="JA61" s="9">
        <v>0</v>
      </c>
      <c r="JB61" s="9">
        <v>0</v>
      </c>
      <c r="JC61" s="9">
        <v>0</v>
      </c>
      <c r="JD61" s="22">
        <v>0</v>
      </c>
      <c r="JE61" s="22"/>
      <c r="JF61" s="22">
        <v>0</v>
      </c>
      <c r="JG61" s="22">
        <v>0</v>
      </c>
      <c r="JH61" s="9">
        <v>0</v>
      </c>
      <c r="JI61" s="9">
        <v>0</v>
      </c>
      <c r="JJ61" s="9">
        <v>0</v>
      </c>
      <c r="JK61" s="9">
        <v>0</v>
      </c>
      <c r="JL61" s="9">
        <v>0</v>
      </c>
      <c r="JM61" s="9">
        <v>0</v>
      </c>
      <c r="JN61" s="9">
        <v>0</v>
      </c>
      <c r="JO61" s="9">
        <v>0</v>
      </c>
      <c r="JP61" s="9">
        <v>0</v>
      </c>
      <c r="JQ61" s="9">
        <v>0</v>
      </c>
      <c r="JR61" s="9">
        <v>0</v>
      </c>
      <c r="JS61" s="9">
        <v>0</v>
      </c>
      <c r="JT61" s="9">
        <v>0</v>
      </c>
      <c r="JU61" s="9">
        <v>0</v>
      </c>
      <c r="JV61" s="9">
        <v>0</v>
      </c>
      <c r="JW61" s="9">
        <v>0</v>
      </c>
      <c r="JX61" s="22">
        <v>0</v>
      </c>
      <c r="JY61" s="22"/>
      <c r="JZ61" s="22">
        <v>0</v>
      </c>
      <c r="KA61" s="22">
        <v>0</v>
      </c>
      <c r="KB61" s="9">
        <v>0</v>
      </c>
      <c r="KC61" s="9">
        <v>0</v>
      </c>
      <c r="KD61" s="9">
        <v>0</v>
      </c>
      <c r="KE61" s="9">
        <v>0</v>
      </c>
      <c r="KF61" s="9">
        <v>0</v>
      </c>
      <c r="KG61" s="9">
        <v>0</v>
      </c>
      <c r="KH61" s="9">
        <v>0</v>
      </c>
      <c r="KI61" s="9">
        <v>0</v>
      </c>
      <c r="KJ61" s="9">
        <v>0</v>
      </c>
      <c r="KK61" s="9">
        <v>0</v>
      </c>
      <c r="KL61" s="9">
        <v>0</v>
      </c>
      <c r="KM61" s="9">
        <v>0</v>
      </c>
      <c r="KN61" s="9">
        <v>0</v>
      </c>
      <c r="KO61" s="9">
        <v>0</v>
      </c>
      <c r="KP61" s="9">
        <v>0</v>
      </c>
      <c r="KQ61" s="9">
        <v>0</v>
      </c>
      <c r="KR61" s="22">
        <v>0</v>
      </c>
      <c r="KS61" s="22"/>
      <c r="KT61" s="22">
        <v>0</v>
      </c>
      <c r="KU61" s="22">
        <v>0</v>
      </c>
      <c r="KV61" s="22">
        <v>3</v>
      </c>
      <c r="KW61" s="22"/>
      <c r="KX61" s="22">
        <v>27621</v>
      </c>
      <c r="KY61" s="22">
        <v>2347.8000000000002</v>
      </c>
    </row>
    <row r="62" spans="1:311" ht="16.95" customHeight="1" x14ac:dyDescent="0.4">
      <c r="A62" s="15"/>
      <c r="B62" s="15"/>
      <c r="C62" s="15" t="s">
        <v>64</v>
      </c>
      <c r="D62" s="16">
        <v>0</v>
      </c>
      <c r="E62" s="16">
        <v>0</v>
      </c>
      <c r="F62" s="16">
        <v>0</v>
      </c>
      <c r="G62" s="16">
        <v>0</v>
      </c>
      <c r="H62" s="23">
        <v>0</v>
      </c>
      <c r="I62" s="23"/>
      <c r="J62" s="23">
        <v>0</v>
      </c>
      <c r="K62" s="23">
        <v>0</v>
      </c>
      <c r="L62" s="16">
        <v>1</v>
      </c>
      <c r="M62" s="16">
        <v>10933</v>
      </c>
      <c r="N62" s="16">
        <v>10933</v>
      </c>
      <c r="O62" s="16">
        <v>929.3</v>
      </c>
      <c r="P62" s="16">
        <v>1</v>
      </c>
      <c r="Q62" s="16">
        <v>10933</v>
      </c>
      <c r="R62" s="16">
        <v>10933</v>
      </c>
      <c r="S62" s="16">
        <v>929.3</v>
      </c>
      <c r="T62" s="16">
        <v>1</v>
      </c>
      <c r="U62" s="16">
        <v>10933</v>
      </c>
      <c r="V62" s="16">
        <v>10933</v>
      </c>
      <c r="W62" s="16">
        <v>929.3</v>
      </c>
      <c r="X62" s="16">
        <v>0</v>
      </c>
      <c r="Y62" s="16">
        <v>0</v>
      </c>
      <c r="Z62" s="16">
        <v>0</v>
      </c>
      <c r="AA62" s="16">
        <v>0</v>
      </c>
      <c r="AB62" s="23">
        <v>3</v>
      </c>
      <c r="AC62" s="23"/>
      <c r="AD62" s="23">
        <v>32799</v>
      </c>
      <c r="AE62" s="23">
        <v>2787.9</v>
      </c>
      <c r="AF62" s="16">
        <v>0</v>
      </c>
      <c r="AG62" s="16">
        <v>0</v>
      </c>
      <c r="AH62" s="16">
        <v>0</v>
      </c>
      <c r="AI62" s="16">
        <v>0</v>
      </c>
      <c r="AJ62" s="16">
        <v>1</v>
      </c>
      <c r="AK62" s="16">
        <v>11062</v>
      </c>
      <c r="AL62" s="16">
        <v>11062</v>
      </c>
      <c r="AM62" s="16">
        <v>940.3</v>
      </c>
      <c r="AN62" s="16">
        <v>1</v>
      </c>
      <c r="AO62" s="16">
        <v>11062</v>
      </c>
      <c r="AP62" s="16">
        <v>11062</v>
      </c>
      <c r="AQ62" s="16">
        <v>940.3</v>
      </c>
      <c r="AR62" s="16">
        <v>1</v>
      </c>
      <c r="AS62" s="16">
        <v>11062</v>
      </c>
      <c r="AT62" s="16">
        <v>11062</v>
      </c>
      <c r="AU62" s="16">
        <v>940.3</v>
      </c>
      <c r="AV62" s="23">
        <v>3</v>
      </c>
      <c r="AW62" s="23"/>
      <c r="AX62" s="23">
        <v>33186</v>
      </c>
      <c r="AY62" s="23">
        <v>2820.8</v>
      </c>
      <c r="AZ62" s="16">
        <v>1</v>
      </c>
      <c r="BA62" s="16">
        <v>11062</v>
      </c>
      <c r="BB62" s="16">
        <v>11062</v>
      </c>
      <c r="BC62" s="16">
        <v>940.3</v>
      </c>
      <c r="BD62" s="16">
        <v>1</v>
      </c>
      <c r="BE62" s="16">
        <v>11062</v>
      </c>
      <c r="BF62" s="16">
        <v>11062</v>
      </c>
      <c r="BG62" s="16">
        <v>940.3</v>
      </c>
      <c r="BH62" s="16">
        <v>0</v>
      </c>
      <c r="BI62" s="16">
        <v>0</v>
      </c>
      <c r="BJ62" s="16">
        <v>0</v>
      </c>
      <c r="BK62" s="16">
        <v>0</v>
      </c>
      <c r="BL62" s="16">
        <v>1</v>
      </c>
      <c r="BM62" s="16">
        <v>11311</v>
      </c>
      <c r="BN62" s="16">
        <v>11311</v>
      </c>
      <c r="BO62" s="16">
        <v>961.4</v>
      </c>
      <c r="BP62" s="16">
        <v>1</v>
      </c>
      <c r="BQ62" s="16">
        <v>11311</v>
      </c>
      <c r="BR62" s="16">
        <v>11311</v>
      </c>
      <c r="BS62" s="16">
        <v>961.4</v>
      </c>
      <c r="BT62" s="23">
        <v>4</v>
      </c>
      <c r="BU62" s="23"/>
      <c r="BV62" s="23">
        <v>44746</v>
      </c>
      <c r="BW62" s="23">
        <v>3803.4</v>
      </c>
      <c r="BX62" s="16">
        <v>1</v>
      </c>
      <c r="BY62" s="16">
        <v>11311</v>
      </c>
      <c r="BZ62" s="16">
        <v>11311</v>
      </c>
      <c r="CA62" s="16">
        <v>961.4</v>
      </c>
      <c r="CB62" s="16">
        <v>0</v>
      </c>
      <c r="CC62" s="16">
        <v>0</v>
      </c>
      <c r="CD62" s="16">
        <v>0</v>
      </c>
      <c r="CE62" s="16">
        <v>0</v>
      </c>
      <c r="CF62" s="16">
        <v>1</v>
      </c>
      <c r="CG62" s="16">
        <v>11311</v>
      </c>
      <c r="CH62" s="16">
        <v>11311</v>
      </c>
      <c r="CI62" s="16">
        <v>961.4</v>
      </c>
      <c r="CJ62" s="16">
        <v>1</v>
      </c>
      <c r="CK62" s="16">
        <v>11311</v>
      </c>
      <c r="CL62" s="16">
        <v>11311</v>
      </c>
      <c r="CM62" s="16">
        <v>961.4</v>
      </c>
      <c r="CN62" s="23">
        <v>3</v>
      </c>
      <c r="CO62" s="23"/>
      <c r="CP62" s="23">
        <v>33933</v>
      </c>
      <c r="CQ62" s="23">
        <v>2884.3</v>
      </c>
      <c r="CR62" s="16">
        <v>1</v>
      </c>
      <c r="CS62" s="16">
        <v>11311</v>
      </c>
      <c r="CT62" s="16">
        <v>11311</v>
      </c>
      <c r="CU62" s="16">
        <v>961.4</v>
      </c>
      <c r="CV62" s="16">
        <v>1</v>
      </c>
      <c r="CW62" s="16">
        <v>11311</v>
      </c>
      <c r="CX62" s="16">
        <v>11311</v>
      </c>
      <c r="CY62" s="16">
        <v>961.4</v>
      </c>
      <c r="CZ62" s="16">
        <v>0</v>
      </c>
      <c r="DA62" s="16">
        <v>0</v>
      </c>
      <c r="DB62" s="16">
        <v>0</v>
      </c>
      <c r="DC62" s="16">
        <v>0</v>
      </c>
      <c r="DD62" s="16">
        <v>1</v>
      </c>
      <c r="DE62" s="16">
        <v>11311</v>
      </c>
      <c r="DF62" s="16">
        <v>11311</v>
      </c>
      <c r="DG62" s="16">
        <v>961.4</v>
      </c>
      <c r="DH62" s="23">
        <v>3</v>
      </c>
      <c r="DI62" s="23"/>
      <c r="DJ62" s="23">
        <v>33933</v>
      </c>
      <c r="DK62" s="23">
        <v>2884.3</v>
      </c>
      <c r="DL62" s="16">
        <v>1</v>
      </c>
      <c r="DM62" s="16">
        <v>11311</v>
      </c>
      <c r="DN62" s="16">
        <v>11311</v>
      </c>
      <c r="DO62" s="16">
        <v>961.4</v>
      </c>
      <c r="DP62" s="16">
        <v>1</v>
      </c>
      <c r="DQ62" s="16">
        <v>11311</v>
      </c>
      <c r="DR62" s="16">
        <v>11311</v>
      </c>
      <c r="DS62" s="16">
        <v>961.4</v>
      </c>
      <c r="DT62" s="16">
        <v>1</v>
      </c>
      <c r="DU62" s="16">
        <v>11311</v>
      </c>
      <c r="DV62" s="16">
        <v>11311</v>
      </c>
      <c r="DW62" s="16">
        <v>961.4</v>
      </c>
      <c r="DX62" s="16">
        <v>1</v>
      </c>
      <c r="DY62" s="16">
        <v>11311</v>
      </c>
      <c r="DZ62" s="16">
        <v>11311</v>
      </c>
      <c r="EA62" s="16">
        <v>961.4</v>
      </c>
      <c r="EB62" s="16">
        <v>1</v>
      </c>
      <c r="EC62" s="16">
        <v>11311</v>
      </c>
      <c r="ED62" s="16">
        <v>11311</v>
      </c>
      <c r="EE62" s="16">
        <v>961.4</v>
      </c>
      <c r="EF62" s="23">
        <v>5</v>
      </c>
      <c r="EG62" s="23"/>
      <c r="EH62" s="23">
        <v>56555</v>
      </c>
      <c r="EI62" s="23">
        <v>4807.2</v>
      </c>
      <c r="EJ62" s="16">
        <v>1</v>
      </c>
      <c r="EK62" s="16">
        <v>11311</v>
      </c>
      <c r="EL62" s="16">
        <v>11311</v>
      </c>
      <c r="EM62" s="16">
        <v>961.4</v>
      </c>
      <c r="EN62" s="16">
        <v>2</v>
      </c>
      <c r="EO62" s="16">
        <v>11311</v>
      </c>
      <c r="EP62" s="16">
        <v>22622</v>
      </c>
      <c r="EQ62" s="16">
        <v>1922.9</v>
      </c>
      <c r="ER62" s="16">
        <v>1</v>
      </c>
      <c r="ES62" s="16">
        <v>11311</v>
      </c>
      <c r="ET62" s="16">
        <v>11311</v>
      </c>
      <c r="EU62" s="16">
        <v>961.4</v>
      </c>
      <c r="EV62" s="16">
        <v>1</v>
      </c>
      <c r="EW62" s="16">
        <v>11311</v>
      </c>
      <c r="EX62" s="16">
        <v>11311</v>
      </c>
      <c r="EY62" s="16">
        <v>961.4</v>
      </c>
      <c r="EZ62" s="23">
        <v>5</v>
      </c>
      <c r="FA62" s="23"/>
      <c r="FB62" s="23">
        <v>56555</v>
      </c>
      <c r="FC62" s="23">
        <v>4807.2</v>
      </c>
      <c r="FD62" s="16">
        <v>1</v>
      </c>
      <c r="FE62" s="16">
        <v>11311</v>
      </c>
      <c r="FF62" s="16">
        <v>11311</v>
      </c>
      <c r="FG62" s="16">
        <v>961.4</v>
      </c>
      <c r="FH62" s="16">
        <v>0</v>
      </c>
      <c r="FI62" s="16">
        <v>0</v>
      </c>
      <c r="FJ62" s="16">
        <v>0</v>
      </c>
      <c r="FK62" s="16">
        <v>0</v>
      </c>
      <c r="FL62" s="16">
        <v>2</v>
      </c>
      <c r="FM62" s="16">
        <v>11311</v>
      </c>
      <c r="FN62" s="16">
        <v>22622</v>
      </c>
      <c r="FO62" s="16">
        <v>1922.9</v>
      </c>
      <c r="FP62" s="16">
        <v>0</v>
      </c>
      <c r="FQ62" s="16">
        <v>0</v>
      </c>
      <c r="FR62" s="16">
        <v>0</v>
      </c>
      <c r="FS62" s="16">
        <v>0</v>
      </c>
      <c r="FT62" s="23">
        <v>3</v>
      </c>
      <c r="FU62" s="23"/>
      <c r="FV62" s="23">
        <v>33933</v>
      </c>
      <c r="FW62" s="23">
        <v>2884.3</v>
      </c>
      <c r="FX62" s="16">
        <v>1</v>
      </c>
      <c r="FY62" s="16">
        <v>11311</v>
      </c>
      <c r="FZ62" s="16">
        <v>11311</v>
      </c>
      <c r="GA62" s="16">
        <v>961.4</v>
      </c>
      <c r="GB62" s="16">
        <v>1</v>
      </c>
      <c r="GC62" s="16">
        <v>11311</v>
      </c>
      <c r="GD62" s="16">
        <v>11311</v>
      </c>
      <c r="GE62" s="16">
        <v>961.4</v>
      </c>
      <c r="GF62" s="16">
        <v>1</v>
      </c>
      <c r="GG62" s="16">
        <v>11311</v>
      </c>
      <c r="GH62" s="16">
        <v>11311</v>
      </c>
      <c r="GI62" s="16">
        <v>961.4</v>
      </c>
      <c r="GJ62" s="16">
        <v>1</v>
      </c>
      <c r="GK62" s="16">
        <v>11311</v>
      </c>
      <c r="GL62" s="16">
        <v>11311</v>
      </c>
      <c r="GM62" s="16">
        <v>961.4</v>
      </c>
      <c r="GN62" s="16">
        <v>0</v>
      </c>
      <c r="GO62" s="16">
        <v>0</v>
      </c>
      <c r="GP62" s="16">
        <v>0</v>
      </c>
      <c r="GQ62" s="16">
        <v>0</v>
      </c>
      <c r="GR62" s="23">
        <v>4</v>
      </c>
      <c r="GS62" s="23"/>
      <c r="GT62" s="23">
        <v>45244</v>
      </c>
      <c r="GU62" s="23">
        <v>3845.7</v>
      </c>
      <c r="GV62" s="16">
        <v>0</v>
      </c>
      <c r="GW62" s="16">
        <v>0</v>
      </c>
      <c r="GX62" s="16">
        <v>0</v>
      </c>
      <c r="GY62" s="16">
        <v>0</v>
      </c>
      <c r="GZ62" s="16">
        <v>1</v>
      </c>
      <c r="HA62" s="16">
        <v>11311</v>
      </c>
      <c r="HB62" s="16">
        <v>11311</v>
      </c>
      <c r="HC62" s="16">
        <v>961.4</v>
      </c>
      <c r="HD62" s="16">
        <v>0</v>
      </c>
      <c r="HE62" s="16">
        <v>0</v>
      </c>
      <c r="HF62" s="16">
        <v>0</v>
      </c>
      <c r="HG62" s="16">
        <v>0</v>
      </c>
      <c r="HH62" s="16">
        <v>1</v>
      </c>
      <c r="HI62" s="16">
        <v>11311</v>
      </c>
      <c r="HJ62" s="16">
        <v>11311</v>
      </c>
      <c r="HK62" s="16">
        <v>961.4</v>
      </c>
      <c r="HL62" s="23">
        <v>2</v>
      </c>
      <c r="HM62" s="23"/>
      <c r="HN62" s="23">
        <v>22622</v>
      </c>
      <c r="HO62" s="23">
        <v>1922.9</v>
      </c>
      <c r="HP62" s="16">
        <v>0</v>
      </c>
      <c r="HQ62" s="16">
        <v>0</v>
      </c>
      <c r="HR62" s="16">
        <v>0</v>
      </c>
      <c r="HS62" s="16">
        <v>0</v>
      </c>
      <c r="HT62" s="16">
        <v>1</v>
      </c>
      <c r="HU62" s="16">
        <v>11311</v>
      </c>
      <c r="HV62" s="16">
        <v>11311</v>
      </c>
      <c r="HW62" s="16">
        <v>961.4</v>
      </c>
      <c r="HX62" s="16">
        <v>1</v>
      </c>
      <c r="HY62" s="16">
        <v>11311</v>
      </c>
      <c r="HZ62" s="16">
        <v>11311</v>
      </c>
      <c r="IA62" s="16">
        <v>961.4</v>
      </c>
      <c r="IB62" s="16">
        <v>1</v>
      </c>
      <c r="IC62" s="16">
        <v>11311</v>
      </c>
      <c r="ID62" s="16">
        <v>11311</v>
      </c>
      <c r="IE62" s="16">
        <v>961.4</v>
      </c>
      <c r="IF62" s="23">
        <v>3</v>
      </c>
      <c r="IG62" s="23"/>
      <c r="IH62" s="23">
        <v>33933</v>
      </c>
      <c r="II62" s="23">
        <v>2884.3</v>
      </c>
      <c r="IJ62" s="16">
        <v>0</v>
      </c>
      <c r="IK62" s="16">
        <v>0</v>
      </c>
      <c r="IL62" s="16">
        <v>0</v>
      </c>
      <c r="IM62" s="16">
        <v>0</v>
      </c>
      <c r="IN62" s="16">
        <v>1</v>
      </c>
      <c r="IO62" s="16">
        <v>11311</v>
      </c>
      <c r="IP62" s="16">
        <v>11311</v>
      </c>
      <c r="IQ62" s="16">
        <v>961.4</v>
      </c>
      <c r="IR62" s="16">
        <v>1</v>
      </c>
      <c r="IS62" s="16">
        <v>11311</v>
      </c>
      <c r="IT62" s="16">
        <v>11311</v>
      </c>
      <c r="IU62" s="16">
        <v>961.4</v>
      </c>
      <c r="IV62" s="16">
        <v>0</v>
      </c>
      <c r="IW62" s="16">
        <v>0</v>
      </c>
      <c r="IX62" s="16">
        <v>0</v>
      </c>
      <c r="IY62" s="16">
        <v>0</v>
      </c>
      <c r="IZ62" s="16">
        <v>1</v>
      </c>
      <c r="JA62" s="16">
        <v>11311</v>
      </c>
      <c r="JB62" s="16">
        <v>11311</v>
      </c>
      <c r="JC62" s="16">
        <v>961.4</v>
      </c>
      <c r="JD62" s="23">
        <v>3</v>
      </c>
      <c r="JE62" s="23"/>
      <c r="JF62" s="23">
        <v>33933</v>
      </c>
      <c r="JG62" s="23">
        <v>2884.3</v>
      </c>
      <c r="JH62" s="16">
        <v>0</v>
      </c>
      <c r="JI62" s="16">
        <v>0</v>
      </c>
      <c r="JJ62" s="16">
        <v>0</v>
      </c>
      <c r="JK62" s="16">
        <v>0</v>
      </c>
      <c r="JL62" s="16">
        <v>1</v>
      </c>
      <c r="JM62" s="16">
        <v>11311</v>
      </c>
      <c r="JN62" s="16">
        <v>11311</v>
      </c>
      <c r="JO62" s="16">
        <v>961.4</v>
      </c>
      <c r="JP62" s="16">
        <v>1</v>
      </c>
      <c r="JQ62" s="16">
        <v>11311</v>
      </c>
      <c r="JR62" s="16">
        <v>11311</v>
      </c>
      <c r="JS62" s="16">
        <v>961.4</v>
      </c>
      <c r="JT62" s="16">
        <v>1</v>
      </c>
      <c r="JU62" s="16">
        <v>11311</v>
      </c>
      <c r="JV62" s="16">
        <v>11311</v>
      </c>
      <c r="JW62" s="16">
        <v>961.4</v>
      </c>
      <c r="JX62" s="23">
        <v>3</v>
      </c>
      <c r="JY62" s="23"/>
      <c r="JZ62" s="23">
        <v>33933</v>
      </c>
      <c r="KA62" s="23">
        <v>2884.3</v>
      </c>
      <c r="KB62" s="16">
        <v>0</v>
      </c>
      <c r="KC62" s="16">
        <v>0</v>
      </c>
      <c r="KD62" s="16">
        <v>0</v>
      </c>
      <c r="KE62" s="16">
        <v>0</v>
      </c>
      <c r="KF62" s="16">
        <v>1</v>
      </c>
      <c r="KG62" s="16">
        <v>11311</v>
      </c>
      <c r="KH62" s="16">
        <v>11311</v>
      </c>
      <c r="KI62" s="16">
        <v>961.4</v>
      </c>
      <c r="KJ62" s="16">
        <v>0</v>
      </c>
      <c r="KK62" s="16">
        <v>0</v>
      </c>
      <c r="KL62" s="16">
        <v>0</v>
      </c>
      <c r="KM62" s="16">
        <v>0</v>
      </c>
      <c r="KN62" s="16">
        <v>1</v>
      </c>
      <c r="KO62" s="16">
        <v>11311</v>
      </c>
      <c r="KP62" s="16">
        <v>11311</v>
      </c>
      <c r="KQ62" s="16">
        <v>961.4</v>
      </c>
      <c r="KR62" s="23">
        <v>2</v>
      </c>
      <c r="KS62" s="23"/>
      <c r="KT62" s="23">
        <v>22622</v>
      </c>
      <c r="KU62" s="23">
        <v>1922.9</v>
      </c>
      <c r="KV62" s="23">
        <v>46</v>
      </c>
      <c r="KW62" s="23"/>
      <c r="KX62" s="23">
        <v>517927</v>
      </c>
      <c r="KY62" s="23">
        <v>44023.8</v>
      </c>
    </row>
    <row r="63" spans="1:311" ht="16.95" customHeight="1" x14ac:dyDescent="0.4">
      <c r="A63" s="7" t="s">
        <v>14</v>
      </c>
      <c r="B63" s="7" t="s">
        <v>395</v>
      </c>
      <c r="C63" s="7"/>
      <c r="D63" s="8">
        <v>59.4</v>
      </c>
      <c r="E63" s="8">
        <v>0</v>
      </c>
      <c r="F63" s="8">
        <v>1094562</v>
      </c>
      <c r="G63" s="8">
        <v>93037.8</v>
      </c>
      <c r="H63" s="20">
        <v>59.4</v>
      </c>
      <c r="I63" s="20">
        <v>0</v>
      </c>
      <c r="J63" s="20">
        <v>1094562</v>
      </c>
      <c r="K63" s="20">
        <v>93037.8</v>
      </c>
      <c r="L63" s="8">
        <v>208.60000000000002</v>
      </c>
      <c r="M63" s="8">
        <v>0</v>
      </c>
      <c r="N63" s="8">
        <v>3752040</v>
      </c>
      <c r="O63" s="8">
        <v>318923.40000000002</v>
      </c>
      <c r="P63" s="8">
        <v>218.6</v>
      </c>
      <c r="Q63" s="8">
        <v>0</v>
      </c>
      <c r="R63" s="8">
        <v>3850823</v>
      </c>
      <c r="S63" s="8">
        <v>327320</v>
      </c>
      <c r="T63" s="8">
        <v>184.6</v>
      </c>
      <c r="U63" s="8">
        <v>0</v>
      </c>
      <c r="V63" s="8">
        <v>3295240</v>
      </c>
      <c r="W63" s="8">
        <v>280095.40000000002</v>
      </c>
      <c r="X63" s="8">
        <v>81.099999999999994</v>
      </c>
      <c r="Y63" s="8">
        <v>0</v>
      </c>
      <c r="Z63" s="8">
        <v>1774541</v>
      </c>
      <c r="AA63" s="8">
        <v>150836</v>
      </c>
      <c r="AB63" s="20">
        <v>692.90000000000009</v>
      </c>
      <c r="AC63" s="20">
        <v>0</v>
      </c>
      <c r="AD63" s="20">
        <v>12672644</v>
      </c>
      <c r="AE63" s="20">
        <v>1077174.7</v>
      </c>
      <c r="AF63" s="8">
        <v>216.20000000000002</v>
      </c>
      <c r="AG63" s="8">
        <v>0</v>
      </c>
      <c r="AH63" s="8">
        <v>3745145</v>
      </c>
      <c r="AI63" s="8">
        <v>318337.3</v>
      </c>
      <c r="AJ63" s="8">
        <v>199.5</v>
      </c>
      <c r="AK63" s="8">
        <v>0</v>
      </c>
      <c r="AL63" s="8">
        <v>3481753</v>
      </c>
      <c r="AM63" s="8">
        <v>295949</v>
      </c>
      <c r="AN63" s="8">
        <v>199.7</v>
      </c>
      <c r="AO63" s="8">
        <v>0</v>
      </c>
      <c r="AP63" s="8">
        <v>3780488</v>
      </c>
      <c r="AQ63" s="8">
        <v>321341.5</v>
      </c>
      <c r="AR63" s="8">
        <v>231.90000000000003</v>
      </c>
      <c r="AS63" s="8">
        <v>0</v>
      </c>
      <c r="AT63" s="8">
        <v>4805065</v>
      </c>
      <c r="AU63" s="8">
        <v>408430.5</v>
      </c>
      <c r="AV63" s="20">
        <v>847.30000000000007</v>
      </c>
      <c r="AW63" s="20">
        <v>0</v>
      </c>
      <c r="AX63" s="20">
        <v>15812451</v>
      </c>
      <c r="AY63" s="20">
        <v>1344058.3</v>
      </c>
      <c r="AZ63" s="8">
        <v>210.2</v>
      </c>
      <c r="BA63" s="8">
        <v>0</v>
      </c>
      <c r="BB63" s="8">
        <v>4021221</v>
      </c>
      <c r="BC63" s="8">
        <v>341803.8</v>
      </c>
      <c r="BD63" s="8">
        <v>230.3</v>
      </c>
      <c r="BE63" s="8">
        <v>0</v>
      </c>
      <c r="BF63" s="8">
        <v>3954200</v>
      </c>
      <c r="BG63" s="8">
        <v>336107</v>
      </c>
      <c r="BH63" s="8">
        <v>227.1</v>
      </c>
      <c r="BI63" s="8">
        <v>0</v>
      </c>
      <c r="BJ63" s="8">
        <v>4636000</v>
      </c>
      <c r="BK63" s="8">
        <v>394060</v>
      </c>
      <c r="BL63" s="8">
        <v>236.1</v>
      </c>
      <c r="BM63" s="8">
        <v>0</v>
      </c>
      <c r="BN63" s="8">
        <v>4895109</v>
      </c>
      <c r="BO63" s="8">
        <v>416084.3</v>
      </c>
      <c r="BP63" s="8">
        <v>214.50000000000003</v>
      </c>
      <c r="BQ63" s="8">
        <v>0</v>
      </c>
      <c r="BR63" s="8">
        <v>4245896</v>
      </c>
      <c r="BS63" s="8">
        <v>360901.2</v>
      </c>
      <c r="BT63" s="20">
        <v>1118.2</v>
      </c>
      <c r="BU63" s="20">
        <v>0</v>
      </c>
      <c r="BV63" s="20">
        <v>21752426</v>
      </c>
      <c r="BW63" s="20">
        <v>1848956.2</v>
      </c>
      <c r="BX63" s="8">
        <v>253.29999999999998</v>
      </c>
      <c r="BY63" s="8">
        <v>0</v>
      </c>
      <c r="BZ63" s="8">
        <v>4892318</v>
      </c>
      <c r="CA63" s="8">
        <v>415847</v>
      </c>
      <c r="CB63" s="8">
        <v>231.6</v>
      </c>
      <c r="CC63" s="8">
        <v>0</v>
      </c>
      <c r="CD63" s="8">
        <v>5143144</v>
      </c>
      <c r="CE63" s="8">
        <v>437167.2</v>
      </c>
      <c r="CF63" s="8">
        <v>286.89999999999998</v>
      </c>
      <c r="CG63" s="8">
        <v>0</v>
      </c>
      <c r="CH63" s="8">
        <v>5920958</v>
      </c>
      <c r="CI63" s="8">
        <v>503281.4</v>
      </c>
      <c r="CJ63" s="8">
        <v>215.79999999999998</v>
      </c>
      <c r="CK63" s="8">
        <v>0</v>
      </c>
      <c r="CL63" s="8">
        <v>4804360</v>
      </c>
      <c r="CM63" s="8">
        <v>408370.6</v>
      </c>
      <c r="CN63" s="20">
        <v>987.59999999999991</v>
      </c>
      <c r="CO63" s="20">
        <v>0</v>
      </c>
      <c r="CP63" s="20">
        <v>20760780</v>
      </c>
      <c r="CQ63" s="20">
        <v>1764666.3</v>
      </c>
      <c r="CR63" s="8">
        <v>163.19999999999999</v>
      </c>
      <c r="CS63" s="8">
        <v>0</v>
      </c>
      <c r="CT63" s="8">
        <v>4086189</v>
      </c>
      <c r="CU63" s="8">
        <v>347326.1</v>
      </c>
      <c r="CV63" s="8">
        <v>249.5</v>
      </c>
      <c r="CW63" s="8">
        <v>0</v>
      </c>
      <c r="CX63" s="8">
        <v>5509446</v>
      </c>
      <c r="CY63" s="8">
        <v>468302.9</v>
      </c>
      <c r="CZ63" s="8">
        <v>301.10000000000002</v>
      </c>
      <c r="DA63" s="8">
        <v>0</v>
      </c>
      <c r="DB63" s="8">
        <v>6070301</v>
      </c>
      <c r="DC63" s="8">
        <v>515975.6</v>
      </c>
      <c r="DD63" s="8">
        <v>287.89999999999998</v>
      </c>
      <c r="DE63" s="8">
        <v>0</v>
      </c>
      <c r="DF63" s="8">
        <v>6292951</v>
      </c>
      <c r="DG63" s="8">
        <v>534900.80000000005</v>
      </c>
      <c r="DH63" s="20">
        <v>1001.7</v>
      </c>
      <c r="DI63" s="20">
        <v>0</v>
      </c>
      <c r="DJ63" s="20">
        <v>21958887</v>
      </c>
      <c r="DK63" s="20">
        <v>1866505.4</v>
      </c>
      <c r="DL63" s="8">
        <v>170.8</v>
      </c>
      <c r="DM63" s="8">
        <v>0</v>
      </c>
      <c r="DN63" s="8">
        <v>4175476</v>
      </c>
      <c r="DO63" s="8">
        <v>354915.5</v>
      </c>
      <c r="DP63" s="8">
        <v>291.3</v>
      </c>
      <c r="DQ63" s="8">
        <v>0</v>
      </c>
      <c r="DR63" s="8">
        <v>7529589</v>
      </c>
      <c r="DS63" s="8">
        <v>640015.1</v>
      </c>
      <c r="DT63" s="8">
        <v>256</v>
      </c>
      <c r="DU63" s="8">
        <v>0</v>
      </c>
      <c r="DV63" s="8">
        <v>5798332</v>
      </c>
      <c r="DW63" s="8">
        <v>492858.2</v>
      </c>
      <c r="DX63" s="8">
        <v>285.79999999999995</v>
      </c>
      <c r="DY63" s="8">
        <v>0</v>
      </c>
      <c r="DZ63" s="8">
        <v>6663293</v>
      </c>
      <c r="EA63" s="8">
        <v>566379.9</v>
      </c>
      <c r="EB63" s="8">
        <v>309.10000000000002</v>
      </c>
      <c r="EC63" s="8">
        <v>0</v>
      </c>
      <c r="ED63" s="8">
        <v>7045636</v>
      </c>
      <c r="EE63" s="8">
        <v>598879.1</v>
      </c>
      <c r="EF63" s="20">
        <v>1313</v>
      </c>
      <c r="EG63" s="20">
        <v>0</v>
      </c>
      <c r="EH63" s="20">
        <v>31212326</v>
      </c>
      <c r="EI63" s="20">
        <v>2653047.7000000002</v>
      </c>
      <c r="EJ63" s="8">
        <v>325.29999999999995</v>
      </c>
      <c r="EK63" s="8">
        <v>0</v>
      </c>
      <c r="EL63" s="8">
        <v>7583954</v>
      </c>
      <c r="EM63" s="8">
        <v>644636.1</v>
      </c>
      <c r="EN63" s="8">
        <v>300.7</v>
      </c>
      <c r="EO63" s="8">
        <v>0</v>
      </c>
      <c r="EP63" s="8">
        <v>6807666</v>
      </c>
      <c r="EQ63" s="8">
        <v>578651.6</v>
      </c>
      <c r="ER63" s="8">
        <v>301.8</v>
      </c>
      <c r="ES63" s="8">
        <v>0</v>
      </c>
      <c r="ET63" s="8">
        <v>7154070</v>
      </c>
      <c r="EU63" s="8">
        <v>608096</v>
      </c>
      <c r="EV63" s="8">
        <v>343.8</v>
      </c>
      <c r="EW63" s="8">
        <v>0</v>
      </c>
      <c r="EX63" s="8">
        <v>8267896</v>
      </c>
      <c r="EY63" s="8">
        <v>702771.19999999995</v>
      </c>
      <c r="EZ63" s="20">
        <v>1271.5999999999999</v>
      </c>
      <c r="FA63" s="20">
        <v>0</v>
      </c>
      <c r="FB63" s="20">
        <v>29813586</v>
      </c>
      <c r="FC63" s="20">
        <v>2534154.7999999998</v>
      </c>
      <c r="FD63" s="8">
        <v>327</v>
      </c>
      <c r="FE63" s="8">
        <v>0</v>
      </c>
      <c r="FF63" s="8">
        <v>7374096</v>
      </c>
      <c r="FG63" s="8">
        <v>626798.19999999995</v>
      </c>
      <c r="FH63" s="8">
        <v>199.8</v>
      </c>
      <c r="FI63" s="8">
        <v>0</v>
      </c>
      <c r="FJ63" s="8">
        <v>5201578</v>
      </c>
      <c r="FK63" s="8">
        <v>442134.1</v>
      </c>
      <c r="FL63" s="8">
        <v>319.3</v>
      </c>
      <c r="FM63" s="8">
        <v>0</v>
      </c>
      <c r="FN63" s="8">
        <v>6689944</v>
      </c>
      <c r="FO63" s="8">
        <v>568645.19999999995</v>
      </c>
      <c r="FP63" s="8">
        <v>266.7</v>
      </c>
      <c r="FQ63" s="8">
        <v>0</v>
      </c>
      <c r="FR63" s="8">
        <v>6613448</v>
      </c>
      <c r="FS63" s="8">
        <v>562143.1</v>
      </c>
      <c r="FT63" s="20">
        <v>1112.8</v>
      </c>
      <c r="FU63" s="20">
        <v>0</v>
      </c>
      <c r="FV63" s="20">
        <v>25879066</v>
      </c>
      <c r="FW63" s="20">
        <v>2199720.6</v>
      </c>
      <c r="FX63" s="8">
        <v>251.9</v>
      </c>
      <c r="FY63" s="8">
        <v>0</v>
      </c>
      <c r="FZ63" s="8">
        <v>5444672</v>
      </c>
      <c r="GA63" s="8">
        <v>462797.1</v>
      </c>
      <c r="GB63" s="8">
        <v>263.2</v>
      </c>
      <c r="GC63" s="8">
        <v>0</v>
      </c>
      <c r="GD63" s="8">
        <v>5507650</v>
      </c>
      <c r="GE63" s="8">
        <v>468150.3</v>
      </c>
      <c r="GF63" s="8">
        <v>217.3</v>
      </c>
      <c r="GG63" s="8">
        <v>0</v>
      </c>
      <c r="GH63" s="8">
        <v>4733018</v>
      </c>
      <c r="GI63" s="8">
        <v>402306.5</v>
      </c>
      <c r="GJ63" s="8">
        <v>237.8</v>
      </c>
      <c r="GK63" s="8">
        <v>0</v>
      </c>
      <c r="GL63" s="8">
        <v>4851850</v>
      </c>
      <c r="GM63" s="8">
        <v>412407.3</v>
      </c>
      <c r="GN63" s="8">
        <v>136.69999999999999</v>
      </c>
      <c r="GO63" s="8">
        <v>0</v>
      </c>
      <c r="GP63" s="8">
        <v>3712828</v>
      </c>
      <c r="GQ63" s="8">
        <v>315590.40000000002</v>
      </c>
      <c r="GR63" s="20">
        <v>1106.9000000000001</v>
      </c>
      <c r="GS63" s="20">
        <v>0</v>
      </c>
      <c r="GT63" s="20">
        <v>24250018</v>
      </c>
      <c r="GU63" s="20">
        <v>2061251.5</v>
      </c>
      <c r="GV63" s="8">
        <v>71.3</v>
      </c>
      <c r="GW63" s="8">
        <v>0</v>
      </c>
      <c r="GX63" s="8">
        <v>1793140</v>
      </c>
      <c r="GY63" s="8">
        <v>152416.9</v>
      </c>
      <c r="GZ63" s="8">
        <v>232</v>
      </c>
      <c r="HA63" s="8">
        <v>0</v>
      </c>
      <c r="HB63" s="8">
        <v>5442146</v>
      </c>
      <c r="HC63" s="8">
        <v>462582.4</v>
      </c>
      <c r="HD63" s="8">
        <v>185.20000000000002</v>
      </c>
      <c r="HE63" s="8">
        <v>0</v>
      </c>
      <c r="HF63" s="8">
        <v>3497678</v>
      </c>
      <c r="HG63" s="8">
        <v>297302.59999999998</v>
      </c>
      <c r="HH63" s="8">
        <v>237.4</v>
      </c>
      <c r="HI63" s="8">
        <v>0</v>
      </c>
      <c r="HJ63" s="8">
        <v>5062930</v>
      </c>
      <c r="HK63" s="8">
        <v>430349.1</v>
      </c>
      <c r="HL63" s="20">
        <v>725.9</v>
      </c>
      <c r="HM63" s="20">
        <v>0</v>
      </c>
      <c r="HN63" s="20">
        <v>15795894</v>
      </c>
      <c r="HO63" s="20">
        <v>1342651</v>
      </c>
      <c r="HP63" s="8">
        <v>187.5</v>
      </c>
      <c r="HQ63" s="8">
        <v>0</v>
      </c>
      <c r="HR63" s="8">
        <v>4047996</v>
      </c>
      <c r="HS63" s="8">
        <v>344079.7</v>
      </c>
      <c r="HT63" s="8">
        <v>184.5</v>
      </c>
      <c r="HU63" s="8">
        <v>0</v>
      </c>
      <c r="HV63" s="8">
        <v>3488168</v>
      </c>
      <c r="HW63" s="8">
        <v>296494.3</v>
      </c>
      <c r="HX63" s="8">
        <v>211.2</v>
      </c>
      <c r="HY63" s="8">
        <v>0</v>
      </c>
      <c r="HZ63" s="8">
        <v>4190552</v>
      </c>
      <c r="IA63" s="8">
        <v>356196.9</v>
      </c>
      <c r="IB63" s="8">
        <v>205.3</v>
      </c>
      <c r="IC63" s="8">
        <v>0</v>
      </c>
      <c r="ID63" s="8">
        <v>3879058</v>
      </c>
      <c r="IE63" s="8">
        <v>329719.90000000002</v>
      </c>
      <c r="IF63" s="20">
        <v>788.5</v>
      </c>
      <c r="IG63" s="20">
        <v>0</v>
      </c>
      <c r="IH63" s="20">
        <v>15605774</v>
      </c>
      <c r="II63" s="20">
        <v>1326490.8</v>
      </c>
      <c r="IJ63" s="8">
        <v>197.6</v>
      </c>
      <c r="IK63" s="8">
        <v>0</v>
      </c>
      <c r="IL63" s="8">
        <v>3465130</v>
      </c>
      <c r="IM63" s="8">
        <v>294536.09999999998</v>
      </c>
      <c r="IN63" s="8">
        <v>188</v>
      </c>
      <c r="IO63" s="8">
        <v>0</v>
      </c>
      <c r="IP63" s="8">
        <v>3793310</v>
      </c>
      <c r="IQ63" s="8">
        <v>322431.40000000002</v>
      </c>
      <c r="IR63" s="8">
        <v>199.10000000000002</v>
      </c>
      <c r="IS63" s="8">
        <v>0</v>
      </c>
      <c r="IT63" s="8">
        <v>3736022</v>
      </c>
      <c r="IU63" s="8">
        <v>317561.90000000002</v>
      </c>
      <c r="IV63" s="8">
        <v>142.19999999999999</v>
      </c>
      <c r="IW63" s="8">
        <v>0</v>
      </c>
      <c r="IX63" s="8">
        <v>2323360</v>
      </c>
      <c r="IY63" s="8">
        <v>197485.6</v>
      </c>
      <c r="IZ63" s="8">
        <v>133</v>
      </c>
      <c r="JA63" s="8">
        <v>0</v>
      </c>
      <c r="JB63" s="8">
        <v>2725686</v>
      </c>
      <c r="JC63" s="8">
        <v>231683.3</v>
      </c>
      <c r="JD63" s="20">
        <v>859.90000000000009</v>
      </c>
      <c r="JE63" s="20">
        <v>0</v>
      </c>
      <c r="JF63" s="20">
        <v>16043508</v>
      </c>
      <c r="JG63" s="20">
        <v>1363698.2</v>
      </c>
      <c r="JH63" s="8">
        <v>165.4</v>
      </c>
      <c r="JI63" s="8">
        <v>0</v>
      </c>
      <c r="JJ63" s="8">
        <v>2942594</v>
      </c>
      <c r="JK63" s="8">
        <v>250120.5</v>
      </c>
      <c r="JL63" s="8">
        <v>205.5</v>
      </c>
      <c r="JM63" s="8">
        <v>0</v>
      </c>
      <c r="JN63" s="8">
        <v>3628818</v>
      </c>
      <c r="JO63" s="8">
        <v>308449.5</v>
      </c>
      <c r="JP63" s="8">
        <v>221.79999999999998</v>
      </c>
      <c r="JQ63" s="8">
        <v>0</v>
      </c>
      <c r="JR63" s="8">
        <v>3570990</v>
      </c>
      <c r="JS63" s="8">
        <v>303534.2</v>
      </c>
      <c r="JT63" s="8">
        <v>177.9</v>
      </c>
      <c r="JU63" s="8">
        <v>0</v>
      </c>
      <c r="JV63" s="8">
        <v>3771130</v>
      </c>
      <c r="JW63" s="8">
        <v>320546.09999999998</v>
      </c>
      <c r="JX63" s="20">
        <v>770.59999999999991</v>
      </c>
      <c r="JY63" s="20">
        <v>0</v>
      </c>
      <c r="JZ63" s="20">
        <v>13913532</v>
      </c>
      <c r="KA63" s="20">
        <v>1182650.2</v>
      </c>
      <c r="KB63" s="8">
        <v>201.3</v>
      </c>
      <c r="KC63" s="8">
        <v>0</v>
      </c>
      <c r="KD63" s="8">
        <v>3579626</v>
      </c>
      <c r="KE63" s="8">
        <v>304268.2</v>
      </c>
      <c r="KF63" s="8">
        <v>183.9</v>
      </c>
      <c r="KG63" s="8">
        <v>0</v>
      </c>
      <c r="KH63" s="8">
        <v>3327862</v>
      </c>
      <c r="KI63" s="8">
        <v>282868.3</v>
      </c>
      <c r="KJ63" s="8">
        <v>62.7</v>
      </c>
      <c r="KK63" s="8">
        <v>0</v>
      </c>
      <c r="KL63" s="8">
        <v>1100378</v>
      </c>
      <c r="KM63" s="8">
        <v>93532.1</v>
      </c>
      <c r="KN63" s="8">
        <v>215.7</v>
      </c>
      <c r="KO63" s="8">
        <v>0</v>
      </c>
      <c r="KP63" s="8">
        <v>4848704</v>
      </c>
      <c r="KQ63" s="8">
        <v>412139.8</v>
      </c>
      <c r="KR63" s="20">
        <v>663.6</v>
      </c>
      <c r="KS63" s="20">
        <v>0</v>
      </c>
      <c r="KT63" s="20">
        <v>12856570</v>
      </c>
      <c r="KU63" s="20">
        <v>1092808.5</v>
      </c>
      <c r="KV63" s="20">
        <v>13319.900000000001</v>
      </c>
      <c r="KW63" s="20">
        <v>0</v>
      </c>
      <c r="KX63" s="20">
        <v>279422024</v>
      </c>
      <c r="KY63" s="20">
        <v>23750872</v>
      </c>
    </row>
    <row r="64" spans="1:311" ht="16.95" customHeight="1" x14ac:dyDescent="0.4">
      <c r="A64" s="12"/>
      <c r="B64" s="12" t="s">
        <v>294</v>
      </c>
      <c r="C64" s="12" t="s">
        <v>395</v>
      </c>
      <c r="D64" s="10">
        <v>0</v>
      </c>
      <c r="E64" s="10">
        <v>0</v>
      </c>
      <c r="F64" s="10">
        <v>0</v>
      </c>
      <c r="G64" s="10">
        <v>0</v>
      </c>
      <c r="H64" s="21">
        <v>0</v>
      </c>
      <c r="I64" s="21">
        <v>0</v>
      </c>
      <c r="J64" s="21">
        <v>0</v>
      </c>
      <c r="K64" s="21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21">
        <v>0</v>
      </c>
      <c r="AC64" s="21">
        <v>0</v>
      </c>
      <c r="AD64" s="21">
        <v>0</v>
      </c>
      <c r="AE64" s="21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21">
        <v>0</v>
      </c>
      <c r="AW64" s="21">
        <v>0</v>
      </c>
      <c r="AX64" s="21">
        <v>0</v>
      </c>
      <c r="AY64" s="21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21">
        <v>0</v>
      </c>
      <c r="BU64" s="21">
        <v>0</v>
      </c>
      <c r="BV64" s="21">
        <v>0</v>
      </c>
      <c r="BW64" s="21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21">
        <v>0</v>
      </c>
      <c r="CO64" s="21">
        <v>0</v>
      </c>
      <c r="CP64" s="21">
        <v>0</v>
      </c>
      <c r="CQ64" s="21">
        <v>0</v>
      </c>
      <c r="CR64" s="10">
        <v>0</v>
      </c>
      <c r="CS64" s="10">
        <v>0</v>
      </c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21">
        <v>0</v>
      </c>
      <c r="DI64" s="21">
        <v>0</v>
      </c>
      <c r="DJ64" s="21">
        <v>0</v>
      </c>
      <c r="DK64" s="21">
        <v>0</v>
      </c>
      <c r="DL64" s="10">
        <v>0</v>
      </c>
      <c r="DM64" s="10">
        <v>0</v>
      </c>
      <c r="DN64" s="10">
        <v>0</v>
      </c>
      <c r="DO64" s="10">
        <v>0</v>
      </c>
      <c r="DP64" s="10">
        <v>0</v>
      </c>
      <c r="DQ64" s="10">
        <v>0</v>
      </c>
      <c r="DR64" s="10">
        <v>0</v>
      </c>
      <c r="DS64" s="10">
        <v>0</v>
      </c>
      <c r="DT64" s="10">
        <v>0</v>
      </c>
      <c r="DU64" s="10">
        <v>0</v>
      </c>
      <c r="DV64" s="10">
        <v>0</v>
      </c>
      <c r="DW64" s="10">
        <v>0</v>
      </c>
      <c r="DX64" s="10">
        <v>0</v>
      </c>
      <c r="DY64" s="10">
        <v>0</v>
      </c>
      <c r="DZ64" s="10">
        <v>0</v>
      </c>
      <c r="EA64" s="10">
        <v>0</v>
      </c>
      <c r="EB64" s="10">
        <v>0</v>
      </c>
      <c r="EC64" s="10">
        <v>0</v>
      </c>
      <c r="ED64" s="10">
        <v>0</v>
      </c>
      <c r="EE64" s="10">
        <v>0</v>
      </c>
      <c r="EF64" s="21">
        <v>0</v>
      </c>
      <c r="EG64" s="21">
        <v>0</v>
      </c>
      <c r="EH64" s="21">
        <v>0</v>
      </c>
      <c r="EI64" s="21">
        <v>0</v>
      </c>
      <c r="EJ64" s="10"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10">
        <v>0</v>
      </c>
      <c r="EU64" s="10">
        <v>0</v>
      </c>
      <c r="EV64" s="10">
        <v>0</v>
      </c>
      <c r="EW64" s="10">
        <v>0</v>
      </c>
      <c r="EX64" s="10">
        <v>0</v>
      </c>
      <c r="EY64" s="10">
        <v>0</v>
      </c>
      <c r="EZ64" s="21">
        <v>0</v>
      </c>
      <c r="FA64" s="21">
        <v>0</v>
      </c>
      <c r="FB64" s="21">
        <v>0</v>
      </c>
      <c r="FC64" s="21">
        <v>0</v>
      </c>
      <c r="FD64" s="10">
        <v>0</v>
      </c>
      <c r="FE64" s="10">
        <v>0</v>
      </c>
      <c r="FF64" s="10">
        <v>0</v>
      </c>
      <c r="FG64" s="10">
        <v>0</v>
      </c>
      <c r="FH64" s="10">
        <v>0</v>
      </c>
      <c r="FI64" s="10">
        <v>0</v>
      </c>
      <c r="FJ64" s="10">
        <v>0</v>
      </c>
      <c r="FK64" s="10">
        <v>0</v>
      </c>
      <c r="FL64" s="10">
        <v>0</v>
      </c>
      <c r="FM64" s="10">
        <v>0</v>
      </c>
      <c r="FN64" s="10">
        <v>0</v>
      </c>
      <c r="FO64" s="10">
        <v>0</v>
      </c>
      <c r="FP64" s="10">
        <v>0</v>
      </c>
      <c r="FQ64" s="10">
        <v>0</v>
      </c>
      <c r="FR64" s="10">
        <v>0</v>
      </c>
      <c r="FS64" s="10">
        <v>0</v>
      </c>
      <c r="FT64" s="21">
        <v>0</v>
      </c>
      <c r="FU64" s="21">
        <v>0</v>
      </c>
      <c r="FV64" s="21">
        <v>0</v>
      </c>
      <c r="FW64" s="21">
        <v>0</v>
      </c>
      <c r="FX64" s="10">
        <v>0</v>
      </c>
      <c r="FY64" s="10">
        <v>0</v>
      </c>
      <c r="FZ64" s="10">
        <v>0</v>
      </c>
      <c r="GA64" s="10">
        <v>0</v>
      </c>
      <c r="GB64" s="10">
        <v>0</v>
      </c>
      <c r="GC64" s="10">
        <v>0</v>
      </c>
      <c r="GD64" s="10">
        <v>0</v>
      </c>
      <c r="GE64" s="10">
        <v>0</v>
      </c>
      <c r="GF64" s="10">
        <v>0</v>
      </c>
      <c r="GG64" s="10">
        <v>0</v>
      </c>
      <c r="GH64" s="10">
        <v>0</v>
      </c>
      <c r="GI64" s="10">
        <v>0</v>
      </c>
      <c r="GJ64" s="10">
        <v>0</v>
      </c>
      <c r="GK64" s="10">
        <v>0</v>
      </c>
      <c r="GL64" s="10">
        <v>0</v>
      </c>
      <c r="GM64" s="10">
        <v>0</v>
      </c>
      <c r="GN64" s="10">
        <v>0</v>
      </c>
      <c r="GO64" s="10">
        <v>0</v>
      </c>
      <c r="GP64" s="10">
        <v>0</v>
      </c>
      <c r="GQ64" s="10">
        <v>0</v>
      </c>
      <c r="GR64" s="21">
        <v>0</v>
      </c>
      <c r="GS64" s="21">
        <v>0</v>
      </c>
      <c r="GT64" s="21">
        <v>0</v>
      </c>
      <c r="GU64" s="21">
        <v>0</v>
      </c>
      <c r="GV64" s="10">
        <v>0</v>
      </c>
      <c r="GW64" s="10">
        <v>0</v>
      </c>
      <c r="GX64" s="10">
        <v>0</v>
      </c>
      <c r="GY64" s="10">
        <v>0</v>
      </c>
      <c r="GZ64" s="10">
        <v>0</v>
      </c>
      <c r="HA64" s="10">
        <v>0</v>
      </c>
      <c r="HB64" s="10">
        <v>0</v>
      </c>
      <c r="HC64" s="10">
        <v>0</v>
      </c>
      <c r="HD64" s="10">
        <v>0</v>
      </c>
      <c r="HE64" s="10">
        <v>0</v>
      </c>
      <c r="HF64" s="10">
        <v>0</v>
      </c>
      <c r="HG64" s="10">
        <v>0</v>
      </c>
      <c r="HH64" s="10">
        <v>0</v>
      </c>
      <c r="HI64" s="10">
        <v>0</v>
      </c>
      <c r="HJ64" s="10">
        <v>0</v>
      </c>
      <c r="HK64" s="10">
        <v>0</v>
      </c>
      <c r="HL64" s="21">
        <v>0</v>
      </c>
      <c r="HM64" s="21">
        <v>0</v>
      </c>
      <c r="HN64" s="21">
        <v>0</v>
      </c>
      <c r="HO64" s="21">
        <v>0</v>
      </c>
      <c r="HP64" s="10">
        <v>0</v>
      </c>
      <c r="HQ64" s="10">
        <v>0</v>
      </c>
      <c r="HR64" s="10">
        <v>0</v>
      </c>
      <c r="HS64" s="10">
        <v>0</v>
      </c>
      <c r="HT64" s="10">
        <v>0</v>
      </c>
      <c r="HU64" s="10">
        <v>0</v>
      </c>
      <c r="HV64" s="10">
        <v>0</v>
      </c>
      <c r="HW64" s="10">
        <v>0</v>
      </c>
      <c r="HX64" s="10">
        <v>0</v>
      </c>
      <c r="HY64" s="10">
        <v>0</v>
      </c>
      <c r="HZ64" s="10">
        <v>0</v>
      </c>
      <c r="IA64" s="10">
        <v>0</v>
      </c>
      <c r="IB64" s="10">
        <v>0</v>
      </c>
      <c r="IC64" s="10">
        <v>0</v>
      </c>
      <c r="ID64" s="10">
        <v>0</v>
      </c>
      <c r="IE64" s="10">
        <v>0</v>
      </c>
      <c r="IF64" s="21">
        <v>0</v>
      </c>
      <c r="IG64" s="21">
        <v>0</v>
      </c>
      <c r="IH64" s="21">
        <v>0</v>
      </c>
      <c r="II64" s="21">
        <v>0</v>
      </c>
      <c r="IJ64" s="10">
        <v>0</v>
      </c>
      <c r="IK64" s="10">
        <v>0</v>
      </c>
      <c r="IL64" s="10">
        <v>0</v>
      </c>
      <c r="IM64" s="10">
        <v>0</v>
      </c>
      <c r="IN64" s="10">
        <v>3</v>
      </c>
      <c r="IO64" s="10">
        <v>0</v>
      </c>
      <c r="IP64" s="10">
        <v>168300</v>
      </c>
      <c r="IQ64" s="10">
        <v>14305.5</v>
      </c>
      <c r="IR64" s="10">
        <v>0</v>
      </c>
      <c r="IS64" s="10">
        <v>0</v>
      </c>
      <c r="IT64" s="10">
        <v>0</v>
      </c>
      <c r="IU64" s="10">
        <v>0</v>
      </c>
      <c r="IV64" s="10">
        <v>0</v>
      </c>
      <c r="IW64" s="10">
        <v>0</v>
      </c>
      <c r="IX64" s="10">
        <v>0</v>
      </c>
      <c r="IY64" s="10">
        <v>0</v>
      </c>
      <c r="IZ64" s="10">
        <v>0</v>
      </c>
      <c r="JA64" s="10">
        <v>0</v>
      </c>
      <c r="JB64" s="10">
        <v>0</v>
      </c>
      <c r="JC64" s="10">
        <v>0</v>
      </c>
      <c r="JD64" s="21">
        <v>3</v>
      </c>
      <c r="JE64" s="21">
        <v>0</v>
      </c>
      <c r="JF64" s="21">
        <v>168300</v>
      </c>
      <c r="JG64" s="21">
        <v>14305.5</v>
      </c>
      <c r="JH64" s="10">
        <v>0</v>
      </c>
      <c r="JI64" s="10">
        <v>0</v>
      </c>
      <c r="JJ64" s="10">
        <v>0</v>
      </c>
      <c r="JK64" s="10">
        <v>0</v>
      </c>
      <c r="JL64" s="10">
        <v>0</v>
      </c>
      <c r="JM64" s="10">
        <v>0</v>
      </c>
      <c r="JN64" s="10">
        <v>0</v>
      </c>
      <c r="JO64" s="10">
        <v>0</v>
      </c>
      <c r="JP64" s="10">
        <v>0</v>
      </c>
      <c r="JQ64" s="10">
        <v>0</v>
      </c>
      <c r="JR64" s="10">
        <v>0</v>
      </c>
      <c r="JS64" s="10">
        <v>0</v>
      </c>
      <c r="JT64" s="10">
        <v>0</v>
      </c>
      <c r="JU64" s="10">
        <v>0</v>
      </c>
      <c r="JV64" s="10">
        <v>0</v>
      </c>
      <c r="JW64" s="10">
        <v>0</v>
      </c>
      <c r="JX64" s="21">
        <v>0</v>
      </c>
      <c r="JY64" s="21">
        <v>0</v>
      </c>
      <c r="JZ64" s="21">
        <v>0</v>
      </c>
      <c r="KA64" s="21">
        <v>0</v>
      </c>
      <c r="KB64" s="10">
        <v>0</v>
      </c>
      <c r="KC64" s="10">
        <v>0</v>
      </c>
      <c r="KD64" s="10">
        <v>0</v>
      </c>
      <c r="KE64" s="10">
        <v>0</v>
      </c>
      <c r="KF64" s="10">
        <v>0</v>
      </c>
      <c r="KG64" s="10">
        <v>0</v>
      </c>
      <c r="KH64" s="10">
        <v>0</v>
      </c>
      <c r="KI64" s="10">
        <v>0</v>
      </c>
      <c r="KJ64" s="10">
        <v>0</v>
      </c>
      <c r="KK64" s="10">
        <v>0</v>
      </c>
      <c r="KL64" s="10">
        <v>0</v>
      </c>
      <c r="KM64" s="10">
        <v>0</v>
      </c>
      <c r="KN64" s="10">
        <v>0</v>
      </c>
      <c r="KO64" s="10">
        <v>0</v>
      </c>
      <c r="KP64" s="10">
        <v>0</v>
      </c>
      <c r="KQ64" s="10">
        <v>0</v>
      </c>
      <c r="KR64" s="21">
        <v>0</v>
      </c>
      <c r="KS64" s="21">
        <v>0</v>
      </c>
      <c r="KT64" s="21">
        <v>0</v>
      </c>
      <c r="KU64" s="21">
        <v>0</v>
      </c>
      <c r="KV64" s="21">
        <v>3</v>
      </c>
      <c r="KW64" s="21">
        <v>0</v>
      </c>
      <c r="KX64" s="21">
        <v>168300</v>
      </c>
      <c r="KY64" s="21">
        <v>14305.5</v>
      </c>
    </row>
    <row r="65" spans="1:311" ht="16.95" customHeight="1" x14ac:dyDescent="0.4">
      <c r="A65" s="11"/>
      <c r="B65" s="11"/>
      <c r="C65" s="11" t="s">
        <v>13</v>
      </c>
      <c r="D65" s="9">
        <v>0</v>
      </c>
      <c r="E65" s="9">
        <v>0</v>
      </c>
      <c r="F65" s="9">
        <v>0</v>
      </c>
      <c r="G65" s="9">
        <v>0</v>
      </c>
      <c r="H65" s="22">
        <v>0</v>
      </c>
      <c r="I65" s="22"/>
      <c r="J65" s="22">
        <v>0</v>
      </c>
      <c r="K65" s="22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22">
        <v>0</v>
      </c>
      <c r="AC65" s="22"/>
      <c r="AD65" s="22">
        <v>0</v>
      </c>
      <c r="AE65" s="22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22">
        <v>0</v>
      </c>
      <c r="AW65" s="22"/>
      <c r="AX65" s="22">
        <v>0</v>
      </c>
      <c r="AY65" s="22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0</v>
      </c>
      <c r="BS65" s="9">
        <v>0</v>
      </c>
      <c r="BT65" s="22">
        <v>0</v>
      </c>
      <c r="BU65" s="22"/>
      <c r="BV65" s="22">
        <v>0</v>
      </c>
      <c r="BW65" s="22">
        <v>0</v>
      </c>
      <c r="BX65" s="9">
        <v>0</v>
      </c>
      <c r="BY65" s="9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22">
        <v>0</v>
      </c>
      <c r="CO65" s="22"/>
      <c r="CP65" s="22">
        <v>0</v>
      </c>
      <c r="CQ65" s="22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22">
        <v>0</v>
      </c>
      <c r="DI65" s="22"/>
      <c r="DJ65" s="22">
        <v>0</v>
      </c>
      <c r="DK65" s="22">
        <v>0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9">
        <v>0</v>
      </c>
      <c r="DU65" s="9">
        <v>0</v>
      </c>
      <c r="DV65" s="9">
        <v>0</v>
      </c>
      <c r="DW65" s="9">
        <v>0</v>
      </c>
      <c r="DX65" s="9">
        <v>0</v>
      </c>
      <c r="DY65" s="9">
        <v>0</v>
      </c>
      <c r="DZ65" s="9">
        <v>0</v>
      </c>
      <c r="EA65" s="9">
        <v>0</v>
      </c>
      <c r="EB65" s="9">
        <v>0</v>
      </c>
      <c r="EC65" s="9">
        <v>0</v>
      </c>
      <c r="ED65" s="9">
        <v>0</v>
      </c>
      <c r="EE65" s="9">
        <v>0</v>
      </c>
      <c r="EF65" s="22">
        <v>0</v>
      </c>
      <c r="EG65" s="22"/>
      <c r="EH65" s="22">
        <v>0</v>
      </c>
      <c r="EI65" s="22">
        <v>0</v>
      </c>
      <c r="EJ65" s="9">
        <v>0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0</v>
      </c>
      <c r="EV65" s="9">
        <v>0</v>
      </c>
      <c r="EW65" s="9">
        <v>0</v>
      </c>
      <c r="EX65" s="9">
        <v>0</v>
      </c>
      <c r="EY65" s="9">
        <v>0</v>
      </c>
      <c r="EZ65" s="22">
        <v>0</v>
      </c>
      <c r="FA65" s="22"/>
      <c r="FB65" s="22">
        <v>0</v>
      </c>
      <c r="FC65" s="22">
        <v>0</v>
      </c>
      <c r="FD65" s="9">
        <v>0</v>
      </c>
      <c r="FE65" s="9">
        <v>0</v>
      </c>
      <c r="FF65" s="9">
        <v>0</v>
      </c>
      <c r="FG65" s="9">
        <v>0</v>
      </c>
      <c r="FH65" s="9">
        <v>0</v>
      </c>
      <c r="FI65" s="9">
        <v>0</v>
      </c>
      <c r="FJ65" s="9">
        <v>0</v>
      </c>
      <c r="FK65" s="9">
        <v>0</v>
      </c>
      <c r="FL65" s="9">
        <v>0</v>
      </c>
      <c r="FM65" s="9">
        <v>0</v>
      </c>
      <c r="FN65" s="9">
        <v>0</v>
      </c>
      <c r="FO65" s="9">
        <v>0</v>
      </c>
      <c r="FP65" s="9">
        <v>0</v>
      </c>
      <c r="FQ65" s="9">
        <v>0</v>
      </c>
      <c r="FR65" s="9">
        <v>0</v>
      </c>
      <c r="FS65" s="9">
        <v>0</v>
      </c>
      <c r="FT65" s="22">
        <v>0</v>
      </c>
      <c r="FU65" s="22"/>
      <c r="FV65" s="22">
        <v>0</v>
      </c>
      <c r="FW65" s="22">
        <v>0</v>
      </c>
      <c r="FX65" s="9">
        <v>0</v>
      </c>
      <c r="FY65" s="9">
        <v>0</v>
      </c>
      <c r="FZ65" s="9">
        <v>0</v>
      </c>
      <c r="GA65" s="9">
        <v>0</v>
      </c>
      <c r="GB65" s="9">
        <v>0</v>
      </c>
      <c r="GC65" s="9">
        <v>0</v>
      </c>
      <c r="GD65" s="9">
        <v>0</v>
      </c>
      <c r="GE65" s="9">
        <v>0</v>
      </c>
      <c r="GF65" s="9">
        <v>0</v>
      </c>
      <c r="GG65" s="9">
        <v>0</v>
      </c>
      <c r="GH65" s="9">
        <v>0</v>
      </c>
      <c r="GI65" s="9">
        <v>0</v>
      </c>
      <c r="GJ65" s="9">
        <v>0</v>
      </c>
      <c r="GK65" s="9">
        <v>0</v>
      </c>
      <c r="GL65" s="9">
        <v>0</v>
      </c>
      <c r="GM65" s="9">
        <v>0</v>
      </c>
      <c r="GN65" s="9">
        <v>0</v>
      </c>
      <c r="GO65" s="9">
        <v>0</v>
      </c>
      <c r="GP65" s="9">
        <v>0</v>
      </c>
      <c r="GQ65" s="9">
        <v>0</v>
      </c>
      <c r="GR65" s="22">
        <v>0</v>
      </c>
      <c r="GS65" s="22"/>
      <c r="GT65" s="22">
        <v>0</v>
      </c>
      <c r="GU65" s="22">
        <v>0</v>
      </c>
      <c r="GV65" s="9">
        <v>0</v>
      </c>
      <c r="GW65" s="9">
        <v>0</v>
      </c>
      <c r="GX65" s="9">
        <v>0</v>
      </c>
      <c r="GY65" s="9">
        <v>0</v>
      </c>
      <c r="GZ65" s="9">
        <v>0</v>
      </c>
      <c r="HA65" s="9">
        <v>0</v>
      </c>
      <c r="HB65" s="9">
        <v>0</v>
      </c>
      <c r="HC65" s="9">
        <v>0</v>
      </c>
      <c r="HD65" s="9">
        <v>0</v>
      </c>
      <c r="HE65" s="9">
        <v>0</v>
      </c>
      <c r="HF65" s="9">
        <v>0</v>
      </c>
      <c r="HG65" s="9">
        <v>0</v>
      </c>
      <c r="HH65" s="9">
        <v>0</v>
      </c>
      <c r="HI65" s="9">
        <v>0</v>
      </c>
      <c r="HJ65" s="9">
        <v>0</v>
      </c>
      <c r="HK65" s="9">
        <v>0</v>
      </c>
      <c r="HL65" s="22">
        <v>0</v>
      </c>
      <c r="HM65" s="22"/>
      <c r="HN65" s="22">
        <v>0</v>
      </c>
      <c r="HO65" s="22">
        <v>0</v>
      </c>
      <c r="HP65" s="9">
        <v>0</v>
      </c>
      <c r="HQ65" s="9">
        <v>0</v>
      </c>
      <c r="HR65" s="9">
        <v>0</v>
      </c>
      <c r="HS65" s="9">
        <v>0</v>
      </c>
      <c r="HT65" s="9">
        <v>0</v>
      </c>
      <c r="HU65" s="9">
        <v>0</v>
      </c>
      <c r="HV65" s="9">
        <v>0</v>
      </c>
      <c r="HW65" s="9">
        <v>0</v>
      </c>
      <c r="HX65" s="9">
        <v>0</v>
      </c>
      <c r="HY65" s="9">
        <v>0</v>
      </c>
      <c r="HZ65" s="9">
        <v>0</v>
      </c>
      <c r="IA65" s="9">
        <v>0</v>
      </c>
      <c r="IB65" s="9">
        <v>0</v>
      </c>
      <c r="IC65" s="9">
        <v>0</v>
      </c>
      <c r="ID65" s="9">
        <v>0</v>
      </c>
      <c r="IE65" s="9">
        <v>0</v>
      </c>
      <c r="IF65" s="22">
        <v>0</v>
      </c>
      <c r="IG65" s="22"/>
      <c r="IH65" s="22">
        <v>0</v>
      </c>
      <c r="II65" s="22">
        <v>0</v>
      </c>
      <c r="IJ65" s="9">
        <v>0</v>
      </c>
      <c r="IK65" s="9">
        <v>0</v>
      </c>
      <c r="IL65" s="9">
        <v>0</v>
      </c>
      <c r="IM65" s="9">
        <v>0</v>
      </c>
      <c r="IN65" s="9">
        <v>1</v>
      </c>
      <c r="IO65" s="9">
        <v>46200</v>
      </c>
      <c r="IP65" s="9">
        <v>46200</v>
      </c>
      <c r="IQ65" s="9">
        <v>3927</v>
      </c>
      <c r="IR65" s="9">
        <v>0</v>
      </c>
      <c r="IS65" s="9">
        <v>0</v>
      </c>
      <c r="IT65" s="9">
        <v>0</v>
      </c>
      <c r="IU65" s="9">
        <v>0</v>
      </c>
      <c r="IV65" s="9">
        <v>0</v>
      </c>
      <c r="IW65" s="9">
        <v>0</v>
      </c>
      <c r="IX65" s="9">
        <v>0</v>
      </c>
      <c r="IY65" s="9">
        <v>0</v>
      </c>
      <c r="IZ65" s="9">
        <v>0</v>
      </c>
      <c r="JA65" s="9">
        <v>0</v>
      </c>
      <c r="JB65" s="9">
        <v>0</v>
      </c>
      <c r="JC65" s="9">
        <v>0</v>
      </c>
      <c r="JD65" s="22">
        <v>1</v>
      </c>
      <c r="JE65" s="22"/>
      <c r="JF65" s="22">
        <v>46200</v>
      </c>
      <c r="JG65" s="22">
        <v>3927</v>
      </c>
      <c r="JH65" s="9">
        <v>0</v>
      </c>
      <c r="JI65" s="9">
        <v>0</v>
      </c>
      <c r="JJ65" s="9">
        <v>0</v>
      </c>
      <c r="JK65" s="9">
        <v>0</v>
      </c>
      <c r="JL65" s="9">
        <v>0</v>
      </c>
      <c r="JM65" s="9">
        <v>0</v>
      </c>
      <c r="JN65" s="9">
        <v>0</v>
      </c>
      <c r="JO65" s="9">
        <v>0</v>
      </c>
      <c r="JP65" s="9">
        <v>0</v>
      </c>
      <c r="JQ65" s="9">
        <v>0</v>
      </c>
      <c r="JR65" s="9">
        <v>0</v>
      </c>
      <c r="JS65" s="9">
        <v>0</v>
      </c>
      <c r="JT65" s="9">
        <v>0</v>
      </c>
      <c r="JU65" s="9">
        <v>0</v>
      </c>
      <c r="JV65" s="9">
        <v>0</v>
      </c>
      <c r="JW65" s="9">
        <v>0</v>
      </c>
      <c r="JX65" s="22">
        <v>0</v>
      </c>
      <c r="JY65" s="22"/>
      <c r="JZ65" s="22">
        <v>0</v>
      </c>
      <c r="KA65" s="22">
        <v>0</v>
      </c>
      <c r="KB65" s="9">
        <v>0</v>
      </c>
      <c r="KC65" s="9">
        <v>0</v>
      </c>
      <c r="KD65" s="9">
        <v>0</v>
      </c>
      <c r="KE65" s="9">
        <v>0</v>
      </c>
      <c r="KF65" s="9">
        <v>0</v>
      </c>
      <c r="KG65" s="9">
        <v>0</v>
      </c>
      <c r="KH65" s="9">
        <v>0</v>
      </c>
      <c r="KI65" s="9">
        <v>0</v>
      </c>
      <c r="KJ65" s="9">
        <v>0</v>
      </c>
      <c r="KK65" s="9">
        <v>0</v>
      </c>
      <c r="KL65" s="9">
        <v>0</v>
      </c>
      <c r="KM65" s="9">
        <v>0</v>
      </c>
      <c r="KN65" s="9">
        <v>0</v>
      </c>
      <c r="KO65" s="9">
        <v>0</v>
      </c>
      <c r="KP65" s="9">
        <v>0</v>
      </c>
      <c r="KQ65" s="9">
        <v>0</v>
      </c>
      <c r="KR65" s="22">
        <v>0</v>
      </c>
      <c r="KS65" s="22"/>
      <c r="KT65" s="22">
        <v>0</v>
      </c>
      <c r="KU65" s="22">
        <v>0</v>
      </c>
      <c r="KV65" s="22">
        <v>1</v>
      </c>
      <c r="KW65" s="22"/>
      <c r="KX65" s="22">
        <v>46200</v>
      </c>
      <c r="KY65" s="22">
        <v>3927</v>
      </c>
    </row>
    <row r="66" spans="1:311" ht="16.95" customHeight="1" x14ac:dyDescent="0.4">
      <c r="A66" s="15"/>
      <c r="B66" s="15"/>
      <c r="C66" s="15" t="s">
        <v>23</v>
      </c>
      <c r="D66" s="16">
        <v>0</v>
      </c>
      <c r="E66" s="16">
        <v>0</v>
      </c>
      <c r="F66" s="16">
        <v>0</v>
      </c>
      <c r="G66" s="16">
        <v>0</v>
      </c>
      <c r="H66" s="23">
        <v>0</v>
      </c>
      <c r="I66" s="23"/>
      <c r="J66" s="23">
        <v>0</v>
      </c>
      <c r="K66" s="23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23">
        <v>0</v>
      </c>
      <c r="AC66" s="23"/>
      <c r="AD66" s="23">
        <v>0</v>
      </c>
      <c r="AE66" s="23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23">
        <v>0</v>
      </c>
      <c r="AW66" s="23"/>
      <c r="AX66" s="23">
        <v>0</v>
      </c>
      <c r="AY66" s="23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23">
        <v>0</v>
      </c>
      <c r="BU66" s="23"/>
      <c r="BV66" s="23">
        <v>0</v>
      </c>
      <c r="BW66" s="23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0</v>
      </c>
      <c r="CI66" s="16">
        <v>0</v>
      </c>
      <c r="CJ66" s="16">
        <v>0</v>
      </c>
      <c r="CK66" s="16">
        <v>0</v>
      </c>
      <c r="CL66" s="16">
        <v>0</v>
      </c>
      <c r="CM66" s="16">
        <v>0</v>
      </c>
      <c r="CN66" s="23">
        <v>0</v>
      </c>
      <c r="CO66" s="23"/>
      <c r="CP66" s="23">
        <v>0</v>
      </c>
      <c r="CQ66" s="23">
        <v>0</v>
      </c>
      <c r="CR66" s="16">
        <v>0</v>
      </c>
      <c r="CS66" s="16">
        <v>0</v>
      </c>
      <c r="CT66" s="16">
        <v>0</v>
      </c>
      <c r="CU66" s="16">
        <v>0</v>
      </c>
      <c r="CV66" s="16">
        <v>0</v>
      </c>
      <c r="CW66" s="16">
        <v>0</v>
      </c>
      <c r="CX66" s="16">
        <v>0</v>
      </c>
      <c r="CY66" s="16">
        <v>0</v>
      </c>
      <c r="CZ66" s="16">
        <v>0</v>
      </c>
      <c r="DA66" s="16">
        <v>0</v>
      </c>
      <c r="DB66" s="16">
        <v>0</v>
      </c>
      <c r="DC66" s="16">
        <v>0</v>
      </c>
      <c r="DD66" s="16">
        <v>0</v>
      </c>
      <c r="DE66" s="16">
        <v>0</v>
      </c>
      <c r="DF66" s="16">
        <v>0</v>
      </c>
      <c r="DG66" s="16">
        <v>0</v>
      </c>
      <c r="DH66" s="23">
        <v>0</v>
      </c>
      <c r="DI66" s="23"/>
      <c r="DJ66" s="23">
        <v>0</v>
      </c>
      <c r="DK66" s="23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0</v>
      </c>
      <c r="DQ66" s="16">
        <v>0</v>
      </c>
      <c r="DR66" s="16">
        <v>0</v>
      </c>
      <c r="DS66" s="16">
        <v>0</v>
      </c>
      <c r="DT66" s="16">
        <v>0</v>
      </c>
      <c r="DU66" s="16">
        <v>0</v>
      </c>
      <c r="DV66" s="16">
        <v>0</v>
      </c>
      <c r="DW66" s="16">
        <v>0</v>
      </c>
      <c r="DX66" s="16">
        <v>0</v>
      </c>
      <c r="DY66" s="16">
        <v>0</v>
      </c>
      <c r="DZ66" s="16">
        <v>0</v>
      </c>
      <c r="EA66" s="16">
        <v>0</v>
      </c>
      <c r="EB66" s="16">
        <v>0</v>
      </c>
      <c r="EC66" s="16">
        <v>0</v>
      </c>
      <c r="ED66" s="16">
        <v>0</v>
      </c>
      <c r="EE66" s="16">
        <v>0</v>
      </c>
      <c r="EF66" s="23">
        <v>0</v>
      </c>
      <c r="EG66" s="23"/>
      <c r="EH66" s="23">
        <v>0</v>
      </c>
      <c r="EI66" s="23">
        <v>0</v>
      </c>
      <c r="EJ66" s="16">
        <v>0</v>
      </c>
      <c r="EK66" s="16">
        <v>0</v>
      </c>
      <c r="EL66" s="16">
        <v>0</v>
      </c>
      <c r="EM66" s="16">
        <v>0</v>
      </c>
      <c r="EN66" s="16">
        <v>0</v>
      </c>
      <c r="EO66" s="16">
        <v>0</v>
      </c>
      <c r="EP66" s="16">
        <v>0</v>
      </c>
      <c r="EQ66" s="16">
        <v>0</v>
      </c>
      <c r="ER66" s="16">
        <v>0</v>
      </c>
      <c r="ES66" s="16">
        <v>0</v>
      </c>
      <c r="ET66" s="16">
        <v>0</v>
      </c>
      <c r="EU66" s="16">
        <v>0</v>
      </c>
      <c r="EV66" s="16">
        <v>0</v>
      </c>
      <c r="EW66" s="16">
        <v>0</v>
      </c>
      <c r="EX66" s="16">
        <v>0</v>
      </c>
      <c r="EY66" s="16">
        <v>0</v>
      </c>
      <c r="EZ66" s="23">
        <v>0</v>
      </c>
      <c r="FA66" s="23"/>
      <c r="FB66" s="23">
        <v>0</v>
      </c>
      <c r="FC66" s="23">
        <v>0</v>
      </c>
      <c r="FD66" s="16">
        <v>0</v>
      </c>
      <c r="FE66" s="16">
        <v>0</v>
      </c>
      <c r="FF66" s="16">
        <v>0</v>
      </c>
      <c r="FG66" s="16">
        <v>0</v>
      </c>
      <c r="FH66" s="16">
        <v>0</v>
      </c>
      <c r="FI66" s="16">
        <v>0</v>
      </c>
      <c r="FJ66" s="16">
        <v>0</v>
      </c>
      <c r="FK66" s="16">
        <v>0</v>
      </c>
      <c r="FL66" s="16">
        <v>0</v>
      </c>
      <c r="FM66" s="16">
        <v>0</v>
      </c>
      <c r="FN66" s="16">
        <v>0</v>
      </c>
      <c r="FO66" s="16">
        <v>0</v>
      </c>
      <c r="FP66" s="16">
        <v>0</v>
      </c>
      <c r="FQ66" s="16">
        <v>0</v>
      </c>
      <c r="FR66" s="16">
        <v>0</v>
      </c>
      <c r="FS66" s="16">
        <v>0</v>
      </c>
      <c r="FT66" s="23">
        <v>0</v>
      </c>
      <c r="FU66" s="23"/>
      <c r="FV66" s="23">
        <v>0</v>
      </c>
      <c r="FW66" s="23">
        <v>0</v>
      </c>
      <c r="FX66" s="16">
        <v>0</v>
      </c>
      <c r="FY66" s="16">
        <v>0</v>
      </c>
      <c r="FZ66" s="16">
        <v>0</v>
      </c>
      <c r="GA66" s="16">
        <v>0</v>
      </c>
      <c r="GB66" s="16">
        <v>0</v>
      </c>
      <c r="GC66" s="16">
        <v>0</v>
      </c>
      <c r="GD66" s="16">
        <v>0</v>
      </c>
      <c r="GE66" s="16">
        <v>0</v>
      </c>
      <c r="GF66" s="16">
        <v>0</v>
      </c>
      <c r="GG66" s="16">
        <v>0</v>
      </c>
      <c r="GH66" s="16">
        <v>0</v>
      </c>
      <c r="GI66" s="16">
        <v>0</v>
      </c>
      <c r="GJ66" s="16">
        <v>0</v>
      </c>
      <c r="GK66" s="16">
        <v>0</v>
      </c>
      <c r="GL66" s="16">
        <v>0</v>
      </c>
      <c r="GM66" s="16">
        <v>0</v>
      </c>
      <c r="GN66" s="16">
        <v>0</v>
      </c>
      <c r="GO66" s="16">
        <v>0</v>
      </c>
      <c r="GP66" s="16">
        <v>0</v>
      </c>
      <c r="GQ66" s="16">
        <v>0</v>
      </c>
      <c r="GR66" s="23">
        <v>0</v>
      </c>
      <c r="GS66" s="23"/>
      <c r="GT66" s="23">
        <v>0</v>
      </c>
      <c r="GU66" s="23">
        <v>0</v>
      </c>
      <c r="GV66" s="16">
        <v>0</v>
      </c>
      <c r="GW66" s="16">
        <v>0</v>
      </c>
      <c r="GX66" s="16">
        <v>0</v>
      </c>
      <c r="GY66" s="16">
        <v>0</v>
      </c>
      <c r="GZ66" s="16">
        <v>0</v>
      </c>
      <c r="HA66" s="16">
        <v>0</v>
      </c>
      <c r="HB66" s="16">
        <v>0</v>
      </c>
      <c r="HC66" s="16">
        <v>0</v>
      </c>
      <c r="HD66" s="16">
        <v>0</v>
      </c>
      <c r="HE66" s="16">
        <v>0</v>
      </c>
      <c r="HF66" s="16">
        <v>0</v>
      </c>
      <c r="HG66" s="16">
        <v>0</v>
      </c>
      <c r="HH66" s="16">
        <v>0</v>
      </c>
      <c r="HI66" s="16">
        <v>0</v>
      </c>
      <c r="HJ66" s="16">
        <v>0</v>
      </c>
      <c r="HK66" s="16">
        <v>0</v>
      </c>
      <c r="HL66" s="23">
        <v>0</v>
      </c>
      <c r="HM66" s="23"/>
      <c r="HN66" s="23">
        <v>0</v>
      </c>
      <c r="HO66" s="23">
        <v>0</v>
      </c>
      <c r="HP66" s="16">
        <v>0</v>
      </c>
      <c r="HQ66" s="16">
        <v>0</v>
      </c>
      <c r="HR66" s="16">
        <v>0</v>
      </c>
      <c r="HS66" s="16">
        <v>0</v>
      </c>
      <c r="HT66" s="16">
        <v>0</v>
      </c>
      <c r="HU66" s="16">
        <v>0</v>
      </c>
      <c r="HV66" s="16">
        <v>0</v>
      </c>
      <c r="HW66" s="16">
        <v>0</v>
      </c>
      <c r="HX66" s="16">
        <v>0</v>
      </c>
      <c r="HY66" s="16">
        <v>0</v>
      </c>
      <c r="HZ66" s="16">
        <v>0</v>
      </c>
      <c r="IA66" s="16">
        <v>0</v>
      </c>
      <c r="IB66" s="16">
        <v>0</v>
      </c>
      <c r="IC66" s="16">
        <v>0</v>
      </c>
      <c r="ID66" s="16">
        <v>0</v>
      </c>
      <c r="IE66" s="16">
        <v>0</v>
      </c>
      <c r="IF66" s="23">
        <v>0</v>
      </c>
      <c r="IG66" s="23"/>
      <c r="IH66" s="23">
        <v>0</v>
      </c>
      <c r="II66" s="23">
        <v>0</v>
      </c>
      <c r="IJ66" s="16">
        <v>0</v>
      </c>
      <c r="IK66" s="16">
        <v>0</v>
      </c>
      <c r="IL66" s="16">
        <v>0</v>
      </c>
      <c r="IM66" s="16">
        <v>0</v>
      </c>
      <c r="IN66" s="16">
        <v>2</v>
      </c>
      <c r="IO66" s="16">
        <v>61050</v>
      </c>
      <c r="IP66" s="16">
        <v>122100</v>
      </c>
      <c r="IQ66" s="16">
        <v>10378.5</v>
      </c>
      <c r="IR66" s="16">
        <v>0</v>
      </c>
      <c r="IS66" s="16">
        <v>0</v>
      </c>
      <c r="IT66" s="16">
        <v>0</v>
      </c>
      <c r="IU66" s="16">
        <v>0</v>
      </c>
      <c r="IV66" s="16">
        <v>0</v>
      </c>
      <c r="IW66" s="16">
        <v>0</v>
      </c>
      <c r="IX66" s="16">
        <v>0</v>
      </c>
      <c r="IY66" s="16">
        <v>0</v>
      </c>
      <c r="IZ66" s="16">
        <v>0</v>
      </c>
      <c r="JA66" s="16">
        <v>0</v>
      </c>
      <c r="JB66" s="16">
        <v>0</v>
      </c>
      <c r="JC66" s="16">
        <v>0</v>
      </c>
      <c r="JD66" s="23">
        <v>2</v>
      </c>
      <c r="JE66" s="23"/>
      <c r="JF66" s="23">
        <v>122100</v>
      </c>
      <c r="JG66" s="23">
        <v>10378.5</v>
      </c>
      <c r="JH66" s="16">
        <v>0</v>
      </c>
      <c r="JI66" s="16">
        <v>0</v>
      </c>
      <c r="JJ66" s="16">
        <v>0</v>
      </c>
      <c r="JK66" s="16">
        <v>0</v>
      </c>
      <c r="JL66" s="16">
        <v>0</v>
      </c>
      <c r="JM66" s="16">
        <v>0</v>
      </c>
      <c r="JN66" s="16">
        <v>0</v>
      </c>
      <c r="JO66" s="16">
        <v>0</v>
      </c>
      <c r="JP66" s="16">
        <v>0</v>
      </c>
      <c r="JQ66" s="16">
        <v>0</v>
      </c>
      <c r="JR66" s="16">
        <v>0</v>
      </c>
      <c r="JS66" s="16">
        <v>0</v>
      </c>
      <c r="JT66" s="16">
        <v>0</v>
      </c>
      <c r="JU66" s="16">
        <v>0</v>
      </c>
      <c r="JV66" s="16">
        <v>0</v>
      </c>
      <c r="JW66" s="16">
        <v>0</v>
      </c>
      <c r="JX66" s="23">
        <v>0</v>
      </c>
      <c r="JY66" s="23"/>
      <c r="JZ66" s="23">
        <v>0</v>
      </c>
      <c r="KA66" s="23">
        <v>0</v>
      </c>
      <c r="KB66" s="16">
        <v>0</v>
      </c>
      <c r="KC66" s="16">
        <v>0</v>
      </c>
      <c r="KD66" s="16">
        <v>0</v>
      </c>
      <c r="KE66" s="16">
        <v>0</v>
      </c>
      <c r="KF66" s="16">
        <v>0</v>
      </c>
      <c r="KG66" s="16">
        <v>0</v>
      </c>
      <c r="KH66" s="16">
        <v>0</v>
      </c>
      <c r="KI66" s="16">
        <v>0</v>
      </c>
      <c r="KJ66" s="16">
        <v>0</v>
      </c>
      <c r="KK66" s="16">
        <v>0</v>
      </c>
      <c r="KL66" s="16">
        <v>0</v>
      </c>
      <c r="KM66" s="16">
        <v>0</v>
      </c>
      <c r="KN66" s="16">
        <v>0</v>
      </c>
      <c r="KO66" s="16">
        <v>0</v>
      </c>
      <c r="KP66" s="16">
        <v>0</v>
      </c>
      <c r="KQ66" s="16">
        <v>0</v>
      </c>
      <c r="KR66" s="23">
        <v>0</v>
      </c>
      <c r="KS66" s="23"/>
      <c r="KT66" s="23">
        <v>0</v>
      </c>
      <c r="KU66" s="23">
        <v>0</v>
      </c>
      <c r="KV66" s="23">
        <v>2</v>
      </c>
      <c r="KW66" s="23"/>
      <c r="KX66" s="23">
        <v>122100</v>
      </c>
      <c r="KY66" s="23">
        <v>10378.5</v>
      </c>
    </row>
    <row r="67" spans="1:311" ht="16.95" customHeight="1" x14ac:dyDescent="0.4">
      <c r="A67" s="12"/>
      <c r="B67" s="12" t="s">
        <v>96</v>
      </c>
      <c r="C67" s="12" t="s">
        <v>395</v>
      </c>
      <c r="D67" s="10">
        <v>0</v>
      </c>
      <c r="E67" s="10">
        <v>0</v>
      </c>
      <c r="F67" s="10">
        <v>0</v>
      </c>
      <c r="G67" s="10">
        <v>0</v>
      </c>
      <c r="H67" s="21">
        <v>0</v>
      </c>
      <c r="I67" s="21">
        <v>0</v>
      </c>
      <c r="J67" s="21">
        <v>0</v>
      </c>
      <c r="K67" s="21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3</v>
      </c>
      <c r="Y67" s="10">
        <v>0</v>
      </c>
      <c r="Z67" s="10">
        <v>270743</v>
      </c>
      <c r="AA67" s="10">
        <v>23013.200000000001</v>
      </c>
      <c r="AB67" s="21">
        <v>3</v>
      </c>
      <c r="AC67" s="21">
        <v>0</v>
      </c>
      <c r="AD67" s="21">
        <v>270743</v>
      </c>
      <c r="AE67" s="21">
        <v>23013.200000000001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21">
        <v>0</v>
      </c>
      <c r="AW67" s="21">
        <v>0</v>
      </c>
      <c r="AX67" s="21">
        <v>0</v>
      </c>
      <c r="AY67" s="21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21">
        <v>0</v>
      </c>
      <c r="BU67" s="21">
        <v>0</v>
      </c>
      <c r="BV67" s="21">
        <v>0</v>
      </c>
      <c r="BW67" s="21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21">
        <v>0</v>
      </c>
      <c r="CO67" s="21">
        <v>0</v>
      </c>
      <c r="CP67" s="21">
        <v>0</v>
      </c>
      <c r="CQ67" s="21">
        <v>0</v>
      </c>
      <c r="CR67" s="10">
        <v>0</v>
      </c>
      <c r="CS67" s="10">
        <v>0</v>
      </c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21">
        <v>0</v>
      </c>
      <c r="DI67" s="21">
        <v>0</v>
      </c>
      <c r="DJ67" s="21">
        <v>0</v>
      </c>
      <c r="DK67" s="21">
        <v>0</v>
      </c>
      <c r="DL67" s="10">
        <v>0</v>
      </c>
      <c r="DM67" s="10">
        <v>0</v>
      </c>
      <c r="DN67" s="10">
        <v>0</v>
      </c>
      <c r="DO67" s="10">
        <v>0</v>
      </c>
      <c r="DP67" s="10">
        <v>0</v>
      </c>
      <c r="DQ67" s="10">
        <v>0</v>
      </c>
      <c r="DR67" s="10">
        <v>0</v>
      </c>
      <c r="DS67" s="10">
        <v>0</v>
      </c>
      <c r="DT67" s="10">
        <v>0</v>
      </c>
      <c r="DU67" s="10">
        <v>0</v>
      </c>
      <c r="DV67" s="10">
        <v>0</v>
      </c>
      <c r="DW67" s="10">
        <v>0</v>
      </c>
      <c r="DX67" s="10">
        <v>0</v>
      </c>
      <c r="DY67" s="10">
        <v>0</v>
      </c>
      <c r="DZ67" s="10">
        <v>0</v>
      </c>
      <c r="EA67" s="10">
        <v>0</v>
      </c>
      <c r="EB67" s="10">
        <v>0</v>
      </c>
      <c r="EC67" s="10">
        <v>0</v>
      </c>
      <c r="ED67" s="10">
        <v>0</v>
      </c>
      <c r="EE67" s="10">
        <v>0</v>
      </c>
      <c r="EF67" s="21">
        <v>0</v>
      </c>
      <c r="EG67" s="21">
        <v>0</v>
      </c>
      <c r="EH67" s="21">
        <v>0</v>
      </c>
      <c r="EI67" s="21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0</v>
      </c>
      <c r="EU67" s="10">
        <v>0</v>
      </c>
      <c r="EV67" s="10">
        <v>0</v>
      </c>
      <c r="EW67" s="10">
        <v>0</v>
      </c>
      <c r="EX67" s="10">
        <v>0</v>
      </c>
      <c r="EY67" s="10">
        <v>0</v>
      </c>
      <c r="EZ67" s="21">
        <v>0</v>
      </c>
      <c r="FA67" s="21">
        <v>0</v>
      </c>
      <c r="FB67" s="21">
        <v>0</v>
      </c>
      <c r="FC67" s="21">
        <v>0</v>
      </c>
      <c r="FD67" s="10">
        <v>0</v>
      </c>
      <c r="FE67" s="10">
        <v>0</v>
      </c>
      <c r="FF67" s="10">
        <v>0</v>
      </c>
      <c r="FG67" s="10">
        <v>0</v>
      </c>
      <c r="FH67" s="10">
        <v>0</v>
      </c>
      <c r="FI67" s="10">
        <v>0</v>
      </c>
      <c r="FJ67" s="10">
        <v>0</v>
      </c>
      <c r="FK67" s="10">
        <v>0</v>
      </c>
      <c r="FL67" s="10">
        <v>0</v>
      </c>
      <c r="FM67" s="10">
        <v>0</v>
      </c>
      <c r="FN67" s="10">
        <v>0</v>
      </c>
      <c r="FO67" s="10">
        <v>0</v>
      </c>
      <c r="FP67" s="10">
        <v>0</v>
      </c>
      <c r="FQ67" s="10">
        <v>0</v>
      </c>
      <c r="FR67" s="10">
        <v>0</v>
      </c>
      <c r="FS67" s="10">
        <v>0</v>
      </c>
      <c r="FT67" s="21">
        <v>0</v>
      </c>
      <c r="FU67" s="21">
        <v>0</v>
      </c>
      <c r="FV67" s="21">
        <v>0</v>
      </c>
      <c r="FW67" s="21">
        <v>0</v>
      </c>
      <c r="FX67" s="10">
        <v>0</v>
      </c>
      <c r="FY67" s="10">
        <v>0</v>
      </c>
      <c r="FZ67" s="10">
        <v>0</v>
      </c>
      <c r="GA67" s="10">
        <v>0</v>
      </c>
      <c r="GB67" s="10">
        <v>0</v>
      </c>
      <c r="GC67" s="10">
        <v>0</v>
      </c>
      <c r="GD67" s="10">
        <v>0</v>
      </c>
      <c r="GE67" s="10">
        <v>0</v>
      </c>
      <c r="GF67" s="10">
        <v>0</v>
      </c>
      <c r="GG67" s="10">
        <v>0</v>
      </c>
      <c r="GH67" s="10">
        <v>0</v>
      </c>
      <c r="GI67" s="10">
        <v>0</v>
      </c>
      <c r="GJ67" s="10">
        <v>0</v>
      </c>
      <c r="GK67" s="10">
        <v>0</v>
      </c>
      <c r="GL67" s="10">
        <v>0</v>
      </c>
      <c r="GM67" s="10">
        <v>0</v>
      </c>
      <c r="GN67" s="10">
        <v>0</v>
      </c>
      <c r="GO67" s="10">
        <v>0</v>
      </c>
      <c r="GP67" s="10">
        <v>0</v>
      </c>
      <c r="GQ67" s="10">
        <v>0</v>
      </c>
      <c r="GR67" s="21">
        <v>0</v>
      </c>
      <c r="GS67" s="21">
        <v>0</v>
      </c>
      <c r="GT67" s="21">
        <v>0</v>
      </c>
      <c r="GU67" s="21">
        <v>0</v>
      </c>
      <c r="GV67" s="10">
        <v>0</v>
      </c>
      <c r="GW67" s="10">
        <v>0</v>
      </c>
      <c r="GX67" s="10">
        <v>0</v>
      </c>
      <c r="GY67" s="10">
        <v>0</v>
      </c>
      <c r="GZ67" s="10">
        <v>0</v>
      </c>
      <c r="HA67" s="10">
        <v>0</v>
      </c>
      <c r="HB67" s="10">
        <v>0</v>
      </c>
      <c r="HC67" s="10">
        <v>0</v>
      </c>
      <c r="HD67" s="10">
        <v>0</v>
      </c>
      <c r="HE67" s="10">
        <v>0</v>
      </c>
      <c r="HF67" s="10">
        <v>0</v>
      </c>
      <c r="HG67" s="10">
        <v>0</v>
      </c>
      <c r="HH67" s="10">
        <v>0</v>
      </c>
      <c r="HI67" s="10">
        <v>0</v>
      </c>
      <c r="HJ67" s="10">
        <v>0</v>
      </c>
      <c r="HK67" s="10">
        <v>0</v>
      </c>
      <c r="HL67" s="21">
        <v>0</v>
      </c>
      <c r="HM67" s="21">
        <v>0</v>
      </c>
      <c r="HN67" s="21">
        <v>0</v>
      </c>
      <c r="HO67" s="21">
        <v>0</v>
      </c>
      <c r="HP67" s="10">
        <v>0</v>
      </c>
      <c r="HQ67" s="10">
        <v>0</v>
      </c>
      <c r="HR67" s="10">
        <v>0</v>
      </c>
      <c r="HS67" s="10">
        <v>0</v>
      </c>
      <c r="HT67" s="10">
        <v>0</v>
      </c>
      <c r="HU67" s="10">
        <v>0</v>
      </c>
      <c r="HV67" s="10">
        <v>0</v>
      </c>
      <c r="HW67" s="10">
        <v>0</v>
      </c>
      <c r="HX67" s="10">
        <v>0</v>
      </c>
      <c r="HY67" s="10">
        <v>0</v>
      </c>
      <c r="HZ67" s="10">
        <v>0</v>
      </c>
      <c r="IA67" s="10">
        <v>0</v>
      </c>
      <c r="IB67" s="10">
        <v>0</v>
      </c>
      <c r="IC67" s="10">
        <v>0</v>
      </c>
      <c r="ID67" s="10">
        <v>0</v>
      </c>
      <c r="IE67" s="10">
        <v>0</v>
      </c>
      <c r="IF67" s="21">
        <v>0</v>
      </c>
      <c r="IG67" s="21">
        <v>0</v>
      </c>
      <c r="IH67" s="21">
        <v>0</v>
      </c>
      <c r="II67" s="21">
        <v>0</v>
      </c>
      <c r="IJ67" s="10">
        <v>0</v>
      </c>
      <c r="IK67" s="10">
        <v>0</v>
      </c>
      <c r="IL67" s="10">
        <v>0</v>
      </c>
      <c r="IM67" s="10">
        <v>0</v>
      </c>
      <c r="IN67" s="10">
        <v>0</v>
      </c>
      <c r="IO67" s="10">
        <v>0</v>
      </c>
      <c r="IP67" s="10">
        <v>0</v>
      </c>
      <c r="IQ67" s="10">
        <v>0</v>
      </c>
      <c r="IR67" s="10">
        <v>0</v>
      </c>
      <c r="IS67" s="10">
        <v>0</v>
      </c>
      <c r="IT67" s="10">
        <v>0</v>
      </c>
      <c r="IU67" s="10">
        <v>0</v>
      </c>
      <c r="IV67" s="10">
        <v>0</v>
      </c>
      <c r="IW67" s="10">
        <v>0</v>
      </c>
      <c r="IX67" s="10">
        <v>0</v>
      </c>
      <c r="IY67" s="10">
        <v>0</v>
      </c>
      <c r="IZ67" s="10">
        <v>0</v>
      </c>
      <c r="JA67" s="10">
        <v>0</v>
      </c>
      <c r="JB67" s="10">
        <v>0</v>
      </c>
      <c r="JC67" s="10">
        <v>0</v>
      </c>
      <c r="JD67" s="21">
        <v>0</v>
      </c>
      <c r="JE67" s="21">
        <v>0</v>
      </c>
      <c r="JF67" s="21">
        <v>0</v>
      </c>
      <c r="JG67" s="21">
        <v>0</v>
      </c>
      <c r="JH67" s="10">
        <v>0</v>
      </c>
      <c r="JI67" s="10">
        <v>0</v>
      </c>
      <c r="JJ67" s="10">
        <v>0</v>
      </c>
      <c r="JK67" s="10">
        <v>0</v>
      </c>
      <c r="JL67" s="10">
        <v>0</v>
      </c>
      <c r="JM67" s="10">
        <v>0</v>
      </c>
      <c r="JN67" s="10">
        <v>0</v>
      </c>
      <c r="JO67" s="10">
        <v>0</v>
      </c>
      <c r="JP67" s="10">
        <v>0</v>
      </c>
      <c r="JQ67" s="10">
        <v>0</v>
      </c>
      <c r="JR67" s="10">
        <v>0</v>
      </c>
      <c r="JS67" s="10">
        <v>0</v>
      </c>
      <c r="JT67" s="10">
        <v>0</v>
      </c>
      <c r="JU67" s="10">
        <v>0</v>
      </c>
      <c r="JV67" s="10">
        <v>0</v>
      </c>
      <c r="JW67" s="10">
        <v>0</v>
      </c>
      <c r="JX67" s="21">
        <v>0</v>
      </c>
      <c r="JY67" s="21">
        <v>0</v>
      </c>
      <c r="JZ67" s="21">
        <v>0</v>
      </c>
      <c r="KA67" s="21">
        <v>0</v>
      </c>
      <c r="KB67" s="10">
        <v>0</v>
      </c>
      <c r="KC67" s="10">
        <v>0</v>
      </c>
      <c r="KD67" s="10">
        <v>0</v>
      </c>
      <c r="KE67" s="10">
        <v>0</v>
      </c>
      <c r="KF67" s="10">
        <v>0</v>
      </c>
      <c r="KG67" s="10">
        <v>0</v>
      </c>
      <c r="KH67" s="10">
        <v>0</v>
      </c>
      <c r="KI67" s="10">
        <v>0</v>
      </c>
      <c r="KJ67" s="10">
        <v>0</v>
      </c>
      <c r="KK67" s="10">
        <v>0</v>
      </c>
      <c r="KL67" s="10">
        <v>0</v>
      </c>
      <c r="KM67" s="10">
        <v>0</v>
      </c>
      <c r="KN67" s="10">
        <v>0</v>
      </c>
      <c r="KO67" s="10">
        <v>0</v>
      </c>
      <c r="KP67" s="10">
        <v>0</v>
      </c>
      <c r="KQ67" s="10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3</v>
      </c>
      <c r="KW67" s="21">
        <v>0</v>
      </c>
      <c r="KX67" s="21">
        <v>270743</v>
      </c>
      <c r="KY67" s="21">
        <v>23013.200000000001</v>
      </c>
    </row>
    <row r="68" spans="1:311" ht="16.95" customHeight="1" x14ac:dyDescent="0.4">
      <c r="A68" s="15"/>
      <c r="B68" s="15"/>
      <c r="C68" s="15" t="s">
        <v>58</v>
      </c>
      <c r="D68" s="16">
        <v>0</v>
      </c>
      <c r="E68" s="16">
        <v>0</v>
      </c>
      <c r="F68" s="16">
        <v>0</v>
      </c>
      <c r="G68" s="16">
        <v>0</v>
      </c>
      <c r="H68" s="23">
        <v>0</v>
      </c>
      <c r="I68" s="23"/>
      <c r="J68" s="23">
        <v>0</v>
      </c>
      <c r="K68" s="23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1</v>
      </c>
      <c r="Y68" s="16">
        <v>132968</v>
      </c>
      <c r="Z68" s="16">
        <v>132968</v>
      </c>
      <c r="AA68" s="16">
        <v>11302.3</v>
      </c>
      <c r="AB68" s="23">
        <v>1</v>
      </c>
      <c r="AC68" s="23"/>
      <c r="AD68" s="23">
        <v>132968</v>
      </c>
      <c r="AE68" s="23">
        <v>11302.3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23">
        <v>0</v>
      </c>
      <c r="AW68" s="23"/>
      <c r="AX68" s="23">
        <v>0</v>
      </c>
      <c r="AY68" s="23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23">
        <v>0</v>
      </c>
      <c r="BU68" s="23"/>
      <c r="BV68" s="23">
        <v>0</v>
      </c>
      <c r="BW68" s="23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23">
        <v>0</v>
      </c>
      <c r="CO68" s="23"/>
      <c r="CP68" s="23">
        <v>0</v>
      </c>
      <c r="CQ68" s="23">
        <v>0</v>
      </c>
      <c r="CR68" s="16">
        <v>0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0</v>
      </c>
      <c r="DB68" s="16">
        <v>0</v>
      </c>
      <c r="DC68" s="16">
        <v>0</v>
      </c>
      <c r="DD68" s="16">
        <v>0</v>
      </c>
      <c r="DE68" s="16">
        <v>0</v>
      </c>
      <c r="DF68" s="16">
        <v>0</v>
      </c>
      <c r="DG68" s="16">
        <v>0</v>
      </c>
      <c r="DH68" s="23">
        <v>0</v>
      </c>
      <c r="DI68" s="23"/>
      <c r="DJ68" s="23">
        <v>0</v>
      </c>
      <c r="DK68" s="23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0</v>
      </c>
      <c r="DQ68" s="16">
        <v>0</v>
      </c>
      <c r="DR68" s="16">
        <v>0</v>
      </c>
      <c r="DS68" s="16">
        <v>0</v>
      </c>
      <c r="DT68" s="16">
        <v>0</v>
      </c>
      <c r="DU68" s="16">
        <v>0</v>
      </c>
      <c r="DV68" s="16">
        <v>0</v>
      </c>
      <c r="DW68" s="16">
        <v>0</v>
      </c>
      <c r="DX68" s="16">
        <v>0</v>
      </c>
      <c r="DY68" s="16">
        <v>0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E68" s="16">
        <v>0</v>
      </c>
      <c r="EF68" s="23">
        <v>0</v>
      </c>
      <c r="EG68" s="23"/>
      <c r="EH68" s="23">
        <v>0</v>
      </c>
      <c r="EI68" s="23">
        <v>0</v>
      </c>
      <c r="EJ68" s="16">
        <v>0</v>
      </c>
      <c r="EK68" s="16">
        <v>0</v>
      </c>
      <c r="EL68" s="16">
        <v>0</v>
      </c>
      <c r="EM68" s="16">
        <v>0</v>
      </c>
      <c r="EN68" s="16">
        <v>0</v>
      </c>
      <c r="EO68" s="16">
        <v>0</v>
      </c>
      <c r="EP68" s="16">
        <v>0</v>
      </c>
      <c r="EQ68" s="16">
        <v>0</v>
      </c>
      <c r="ER68" s="16">
        <v>0</v>
      </c>
      <c r="ES68" s="16">
        <v>0</v>
      </c>
      <c r="ET68" s="16">
        <v>0</v>
      </c>
      <c r="EU68" s="16">
        <v>0</v>
      </c>
      <c r="EV68" s="16">
        <v>0</v>
      </c>
      <c r="EW68" s="16">
        <v>0</v>
      </c>
      <c r="EX68" s="16">
        <v>0</v>
      </c>
      <c r="EY68" s="16">
        <v>0</v>
      </c>
      <c r="EZ68" s="23">
        <v>0</v>
      </c>
      <c r="FA68" s="23"/>
      <c r="FB68" s="23">
        <v>0</v>
      </c>
      <c r="FC68" s="23">
        <v>0</v>
      </c>
      <c r="FD68" s="16">
        <v>0</v>
      </c>
      <c r="FE68" s="16">
        <v>0</v>
      </c>
      <c r="FF68" s="16">
        <v>0</v>
      </c>
      <c r="FG68" s="16">
        <v>0</v>
      </c>
      <c r="FH68" s="16">
        <v>0</v>
      </c>
      <c r="FI68" s="16">
        <v>0</v>
      </c>
      <c r="FJ68" s="16">
        <v>0</v>
      </c>
      <c r="FK68" s="16">
        <v>0</v>
      </c>
      <c r="FL68" s="16">
        <v>0</v>
      </c>
      <c r="FM68" s="16">
        <v>0</v>
      </c>
      <c r="FN68" s="16">
        <v>0</v>
      </c>
      <c r="FO68" s="16">
        <v>0</v>
      </c>
      <c r="FP68" s="16">
        <v>0</v>
      </c>
      <c r="FQ68" s="16">
        <v>0</v>
      </c>
      <c r="FR68" s="16">
        <v>0</v>
      </c>
      <c r="FS68" s="16">
        <v>0</v>
      </c>
      <c r="FT68" s="23">
        <v>0</v>
      </c>
      <c r="FU68" s="23"/>
      <c r="FV68" s="23">
        <v>0</v>
      </c>
      <c r="FW68" s="23">
        <v>0</v>
      </c>
      <c r="FX68" s="16">
        <v>0</v>
      </c>
      <c r="FY68" s="16">
        <v>0</v>
      </c>
      <c r="FZ68" s="16">
        <v>0</v>
      </c>
      <c r="GA68" s="16">
        <v>0</v>
      </c>
      <c r="GB68" s="16">
        <v>0</v>
      </c>
      <c r="GC68" s="16">
        <v>0</v>
      </c>
      <c r="GD68" s="16">
        <v>0</v>
      </c>
      <c r="GE68" s="16">
        <v>0</v>
      </c>
      <c r="GF68" s="16">
        <v>0</v>
      </c>
      <c r="GG68" s="16">
        <v>0</v>
      </c>
      <c r="GH68" s="16">
        <v>0</v>
      </c>
      <c r="GI68" s="16">
        <v>0</v>
      </c>
      <c r="GJ68" s="16">
        <v>0</v>
      </c>
      <c r="GK68" s="16">
        <v>0</v>
      </c>
      <c r="GL68" s="16">
        <v>0</v>
      </c>
      <c r="GM68" s="16">
        <v>0</v>
      </c>
      <c r="GN68" s="16">
        <v>0</v>
      </c>
      <c r="GO68" s="16">
        <v>0</v>
      </c>
      <c r="GP68" s="16">
        <v>0</v>
      </c>
      <c r="GQ68" s="16">
        <v>0</v>
      </c>
      <c r="GR68" s="23">
        <v>0</v>
      </c>
      <c r="GS68" s="23"/>
      <c r="GT68" s="23">
        <v>0</v>
      </c>
      <c r="GU68" s="23">
        <v>0</v>
      </c>
      <c r="GV68" s="16">
        <v>0</v>
      </c>
      <c r="GW68" s="16">
        <v>0</v>
      </c>
      <c r="GX68" s="16">
        <v>0</v>
      </c>
      <c r="GY68" s="16">
        <v>0</v>
      </c>
      <c r="GZ68" s="16">
        <v>0</v>
      </c>
      <c r="HA68" s="16">
        <v>0</v>
      </c>
      <c r="HB68" s="16">
        <v>0</v>
      </c>
      <c r="HC68" s="16">
        <v>0</v>
      </c>
      <c r="HD68" s="16">
        <v>0</v>
      </c>
      <c r="HE68" s="16">
        <v>0</v>
      </c>
      <c r="HF68" s="16">
        <v>0</v>
      </c>
      <c r="HG68" s="16">
        <v>0</v>
      </c>
      <c r="HH68" s="16">
        <v>0</v>
      </c>
      <c r="HI68" s="16">
        <v>0</v>
      </c>
      <c r="HJ68" s="16">
        <v>0</v>
      </c>
      <c r="HK68" s="16">
        <v>0</v>
      </c>
      <c r="HL68" s="23">
        <v>0</v>
      </c>
      <c r="HM68" s="23"/>
      <c r="HN68" s="23">
        <v>0</v>
      </c>
      <c r="HO68" s="23">
        <v>0</v>
      </c>
      <c r="HP68" s="16">
        <v>0</v>
      </c>
      <c r="HQ68" s="16">
        <v>0</v>
      </c>
      <c r="HR68" s="16">
        <v>0</v>
      </c>
      <c r="HS68" s="16">
        <v>0</v>
      </c>
      <c r="HT68" s="16">
        <v>0</v>
      </c>
      <c r="HU68" s="16">
        <v>0</v>
      </c>
      <c r="HV68" s="16">
        <v>0</v>
      </c>
      <c r="HW68" s="16">
        <v>0</v>
      </c>
      <c r="HX68" s="16">
        <v>0</v>
      </c>
      <c r="HY68" s="16">
        <v>0</v>
      </c>
      <c r="HZ68" s="16">
        <v>0</v>
      </c>
      <c r="IA68" s="16">
        <v>0</v>
      </c>
      <c r="IB68" s="16">
        <v>0</v>
      </c>
      <c r="IC68" s="16">
        <v>0</v>
      </c>
      <c r="ID68" s="16">
        <v>0</v>
      </c>
      <c r="IE68" s="16">
        <v>0</v>
      </c>
      <c r="IF68" s="23">
        <v>0</v>
      </c>
      <c r="IG68" s="23"/>
      <c r="IH68" s="23">
        <v>0</v>
      </c>
      <c r="II68" s="23">
        <v>0</v>
      </c>
      <c r="IJ68" s="16">
        <v>0</v>
      </c>
      <c r="IK68" s="16">
        <v>0</v>
      </c>
      <c r="IL68" s="16">
        <v>0</v>
      </c>
      <c r="IM68" s="16">
        <v>0</v>
      </c>
      <c r="IN68" s="16">
        <v>0</v>
      </c>
      <c r="IO68" s="16">
        <v>0</v>
      </c>
      <c r="IP68" s="16">
        <v>0</v>
      </c>
      <c r="IQ68" s="16">
        <v>0</v>
      </c>
      <c r="IR68" s="16">
        <v>0</v>
      </c>
      <c r="IS68" s="16">
        <v>0</v>
      </c>
      <c r="IT68" s="16">
        <v>0</v>
      </c>
      <c r="IU68" s="16">
        <v>0</v>
      </c>
      <c r="IV68" s="16">
        <v>0</v>
      </c>
      <c r="IW68" s="16">
        <v>0</v>
      </c>
      <c r="IX68" s="16">
        <v>0</v>
      </c>
      <c r="IY68" s="16">
        <v>0</v>
      </c>
      <c r="IZ68" s="16">
        <v>0</v>
      </c>
      <c r="JA68" s="16">
        <v>0</v>
      </c>
      <c r="JB68" s="16">
        <v>0</v>
      </c>
      <c r="JC68" s="16">
        <v>0</v>
      </c>
      <c r="JD68" s="23">
        <v>0</v>
      </c>
      <c r="JE68" s="23"/>
      <c r="JF68" s="23">
        <v>0</v>
      </c>
      <c r="JG68" s="23">
        <v>0</v>
      </c>
      <c r="JH68" s="16">
        <v>0</v>
      </c>
      <c r="JI68" s="16">
        <v>0</v>
      </c>
      <c r="JJ68" s="16">
        <v>0</v>
      </c>
      <c r="JK68" s="16">
        <v>0</v>
      </c>
      <c r="JL68" s="16">
        <v>0</v>
      </c>
      <c r="JM68" s="16">
        <v>0</v>
      </c>
      <c r="JN68" s="16">
        <v>0</v>
      </c>
      <c r="JO68" s="16">
        <v>0</v>
      </c>
      <c r="JP68" s="16">
        <v>0</v>
      </c>
      <c r="JQ68" s="16">
        <v>0</v>
      </c>
      <c r="JR68" s="16">
        <v>0</v>
      </c>
      <c r="JS68" s="16">
        <v>0</v>
      </c>
      <c r="JT68" s="16">
        <v>0</v>
      </c>
      <c r="JU68" s="16">
        <v>0</v>
      </c>
      <c r="JV68" s="16">
        <v>0</v>
      </c>
      <c r="JW68" s="16">
        <v>0</v>
      </c>
      <c r="JX68" s="23">
        <v>0</v>
      </c>
      <c r="JY68" s="23"/>
      <c r="JZ68" s="23">
        <v>0</v>
      </c>
      <c r="KA68" s="23">
        <v>0</v>
      </c>
      <c r="KB68" s="16">
        <v>0</v>
      </c>
      <c r="KC68" s="16">
        <v>0</v>
      </c>
      <c r="KD68" s="16">
        <v>0</v>
      </c>
      <c r="KE68" s="16">
        <v>0</v>
      </c>
      <c r="KF68" s="16">
        <v>0</v>
      </c>
      <c r="KG68" s="16">
        <v>0</v>
      </c>
      <c r="KH68" s="16">
        <v>0</v>
      </c>
      <c r="KI68" s="16">
        <v>0</v>
      </c>
      <c r="KJ68" s="16">
        <v>0</v>
      </c>
      <c r="KK68" s="16">
        <v>0</v>
      </c>
      <c r="KL68" s="16">
        <v>0</v>
      </c>
      <c r="KM68" s="16">
        <v>0</v>
      </c>
      <c r="KN68" s="16">
        <v>0</v>
      </c>
      <c r="KO68" s="16">
        <v>0</v>
      </c>
      <c r="KP68" s="16">
        <v>0</v>
      </c>
      <c r="KQ68" s="16">
        <v>0</v>
      </c>
      <c r="KR68" s="23">
        <v>0</v>
      </c>
      <c r="KS68" s="23"/>
      <c r="KT68" s="23">
        <v>0</v>
      </c>
      <c r="KU68" s="23">
        <v>0</v>
      </c>
      <c r="KV68" s="23">
        <v>1</v>
      </c>
      <c r="KW68" s="23"/>
      <c r="KX68" s="23">
        <v>132968</v>
      </c>
      <c r="KY68" s="23">
        <v>11302.3</v>
      </c>
    </row>
    <row r="69" spans="1:311" ht="16.95" customHeight="1" x14ac:dyDescent="0.4">
      <c r="A69" s="11"/>
      <c r="B69" s="11"/>
      <c r="C69" s="11" t="s">
        <v>23</v>
      </c>
      <c r="D69" s="9">
        <v>0</v>
      </c>
      <c r="E69" s="9">
        <v>0</v>
      </c>
      <c r="F69" s="9">
        <v>0</v>
      </c>
      <c r="G69" s="9">
        <v>0</v>
      </c>
      <c r="H69" s="22">
        <v>0</v>
      </c>
      <c r="I69" s="22"/>
      <c r="J69" s="22">
        <v>0</v>
      </c>
      <c r="K69" s="22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1</v>
      </c>
      <c r="Y69" s="9">
        <v>59400</v>
      </c>
      <c r="Z69" s="9">
        <v>59400</v>
      </c>
      <c r="AA69" s="9">
        <v>5049</v>
      </c>
      <c r="AB69" s="22">
        <v>1</v>
      </c>
      <c r="AC69" s="22"/>
      <c r="AD69" s="22">
        <v>59400</v>
      </c>
      <c r="AE69" s="22">
        <v>5049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22">
        <v>0</v>
      </c>
      <c r="AW69" s="22"/>
      <c r="AX69" s="22">
        <v>0</v>
      </c>
      <c r="AY69" s="22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9">
        <v>0</v>
      </c>
      <c r="BQ69" s="9">
        <v>0</v>
      </c>
      <c r="BR69" s="9">
        <v>0</v>
      </c>
      <c r="BS69" s="9">
        <v>0</v>
      </c>
      <c r="BT69" s="22">
        <v>0</v>
      </c>
      <c r="BU69" s="22"/>
      <c r="BV69" s="22">
        <v>0</v>
      </c>
      <c r="BW69" s="22">
        <v>0</v>
      </c>
      <c r="BX69" s="9">
        <v>0</v>
      </c>
      <c r="BY69" s="9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22">
        <v>0</v>
      </c>
      <c r="CO69" s="22"/>
      <c r="CP69" s="22">
        <v>0</v>
      </c>
      <c r="CQ69" s="22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22">
        <v>0</v>
      </c>
      <c r="DI69" s="22"/>
      <c r="DJ69" s="22">
        <v>0</v>
      </c>
      <c r="DK69" s="22">
        <v>0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9">
        <v>0</v>
      </c>
      <c r="DU69" s="9">
        <v>0</v>
      </c>
      <c r="DV69" s="9">
        <v>0</v>
      </c>
      <c r="DW69" s="9">
        <v>0</v>
      </c>
      <c r="DX69" s="9">
        <v>0</v>
      </c>
      <c r="DY69" s="9">
        <v>0</v>
      </c>
      <c r="DZ69" s="9">
        <v>0</v>
      </c>
      <c r="EA69" s="9">
        <v>0</v>
      </c>
      <c r="EB69" s="9">
        <v>0</v>
      </c>
      <c r="EC69" s="9">
        <v>0</v>
      </c>
      <c r="ED69" s="9">
        <v>0</v>
      </c>
      <c r="EE69" s="9">
        <v>0</v>
      </c>
      <c r="EF69" s="22">
        <v>0</v>
      </c>
      <c r="EG69" s="22"/>
      <c r="EH69" s="22">
        <v>0</v>
      </c>
      <c r="EI69" s="22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0</v>
      </c>
      <c r="EU69" s="9">
        <v>0</v>
      </c>
      <c r="EV69" s="9">
        <v>0</v>
      </c>
      <c r="EW69" s="9">
        <v>0</v>
      </c>
      <c r="EX69" s="9">
        <v>0</v>
      </c>
      <c r="EY69" s="9">
        <v>0</v>
      </c>
      <c r="EZ69" s="22">
        <v>0</v>
      </c>
      <c r="FA69" s="22"/>
      <c r="FB69" s="22">
        <v>0</v>
      </c>
      <c r="FC69" s="22">
        <v>0</v>
      </c>
      <c r="FD69" s="9">
        <v>0</v>
      </c>
      <c r="FE69" s="9">
        <v>0</v>
      </c>
      <c r="FF69" s="9">
        <v>0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9">
        <v>0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9">
        <v>0</v>
      </c>
      <c r="FS69" s="9">
        <v>0</v>
      </c>
      <c r="FT69" s="22">
        <v>0</v>
      </c>
      <c r="FU69" s="22"/>
      <c r="FV69" s="22">
        <v>0</v>
      </c>
      <c r="FW69" s="22">
        <v>0</v>
      </c>
      <c r="FX69" s="9">
        <v>0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9">
        <v>0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  <c r="GJ69" s="9">
        <v>0</v>
      </c>
      <c r="GK69" s="9">
        <v>0</v>
      </c>
      <c r="GL69" s="9">
        <v>0</v>
      </c>
      <c r="GM69" s="9">
        <v>0</v>
      </c>
      <c r="GN69" s="9">
        <v>0</v>
      </c>
      <c r="GO69" s="9">
        <v>0</v>
      </c>
      <c r="GP69" s="9">
        <v>0</v>
      </c>
      <c r="GQ69" s="9">
        <v>0</v>
      </c>
      <c r="GR69" s="22">
        <v>0</v>
      </c>
      <c r="GS69" s="22"/>
      <c r="GT69" s="22">
        <v>0</v>
      </c>
      <c r="GU69" s="22">
        <v>0</v>
      </c>
      <c r="GV69" s="9">
        <v>0</v>
      </c>
      <c r="GW69" s="9">
        <v>0</v>
      </c>
      <c r="GX69" s="9">
        <v>0</v>
      </c>
      <c r="GY69" s="9">
        <v>0</v>
      </c>
      <c r="GZ69" s="9">
        <v>0</v>
      </c>
      <c r="HA69" s="9">
        <v>0</v>
      </c>
      <c r="HB69" s="9">
        <v>0</v>
      </c>
      <c r="HC69" s="9">
        <v>0</v>
      </c>
      <c r="HD69" s="9">
        <v>0</v>
      </c>
      <c r="HE69" s="9">
        <v>0</v>
      </c>
      <c r="HF69" s="9">
        <v>0</v>
      </c>
      <c r="HG69" s="9">
        <v>0</v>
      </c>
      <c r="HH69" s="9">
        <v>0</v>
      </c>
      <c r="HI69" s="9">
        <v>0</v>
      </c>
      <c r="HJ69" s="9">
        <v>0</v>
      </c>
      <c r="HK69" s="9">
        <v>0</v>
      </c>
      <c r="HL69" s="22">
        <v>0</v>
      </c>
      <c r="HM69" s="22"/>
      <c r="HN69" s="22">
        <v>0</v>
      </c>
      <c r="HO69" s="22">
        <v>0</v>
      </c>
      <c r="HP69" s="9">
        <v>0</v>
      </c>
      <c r="HQ69" s="9">
        <v>0</v>
      </c>
      <c r="HR69" s="9">
        <v>0</v>
      </c>
      <c r="HS69" s="9">
        <v>0</v>
      </c>
      <c r="HT69" s="9">
        <v>0</v>
      </c>
      <c r="HU69" s="9">
        <v>0</v>
      </c>
      <c r="HV69" s="9">
        <v>0</v>
      </c>
      <c r="HW69" s="9">
        <v>0</v>
      </c>
      <c r="HX69" s="9">
        <v>0</v>
      </c>
      <c r="HY69" s="9">
        <v>0</v>
      </c>
      <c r="HZ69" s="9">
        <v>0</v>
      </c>
      <c r="IA69" s="9">
        <v>0</v>
      </c>
      <c r="IB69" s="9">
        <v>0</v>
      </c>
      <c r="IC69" s="9">
        <v>0</v>
      </c>
      <c r="ID69" s="9">
        <v>0</v>
      </c>
      <c r="IE69" s="9">
        <v>0</v>
      </c>
      <c r="IF69" s="22">
        <v>0</v>
      </c>
      <c r="IG69" s="22"/>
      <c r="IH69" s="22">
        <v>0</v>
      </c>
      <c r="II69" s="22">
        <v>0</v>
      </c>
      <c r="IJ69" s="9">
        <v>0</v>
      </c>
      <c r="IK69" s="9">
        <v>0</v>
      </c>
      <c r="IL69" s="9">
        <v>0</v>
      </c>
      <c r="IM69" s="9">
        <v>0</v>
      </c>
      <c r="IN69" s="9">
        <v>0</v>
      </c>
      <c r="IO69" s="9">
        <v>0</v>
      </c>
      <c r="IP69" s="9">
        <v>0</v>
      </c>
      <c r="IQ69" s="9">
        <v>0</v>
      </c>
      <c r="IR69" s="9">
        <v>0</v>
      </c>
      <c r="IS69" s="9">
        <v>0</v>
      </c>
      <c r="IT69" s="9">
        <v>0</v>
      </c>
      <c r="IU69" s="9">
        <v>0</v>
      </c>
      <c r="IV69" s="9">
        <v>0</v>
      </c>
      <c r="IW69" s="9">
        <v>0</v>
      </c>
      <c r="IX69" s="9">
        <v>0</v>
      </c>
      <c r="IY69" s="9">
        <v>0</v>
      </c>
      <c r="IZ69" s="9">
        <v>0</v>
      </c>
      <c r="JA69" s="9">
        <v>0</v>
      </c>
      <c r="JB69" s="9">
        <v>0</v>
      </c>
      <c r="JC69" s="9">
        <v>0</v>
      </c>
      <c r="JD69" s="22">
        <v>0</v>
      </c>
      <c r="JE69" s="22"/>
      <c r="JF69" s="22">
        <v>0</v>
      </c>
      <c r="JG69" s="22">
        <v>0</v>
      </c>
      <c r="JH69" s="9">
        <v>0</v>
      </c>
      <c r="JI69" s="9">
        <v>0</v>
      </c>
      <c r="JJ69" s="9">
        <v>0</v>
      </c>
      <c r="JK69" s="9">
        <v>0</v>
      </c>
      <c r="JL69" s="9">
        <v>0</v>
      </c>
      <c r="JM69" s="9">
        <v>0</v>
      </c>
      <c r="JN69" s="9">
        <v>0</v>
      </c>
      <c r="JO69" s="9">
        <v>0</v>
      </c>
      <c r="JP69" s="9">
        <v>0</v>
      </c>
      <c r="JQ69" s="9">
        <v>0</v>
      </c>
      <c r="JR69" s="9">
        <v>0</v>
      </c>
      <c r="JS69" s="9">
        <v>0</v>
      </c>
      <c r="JT69" s="9">
        <v>0</v>
      </c>
      <c r="JU69" s="9">
        <v>0</v>
      </c>
      <c r="JV69" s="9">
        <v>0</v>
      </c>
      <c r="JW69" s="9">
        <v>0</v>
      </c>
      <c r="JX69" s="22">
        <v>0</v>
      </c>
      <c r="JY69" s="22"/>
      <c r="JZ69" s="22">
        <v>0</v>
      </c>
      <c r="KA69" s="22">
        <v>0</v>
      </c>
      <c r="KB69" s="9">
        <v>0</v>
      </c>
      <c r="KC69" s="9">
        <v>0</v>
      </c>
      <c r="KD69" s="9">
        <v>0</v>
      </c>
      <c r="KE69" s="9">
        <v>0</v>
      </c>
      <c r="KF69" s="9">
        <v>0</v>
      </c>
      <c r="KG69" s="9">
        <v>0</v>
      </c>
      <c r="KH69" s="9">
        <v>0</v>
      </c>
      <c r="KI69" s="9">
        <v>0</v>
      </c>
      <c r="KJ69" s="9">
        <v>0</v>
      </c>
      <c r="KK69" s="9">
        <v>0</v>
      </c>
      <c r="KL69" s="9">
        <v>0</v>
      </c>
      <c r="KM69" s="9">
        <v>0</v>
      </c>
      <c r="KN69" s="9">
        <v>0</v>
      </c>
      <c r="KO69" s="9">
        <v>0</v>
      </c>
      <c r="KP69" s="9">
        <v>0</v>
      </c>
      <c r="KQ69" s="9">
        <v>0</v>
      </c>
      <c r="KR69" s="22">
        <v>0</v>
      </c>
      <c r="KS69" s="22"/>
      <c r="KT69" s="22">
        <v>0</v>
      </c>
      <c r="KU69" s="22">
        <v>0</v>
      </c>
      <c r="KV69" s="22">
        <v>1</v>
      </c>
      <c r="KW69" s="22"/>
      <c r="KX69" s="22">
        <v>59400</v>
      </c>
      <c r="KY69" s="22">
        <v>5049</v>
      </c>
    </row>
    <row r="70" spans="1:311" ht="16.95" customHeight="1" x14ac:dyDescent="0.4">
      <c r="A70" s="15"/>
      <c r="B70" s="15"/>
      <c r="C70" s="15" t="s">
        <v>51</v>
      </c>
      <c r="D70" s="16">
        <v>0</v>
      </c>
      <c r="E70" s="16">
        <v>0</v>
      </c>
      <c r="F70" s="16">
        <v>0</v>
      </c>
      <c r="G70" s="16">
        <v>0</v>
      </c>
      <c r="H70" s="23">
        <v>0</v>
      </c>
      <c r="I70" s="23"/>
      <c r="J70" s="23">
        <v>0</v>
      </c>
      <c r="K70" s="23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1</v>
      </c>
      <c r="Y70" s="16">
        <v>78375</v>
      </c>
      <c r="Z70" s="16">
        <v>78375</v>
      </c>
      <c r="AA70" s="16">
        <v>6661.9</v>
      </c>
      <c r="AB70" s="23">
        <v>1</v>
      </c>
      <c r="AC70" s="23"/>
      <c r="AD70" s="23">
        <v>78375</v>
      </c>
      <c r="AE70" s="23">
        <v>6661.9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23">
        <v>0</v>
      </c>
      <c r="AW70" s="23"/>
      <c r="AX70" s="23">
        <v>0</v>
      </c>
      <c r="AY70" s="23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23">
        <v>0</v>
      </c>
      <c r="BU70" s="23"/>
      <c r="BV70" s="23">
        <v>0</v>
      </c>
      <c r="BW70" s="23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0</v>
      </c>
      <c r="CF70" s="16">
        <v>0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0</v>
      </c>
      <c r="CN70" s="23">
        <v>0</v>
      </c>
      <c r="CO70" s="23"/>
      <c r="CP70" s="23">
        <v>0</v>
      </c>
      <c r="CQ70" s="23">
        <v>0</v>
      </c>
      <c r="CR70" s="16">
        <v>0</v>
      </c>
      <c r="CS70" s="16">
        <v>0</v>
      </c>
      <c r="CT70" s="16">
        <v>0</v>
      </c>
      <c r="CU70" s="16">
        <v>0</v>
      </c>
      <c r="CV70" s="16">
        <v>0</v>
      </c>
      <c r="CW70" s="16">
        <v>0</v>
      </c>
      <c r="CX70" s="16">
        <v>0</v>
      </c>
      <c r="CY70" s="16">
        <v>0</v>
      </c>
      <c r="CZ70" s="16">
        <v>0</v>
      </c>
      <c r="DA70" s="16">
        <v>0</v>
      </c>
      <c r="DB70" s="16">
        <v>0</v>
      </c>
      <c r="DC70" s="16">
        <v>0</v>
      </c>
      <c r="DD70" s="16">
        <v>0</v>
      </c>
      <c r="DE70" s="16">
        <v>0</v>
      </c>
      <c r="DF70" s="16">
        <v>0</v>
      </c>
      <c r="DG70" s="16">
        <v>0</v>
      </c>
      <c r="DH70" s="23">
        <v>0</v>
      </c>
      <c r="DI70" s="23"/>
      <c r="DJ70" s="23">
        <v>0</v>
      </c>
      <c r="DK70" s="23">
        <v>0</v>
      </c>
      <c r="DL70" s="16">
        <v>0</v>
      </c>
      <c r="DM70" s="16">
        <v>0</v>
      </c>
      <c r="DN70" s="16">
        <v>0</v>
      </c>
      <c r="DO70" s="16">
        <v>0</v>
      </c>
      <c r="DP70" s="16">
        <v>0</v>
      </c>
      <c r="DQ70" s="16">
        <v>0</v>
      </c>
      <c r="DR70" s="16">
        <v>0</v>
      </c>
      <c r="DS70" s="16">
        <v>0</v>
      </c>
      <c r="DT70" s="16">
        <v>0</v>
      </c>
      <c r="DU70" s="16">
        <v>0</v>
      </c>
      <c r="DV70" s="16">
        <v>0</v>
      </c>
      <c r="DW70" s="16">
        <v>0</v>
      </c>
      <c r="DX70" s="16">
        <v>0</v>
      </c>
      <c r="DY70" s="16">
        <v>0</v>
      </c>
      <c r="DZ70" s="16">
        <v>0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23">
        <v>0</v>
      </c>
      <c r="EG70" s="23"/>
      <c r="EH70" s="23">
        <v>0</v>
      </c>
      <c r="EI70" s="23">
        <v>0</v>
      </c>
      <c r="EJ70" s="16">
        <v>0</v>
      </c>
      <c r="EK70" s="16">
        <v>0</v>
      </c>
      <c r="EL70" s="16">
        <v>0</v>
      </c>
      <c r="EM70" s="16">
        <v>0</v>
      </c>
      <c r="EN70" s="16">
        <v>0</v>
      </c>
      <c r="EO70" s="16">
        <v>0</v>
      </c>
      <c r="EP70" s="16">
        <v>0</v>
      </c>
      <c r="EQ70" s="16">
        <v>0</v>
      </c>
      <c r="ER70" s="16">
        <v>0</v>
      </c>
      <c r="ES70" s="16">
        <v>0</v>
      </c>
      <c r="ET70" s="16">
        <v>0</v>
      </c>
      <c r="EU70" s="16">
        <v>0</v>
      </c>
      <c r="EV70" s="16">
        <v>0</v>
      </c>
      <c r="EW70" s="16">
        <v>0</v>
      </c>
      <c r="EX70" s="16">
        <v>0</v>
      </c>
      <c r="EY70" s="16">
        <v>0</v>
      </c>
      <c r="EZ70" s="23">
        <v>0</v>
      </c>
      <c r="FA70" s="23"/>
      <c r="FB70" s="23">
        <v>0</v>
      </c>
      <c r="FC70" s="23">
        <v>0</v>
      </c>
      <c r="FD70" s="16">
        <v>0</v>
      </c>
      <c r="FE70" s="16">
        <v>0</v>
      </c>
      <c r="FF70" s="16">
        <v>0</v>
      </c>
      <c r="FG70" s="16">
        <v>0</v>
      </c>
      <c r="FH70" s="16">
        <v>0</v>
      </c>
      <c r="FI70" s="16">
        <v>0</v>
      </c>
      <c r="FJ70" s="16">
        <v>0</v>
      </c>
      <c r="FK70" s="16">
        <v>0</v>
      </c>
      <c r="FL70" s="16">
        <v>0</v>
      </c>
      <c r="FM70" s="16">
        <v>0</v>
      </c>
      <c r="FN70" s="16">
        <v>0</v>
      </c>
      <c r="FO70" s="16">
        <v>0</v>
      </c>
      <c r="FP70" s="16">
        <v>0</v>
      </c>
      <c r="FQ70" s="16">
        <v>0</v>
      </c>
      <c r="FR70" s="16">
        <v>0</v>
      </c>
      <c r="FS70" s="16">
        <v>0</v>
      </c>
      <c r="FT70" s="23">
        <v>0</v>
      </c>
      <c r="FU70" s="23"/>
      <c r="FV70" s="23">
        <v>0</v>
      </c>
      <c r="FW70" s="23">
        <v>0</v>
      </c>
      <c r="FX70" s="16">
        <v>0</v>
      </c>
      <c r="FY70" s="16">
        <v>0</v>
      </c>
      <c r="FZ70" s="16">
        <v>0</v>
      </c>
      <c r="GA70" s="16">
        <v>0</v>
      </c>
      <c r="GB70" s="16">
        <v>0</v>
      </c>
      <c r="GC70" s="16">
        <v>0</v>
      </c>
      <c r="GD70" s="16">
        <v>0</v>
      </c>
      <c r="GE70" s="16">
        <v>0</v>
      </c>
      <c r="GF70" s="16">
        <v>0</v>
      </c>
      <c r="GG70" s="16">
        <v>0</v>
      </c>
      <c r="GH70" s="16">
        <v>0</v>
      </c>
      <c r="GI70" s="16">
        <v>0</v>
      </c>
      <c r="GJ70" s="16">
        <v>0</v>
      </c>
      <c r="GK70" s="16">
        <v>0</v>
      </c>
      <c r="GL70" s="16">
        <v>0</v>
      </c>
      <c r="GM70" s="16">
        <v>0</v>
      </c>
      <c r="GN70" s="16">
        <v>0</v>
      </c>
      <c r="GO70" s="16">
        <v>0</v>
      </c>
      <c r="GP70" s="16">
        <v>0</v>
      </c>
      <c r="GQ70" s="16">
        <v>0</v>
      </c>
      <c r="GR70" s="23">
        <v>0</v>
      </c>
      <c r="GS70" s="23"/>
      <c r="GT70" s="23">
        <v>0</v>
      </c>
      <c r="GU70" s="23">
        <v>0</v>
      </c>
      <c r="GV70" s="16">
        <v>0</v>
      </c>
      <c r="GW70" s="16">
        <v>0</v>
      </c>
      <c r="GX70" s="16">
        <v>0</v>
      </c>
      <c r="GY70" s="16">
        <v>0</v>
      </c>
      <c r="GZ70" s="16">
        <v>0</v>
      </c>
      <c r="HA70" s="16">
        <v>0</v>
      </c>
      <c r="HB70" s="16">
        <v>0</v>
      </c>
      <c r="HC70" s="16">
        <v>0</v>
      </c>
      <c r="HD70" s="16">
        <v>0</v>
      </c>
      <c r="HE70" s="16">
        <v>0</v>
      </c>
      <c r="HF70" s="16">
        <v>0</v>
      </c>
      <c r="HG70" s="16">
        <v>0</v>
      </c>
      <c r="HH70" s="16">
        <v>0</v>
      </c>
      <c r="HI70" s="16">
        <v>0</v>
      </c>
      <c r="HJ70" s="16">
        <v>0</v>
      </c>
      <c r="HK70" s="16">
        <v>0</v>
      </c>
      <c r="HL70" s="23">
        <v>0</v>
      </c>
      <c r="HM70" s="23"/>
      <c r="HN70" s="23">
        <v>0</v>
      </c>
      <c r="HO70" s="23">
        <v>0</v>
      </c>
      <c r="HP70" s="16">
        <v>0</v>
      </c>
      <c r="HQ70" s="16">
        <v>0</v>
      </c>
      <c r="HR70" s="16">
        <v>0</v>
      </c>
      <c r="HS70" s="16">
        <v>0</v>
      </c>
      <c r="HT70" s="16">
        <v>0</v>
      </c>
      <c r="HU70" s="16">
        <v>0</v>
      </c>
      <c r="HV70" s="16">
        <v>0</v>
      </c>
      <c r="HW70" s="16">
        <v>0</v>
      </c>
      <c r="HX70" s="16">
        <v>0</v>
      </c>
      <c r="HY70" s="16">
        <v>0</v>
      </c>
      <c r="HZ70" s="16">
        <v>0</v>
      </c>
      <c r="IA70" s="16">
        <v>0</v>
      </c>
      <c r="IB70" s="16">
        <v>0</v>
      </c>
      <c r="IC70" s="16">
        <v>0</v>
      </c>
      <c r="ID70" s="16">
        <v>0</v>
      </c>
      <c r="IE70" s="16">
        <v>0</v>
      </c>
      <c r="IF70" s="23">
        <v>0</v>
      </c>
      <c r="IG70" s="23"/>
      <c r="IH70" s="23">
        <v>0</v>
      </c>
      <c r="II70" s="23">
        <v>0</v>
      </c>
      <c r="IJ70" s="16">
        <v>0</v>
      </c>
      <c r="IK70" s="16">
        <v>0</v>
      </c>
      <c r="IL70" s="16">
        <v>0</v>
      </c>
      <c r="IM70" s="16">
        <v>0</v>
      </c>
      <c r="IN70" s="16">
        <v>0</v>
      </c>
      <c r="IO70" s="16">
        <v>0</v>
      </c>
      <c r="IP70" s="16">
        <v>0</v>
      </c>
      <c r="IQ70" s="16">
        <v>0</v>
      </c>
      <c r="IR70" s="16">
        <v>0</v>
      </c>
      <c r="IS70" s="16">
        <v>0</v>
      </c>
      <c r="IT70" s="16">
        <v>0</v>
      </c>
      <c r="IU70" s="16">
        <v>0</v>
      </c>
      <c r="IV70" s="16">
        <v>0</v>
      </c>
      <c r="IW70" s="16">
        <v>0</v>
      </c>
      <c r="IX70" s="16">
        <v>0</v>
      </c>
      <c r="IY70" s="16">
        <v>0</v>
      </c>
      <c r="IZ70" s="16">
        <v>0</v>
      </c>
      <c r="JA70" s="16">
        <v>0</v>
      </c>
      <c r="JB70" s="16">
        <v>0</v>
      </c>
      <c r="JC70" s="16">
        <v>0</v>
      </c>
      <c r="JD70" s="23">
        <v>0</v>
      </c>
      <c r="JE70" s="23"/>
      <c r="JF70" s="23">
        <v>0</v>
      </c>
      <c r="JG70" s="23">
        <v>0</v>
      </c>
      <c r="JH70" s="16">
        <v>0</v>
      </c>
      <c r="JI70" s="16">
        <v>0</v>
      </c>
      <c r="JJ70" s="16">
        <v>0</v>
      </c>
      <c r="JK70" s="16">
        <v>0</v>
      </c>
      <c r="JL70" s="16">
        <v>0</v>
      </c>
      <c r="JM70" s="16">
        <v>0</v>
      </c>
      <c r="JN70" s="16">
        <v>0</v>
      </c>
      <c r="JO70" s="16">
        <v>0</v>
      </c>
      <c r="JP70" s="16">
        <v>0</v>
      </c>
      <c r="JQ70" s="16">
        <v>0</v>
      </c>
      <c r="JR70" s="16">
        <v>0</v>
      </c>
      <c r="JS70" s="16">
        <v>0</v>
      </c>
      <c r="JT70" s="16">
        <v>0</v>
      </c>
      <c r="JU70" s="16">
        <v>0</v>
      </c>
      <c r="JV70" s="16">
        <v>0</v>
      </c>
      <c r="JW70" s="16">
        <v>0</v>
      </c>
      <c r="JX70" s="23">
        <v>0</v>
      </c>
      <c r="JY70" s="23"/>
      <c r="JZ70" s="23">
        <v>0</v>
      </c>
      <c r="KA70" s="23">
        <v>0</v>
      </c>
      <c r="KB70" s="16">
        <v>0</v>
      </c>
      <c r="KC70" s="16">
        <v>0</v>
      </c>
      <c r="KD70" s="16">
        <v>0</v>
      </c>
      <c r="KE70" s="16">
        <v>0</v>
      </c>
      <c r="KF70" s="16">
        <v>0</v>
      </c>
      <c r="KG70" s="16">
        <v>0</v>
      </c>
      <c r="KH70" s="16">
        <v>0</v>
      </c>
      <c r="KI70" s="16">
        <v>0</v>
      </c>
      <c r="KJ70" s="16">
        <v>0</v>
      </c>
      <c r="KK70" s="16">
        <v>0</v>
      </c>
      <c r="KL70" s="16">
        <v>0</v>
      </c>
      <c r="KM70" s="16">
        <v>0</v>
      </c>
      <c r="KN70" s="16">
        <v>0</v>
      </c>
      <c r="KO70" s="16">
        <v>0</v>
      </c>
      <c r="KP70" s="16">
        <v>0</v>
      </c>
      <c r="KQ70" s="16">
        <v>0</v>
      </c>
      <c r="KR70" s="23">
        <v>0</v>
      </c>
      <c r="KS70" s="23"/>
      <c r="KT70" s="23">
        <v>0</v>
      </c>
      <c r="KU70" s="23">
        <v>0</v>
      </c>
      <c r="KV70" s="23">
        <v>1</v>
      </c>
      <c r="KW70" s="23"/>
      <c r="KX70" s="23">
        <v>78375</v>
      </c>
      <c r="KY70" s="23">
        <v>6661.9</v>
      </c>
    </row>
    <row r="71" spans="1:311" ht="16.95" customHeight="1" x14ac:dyDescent="0.4">
      <c r="A71" s="12"/>
      <c r="B71" s="12" t="s">
        <v>281</v>
      </c>
      <c r="C71" s="12" t="s">
        <v>395</v>
      </c>
      <c r="D71" s="10">
        <v>0</v>
      </c>
      <c r="E71" s="10">
        <v>0</v>
      </c>
      <c r="F71" s="10">
        <v>0</v>
      </c>
      <c r="G71" s="10">
        <v>0</v>
      </c>
      <c r="H71" s="21">
        <v>0</v>
      </c>
      <c r="I71" s="21">
        <v>0</v>
      </c>
      <c r="J71" s="21">
        <v>0</v>
      </c>
      <c r="K71" s="21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21">
        <v>0</v>
      </c>
      <c r="AC71" s="21">
        <v>0</v>
      </c>
      <c r="AD71" s="21">
        <v>0</v>
      </c>
      <c r="AE71" s="21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21">
        <v>0</v>
      </c>
      <c r="AW71" s="21">
        <v>0</v>
      </c>
      <c r="AX71" s="21">
        <v>0</v>
      </c>
      <c r="AY71" s="21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21">
        <v>0</v>
      </c>
      <c r="BU71" s="21">
        <v>0</v>
      </c>
      <c r="BV71" s="21">
        <v>0</v>
      </c>
      <c r="BW71" s="21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21">
        <v>0</v>
      </c>
      <c r="CO71" s="21">
        <v>0</v>
      </c>
      <c r="CP71" s="21">
        <v>0</v>
      </c>
      <c r="CQ71" s="21">
        <v>0</v>
      </c>
      <c r="CR71" s="10">
        <v>0</v>
      </c>
      <c r="CS71" s="10">
        <v>0</v>
      </c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21">
        <v>0</v>
      </c>
      <c r="DI71" s="21">
        <v>0</v>
      </c>
      <c r="DJ71" s="21">
        <v>0</v>
      </c>
      <c r="DK71" s="21">
        <v>0</v>
      </c>
      <c r="DL71" s="10">
        <v>0</v>
      </c>
      <c r="DM71" s="10">
        <v>0</v>
      </c>
      <c r="DN71" s="10">
        <v>0</v>
      </c>
      <c r="DO71" s="10">
        <v>0</v>
      </c>
      <c r="DP71" s="10">
        <v>0</v>
      </c>
      <c r="DQ71" s="10">
        <v>0</v>
      </c>
      <c r="DR71" s="10">
        <v>0</v>
      </c>
      <c r="DS71" s="10">
        <v>0</v>
      </c>
      <c r="DT71" s="10">
        <v>0</v>
      </c>
      <c r="DU71" s="10">
        <v>0</v>
      </c>
      <c r="DV71" s="10">
        <v>0</v>
      </c>
      <c r="DW71" s="10">
        <v>0</v>
      </c>
      <c r="DX71" s="10">
        <v>0</v>
      </c>
      <c r="DY71" s="10">
        <v>0</v>
      </c>
      <c r="DZ71" s="10">
        <v>0</v>
      </c>
      <c r="EA71" s="10">
        <v>0</v>
      </c>
      <c r="EB71" s="10">
        <v>0</v>
      </c>
      <c r="EC71" s="10">
        <v>0</v>
      </c>
      <c r="ED71" s="10">
        <v>0</v>
      </c>
      <c r="EE71" s="10">
        <v>0</v>
      </c>
      <c r="EF71" s="21">
        <v>0</v>
      </c>
      <c r="EG71" s="21">
        <v>0</v>
      </c>
      <c r="EH71" s="21">
        <v>0</v>
      </c>
      <c r="EI71" s="21">
        <v>0</v>
      </c>
      <c r="EJ71" s="10">
        <v>0</v>
      </c>
      <c r="EK71" s="10">
        <v>0</v>
      </c>
      <c r="EL71" s="10">
        <v>0</v>
      </c>
      <c r="EM71" s="10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10">
        <v>0</v>
      </c>
      <c r="EU71" s="10">
        <v>0</v>
      </c>
      <c r="EV71" s="10">
        <v>0</v>
      </c>
      <c r="EW71" s="10">
        <v>0</v>
      </c>
      <c r="EX71" s="10">
        <v>0</v>
      </c>
      <c r="EY71" s="10">
        <v>0</v>
      </c>
      <c r="EZ71" s="21">
        <v>0</v>
      </c>
      <c r="FA71" s="21">
        <v>0</v>
      </c>
      <c r="FB71" s="21">
        <v>0</v>
      </c>
      <c r="FC71" s="21">
        <v>0</v>
      </c>
      <c r="FD71" s="10">
        <v>0</v>
      </c>
      <c r="FE71" s="10">
        <v>0</v>
      </c>
      <c r="FF71" s="10">
        <v>0</v>
      </c>
      <c r="FG71" s="10">
        <v>0</v>
      </c>
      <c r="FH71" s="10">
        <v>0</v>
      </c>
      <c r="FI71" s="10">
        <v>0</v>
      </c>
      <c r="FJ71" s="10">
        <v>0</v>
      </c>
      <c r="FK71" s="10">
        <v>0</v>
      </c>
      <c r="FL71" s="10">
        <v>0</v>
      </c>
      <c r="FM71" s="10">
        <v>0</v>
      </c>
      <c r="FN71" s="10">
        <v>0</v>
      </c>
      <c r="FO71" s="10">
        <v>0</v>
      </c>
      <c r="FP71" s="10">
        <v>0</v>
      </c>
      <c r="FQ71" s="10">
        <v>0</v>
      </c>
      <c r="FR71" s="10">
        <v>0</v>
      </c>
      <c r="FS71" s="10">
        <v>0</v>
      </c>
      <c r="FT71" s="21">
        <v>0</v>
      </c>
      <c r="FU71" s="21">
        <v>0</v>
      </c>
      <c r="FV71" s="21">
        <v>0</v>
      </c>
      <c r="FW71" s="21">
        <v>0</v>
      </c>
      <c r="FX71" s="10">
        <v>0</v>
      </c>
      <c r="FY71" s="10">
        <v>0</v>
      </c>
      <c r="FZ71" s="10">
        <v>0</v>
      </c>
      <c r="GA71" s="10">
        <v>0</v>
      </c>
      <c r="GB71" s="10">
        <v>0</v>
      </c>
      <c r="GC71" s="10">
        <v>0</v>
      </c>
      <c r="GD71" s="10">
        <v>0</v>
      </c>
      <c r="GE71" s="10">
        <v>0</v>
      </c>
      <c r="GF71" s="10">
        <v>0</v>
      </c>
      <c r="GG71" s="10">
        <v>0</v>
      </c>
      <c r="GH71" s="10">
        <v>0</v>
      </c>
      <c r="GI71" s="10">
        <v>0</v>
      </c>
      <c r="GJ71" s="10">
        <v>0</v>
      </c>
      <c r="GK71" s="10">
        <v>0</v>
      </c>
      <c r="GL71" s="10">
        <v>0</v>
      </c>
      <c r="GM71" s="10">
        <v>0</v>
      </c>
      <c r="GN71" s="10">
        <v>0</v>
      </c>
      <c r="GO71" s="10">
        <v>0</v>
      </c>
      <c r="GP71" s="10">
        <v>0</v>
      </c>
      <c r="GQ71" s="10">
        <v>0</v>
      </c>
      <c r="GR71" s="21">
        <v>0</v>
      </c>
      <c r="GS71" s="21">
        <v>0</v>
      </c>
      <c r="GT71" s="21">
        <v>0</v>
      </c>
      <c r="GU71" s="21">
        <v>0</v>
      </c>
      <c r="GV71" s="10">
        <v>0</v>
      </c>
      <c r="GW71" s="10">
        <v>0</v>
      </c>
      <c r="GX71" s="10">
        <v>0</v>
      </c>
      <c r="GY71" s="10">
        <v>0</v>
      </c>
      <c r="GZ71" s="10">
        <v>0</v>
      </c>
      <c r="HA71" s="10">
        <v>0</v>
      </c>
      <c r="HB71" s="10">
        <v>0</v>
      </c>
      <c r="HC71" s="10">
        <v>0</v>
      </c>
      <c r="HD71" s="10">
        <v>0</v>
      </c>
      <c r="HE71" s="10">
        <v>0</v>
      </c>
      <c r="HF71" s="10">
        <v>0</v>
      </c>
      <c r="HG71" s="10">
        <v>0</v>
      </c>
      <c r="HH71" s="10">
        <v>0</v>
      </c>
      <c r="HI71" s="10">
        <v>0</v>
      </c>
      <c r="HJ71" s="10">
        <v>0</v>
      </c>
      <c r="HK71" s="10">
        <v>0</v>
      </c>
      <c r="HL71" s="21">
        <v>0</v>
      </c>
      <c r="HM71" s="21">
        <v>0</v>
      </c>
      <c r="HN71" s="21">
        <v>0</v>
      </c>
      <c r="HO71" s="21">
        <v>0</v>
      </c>
      <c r="HP71" s="10">
        <v>0</v>
      </c>
      <c r="HQ71" s="10">
        <v>0</v>
      </c>
      <c r="HR71" s="10">
        <v>0</v>
      </c>
      <c r="HS71" s="10">
        <v>0</v>
      </c>
      <c r="HT71" s="10">
        <v>0</v>
      </c>
      <c r="HU71" s="10">
        <v>0</v>
      </c>
      <c r="HV71" s="10">
        <v>0</v>
      </c>
      <c r="HW71" s="10">
        <v>0</v>
      </c>
      <c r="HX71" s="10">
        <v>3</v>
      </c>
      <c r="HY71" s="10">
        <v>0</v>
      </c>
      <c r="HZ71" s="10">
        <v>168300</v>
      </c>
      <c r="IA71" s="10">
        <v>14305.5</v>
      </c>
      <c r="IB71" s="10">
        <v>0</v>
      </c>
      <c r="IC71" s="10">
        <v>0</v>
      </c>
      <c r="ID71" s="10">
        <v>0</v>
      </c>
      <c r="IE71" s="10">
        <v>0</v>
      </c>
      <c r="IF71" s="21">
        <v>3</v>
      </c>
      <c r="IG71" s="21">
        <v>0</v>
      </c>
      <c r="IH71" s="21">
        <v>168300</v>
      </c>
      <c r="II71" s="21">
        <v>14305.5</v>
      </c>
      <c r="IJ71" s="10">
        <v>0</v>
      </c>
      <c r="IK71" s="10">
        <v>0</v>
      </c>
      <c r="IL71" s="10">
        <v>0</v>
      </c>
      <c r="IM71" s="10">
        <v>0</v>
      </c>
      <c r="IN71" s="10">
        <v>0</v>
      </c>
      <c r="IO71" s="10">
        <v>0</v>
      </c>
      <c r="IP71" s="10">
        <v>0</v>
      </c>
      <c r="IQ71" s="10">
        <v>0</v>
      </c>
      <c r="IR71" s="10">
        <v>0</v>
      </c>
      <c r="IS71" s="10">
        <v>0</v>
      </c>
      <c r="IT71" s="10">
        <v>0</v>
      </c>
      <c r="IU71" s="10">
        <v>0</v>
      </c>
      <c r="IV71" s="10">
        <v>0</v>
      </c>
      <c r="IW71" s="10">
        <v>0</v>
      </c>
      <c r="IX71" s="10">
        <v>0</v>
      </c>
      <c r="IY71" s="10">
        <v>0</v>
      </c>
      <c r="IZ71" s="10">
        <v>0</v>
      </c>
      <c r="JA71" s="10">
        <v>0</v>
      </c>
      <c r="JB71" s="10">
        <v>0</v>
      </c>
      <c r="JC71" s="10">
        <v>0</v>
      </c>
      <c r="JD71" s="21">
        <v>0</v>
      </c>
      <c r="JE71" s="21">
        <v>0</v>
      </c>
      <c r="JF71" s="21">
        <v>0</v>
      </c>
      <c r="JG71" s="21">
        <v>0</v>
      </c>
      <c r="JH71" s="10">
        <v>0</v>
      </c>
      <c r="JI71" s="10">
        <v>0</v>
      </c>
      <c r="JJ71" s="10">
        <v>0</v>
      </c>
      <c r="JK71" s="10">
        <v>0</v>
      </c>
      <c r="JL71" s="10">
        <v>0</v>
      </c>
      <c r="JM71" s="10">
        <v>0</v>
      </c>
      <c r="JN71" s="10">
        <v>0</v>
      </c>
      <c r="JO71" s="10">
        <v>0</v>
      </c>
      <c r="JP71" s="10">
        <v>0</v>
      </c>
      <c r="JQ71" s="10">
        <v>0</v>
      </c>
      <c r="JR71" s="10">
        <v>0</v>
      </c>
      <c r="JS71" s="10">
        <v>0</v>
      </c>
      <c r="JT71" s="10">
        <v>3</v>
      </c>
      <c r="JU71" s="10">
        <v>0</v>
      </c>
      <c r="JV71" s="10">
        <v>168300</v>
      </c>
      <c r="JW71" s="10">
        <v>14305.5</v>
      </c>
      <c r="JX71" s="21">
        <v>3</v>
      </c>
      <c r="JY71" s="21">
        <v>0</v>
      </c>
      <c r="JZ71" s="21">
        <v>168300</v>
      </c>
      <c r="KA71" s="21">
        <v>14305.5</v>
      </c>
      <c r="KB71" s="10">
        <v>0</v>
      </c>
      <c r="KC71" s="10">
        <v>0</v>
      </c>
      <c r="KD71" s="10">
        <v>0</v>
      </c>
      <c r="KE71" s="10">
        <v>0</v>
      </c>
      <c r="KF71" s="10">
        <v>0</v>
      </c>
      <c r="KG71" s="10">
        <v>0</v>
      </c>
      <c r="KH71" s="10">
        <v>0</v>
      </c>
      <c r="KI71" s="10">
        <v>0</v>
      </c>
      <c r="KJ71" s="10">
        <v>0</v>
      </c>
      <c r="KK71" s="10">
        <v>0</v>
      </c>
      <c r="KL71" s="10">
        <v>0</v>
      </c>
      <c r="KM71" s="10">
        <v>0</v>
      </c>
      <c r="KN71" s="10">
        <v>0</v>
      </c>
      <c r="KO71" s="10">
        <v>0</v>
      </c>
      <c r="KP71" s="10">
        <v>0</v>
      </c>
      <c r="KQ71" s="10">
        <v>0</v>
      </c>
      <c r="KR71" s="21">
        <v>0</v>
      </c>
      <c r="KS71" s="21">
        <v>0</v>
      </c>
      <c r="KT71" s="21">
        <v>0</v>
      </c>
      <c r="KU71" s="21">
        <v>0</v>
      </c>
      <c r="KV71" s="21">
        <v>6</v>
      </c>
      <c r="KW71" s="21">
        <v>0</v>
      </c>
      <c r="KX71" s="21">
        <v>336600</v>
      </c>
      <c r="KY71" s="21">
        <v>28611</v>
      </c>
    </row>
    <row r="72" spans="1:311" ht="16.95" customHeight="1" x14ac:dyDescent="0.4">
      <c r="A72" s="15"/>
      <c r="B72" s="15"/>
      <c r="C72" s="15" t="s">
        <v>13</v>
      </c>
      <c r="D72" s="16">
        <v>0</v>
      </c>
      <c r="E72" s="16">
        <v>0</v>
      </c>
      <c r="F72" s="16">
        <v>0</v>
      </c>
      <c r="G72" s="16">
        <v>0</v>
      </c>
      <c r="H72" s="23">
        <v>0</v>
      </c>
      <c r="I72" s="23"/>
      <c r="J72" s="23">
        <v>0</v>
      </c>
      <c r="K72" s="23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23">
        <v>0</v>
      </c>
      <c r="AC72" s="23"/>
      <c r="AD72" s="23">
        <v>0</v>
      </c>
      <c r="AE72" s="23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23">
        <v>0</v>
      </c>
      <c r="AW72" s="23"/>
      <c r="AX72" s="23">
        <v>0</v>
      </c>
      <c r="AY72" s="23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23">
        <v>0</v>
      </c>
      <c r="BU72" s="23"/>
      <c r="BV72" s="23">
        <v>0</v>
      </c>
      <c r="BW72" s="23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23">
        <v>0</v>
      </c>
      <c r="CO72" s="23"/>
      <c r="CP72" s="23">
        <v>0</v>
      </c>
      <c r="CQ72" s="23">
        <v>0</v>
      </c>
      <c r="CR72" s="16">
        <v>0</v>
      </c>
      <c r="CS72" s="16">
        <v>0</v>
      </c>
      <c r="CT72" s="16">
        <v>0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23">
        <v>0</v>
      </c>
      <c r="DI72" s="23"/>
      <c r="DJ72" s="23">
        <v>0</v>
      </c>
      <c r="DK72" s="23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0</v>
      </c>
      <c r="DY72" s="16">
        <v>0</v>
      </c>
      <c r="DZ72" s="16">
        <v>0</v>
      </c>
      <c r="EA72" s="16">
        <v>0</v>
      </c>
      <c r="EB72" s="16">
        <v>0</v>
      </c>
      <c r="EC72" s="16">
        <v>0</v>
      </c>
      <c r="ED72" s="16">
        <v>0</v>
      </c>
      <c r="EE72" s="16">
        <v>0</v>
      </c>
      <c r="EF72" s="23">
        <v>0</v>
      </c>
      <c r="EG72" s="23"/>
      <c r="EH72" s="23">
        <v>0</v>
      </c>
      <c r="EI72" s="23">
        <v>0</v>
      </c>
      <c r="EJ72" s="16">
        <v>0</v>
      </c>
      <c r="EK72" s="16">
        <v>0</v>
      </c>
      <c r="EL72" s="16">
        <v>0</v>
      </c>
      <c r="EM72" s="16">
        <v>0</v>
      </c>
      <c r="EN72" s="16">
        <v>0</v>
      </c>
      <c r="EO72" s="16">
        <v>0</v>
      </c>
      <c r="EP72" s="16">
        <v>0</v>
      </c>
      <c r="EQ72" s="16">
        <v>0</v>
      </c>
      <c r="ER72" s="16">
        <v>0</v>
      </c>
      <c r="ES72" s="16">
        <v>0</v>
      </c>
      <c r="ET72" s="16">
        <v>0</v>
      </c>
      <c r="EU72" s="16">
        <v>0</v>
      </c>
      <c r="EV72" s="16">
        <v>0</v>
      </c>
      <c r="EW72" s="16">
        <v>0</v>
      </c>
      <c r="EX72" s="16">
        <v>0</v>
      </c>
      <c r="EY72" s="16">
        <v>0</v>
      </c>
      <c r="EZ72" s="23">
        <v>0</v>
      </c>
      <c r="FA72" s="23"/>
      <c r="FB72" s="23">
        <v>0</v>
      </c>
      <c r="FC72" s="23">
        <v>0</v>
      </c>
      <c r="FD72" s="16">
        <v>0</v>
      </c>
      <c r="FE72" s="16">
        <v>0</v>
      </c>
      <c r="FF72" s="16">
        <v>0</v>
      </c>
      <c r="FG72" s="16">
        <v>0</v>
      </c>
      <c r="FH72" s="16">
        <v>0</v>
      </c>
      <c r="FI72" s="16">
        <v>0</v>
      </c>
      <c r="FJ72" s="16">
        <v>0</v>
      </c>
      <c r="FK72" s="16">
        <v>0</v>
      </c>
      <c r="FL72" s="16">
        <v>0</v>
      </c>
      <c r="FM72" s="16">
        <v>0</v>
      </c>
      <c r="FN72" s="16">
        <v>0</v>
      </c>
      <c r="FO72" s="16">
        <v>0</v>
      </c>
      <c r="FP72" s="16">
        <v>0</v>
      </c>
      <c r="FQ72" s="16">
        <v>0</v>
      </c>
      <c r="FR72" s="16">
        <v>0</v>
      </c>
      <c r="FS72" s="16">
        <v>0</v>
      </c>
      <c r="FT72" s="23">
        <v>0</v>
      </c>
      <c r="FU72" s="23"/>
      <c r="FV72" s="23">
        <v>0</v>
      </c>
      <c r="FW72" s="23">
        <v>0</v>
      </c>
      <c r="FX72" s="16">
        <v>0</v>
      </c>
      <c r="FY72" s="16">
        <v>0</v>
      </c>
      <c r="FZ72" s="16">
        <v>0</v>
      </c>
      <c r="GA72" s="16">
        <v>0</v>
      </c>
      <c r="GB72" s="16">
        <v>0</v>
      </c>
      <c r="GC72" s="16">
        <v>0</v>
      </c>
      <c r="GD72" s="16">
        <v>0</v>
      </c>
      <c r="GE72" s="16">
        <v>0</v>
      </c>
      <c r="GF72" s="16">
        <v>0</v>
      </c>
      <c r="GG72" s="16">
        <v>0</v>
      </c>
      <c r="GH72" s="16">
        <v>0</v>
      </c>
      <c r="GI72" s="16">
        <v>0</v>
      </c>
      <c r="GJ72" s="16">
        <v>0</v>
      </c>
      <c r="GK72" s="16">
        <v>0</v>
      </c>
      <c r="GL72" s="16">
        <v>0</v>
      </c>
      <c r="GM72" s="16">
        <v>0</v>
      </c>
      <c r="GN72" s="16">
        <v>0</v>
      </c>
      <c r="GO72" s="16">
        <v>0</v>
      </c>
      <c r="GP72" s="16">
        <v>0</v>
      </c>
      <c r="GQ72" s="16">
        <v>0</v>
      </c>
      <c r="GR72" s="23">
        <v>0</v>
      </c>
      <c r="GS72" s="23"/>
      <c r="GT72" s="23">
        <v>0</v>
      </c>
      <c r="GU72" s="23">
        <v>0</v>
      </c>
      <c r="GV72" s="16">
        <v>0</v>
      </c>
      <c r="GW72" s="16">
        <v>0</v>
      </c>
      <c r="GX72" s="16">
        <v>0</v>
      </c>
      <c r="GY72" s="16">
        <v>0</v>
      </c>
      <c r="GZ72" s="16">
        <v>0</v>
      </c>
      <c r="HA72" s="16">
        <v>0</v>
      </c>
      <c r="HB72" s="16">
        <v>0</v>
      </c>
      <c r="HC72" s="16">
        <v>0</v>
      </c>
      <c r="HD72" s="16">
        <v>0</v>
      </c>
      <c r="HE72" s="16">
        <v>0</v>
      </c>
      <c r="HF72" s="16">
        <v>0</v>
      </c>
      <c r="HG72" s="16">
        <v>0</v>
      </c>
      <c r="HH72" s="16">
        <v>0</v>
      </c>
      <c r="HI72" s="16">
        <v>0</v>
      </c>
      <c r="HJ72" s="16">
        <v>0</v>
      </c>
      <c r="HK72" s="16">
        <v>0</v>
      </c>
      <c r="HL72" s="23">
        <v>0</v>
      </c>
      <c r="HM72" s="23"/>
      <c r="HN72" s="23">
        <v>0</v>
      </c>
      <c r="HO72" s="23">
        <v>0</v>
      </c>
      <c r="HP72" s="16">
        <v>0</v>
      </c>
      <c r="HQ72" s="16">
        <v>0</v>
      </c>
      <c r="HR72" s="16">
        <v>0</v>
      </c>
      <c r="HS72" s="16">
        <v>0</v>
      </c>
      <c r="HT72" s="16">
        <v>0</v>
      </c>
      <c r="HU72" s="16">
        <v>0</v>
      </c>
      <c r="HV72" s="16">
        <v>0</v>
      </c>
      <c r="HW72" s="16">
        <v>0</v>
      </c>
      <c r="HX72" s="16">
        <v>1</v>
      </c>
      <c r="HY72" s="16">
        <v>46200</v>
      </c>
      <c r="HZ72" s="16">
        <v>46200</v>
      </c>
      <c r="IA72" s="16">
        <v>3927</v>
      </c>
      <c r="IB72" s="16">
        <v>0</v>
      </c>
      <c r="IC72" s="16">
        <v>0</v>
      </c>
      <c r="ID72" s="16">
        <v>0</v>
      </c>
      <c r="IE72" s="16">
        <v>0</v>
      </c>
      <c r="IF72" s="23">
        <v>1</v>
      </c>
      <c r="IG72" s="23"/>
      <c r="IH72" s="23">
        <v>46200</v>
      </c>
      <c r="II72" s="23">
        <v>3927</v>
      </c>
      <c r="IJ72" s="16">
        <v>0</v>
      </c>
      <c r="IK72" s="16">
        <v>0</v>
      </c>
      <c r="IL72" s="16">
        <v>0</v>
      </c>
      <c r="IM72" s="16">
        <v>0</v>
      </c>
      <c r="IN72" s="16">
        <v>0</v>
      </c>
      <c r="IO72" s="16">
        <v>0</v>
      </c>
      <c r="IP72" s="16">
        <v>0</v>
      </c>
      <c r="IQ72" s="16">
        <v>0</v>
      </c>
      <c r="IR72" s="16">
        <v>0</v>
      </c>
      <c r="IS72" s="16">
        <v>0</v>
      </c>
      <c r="IT72" s="16">
        <v>0</v>
      </c>
      <c r="IU72" s="16">
        <v>0</v>
      </c>
      <c r="IV72" s="16">
        <v>0</v>
      </c>
      <c r="IW72" s="16">
        <v>0</v>
      </c>
      <c r="IX72" s="16">
        <v>0</v>
      </c>
      <c r="IY72" s="16">
        <v>0</v>
      </c>
      <c r="IZ72" s="16">
        <v>0</v>
      </c>
      <c r="JA72" s="16">
        <v>0</v>
      </c>
      <c r="JB72" s="16">
        <v>0</v>
      </c>
      <c r="JC72" s="16">
        <v>0</v>
      </c>
      <c r="JD72" s="23">
        <v>0</v>
      </c>
      <c r="JE72" s="23"/>
      <c r="JF72" s="23">
        <v>0</v>
      </c>
      <c r="JG72" s="23">
        <v>0</v>
      </c>
      <c r="JH72" s="16">
        <v>0</v>
      </c>
      <c r="JI72" s="16">
        <v>0</v>
      </c>
      <c r="JJ72" s="16">
        <v>0</v>
      </c>
      <c r="JK72" s="16">
        <v>0</v>
      </c>
      <c r="JL72" s="16">
        <v>0</v>
      </c>
      <c r="JM72" s="16">
        <v>0</v>
      </c>
      <c r="JN72" s="16">
        <v>0</v>
      </c>
      <c r="JO72" s="16">
        <v>0</v>
      </c>
      <c r="JP72" s="16">
        <v>0</v>
      </c>
      <c r="JQ72" s="16">
        <v>0</v>
      </c>
      <c r="JR72" s="16">
        <v>0</v>
      </c>
      <c r="JS72" s="16">
        <v>0</v>
      </c>
      <c r="JT72" s="16">
        <v>1</v>
      </c>
      <c r="JU72" s="16">
        <v>46200</v>
      </c>
      <c r="JV72" s="16">
        <v>46200</v>
      </c>
      <c r="JW72" s="16">
        <v>3927</v>
      </c>
      <c r="JX72" s="23">
        <v>1</v>
      </c>
      <c r="JY72" s="23"/>
      <c r="JZ72" s="23">
        <v>46200</v>
      </c>
      <c r="KA72" s="23">
        <v>3927</v>
      </c>
      <c r="KB72" s="16">
        <v>0</v>
      </c>
      <c r="KC72" s="16">
        <v>0</v>
      </c>
      <c r="KD72" s="16">
        <v>0</v>
      </c>
      <c r="KE72" s="16">
        <v>0</v>
      </c>
      <c r="KF72" s="16">
        <v>0</v>
      </c>
      <c r="KG72" s="16">
        <v>0</v>
      </c>
      <c r="KH72" s="16">
        <v>0</v>
      </c>
      <c r="KI72" s="16">
        <v>0</v>
      </c>
      <c r="KJ72" s="16">
        <v>0</v>
      </c>
      <c r="KK72" s="16">
        <v>0</v>
      </c>
      <c r="KL72" s="16">
        <v>0</v>
      </c>
      <c r="KM72" s="16">
        <v>0</v>
      </c>
      <c r="KN72" s="16">
        <v>0</v>
      </c>
      <c r="KO72" s="16">
        <v>0</v>
      </c>
      <c r="KP72" s="16">
        <v>0</v>
      </c>
      <c r="KQ72" s="16">
        <v>0</v>
      </c>
      <c r="KR72" s="23">
        <v>0</v>
      </c>
      <c r="KS72" s="23"/>
      <c r="KT72" s="23">
        <v>0</v>
      </c>
      <c r="KU72" s="23">
        <v>0</v>
      </c>
      <c r="KV72" s="23">
        <v>2</v>
      </c>
      <c r="KW72" s="23"/>
      <c r="KX72" s="23">
        <v>92400</v>
      </c>
      <c r="KY72" s="23">
        <v>7854</v>
      </c>
    </row>
    <row r="73" spans="1:311" ht="16.95" customHeight="1" x14ac:dyDescent="0.4">
      <c r="A73" s="11"/>
      <c r="B73" s="11"/>
      <c r="C73" s="11" t="s">
        <v>23</v>
      </c>
      <c r="D73" s="9">
        <v>0</v>
      </c>
      <c r="E73" s="9">
        <v>0</v>
      </c>
      <c r="F73" s="9">
        <v>0</v>
      </c>
      <c r="G73" s="9">
        <v>0</v>
      </c>
      <c r="H73" s="22">
        <v>0</v>
      </c>
      <c r="I73" s="22"/>
      <c r="J73" s="22">
        <v>0</v>
      </c>
      <c r="K73" s="22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22">
        <v>0</v>
      </c>
      <c r="AC73" s="22"/>
      <c r="AD73" s="22">
        <v>0</v>
      </c>
      <c r="AE73" s="22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22">
        <v>0</v>
      </c>
      <c r="AW73" s="22"/>
      <c r="AX73" s="22">
        <v>0</v>
      </c>
      <c r="AY73" s="22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</v>
      </c>
      <c r="BS73" s="9">
        <v>0</v>
      </c>
      <c r="BT73" s="22">
        <v>0</v>
      </c>
      <c r="BU73" s="22"/>
      <c r="BV73" s="22">
        <v>0</v>
      </c>
      <c r="BW73" s="22">
        <v>0</v>
      </c>
      <c r="BX73" s="9">
        <v>0</v>
      </c>
      <c r="BY73" s="9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22">
        <v>0</v>
      </c>
      <c r="CO73" s="22"/>
      <c r="CP73" s="22">
        <v>0</v>
      </c>
      <c r="CQ73" s="22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22">
        <v>0</v>
      </c>
      <c r="DI73" s="22"/>
      <c r="DJ73" s="22">
        <v>0</v>
      </c>
      <c r="DK73" s="22">
        <v>0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9">
        <v>0</v>
      </c>
      <c r="DU73" s="9">
        <v>0</v>
      </c>
      <c r="DV73" s="9">
        <v>0</v>
      </c>
      <c r="DW73" s="9">
        <v>0</v>
      </c>
      <c r="DX73" s="9">
        <v>0</v>
      </c>
      <c r="DY73" s="9">
        <v>0</v>
      </c>
      <c r="DZ73" s="9">
        <v>0</v>
      </c>
      <c r="EA73" s="9">
        <v>0</v>
      </c>
      <c r="EB73" s="9">
        <v>0</v>
      </c>
      <c r="EC73" s="9">
        <v>0</v>
      </c>
      <c r="ED73" s="9">
        <v>0</v>
      </c>
      <c r="EE73" s="9">
        <v>0</v>
      </c>
      <c r="EF73" s="22">
        <v>0</v>
      </c>
      <c r="EG73" s="22"/>
      <c r="EH73" s="22">
        <v>0</v>
      </c>
      <c r="EI73" s="22">
        <v>0</v>
      </c>
      <c r="EJ73" s="9">
        <v>0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22">
        <v>0</v>
      </c>
      <c r="FA73" s="22"/>
      <c r="FB73" s="22">
        <v>0</v>
      </c>
      <c r="FC73" s="22">
        <v>0</v>
      </c>
      <c r="FD73" s="9">
        <v>0</v>
      </c>
      <c r="FE73" s="9">
        <v>0</v>
      </c>
      <c r="FF73" s="9">
        <v>0</v>
      </c>
      <c r="FG73" s="9">
        <v>0</v>
      </c>
      <c r="FH73" s="9">
        <v>0</v>
      </c>
      <c r="FI73" s="9">
        <v>0</v>
      </c>
      <c r="FJ73" s="9">
        <v>0</v>
      </c>
      <c r="FK73" s="9">
        <v>0</v>
      </c>
      <c r="FL73" s="9">
        <v>0</v>
      </c>
      <c r="FM73" s="9">
        <v>0</v>
      </c>
      <c r="FN73" s="9">
        <v>0</v>
      </c>
      <c r="FO73" s="9">
        <v>0</v>
      </c>
      <c r="FP73" s="9">
        <v>0</v>
      </c>
      <c r="FQ73" s="9">
        <v>0</v>
      </c>
      <c r="FR73" s="9">
        <v>0</v>
      </c>
      <c r="FS73" s="9">
        <v>0</v>
      </c>
      <c r="FT73" s="22">
        <v>0</v>
      </c>
      <c r="FU73" s="22"/>
      <c r="FV73" s="22">
        <v>0</v>
      </c>
      <c r="FW73" s="22">
        <v>0</v>
      </c>
      <c r="FX73" s="9">
        <v>0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9">
        <v>0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  <c r="GJ73" s="9">
        <v>0</v>
      </c>
      <c r="GK73" s="9">
        <v>0</v>
      </c>
      <c r="GL73" s="9">
        <v>0</v>
      </c>
      <c r="GM73" s="9">
        <v>0</v>
      </c>
      <c r="GN73" s="9">
        <v>0</v>
      </c>
      <c r="GO73" s="9">
        <v>0</v>
      </c>
      <c r="GP73" s="9">
        <v>0</v>
      </c>
      <c r="GQ73" s="9">
        <v>0</v>
      </c>
      <c r="GR73" s="22">
        <v>0</v>
      </c>
      <c r="GS73" s="22"/>
      <c r="GT73" s="22">
        <v>0</v>
      </c>
      <c r="GU73" s="22">
        <v>0</v>
      </c>
      <c r="GV73" s="9">
        <v>0</v>
      </c>
      <c r="GW73" s="9">
        <v>0</v>
      </c>
      <c r="GX73" s="9">
        <v>0</v>
      </c>
      <c r="GY73" s="9">
        <v>0</v>
      </c>
      <c r="GZ73" s="9">
        <v>0</v>
      </c>
      <c r="HA73" s="9">
        <v>0</v>
      </c>
      <c r="HB73" s="9">
        <v>0</v>
      </c>
      <c r="HC73" s="9">
        <v>0</v>
      </c>
      <c r="HD73" s="9">
        <v>0</v>
      </c>
      <c r="HE73" s="9">
        <v>0</v>
      </c>
      <c r="HF73" s="9">
        <v>0</v>
      </c>
      <c r="HG73" s="9">
        <v>0</v>
      </c>
      <c r="HH73" s="9">
        <v>0</v>
      </c>
      <c r="HI73" s="9">
        <v>0</v>
      </c>
      <c r="HJ73" s="9">
        <v>0</v>
      </c>
      <c r="HK73" s="9">
        <v>0</v>
      </c>
      <c r="HL73" s="22">
        <v>0</v>
      </c>
      <c r="HM73" s="22"/>
      <c r="HN73" s="22">
        <v>0</v>
      </c>
      <c r="HO73" s="22">
        <v>0</v>
      </c>
      <c r="HP73" s="9">
        <v>0</v>
      </c>
      <c r="HQ73" s="9">
        <v>0</v>
      </c>
      <c r="HR73" s="9">
        <v>0</v>
      </c>
      <c r="HS73" s="9">
        <v>0</v>
      </c>
      <c r="HT73" s="9">
        <v>0</v>
      </c>
      <c r="HU73" s="9">
        <v>0</v>
      </c>
      <c r="HV73" s="9">
        <v>0</v>
      </c>
      <c r="HW73" s="9">
        <v>0</v>
      </c>
      <c r="HX73" s="9">
        <v>2</v>
      </c>
      <c r="HY73" s="9">
        <v>61050</v>
      </c>
      <c r="HZ73" s="9">
        <v>122100</v>
      </c>
      <c r="IA73" s="9">
        <v>10378.5</v>
      </c>
      <c r="IB73" s="9">
        <v>0</v>
      </c>
      <c r="IC73" s="9">
        <v>0</v>
      </c>
      <c r="ID73" s="9">
        <v>0</v>
      </c>
      <c r="IE73" s="9">
        <v>0</v>
      </c>
      <c r="IF73" s="22">
        <v>2</v>
      </c>
      <c r="IG73" s="22"/>
      <c r="IH73" s="22">
        <v>122100</v>
      </c>
      <c r="II73" s="22">
        <v>10378.5</v>
      </c>
      <c r="IJ73" s="9">
        <v>0</v>
      </c>
      <c r="IK73" s="9">
        <v>0</v>
      </c>
      <c r="IL73" s="9">
        <v>0</v>
      </c>
      <c r="IM73" s="9">
        <v>0</v>
      </c>
      <c r="IN73" s="9">
        <v>0</v>
      </c>
      <c r="IO73" s="9">
        <v>0</v>
      </c>
      <c r="IP73" s="9">
        <v>0</v>
      </c>
      <c r="IQ73" s="9">
        <v>0</v>
      </c>
      <c r="IR73" s="9">
        <v>0</v>
      </c>
      <c r="IS73" s="9">
        <v>0</v>
      </c>
      <c r="IT73" s="9">
        <v>0</v>
      </c>
      <c r="IU73" s="9">
        <v>0</v>
      </c>
      <c r="IV73" s="9">
        <v>0</v>
      </c>
      <c r="IW73" s="9">
        <v>0</v>
      </c>
      <c r="IX73" s="9">
        <v>0</v>
      </c>
      <c r="IY73" s="9">
        <v>0</v>
      </c>
      <c r="IZ73" s="9">
        <v>0</v>
      </c>
      <c r="JA73" s="9">
        <v>0</v>
      </c>
      <c r="JB73" s="9">
        <v>0</v>
      </c>
      <c r="JC73" s="9">
        <v>0</v>
      </c>
      <c r="JD73" s="22">
        <v>0</v>
      </c>
      <c r="JE73" s="22"/>
      <c r="JF73" s="22">
        <v>0</v>
      </c>
      <c r="JG73" s="22">
        <v>0</v>
      </c>
      <c r="JH73" s="9">
        <v>0</v>
      </c>
      <c r="JI73" s="9">
        <v>0</v>
      </c>
      <c r="JJ73" s="9">
        <v>0</v>
      </c>
      <c r="JK73" s="9">
        <v>0</v>
      </c>
      <c r="JL73" s="9">
        <v>0</v>
      </c>
      <c r="JM73" s="9">
        <v>0</v>
      </c>
      <c r="JN73" s="9">
        <v>0</v>
      </c>
      <c r="JO73" s="9">
        <v>0</v>
      </c>
      <c r="JP73" s="9">
        <v>0</v>
      </c>
      <c r="JQ73" s="9">
        <v>0</v>
      </c>
      <c r="JR73" s="9">
        <v>0</v>
      </c>
      <c r="JS73" s="9">
        <v>0</v>
      </c>
      <c r="JT73" s="9">
        <v>2</v>
      </c>
      <c r="JU73" s="9">
        <v>61050</v>
      </c>
      <c r="JV73" s="9">
        <v>122100</v>
      </c>
      <c r="JW73" s="9">
        <v>10378.5</v>
      </c>
      <c r="JX73" s="22">
        <v>2</v>
      </c>
      <c r="JY73" s="22"/>
      <c r="JZ73" s="22">
        <v>122100</v>
      </c>
      <c r="KA73" s="22">
        <v>10378.5</v>
      </c>
      <c r="KB73" s="9">
        <v>0</v>
      </c>
      <c r="KC73" s="9">
        <v>0</v>
      </c>
      <c r="KD73" s="9">
        <v>0</v>
      </c>
      <c r="KE73" s="9">
        <v>0</v>
      </c>
      <c r="KF73" s="9">
        <v>0</v>
      </c>
      <c r="KG73" s="9">
        <v>0</v>
      </c>
      <c r="KH73" s="9">
        <v>0</v>
      </c>
      <c r="KI73" s="9">
        <v>0</v>
      </c>
      <c r="KJ73" s="9">
        <v>0</v>
      </c>
      <c r="KK73" s="9">
        <v>0</v>
      </c>
      <c r="KL73" s="9">
        <v>0</v>
      </c>
      <c r="KM73" s="9">
        <v>0</v>
      </c>
      <c r="KN73" s="9">
        <v>0</v>
      </c>
      <c r="KO73" s="9">
        <v>0</v>
      </c>
      <c r="KP73" s="9">
        <v>0</v>
      </c>
      <c r="KQ73" s="9">
        <v>0</v>
      </c>
      <c r="KR73" s="22">
        <v>0</v>
      </c>
      <c r="KS73" s="22"/>
      <c r="KT73" s="22">
        <v>0</v>
      </c>
      <c r="KU73" s="22">
        <v>0</v>
      </c>
      <c r="KV73" s="22">
        <v>4</v>
      </c>
      <c r="KW73" s="22"/>
      <c r="KX73" s="22">
        <v>244200</v>
      </c>
      <c r="KY73" s="22">
        <v>20757</v>
      </c>
    </row>
    <row r="74" spans="1:311" ht="16.95" customHeight="1" x14ac:dyDescent="0.4">
      <c r="A74" s="12"/>
      <c r="B74" s="12" t="s">
        <v>20</v>
      </c>
      <c r="C74" s="12" t="s">
        <v>395</v>
      </c>
      <c r="D74" s="10">
        <v>4</v>
      </c>
      <c r="E74" s="10">
        <v>0</v>
      </c>
      <c r="F74" s="10">
        <v>224400</v>
      </c>
      <c r="G74" s="10">
        <v>19074</v>
      </c>
      <c r="H74" s="21">
        <v>4</v>
      </c>
      <c r="I74" s="21">
        <v>0</v>
      </c>
      <c r="J74" s="21">
        <v>224400</v>
      </c>
      <c r="K74" s="21">
        <v>19074</v>
      </c>
      <c r="L74" s="10">
        <v>12</v>
      </c>
      <c r="M74" s="10">
        <v>0</v>
      </c>
      <c r="N74" s="10">
        <v>686400</v>
      </c>
      <c r="O74" s="10">
        <v>58344</v>
      </c>
      <c r="P74" s="10">
        <v>9</v>
      </c>
      <c r="Q74" s="10">
        <v>0</v>
      </c>
      <c r="R74" s="10">
        <v>521400</v>
      </c>
      <c r="S74" s="10">
        <v>44319</v>
      </c>
      <c r="T74" s="10">
        <v>7</v>
      </c>
      <c r="U74" s="10">
        <v>0</v>
      </c>
      <c r="V74" s="10">
        <v>402600</v>
      </c>
      <c r="W74" s="10">
        <v>34221</v>
      </c>
      <c r="X74" s="10">
        <v>9</v>
      </c>
      <c r="Y74" s="10">
        <v>0</v>
      </c>
      <c r="Z74" s="10">
        <v>627143</v>
      </c>
      <c r="AA74" s="10">
        <v>53307.199999999997</v>
      </c>
      <c r="AB74" s="21">
        <v>37</v>
      </c>
      <c r="AC74" s="21">
        <v>0</v>
      </c>
      <c r="AD74" s="21">
        <v>2237543</v>
      </c>
      <c r="AE74" s="21">
        <v>190191.2</v>
      </c>
      <c r="AF74" s="10">
        <v>7</v>
      </c>
      <c r="AG74" s="10">
        <v>0</v>
      </c>
      <c r="AH74" s="10">
        <v>402600</v>
      </c>
      <c r="AI74" s="10">
        <v>34221</v>
      </c>
      <c r="AJ74" s="10">
        <v>7</v>
      </c>
      <c r="AK74" s="10">
        <v>0</v>
      </c>
      <c r="AL74" s="10">
        <v>402600</v>
      </c>
      <c r="AM74" s="10">
        <v>34221</v>
      </c>
      <c r="AN74" s="10">
        <v>11</v>
      </c>
      <c r="AO74" s="10">
        <v>0</v>
      </c>
      <c r="AP74" s="10">
        <v>700568</v>
      </c>
      <c r="AQ74" s="10">
        <v>59548.3</v>
      </c>
      <c r="AR74" s="10">
        <v>12</v>
      </c>
      <c r="AS74" s="10">
        <v>0</v>
      </c>
      <c r="AT74" s="10">
        <v>759968</v>
      </c>
      <c r="AU74" s="10">
        <v>64597.3</v>
      </c>
      <c r="AV74" s="21">
        <v>37</v>
      </c>
      <c r="AW74" s="21">
        <v>0</v>
      </c>
      <c r="AX74" s="21">
        <v>2265736</v>
      </c>
      <c r="AY74" s="21">
        <v>192587.6</v>
      </c>
      <c r="AZ74" s="10">
        <v>12</v>
      </c>
      <c r="BA74" s="10">
        <v>0</v>
      </c>
      <c r="BB74" s="10">
        <v>705375</v>
      </c>
      <c r="BC74" s="10">
        <v>59956.9</v>
      </c>
      <c r="BD74" s="10">
        <v>11</v>
      </c>
      <c r="BE74" s="10">
        <v>0</v>
      </c>
      <c r="BF74" s="10">
        <v>627000</v>
      </c>
      <c r="BG74" s="10">
        <v>53295</v>
      </c>
      <c r="BH74" s="10">
        <v>13</v>
      </c>
      <c r="BI74" s="10">
        <v>0</v>
      </c>
      <c r="BJ74" s="10">
        <v>825143</v>
      </c>
      <c r="BK74" s="10">
        <v>70137.2</v>
      </c>
      <c r="BL74" s="10">
        <v>14</v>
      </c>
      <c r="BM74" s="10">
        <v>0</v>
      </c>
      <c r="BN74" s="10">
        <v>852368</v>
      </c>
      <c r="BO74" s="10">
        <v>72451.3</v>
      </c>
      <c r="BP74" s="10">
        <v>16</v>
      </c>
      <c r="BQ74" s="10">
        <v>0</v>
      </c>
      <c r="BR74" s="10">
        <v>971168</v>
      </c>
      <c r="BS74" s="10">
        <v>82549.3</v>
      </c>
      <c r="BT74" s="21">
        <v>66</v>
      </c>
      <c r="BU74" s="21">
        <v>0</v>
      </c>
      <c r="BV74" s="21">
        <v>3981054</v>
      </c>
      <c r="BW74" s="21">
        <v>338389.6</v>
      </c>
      <c r="BX74" s="10">
        <v>16</v>
      </c>
      <c r="BY74" s="10">
        <v>0</v>
      </c>
      <c r="BZ74" s="10">
        <v>990143</v>
      </c>
      <c r="CA74" s="10">
        <v>84162.2</v>
      </c>
      <c r="CB74" s="10">
        <v>17</v>
      </c>
      <c r="CC74" s="10">
        <v>0</v>
      </c>
      <c r="CD74" s="10">
        <v>1017368</v>
      </c>
      <c r="CE74" s="10">
        <v>86476.3</v>
      </c>
      <c r="CF74" s="10">
        <v>19</v>
      </c>
      <c r="CG74" s="10">
        <v>0</v>
      </c>
      <c r="CH74" s="10">
        <v>1155143</v>
      </c>
      <c r="CI74" s="10">
        <v>98187.199999999997</v>
      </c>
      <c r="CJ74" s="10">
        <v>20</v>
      </c>
      <c r="CK74" s="10">
        <v>0</v>
      </c>
      <c r="CL74" s="10">
        <v>1201343</v>
      </c>
      <c r="CM74" s="10">
        <v>102114.2</v>
      </c>
      <c r="CN74" s="21">
        <v>72</v>
      </c>
      <c r="CO74" s="21">
        <v>0</v>
      </c>
      <c r="CP74" s="21">
        <v>4363997</v>
      </c>
      <c r="CQ74" s="21">
        <v>370939.7</v>
      </c>
      <c r="CR74" s="10">
        <v>17</v>
      </c>
      <c r="CS74" s="10">
        <v>0</v>
      </c>
      <c r="CT74" s="10">
        <v>1030568</v>
      </c>
      <c r="CU74" s="10">
        <v>87598.3</v>
      </c>
      <c r="CV74" s="10">
        <v>20</v>
      </c>
      <c r="CW74" s="10">
        <v>0</v>
      </c>
      <c r="CX74" s="10">
        <v>1201343</v>
      </c>
      <c r="CY74" s="10">
        <v>102114.2</v>
      </c>
      <c r="CZ74" s="10">
        <v>22</v>
      </c>
      <c r="DA74" s="10">
        <v>0</v>
      </c>
      <c r="DB74" s="10">
        <v>1320143</v>
      </c>
      <c r="DC74" s="10">
        <v>112212.2</v>
      </c>
      <c r="DD74" s="10">
        <v>21</v>
      </c>
      <c r="DE74" s="10">
        <v>0</v>
      </c>
      <c r="DF74" s="10">
        <v>1334311</v>
      </c>
      <c r="DG74" s="10">
        <v>113416.5</v>
      </c>
      <c r="DH74" s="21">
        <v>80</v>
      </c>
      <c r="DI74" s="21">
        <v>0</v>
      </c>
      <c r="DJ74" s="21">
        <v>4886365</v>
      </c>
      <c r="DK74" s="21">
        <v>415341</v>
      </c>
      <c r="DL74" s="10">
        <v>24</v>
      </c>
      <c r="DM74" s="10">
        <v>0</v>
      </c>
      <c r="DN74" s="10">
        <v>1412543</v>
      </c>
      <c r="DO74" s="10">
        <v>120066.2</v>
      </c>
      <c r="DP74" s="10">
        <v>27</v>
      </c>
      <c r="DQ74" s="10">
        <v>0</v>
      </c>
      <c r="DR74" s="10">
        <v>1670086</v>
      </c>
      <c r="DS74" s="10">
        <v>141957.4</v>
      </c>
      <c r="DT74" s="10">
        <v>27</v>
      </c>
      <c r="DU74" s="10">
        <v>0</v>
      </c>
      <c r="DV74" s="10">
        <v>1651111</v>
      </c>
      <c r="DW74" s="10">
        <v>140344.5</v>
      </c>
      <c r="DX74" s="10">
        <v>22</v>
      </c>
      <c r="DY74" s="10">
        <v>0</v>
      </c>
      <c r="DZ74" s="10">
        <v>1306943</v>
      </c>
      <c r="EA74" s="10">
        <v>111090.2</v>
      </c>
      <c r="EB74" s="10">
        <v>21</v>
      </c>
      <c r="EC74" s="10">
        <v>0</v>
      </c>
      <c r="ED74" s="10">
        <v>1228568</v>
      </c>
      <c r="EE74" s="10">
        <v>104428.4</v>
      </c>
      <c r="EF74" s="21">
        <v>121</v>
      </c>
      <c r="EG74" s="21">
        <v>0</v>
      </c>
      <c r="EH74" s="21">
        <v>7269251</v>
      </c>
      <c r="EI74" s="21">
        <v>617886.5</v>
      </c>
      <c r="EJ74" s="10">
        <v>24</v>
      </c>
      <c r="EK74" s="10">
        <v>0</v>
      </c>
      <c r="EL74" s="10">
        <v>1528736</v>
      </c>
      <c r="EM74" s="10">
        <v>129942.7</v>
      </c>
      <c r="EN74" s="10">
        <v>23</v>
      </c>
      <c r="EO74" s="10">
        <v>0</v>
      </c>
      <c r="EP74" s="10">
        <v>1361668</v>
      </c>
      <c r="EQ74" s="10">
        <v>115741.8</v>
      </c>
      <c r="ER74" s="10">
        <v>19</v>
      </c>
      <c r="ES74" s="10">
        <v>0</v>
      </c>
      <c r="ET74" s="10">
        <v>1162018</v>
      </c>
      <c r="EU74" s="10">
        <v>98771.6</v>
      </c>
      <c r="EV74" s="10">
        <v>26</v>
      </c>
      <c r="EW74" s="10">
        <v>0</v>
      </c>
      <c r="EX74" s="10">
        <v>1631586</v>
      </c>
      <c r="EY74" s="10">
        <v>138684.9</v>
      </c>
      <c r="EZ74" s="21">
        <v>92</v>
      </c>
      <c r="FA74" s="21">
        <v>0</v>
      </c>
      <c r="FB74" s="21">
        <v>5684008</v>
      </c>
      <c r="FC74" s="21">
        <v>483140.7</v>
      </c>
      <c r="FD74" s="10">
        <v>22</v>
      </c>
      <c r="FE74" s="10">
        <v>0</v>
      </c>
      <c r="FF74" s="10">
        <v>1330318</v>
      </c>
      <c r="FG74" s="10">
        <v>113077.1</v>
      </c>
      <c r="FH74" s="10">
        <v>20</v>
      </c>
      <c r="FI74" s="10">
        <v>0</v>
      </c>
      <c r="FJ74" s="10">
        <v>1223068</v>
      </c>
      <c r="FK74" s="10">
        <v>103960.8</v>
      </c>
      <c r="FL74" s="10">
        <v>21</v>
      </c>
      <c r="FM74" s="10">
        <v>0</v>
      </c>
      <c r="FN74" s="10">
        <v>1298968</v>
      </c>
      <c r="FO74" s="10">
        <v>110412.4</v>
      </c>
      <c r="FP74" s="10">
        <v>21</v>
      </c>
      <c r="FQ74" s="10">
        <v>0</v>
      </c>
      <c r="FR74" s="10">
        <v>1269268</v>
      </c>
      <c r="FS74" s="10">
        <v>107887.8</v>
      </c>
      <c r="FT74" s="21">
        <v>84</v>
      </c>
      <c r="FU74" s="21">
        <v>0</v>
      </c>
      <c r="FV74" s="21">
        <v>5121622</v>
      </c>
      <c r="FW74" s="21">
        <v>435337.9</v>
      </c>
      <c r="FX74" s="10">
        <v>20</v>
      </c>
      <c r="FY74" s="10">
        <v>0</v>
      </c>
      <c r="FZ74" s="10">
        <v>1208218</v>
      </c>
      <c r="GA74" s="10">
        <v>102698.6</v>
      </c>
      <c r="GB74" s="10">
        <v>18</v>
      </c>
      <c r="GC74" s="10">
        <v>0</v>
      </c>
      <c r="GD74" s="10">
        <v>1183336</v>
      </c>
      <c r="GE74" s="10">
        <v>100583.6</v>
      </c>
      <c r="GF74" s="10">
        <v>17</v>
      </c>
      <c r="GG74" s="10">
        <v>0</v>
      </c>
      <c r="GH74" s="10">
        <v>1084468</v>
      </c>
      <c r="GI74" s="10">
        <v>92179.9</v>
      </c>
      <c r="GJ74" s="10">
        <v>15</v>
      </c>
      <c r="GK74" s="10">
        <v>0</v>
      </c>
      <c r="GL74" s="10">
        <v>890450</v>
      </c>
      <c r="GM74" s="10">
        <v>75688.3</v>
      </c>
      <c r="GN74" s="10">
        <v>15</v>
      </c>
      <c r="GO74" s="10">
        <v>0</v>
      </c>
      <c r="GP74" s="10">
        <v>957968</v>
      </c>
      <c r="GQ74" s="10">
        <v>81427.3</v>
      </c>
      <c r="GR74" s="21">
        <v>85</v>
      </c>
      <c r="GS74" s="21">
        <v>0</v>
      </c>
      <c r="GT74" s="21">
        <v>5324440</v>
      </c>
      <c r="GU74" s="21">
        <v>452577.5</v>
      </c>
      <c r="GV74" s="10">
        <v>9</v>
      </c>
      <c r="GW74" s="10">
        <v>0</v>
      </c>
      <c r="GX74" s="10">
        <v>519750</v>
      </c>
      <c r="GY74" s="10">
        <v>44178.8</v>
      </c>
      <c r="GZ74" s="10">
        <v>16</v>
      </c>
      <c r="HA74" s="10">
        <v>0</v>
      </c>
      <c r="HB74" s="10">
        <v>1004168</v>
      </c>
      <c r="HC74" s="10">
        <v>85354.4</v>
      </c>
      <c r="HD74" s="10">
        <v>17</v>
      </c>
      <c r="HE74" s="10">
        <v>0</v>
      </c>
      <c r="HF74" s="10">
        <v>1084468</v>
      </c>
      <c r="HG74" s="10">
        <v>92179.8</v>
      </c>
      <c r="HH74" s="10">
        <v>15</v>
      </c>
      <c r="HI74" s="10">
        <v>0</v>
      </c>
      <c r="HJ74" s="10">
        <v>886050</v>
      </c>
      <c r="HK74" s="10">
        <v>75314.3</v>
      </c>
      <c r="HL74" s="21">
        <v>57</v>
      </c>
      <c r="HM74" s="21">
        <v>0</v>
      </c>
      <c r="HN74" s="21">
        <v>3494436</v>
      </c>
      <c r="HO74" s="21">
        <v>297027.20000000001</v>
      </c>
      <c r="HP74" s="10">
        <v>18</v>
      </c>
      <c r="HQ74" s="10">
        <v>0</v>
      </c>
      <c r="HR74" s="10">
        <v>1126268</v>
      </c>
      <c r="HS74" s="10">
        <v>95732.800000000003</v>
      </c>
      <c r="HT74" s="10">
        <v>18</v>
      </c>
      <c r="HU74" s="10">
        <v>0</v>
      </c>
      <c r="HV74" s="10">
        <v>1160368</v>
      </c>
      <c r="HW74" s="10">
        <v>98631.4</v>
      </c>
      <c r="HX74" s="10">
        <v>17</v>
      </c>
      <c r="HY74" s="10">
        <v>0</v>
      </c>
      <c r="HZ74" s="10">
        <v>993300</v>
      </c>
      <c r="IA74" s="10">
        <v>84430.5</v>
      </c>
      <c r="IB74" s="10">
        <v>15</v>
      </c>
      <c r="IC74" s="10">
        <v>0</v>
      </c>
      <c r="ID74" s="10">
        <v>957968</v>
      </c>
      <c r="IE74" s="10">
        <v>81427.3</v>
      </c>
      <c r="IF74" s="21">
        <v>68</v>
      </c>
      <c r="IG74" s="21">
        <v>0</v>
      </c>
      <c r="IH74" s="21">
        <v>4237904</v>
      </c>
      <c r="II74" s="21">
        <v>360221.9</v>
      </c>
      <c r="IJ74" s="10">
        <v>14</v>
      </c>
      <c r="IK74" s="10">
        <v>0</v>
      </c>
      <c r="IL74" s="10">
        <v>825000</v>
      </c>
      <c r="IM74" s="10">
        <v>70125</v>
      </c>
      <c r="IN74" s="10">
        <v>13</v>
      </c>
      <c r="IO74" s="10">
        <v>0</v>
      </c>
      <c r="IP74" s="10">
        <v>850718</v>
      </c>
      <c r="IQ74" s="10">
        <v>72311.100000000006</v>
      </c>
      <c r="IR74" s="10">
        <v>13</v>
      </c>
      <c r="IS74" s="10">
        <v>0</v>
      </c>
      <c r="IT74" s="10">
        <v>783200</v>
      </c>
      <c r="IU74" s="10">
        <v>66572</v>
      </c>
      <c r="IV74" s="10">
        <v>12</v>
      </c>
      <c r="IW74" s="10">
        <v>0</v>
      </c>
      <c r="IX74" s="10">
        <v>732600</v>
      </c>
      <c r="IY74" s="10">
        <v>62271</v>
      </c>
      <c r="IZ74" s="10">
        <v>14</v>
      </c>
      <c r="JA74" s="10">
        <v>0</v>
      </c>
      <c r="JB74" s="10">
        <v>968836</v>
      </c>
      <c r="JC74" s="10">
        <v>82351.199999999997</v>
      </c>
      <c r="JD74" s="21">
        <v>66</v>
      </c>
      <c r="JE74" s="21">
        <v>0</v>
      </c>
      <c r="JF74" s="21">
        <v>4160354</v>
      </c>
      <c r="JG74" s="21">
        <v>353630.1</v>
      </c>
      <c r="JH74" s="10">
        <v>11</v>
      </c>
      <c r="JI74" s="10">
        <v>0</v>
      </c>
      <c r="JJ74" s="10">
        <v>569932</v>
      </c>
      <c r="JK74" s="10">
        <v>48444.2</v>
      </c>
      <c r="JL74" s="10">
        <v>9</v>
      </c>
      <c r="JM74" s="10">
        <v>0</v>
      </c>
      <c r="JN74" s="10">
        <v>621368</v>
      </c>
      <c r="JO74" s="10">
        <v>52816.4</v>
      </c>
      <c r="JP74" s="10">
        <v>11</v>
      </c>
      <c r="JQ74" s="10">
        <v>0</v>
      </c>
      <c r="JR74" s="10">
        <v>641850</v>
      </c>
      <c r="JS74" s="10">
        <v>54557.3</v>
      </c>
      <c r="JT74" s="10">
        <v>13</v>
      </c>
      <c r="JU74" s="10">
        <v>0</v>
      </c>
      <c r="JV74" s="10">
        <v>835868</v>
      </c>
      <c r="JW74" s="10">
        <v>71048.899999999994</v>
      </c>
      <c r="JX74" s="21">
        <v>44</v>
      </c>
      <c r="JY74" s="21">
        <v>0</v>
      </c>
      <c r="JZ74" s="21">
        <v>2669018</v>
      </c>
      <c r="KA74" s="21">
        <v>226866.6</v>
      </c>
      <c r="KB74" s="10">
        <v>11</v>
      </c>
      <c r="KC74" s="10">
        <v>0</v>
      </c>
      <c r="KD74" s="10">
        <v>675950</v>
      </c>
      <c r="KE74" s="10">
        <v>57455.8</v>
      </c>
      <c r="KF74" s="10">
        <v>15</v>
      </c>
      <c r="KG74" s="10">
        <v>0</v>
      </c>
      <c r="KH74" s="10">
        <v>871200</v>
      </c>
      <c r="KI74" s="10">
        <v>74052.100000000006</v>
      </c>
      <c r="KJ74" s="10">
        <v>4</v>
      </c>
      <c r="KK74" s="10">
        <v>0</v>
      </c>
      <c r="KL74" s="10">
        <v>316118</v>
      </c>
      <c r="KM74" s="10">
        <v>26870.1</v>
      </c>
      <c r="KN74" s="10">
        <v>15</v>
      </c>
      <c r="KO74" s="10">
        <v>0</v>
      </c>
      <c r="KP74" s="10">
        <v>943118</v>
      </c>
      <c r="KQ74" s="10">
        <v>80165.100000000006</v>
      </c>
      <c r="KR74" s="21">
        <v>45</v>
      </c>
      <c r="KS74" s="21">
        <v>0</v>
      </c>
      <c r="KT74" s="21">
        <v>2806386</v>
      </c>
      <c r="KU74" s="21">
        <v>238542.9</v>
      </c>
      <c r="KV74" s="21">
        <v>958</v>
      </c>
      <c r="KW74" s="21">
        <v>0</v>
      </c>
      <c r="KX74" s="21">
        <v>58726514</v>
      </c>
      <c r="KY74" s="21">
        <v>4991753.7</v>
      </c>
    </row>
    <row r="75" spans="1:311" ht="16.95" customHeight="1" x14ac:dyDescent="0.4">
      <c r="A75" s="11"/>
      <c r="B75" s="11"/>
      <c r="C75" s="11" t="s">
        <v>58</v>
      </c>
      <c r="D75" s="9">
        <v>0</v>
      </c>
      <c r="E75" s="9">
        <v>0</v>
      </c>
      <c r="F75" s="9">
        <v>0</v>
      </c>
      <c r="G75" s="9">
        <v>0</v>
      </c>
      <c r="H75" s="22">
        <v>0</v>
      </c>
      <c r="I75" s="22"/>
      <c r="J75" s="22">
        <v>0</v>
      </c>
      <c r="K75" s="22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1</v>
      </c>
      <c r="Y75" s="9">
        <v>132968</v>
      </c>
      <c r="Z75" s="9">
        <v>132968</v>
      </c>
      <c r="AA75" s="9">
        <v>11302.3</v>
      </c>
      <c r="AB75" s="22">
        <v>1</v>
      </c>
      <c r="AC75" s="22"/>
      <c r="AD75" s="22">
        <v>132968</v>
      </c>
      <c r="AE75" s="22">
        <v>11302.3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1</v>
      </c>
      <c r="AO75" s="9">
        <v>132968</v>
      </c>
      <c r="AP75" s="9">
        <v>132968</v>
      </c>
      <c r="AQ75" s="9">
        <v>11302.3</v>
      </c>
      <c r="AR75" s="9">
        <v>1</v>
      </c>
      <c r="AS75" s="9">
        <v>132968</v>
      </c>
      <c r="AT75" s="9">
        <v>132968</v>
      </c>
      <c r="AU75" s="9">
        <v>11302.3</v>
      </c>
      <c r="AV75" s="22">
        <v>2</v>
      </c>
      <c r="AW75" s="22"/>
      <c r="AX75" s="22">
        <v>265936</v>
      </c>
      <c r="AY75" s="22">
        <v>22604.6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1</v>
      </c>
      <c r="BI75" s="9">
        <v>132968</v>
      </c>
      <c r="BJ75" s="9">
        <v>132968</v>
      </c>
      <c r="BK75" s="9">
        <v>11302.3</v>
      </c>
      <c r="BL75" s="9">
        <v>1</v>
      </c>
      <c r="BM75" s="9">
        <v>132968</v>
      </c>
      <c r="BN75" s="9">
        <v>132968</v>
      </c>
      <c r="BO75" s="9">
        <v>11302.3</v>
      </c>
      <c r="BP75" s="9">
        <v>1</v>
      </c>
      <c r="BQ75" s="9">
        <v>132968</v>
      </c>
      <c r="BR75" s="9">
        <v>132968</v>
      </c>
      <c r="BS75" s="9">
        <v>11302.3</v>
      </c>
      <c r="BT75" s="22">
        <v>3</v>
      </c>
      <c r="BU75" s="22"/>
      <c r="BV75" s="22">
        <v>398904</v>
      </c>
      <c r="BW75" s="22">
        <v>33906.800000000003</v>
      </c>
      <c r="BX75" s="9">
        <v>1</v>
      </c>
      <c r="BY75" s="9">
        <v>132968</v>
      </c>
      <c r="BZ75" s="9">
        <v>132968</v>
      </c>
      <c r="CA75" s="9">
        <v>11302.3</v>
      </c>
      <c r="CB75" s="9">
        <v>1</v>
      </c>
      <c r="CC75" s="9">
        <v>132968</v>
      </c>
      <c r="CD75" s="9">
        <v>132968</v>
      </c>
      <c r="CE75" s="9">
        <v>11302.3</v>
      </c>
      <c r="CF75" s="9">
        <v>1</v>
      </c>
      <c r="CG75" s="9">
        <v>132968</v>
      </c>
      <c r="CH75" s="9">
        <v>132968</v>
      </c>
      <c r="CI75" s="9">
        <v>11302.3</v>
      </c>
      <c r="CJ75" s="9">
        <v>1</v>
      </c>
      <c r="CK75" s="9">
        <v>132968</v>
      </c>
      <c r="CL75" s="9">
        <v>132968</v>
      </c>
      <c r="CM75" s="9">
        <v>11302.3</v>
      </c>
      <c r="CN75" s="22">
        <v>4</v>
      </c>
      <c r="CO75" s="22"/>
      <c r="CP75" s="22">
        <v>531872</v>
      </c>
      <c r="CQ75" s="22">
        <v>45209.1</v>
      </c>
      <c r="CR75" s="9">
        <v>1</v>
      </c>
      <c r="CS75" s="9">
        <v>132968</v>
      </c>
      <c r="CT75" s="9">
        <v>132968</v>
      </c>
      <c r="CU75" s="9">
        <v>11302.3</v>
      </c>
      <c r="CV75" s="9">
        <v>1</v>
      </c>
      <c r="CW75" s="9">
        <v>132968</v>
      </c>
      <c r="CX75" s="9">
        <v>132968</v>
      </c>
      <c r="CY75" s="9">
        <v>11302.3</v>
      </c>
      <c r="CZ75" s="9">
        <v>1</v>
      </c>
      <c r="DA75" s="9">
        <v>132968</v>
      </c>
      <c r="DB75" s="9">
        <v>132968</v>
      </c>
      <c r="DC75" s="9">
        <v>11302.3</v>
      </c>
      <c r="DD75" s="9">
        <v>2</v>
      </c>
      <c r="DE75" s="9">
        <v>132968</v>
      </c>
      <c r="DF75" s="9">
        <v>265936</v>
      </c>
      <c r="DG75" s="9">
        <v>22604.6</v>
      </c>
      <c r="DH75" s="22">
        <v>5</v>
      </c>
      <c r="DI75" s="22"/>
      <c r="DJ75" s="22">
        <v>664840</v>
      </c>
      <c r="DK75" s="22">
        <v>56511.4</v>
      </c>
      <c r="DL75" s="9">
        <v>1</v>
      </c>
      <c r="DM75" s="9">
        <v>132968</v>
      </c>
      <c r="DN75" s="9">
        <v>132968</v>
      </c>
      <c r="DO75" s="9">
        <v>11302.3</v>
      </c>
      <c r="DP75" s="9">
        <v>2</v>
      </c>
      <c r="DQ75" s="9">
        <v>132968</v>
      </c>
      <c r="DR75" s="9">
        <v>265936</v>
      </c>
      <c r="DS75" s="9">
        <v>22604.6</v>
      </c>
      <c r="DT75" s="9">
        <v>2</v>
      </c>
      <c r="DU75" s="9">
        <v>132968</v>
      </c>
      <c r="DV75" s="9">
        <v>265936</v>
      </c>
      <c r="DW75" s="9">
        <v>22604.6</v>
      </c>
      <c r="DX75" s="9">
        <v>1</v>
      </c>
      <c r="DY75" s="9">
        <v>132968</v>
      </c>
      <c r="DZ75" s="9">
        <v>132968</v>
      </c>
      <c r="EA75" s="9">
        <v>11302.3</v>
      </c>
      <c r="EB75" s="9">
        <v>1</v>
      </c>
      <c r="EC75" s="9">
        <v>132968</v>
      </c>
      <c r="ED75" s="9">
        <v>132968</v>
      </c>
      <c r="EE75" s="9">
        <v>11302.3</v>
      </c>
      <c r="EF75" s="22">
        <v>7</v>
      </c>
      <c r="EG75" s="22"/>
      <c r="EH75" s="22">
        <v>930776</v>
      </c>
      <c r="EI75" s="22">
        <v>79116</v>
      </c>
      <c r="EJ75" s="9">
        <v>2</v>
      </c>
      <c r="EK75" s="9">
        <v>132968</v>
      </c>
      <c r="EL75" s="9">
        <v>265936</v>
      </c>
      <c r="EM75" s="9">
        <v>22604.6</v>
      </c>
      <c r="EN75" s="9">
        <v>1</v>
      </c>
      <c r="EO75" s="9">
        <v>132968</v>
      </c>
      <c r="EP75" s="9">
        <v>132968</v>
      </c>
      <c r="EQ75" s="9">
        <v>11302.3</v>
      </c>
      <c r="ER75" s="9">
        <v>1</v>
      </c>
      <c r="ES75" s="9">
        <v>132968</v>
      </c>
      <c r="ET75" s="9">
        <v>132968</v>
      </c>
      <c r="EU75" s="9">
        <v>11302.3</v>
      </c>
      <c r="EV75" s="9">
        <v>2</v>
      </c>
      <c r="EW75" s="9">
        <v>132968</v>
      </c>
      <c r="EX75" s="9">
        <v>265936</v>
      </c>
      <c r="EY75" s="9">
        <v>22604.6</v>
      </c>
      <c r="EZ75" s="22">
        <v>6</v>
      </c>
      <c r="FA75" s="22"/>
      <c r="FB75" s="22">
        <v>797808</v>
      </c>
      <c r="FC75" s="22">
        <v>67813.7</v>
      </c>
      <c r="FD75" s="9">
        <v>1</v>
      </c>
      <c r="FE75" s="9">
        <v>132968</v>
      </c>
      <c r="FF75" s="9">
        <v>132968</v>
      </c>
      <c r="FG75" s="9">
        <v>11302.3</v>
      </c>
      <c r="FH75" s="9">
        <v>1</v>
      </c>
      <c r="FI75" s="9">
        <v>132968</v>
      </c>
      <c r="FJ75" s="9">
        <v>132968</v>
      </c>
      <c r="FK75" s="9">
        <v>11302.3</v>
      </c>
      <c r="FL75" s="9">
        <v>1</v>
      </c>
      <c r="FM75" s="9">
        <v>132968</v>
      </c>
      <c r="FN75" s="9">
        <v>132968</v>
      </c>
      <c r="FO75" s="9">
        <v>11302.3</v>
      </c>
      <c r="FP75" s="9">
        <v>1</v>
      </c>
      <c r="FQ75" s="9">
        <v>132968</v>
      </c>
      <c r="FR75" s="9">
        <v>132968</v>
      </c>
      <c r="FS75" s="9">
        <v>11302.3</v>
      </c>
      <c r="FT75" s="22">
        <v>4</v>
      </c>
      <c r="FU75" s="22"/>
      <c r="FV75" s="22">
        <v>531872</v>
      </c>
      <c r="FW75" s="22">
        <v>45209.1</v>
      </c>
      <c r="FX75" s="9">
        <v>1</v>
      </c>
      <c r="FY75" s="9">
        <v>132968</v>
      </c>
      <c r="FZ75" s="9">
        <v>132968</v>
      </c>
      <c r="GA75" s="9">
        <v>11302.3</v>
      </c>
      <c r="GB75" s="9">
        <v>2</v>
      </c>
      <c r="GC75" s="9">
        <v>132968</v>
      </c>
      <c r="GD75" s="9">
        <v>265936</v>
      </c>
      <c r="GE75" s="9">
        <v>22604.6</v>
      </c>
      <c r="GF75" s="9">
        <v>1</v>
      </c>
      <c r="GG75" s="9">
        <v>132968</v>
      </c>
      <c r="GH75" s="9">
        <v>132968</v>
      </c>
      <c r="GI75" s="9">
        <v>11302.3</v>
      </c>
      <c r="GJ75" s="9">
        <v>0</v>
      </c>
      <c r="GK75" s="9">
        <v>0</v>
      </c>
      <c r="GL75" s="9">
        <v>0</v>
      </c>
      <c r="GM75" s="9">
        <v>0</v>
      </c>
      <c r="GN75" s="9">
        <v>1</v>
      </c>
      <c r="GO75" s="9">
        <v>132968</v>
      </c>
      <c r="GP75" s="9">
        <v>132968</v>
      </c>
      <c r="GQ75" s="9">
        <v>11302.3</v>
      </c>
      <c r="GR75" s="22">
        <v>5</v>
      </c>
      <c r="GS75" s="22"/>
      <c r="GT75" s="22">
        <v>664840</v>
      </c>
      <c r="GU75" s="22">
        <v>56511.4</v>
      </c>
      <c r="GV75" s="9">
        <v>0</v>
      </c>
      <c r="GW75" s="9">
        <v>0</v>
      </c>
      <c r="GX75" s="9">
        <v>0</v>
      </c>
      <c r="GY75" s="9">
        <v>0</v>
      </c>
      <c r="GZ75" s="9">
        <v>1</v>
      </c>
      <c r="HA75" s="9">
        <v>132968</v>
      </c>
      <c r="HB75" s="9">
        <v>132968</v>
      </c>
      <c r="HC75" s="9">
        <v>11302.3</v>
      </c>
      <c r="HD75" s="9">
        <v>1</v>
      </c>
      <c r="HE75" s="9">
        <v>132968</v>
      </c>
      <c r="HF75" s="9">
        <v>132968</v>
      </c>
      <c r="HG75" s="9">
        <v>11302.3</v>
      </c>
      <c r="HH75" s="9">
        <v>0</v>
      </c>
      <c r="HI75" s="9">
        <v>0</v>
      </c>
      <c r="HJ75" s="9">
        <v>0</v>
      </c>
      <c r="HK75" s="9">
        <v>0</v>
      </c>
      <c r="HL75" s="22">
        <v>2</v>
      </c>
      <c r="HM75" s="22"/>
      <c r="HN75" s="22">
        <v>265936</v>
      </c>
      <c r="HO75" s="22">
        <v>22604.6</v>
      </c>
      <c r="HP75" s="9">
        <v>1</v>
      </c>
      <c r="HQ75" s="9">
        <v>132968</v>
      </c>
      <c r="HR75" s="9">
        <v>132968</v>
      </c>
      <c r="HS75" s="9">
        <v>11302.3</v>
      </c>
      <c r="HT75" s="9">
        <v>1</v>
      </c>
      <c r="HU75" s="9">
        <v>132968</v>
      </c>
      <c r="HV75" s="9">
        <v>132968</v>
      </c>
      <c r="HW75" s="9">
        <v>11302.3</v>
      </c>
      <c r="HX75" s="9">
        <v>0</v>
      </c>
      <c r="HY75" s="9">
        <v>0</v>
      </c>
      <c r="HZ75" s="9">
        <v>0</v>
      </c>
      <c r="IA75" s="9">
        <v>0</v>
      </c>
      <c r="IB75" s="9">
        <v>1</v>
      </c>
      <c r="IC75" s="9">
        <v>132968</v>
      </c>
      <c r="ID75" s="9">
        <v>132968</v>
      </c>
      <c r="IE75" s="9">
        <v>11302.3</v>
      </c>
      <c r="IF75" s="22">
        <v>3</v>
      </c>
      <c r="IG75" s="22"/>
      <c r="IH75" s="22">
        <v>398904</v>
      </c>
      <c r="II75" s="22">
        <v>33906.800000000003</v>
      </c>
      <c r="IJ75" s="9">
        <v>0</v>
      </c>
      <c r="IK75" s="9">
        <v>0</v>
      </c>
      <c r="IL75" s="9">
        <v>0</v>
      </c>
      <c r="IM75" s="9">
        <v>0</v>
      </c>
      <c r="IN75" s="9">
        <v>1</v>
      </c>
      <c r="IO75" s="9">
        <v>132968</v>
      </c>
      <c r="IP75" s="9">
        <v>132968</v>
      </c>
      <c r="IQ75" s="9">
        <v>11302.3</v>
      </c>
      <c r="IR75" s="9">
        <v>0</v>
      </c>
      <c r="IS75" s="9">
        <v>0</v>
      </c>
      <c r="IT75" s="9">
        <v>0</v>
      </c>
      <c r="IU75" s="9">
        <v>0</v>
      </c>
      <c r="IV75" s="9">
        <v>0</v>
      </c>
      <c r="IW75" s="9">
        <v>0</v>
      </c>
      <c r="IX75" s="9">
        <v>0</v>
      </c>
      <c r="IY75" s="9">
        <v>0</v>
      </c>
      <c r="IZ75" s="9">
        <v>2</v>
      </c>
      <c r="JA75" s="9">
        <v>132968</v>
      </c>
      <c r="JB75" s="9">
        <v>265936</v>
      </c>
      <c r="JC75" s="9">
        <v>22604.6</v>
      </c>
      <c r="JD75" s="22">
        <v>3</v>
      </c>
      <c r="JE75" s="22"/>
      <c r="JF75" s="22">
        <v>398904</v>
      </c>
      <c r="JG75" s="22">
        <v>33906.800000000003</v>
      </c>
      <c r="JH75" s="9">
        <v>-1</v>
      </c>
      <c r="JI75" s="9">
        <v>132968</v>
      </c>
      <c r="JJ75" s="9">
        <v>-132968</v>
      </c>
      <c r="JK75" s="9">
        <v>-11302.3</v>
      </c>
      <c r="JL75" s="9">
        <v>1</v>
      </c>
      <c r="JM75" s="9">
        <v>132968</v>
      </c>
      <c r="JN75" s="9">
        <v>132968</v>
      </c>
      <c r="JO75" s="9">
        <v>11302.3</v>
      </c>
      <c r="JP75" s="9">
        <v>0</v>
      </c>
      <c r="JQ75" s="9">
        <v>0</v>
      </c>
      <c r="JR75" s="9">
        <v>0</v>
      </c>
      <c r="JS75" s="9">
        <v>0</v>
      </c>
      <c r="JT75" s="9">
        <v>1</v>
      </c>
      <c r="JU75" s="9">
        <v>132968</v>
      </c>
      <c r="JV75" s="9">
        <v>132968</v>
      </c>
      <c r="JW75" s="9">
        <v>11302.3</v>
      </c>
      <c r="JX75" s="22">
        <v>1</v>
      </c>
      <c r="JY75" s="22"/>
      <c r="JZ75" s="22">
        <v>132968</v>
      </c>
      <c r="KA75" s="22">
        <v>11302.3</v>
      </c>
      <c r="KB75" s="9">
        <v>0</v>
      </c>
      <c r="KC75" s="9">
        <v>0</v>
      </c>
      <c r="KD75" s="9">
        <v>0</v>
      </c>
      <c r="KE75" s="9">
        <v>0</v>
      </c>
      <c r="KF75" s="9">
        <v>0</v>
      </c>
      <c r="KG75" s="9">
        <v>0</v>
      </c>
      <c r="KH75" s="9">
        <v>0</v>
      </c>
      <c r="KI75" s="9">
        <v>0</v>
      </c>
      <c r="KJ75" s="9">
        <v>1</v>
      </c>
      <c r="KK75" s="9">
        <v>132968</v>
      </c>
      <c r="KL75" s="9">
        <v>132968</v>
      </c>
      <c r="KM75" s="9">
        <v>11302.3</v>
      </c>
      <c r="KN75" s="9">
        <v>1</v>
      </c>
      <c r="KO75" s="9">
        <v>132968</v>
      </c>
      <c r="KP75" s="9">
        <v>132968</v>
      </c>
      <c r="KQ75" s="9">
        <v>11302.3</v>
      </c>
      <c r="KR75" s="22">
        <v>2</v>
      </c>
      <c r="KS75" s="22"/>
      <c r="KT75" s="22">
        <v>265936</v>
      </c>
      <c r="KU75" s="22">
        <v>22604.6</v>
      </c>
      <c r="KV75" s="22">
        <v>48</v>
      </c>
      <c r="KW75" s="22"/>
      <c r="KX75" s="22">
        <v>6382464</v>
      </c>
      <c r="KY75" s="22">
        <v>542509.4</v>
      </c>
    </row>
    <row r="76" spans="1:311" ht="16.95" customHeight="1" x14ac:dyDescent="0.4">
      <c r="A76" s="15"/>
      <c r="B76" s="15"/>
      <c r="C76" s="15" t="s">
        <v>13</v>
      </c>
      <c r="D76" s="16">
        <v>1</v>
      </c>
      <c r="E76" s="16">
        <v>46200</v>
      </c>
      <c r="F76" s="16">
        <v>46200</v>
      </c>
      <c r="G76" s="16">
        <v>3927</v>
      </c>
      <c r="H76" s="23">
        <v>1</v>
      </c>
      <c r="I76" s="23"/>
      <c r="J76" s="23">
        <v>46200</v>
      </c>
      <c r="K76" s="23">
        <v>3927</v>
      </c>
      <c r="L76" s="16">
        <v>2</v>
      </c>
      <c r="M76" s="16">
        <v>46200</v>
      </c>
      <c r="N76" s="16">
        <v>92400</v>
      </c>
      <c r="O76" s="16">
        <v>7854</v>
      </c>
      <c r="P76" s="16">
        <v>1</v>
      </c>
      <c r="Q76" s="16">
        <v>46200</v>
      </c>
      <c r="R76" s="16">
        <v>46200</v>
      </c>
      <c r="S76" s="16">
        <v>3927</v>
      </c>
      <c r="T76" s="16">
        <v>1</v>
      </c>
      <c r="U76" s="16">
        <v>46200</v>
      </c>
      <c r="V76" s="16">
        <v>46200</v>
      </c>
      <c r="W76" s="16">
        <v>3927</v>
      </c>
      <c r="X76" s="16">
        <v>0</v>
      </c>
      <c r="Y76" s="16">
        <v>0</v>
      </c>
      <c r="Z76" s="16">
        <v>0</v>
      </c>
      <c r="AA76" s="16">
        <v>0</v>
      </c>
      <c r="AB76" s="23">
        <v>4</v>
      </c>
      <c r="AC76" s="23"/>
      <c r="AD76" s="23">
        <v>184800</v>
      </c>
      <c r="AE76" s="23">
        <v>15708</v>
      </c>
      <c r="AF76" s="16">
        <v>1</v>
      </c>
      <c r="AG76" s="16">
        <v>46200</v>
      </c>
      <c r="AH76" s="16">
        <v>46200</v>
      </c>
      <c r="AI76" s="16">
        <v>3927</v>
      </c>
      <c r="AJ76" s="16">
        <v>1</v>
      </c>
      <c r="AK76" s="16">
        <v>46200</v>
      </c>
      <c r="AL76" s="16">
        <v>46200</v>
      </c>
      <c r="AM76" s="16">
        <v>3927</v>
      </c>
      <c r="AN76" s="16">
        <v>2</v>
      </c>
      <c r="AO76" s="16">
        <v>46200</v>
      </c>
      <c r="AP76" s="16">
        <v>92400</v>
      </c>
      <c r="AQ76" s="16">
        <v>7854</v>
      </c>
      <c r="AR76" s="16">
        <v>2</v>
      </c>
      <c r="AS76" s="16">
        <v>46200</v>
      </c>
      <c r="AT76" s="16">
        <v>92400</v>
      </c>
      <c r="AU76" s="16">
        <v>7854</v>
      </c>
      <c r="AV76" s="23">
        <v>6</v>
      </c>
      <c r="AW76" s="23"/>
      <c r="AX76" s="23">
        <v>277200</v>
      </c>
      <c r="AY76" s="23">
        <v>23562</v>
      </c>
      <c r="AZ76" s="16">
        <v>2</v>
      </c>
      <c r="BA76" s="16">
        <v>46200</v>
      </c>
      <c r="BB76" s="16">
        <v>92400</v>
      </c>
      <c r="BC76" s="16">
        <v>7854</v>
      </c>
      <c r="BD76" s="16">
        <v>2</v>
      </c>
      <c r="BE76" s="16">
        <v>46200</v>
      </c>
      <c r="BF76" s="16">
        <v>92400</v>
      </c>
      <c r="BG76" s="16">
        <v>7854</v>
      </c>
      <c r="BH76" s="16">
        <v>3</v>
      </c>
      <c r="BI76" s="16">
        <v>46200</v>
      </c>
      <c r="BJ76" s="16">
        <v>138600</v>
      </c>
      <c r="BK76" s="16">
        <v>11781</v>
      </c>
      <c r="BL76" s="16">
        <v>4</v>
      </c>
      <c r="BM76" s="16">
        <v>46200</v>
      </c>
      <c r="BN76" s="16">
        <v>184800</v>
      </c>
      <c r="BO76" s="16">
        <v>15708</v>
      </c>
      <c r="BP76" s="16">
        <v>4</v>
      </c>
      <c r="BQ76" s="16">
        <v>46200</v>
      </c>
      <c r="BR76" s="16">
        <v>184800</v>
      </c>
      <c r="BS76" s="16">
        <v>15708</v>
      </c>
      <c r="BT76" s="23">
        <v>15</v>
      </c>
      <c r="BU76" s="23"/>
      <c r="BV76" s="23">
        <v>693000</v>
      </c>
      <c r="BW76" s="23">
        <v>58905</v>
      </c>
      <c r="BX76" s="16">
        <v>4</v>
      </c>
      <c r="BY76" s="16">
        <v>46200</v>
      </c>
      <c r="BZ76" s="16">
        <v>184800</v>
      </c>
      <c r="CA76" s="16">
        <v>15708</v>
      </c>
      <c r="CB76" s="16">
        <v>5</v>
      </c>
      <c r="CC76" s="16">
        <v>46200</v>
      </c>
      <c r="CD76" s="16">
        <v>231000</v>
      </c>
      <c r="CE76" s="16">
        <v>19635</v>
      </c>
      <c r="CF76" s="16">
        <v>5</v>
      </c>
      <c r="CG76" s="16">
        <v>46200</v>
      </c>
      <c r="CH76" s="16">
        <v>231000</v>
      </c>
      <c r="CI76" s="16">
        <v>19635</v>
      </c>
      <c r="CJ76" s="16">
        <v>6</v>
      </c>
      <c r="CK76" s="16">
        <v>46200</v>
      </c>
      <c r="CL76" s="16">
        <v>277200</v>
      </c>
      <c r="CM76" s="16">
        <v>23562</v>
      </c>
      <c r="CN76" s="23">
        <v>20</v>
      </c>
      <c r="CO76" s="23"/>
      <c r="CP76" s="23">
        <v>924000</v>
      </c>
      <c r="CQ76" s="23">
        <v>78540</v>
      </c>
      <c r="CR76" s="16">
        <v>4</v>
      </c>
      <c r="CS76" s="16">
        <v>46200</v>
      </c>
      <c r="CT76" s="16">
        <v>184800</v>
      </c>
      <c r="CU76" s="16">
        <v>15708</v>
      </c>
      <c r="CV76" s="16">
        <v>6</v>
      </c>
      <c r="CW76" s="16">
        <v>46200</v>
      </c>
      <c r="CX76" s="16">
        <v>277200</v>
      </c>
      <c r="CY76" s="16">
        <v>23562</v>
      </c>
      <c r="CZ76" s="16">
        <v>6</v>
      </c>
      <c r="DA76" s="16">
        <v>46200</v>
      </c>
      <c r="DB76" s="16">
        <v>277200</v>
      </c>
      <c r="DC76" s="16">
        <v>23562</v>
      </c>
      <c r="DD76" s="16">
        <v>6</v>
      </c>
      <c r="DE76" s="16">
        <v>46200</v>
      </c>
      <c r="DF76" s="16">
        <v>277200</v>
      </c>
      <c r="DG76" s="16">
        <v>23562</v>
      </c>
      <c r="DH76" s="23">
        <v>22</v>
      </c>
      <c r="DI76" s="23"/>
      <c r="DJ76" s="23">
        <v>1016400</v>
      </c>
      <c r="DK76" s="23">
        <v>86394</v>
      </c>
      <c r="DL76" s="16">
        <v>8</v>
      </c>
      <c r="DM76" s="16">
        <v>46200</v>
      </c>
      <c r="DN76" s="16">
        <v>369600</v>
      </c>
      <c r="DO76" s="16">
        <v>31416</v>
      </c>
      <c r="DP76" s="16">
        <v>9</v>
      </c>
      <c r="DQ76" s="16">
        <v>46200</v>
      </c>
      <c r="DR76" s="16">
        <v>415800</v>
      </c>
      <c r="DS76" s="16">
        <v>35343</v>
      </c>
      <c r="DT76" s="16">
        <v>9</v>
      </c>
      <c r="DU76" s="16">
        <v>46200</v>
      </c>
      <c r="DV76" s="16">
        <v>415800</v>
      </c>
      <c r="DW76" s="16">
        <v>35343</v>
      </c>
      <c r="DX76" s="16">
        <v>7</v>
      </c>
      <c r="DY76" s="16">
        <v>46200</v>
      </c>
      <c r="DZ76" s="16">
        <v>323400</v>
      </c>
      <c r="EA76" s="16">
        <v>27489</v>
      </c>
      <c r="EB76" s="16">
        <v>8</v>
      </c>
      <c r="EC76" s="16">
        <v>46200</v>
      </c>
      <c r="ED76" s="16">
        <v>369600</v>
      </c>
      <c r="EE76" s="16">
        <v>31416</v>
      </c>
      <c r="EF76" s="23">
        <v>41</v>
      </c>
      <c r="EG76" s="23"/>
      <c r="EH76" s="23">
        <v>1894200</v>
      </c>
      <c r="EI76" s="23">
        <v>161007</v>
      </c>
      <c r="EJ76" s="16">
        <v>8</v>
      </c>
      <c r="EK76" s="16">
        <v>46200</v>
      </c>
      <c r="EL76" s="16">
        <v>369600</v>
      </c>
      <c r="EM76" s="16">
        <v>31416</v>
      </c>
      <c r="EN76" s="16">
        <v>9</v>
      </c>
      <c r="EO76" s="16">
        <v>46200</v>
      </c>
      <c r="EP76" s="16">
        <v>415800</v>
      </c>
      <c r="EQ76" s="16">
        <v>35343</v>
      </c>
      <c r="ER76" s="16">
        <v>6</v>
      </c>
      <c r="ES76" s="16">
        <v>46200</v>
      </c>
      <c r="ET76" s="16">
        <v>277200</v>
      </c>
      <c r="EU76" s="16">
        <v>23562</v>
      </c>
      <c r="EV76" s="16">
        <v>8</v>
      </c>
      <c r="EW76" s="16">
        <v>46200</v>
      </c>
      <c r="EX76" s="16">
        <v>369600</v>
      </c>
      <c r="EY76" s="16">
        <v>31416</v>
      </c>
      <c r="EZ76" s="23">
        <v>31</v>
      </c>
      <c r="FA76" s="23"/>
      <c r="FB76" s="23">
        <v>1432200</v>
      </c>
      <c r="FC76" s="23">
        <v>121737</v>
      </c>
      <c r="FD76" s="16">
        <v>7</v>
      </c>
      <c r="FE76" s="16">
        <v>46200</v>
      </c>
      <c r="FF76" s="16">
        <v>323400</v>
      </c>
      <c r="FG76" s="16">
        <v>27489</v>
      </c>
      <c r="FH76" s="16">
        <v>6</v>
      </c>
      <c r="FI76" s="16">
        <v>46200</v>
      </c>
      <c r="FJ76" s="16">
        <v>277200</v>
      </c>
      <c r="FK76" s="16">
        <v>23562</v>
      </c>
      <c r="FL76" s="16">
        <v>5</v>
      </c>
      <c r="FM76" s="16">
        <v>46200</v>
      </c>
      <c r="FN76" s="16">
        <v>231000</v>
      </c>
      <c r="FO76" s="16">
        <v>19635</v>
      </c>
      <c r="FP76" s="16">
        <v>7</v>
      </c>
      <c r="FQ76" s="16">
        <v>46200</v>
      </c>
      <c r="FR76" s="16">
        <v>323400</v>
      </c>
      <c r="FS76" s="16">
        <v>27489</v>
      </c>
      <c r="FT76" s="23">
        <v>25</v>
      </c>
      <c r="FU76" s="23"/>
      <c r="FV76" s="23">
        <v>1155000</v>
      </c>
      <c r="FW76" s="23">
        <v>98175</v>
      </c>
      <c r="FX76" s="16">
        <v>7</v>
      </c>
      <c r="FY76" s="16">
        <v>46200</v>
      </c>
      <c r="FZ76" s="16">
        <v>323400</v>
      </c>
      <c r="GA76" s="16">
        <v>27489</v>
      </c>
      <c r="GB76" s="16">
        <v>4</v>
      </c>
      <c r="GC76" s="16">
        <v>46200</v>
      </c>
      <c r="GD76" s="16">
        <v>184800</v>
      </c>
      <c r="GE76" s="16">
        <v>15708</v>
      </c>
      <c r="GF76" s="16">
        <v>3</v>
      </c>
      <c r="GG76" s="16">
        <v>46200</v>
      </c>
      <c r="GH76" s="16">
        <v>138600</v>
      </c>
      <c r="GI76" s="16">
        <v>11781</v>
      </c>
      <c r="GJ76" s="16">
        <v>3</v>
      </c>
      <c r="GK76" s="16">
        <v>46200</v>
      </c>
      <c r="GL76" s="16">
        <v>138600</v>
      </c>
      <c r="GM76" s="16">
        <v>11781</v>
      </c>
      <c r="GN76" s="16">
        <v>2</v>
      </c>
      <c r="GO76" s="16">
        <v>46200</v>
      </c>
      <c r="GP76" s="16">
        <v>92400</v>
      </c>
      <c r="GQ76" s="16">
        <v>7854</v>
      </c>
      <c r="GR76" s="23">
        <v>19</v>
      </c>
      <c r="GS76" s="23"/>
      <c r="GT76" s="23">
        <v>877800</v>
      </c>
      <c r="GU76" s="23">
        <v>74613</v>
      </c>
      <c r="GV76" s="16">
        <v>2</v>
      </c>
      <c r="GW76" s="16">
        <v>46200</v>
      </c>
      <c r="GX76" s="16">
        <v>92400</v>
      </c>
      <c r="GY76" s="16">
        <v>7854</v>
      </c>
      <c r="GZ76" s="16">
        <v>3</v>
      </c>
      <c r="HA76" s="16">
        <v>46200</v>
      </c>
      <c r="HB76" s="16">
        <v>138600</v>
      </c>
      <c r="HC76" s="16">
        <v>11781</v>
      </c>
      <c r="HD76" s="16">
        <v>3</v>
      </c>
      <c r="HE76" s="16">
        <v>46200</v>
      </c>
      <c r="HF76" s="16">
        <v>138600</v>
      </c>
      <c r="HG76" s="16">
        <v>11781</v>
      </c>
      <c r="HH76" s="16">
        <v>2</v>
      </c>
      <c r="HI76" s="16">
        <v>46200</v>
      </c>
      <c r="HJ76" s="16">
        <v>92400</v>
      </c>
      <c r="HK76" s="16">
        <v>7854</v>
      </c>
      <c r="HL76" s="23">
        <v>10</v>
      </c>
      <c r="HM76" s="23"/>
      <c r="HN76" s="23">
        <v>462000</v>
      </c>
      <c r="HO76" s="23">
        <v>39270</v>
      </c>
      <c r="HP76" s="16">
        <v>3</v>
      </c>
      <c r="HQ76" s="16">
        <v>46200</v>
      </c>
      <c r="HR76" s="16">
        <v>138600</v>
      </c>
      <c r="HS76" s="16">
        <v>11781</v>
      </c>
      <c r="HT76" s="16">
        <v>2</v>
      </c>
      <c r="HU76" s="16">
        <v>46200</v>
      </c>
      <c r="HV76" s="16">
        <v>92400</v>
      </c>
      <c r="HW76" s="16">
        <v>7854</v>
      </c>
      <c r="HX76" s="16">
        <v>3</v>
      </c>
      <c r="HY76" s="16">
        <v>46200</v>
      </c>
      <c r="HZ76" s="16">
        <v>138600</v>
      </c>
      <c r="IA76" s="16">
        <v>11781</v>
      </c>
      <c r="IB76" s="16">
        <v>2</v>
      </c>
      <c r="IC76" s="16">
        <v>46200</v>
      </c>
      <c r="ID76" s="16">
        <v>92400</v>
      </c>
      <c r="IE76" s="16">
        <v>7854</v>
      </c>
      <c r="IF76" s="23">
        <v>10</v>
      </c>
      <c r="IG76" s="23"/>
      <c r="IH76" s="23">
        <v>462000</v>
      </c>
      <c r="II76" s="23">
        <v>39270</v>
      </c>
      <c r="IJ76" s="16">
        <v>2</v>
      </c>
      <c r="IK76" s="16">
        <v>46200</v>
      </c>
      <c r="IL76" s="16">
        <v>92400</v>
      </c>
      <c r="IM76" s="16">
        <v>7854</v>
      </c>
      <c r="IN76" s="16">
        <v>1</v>
      </c>
      <c r="IO76" s="16">
        <v>46200</v>
      </c>
      <c r="IP76" s="16">
        <v>46200</v>
      </c>
      <c r="IQ76" s="16">
        <v>3927</v>
      </c>
      <c r="IR76" s="16">
        <v>2</v>
      </c>
      <c r="IS76" s="16">
        <v>46200</v>
      </c>
      <c r="IT76" s="16">
        <v>92400</v>
      </c>
      <c r="IU76" s="16">
        <v>7854</v>
      </c>
      <c r="IV76" s="16">
        <v>0</v>
      </c>
      <c r="IW76" s="16">
        <v>0</v>
      </c>
      <c r="IX76" s="16">
        <v>0</v>
      </c>
      <c r="IY76" s="16">
        <v>0</v>
      </c>
      <c r="IZ76" s="16">
        <v>2</v>
      </c>
      <c r="JA76" s="16">
        <v>46200</v>
      </c>
      <c r="JB76" s="16">
        <v>92400</v>
      </c>
      <c r="JC76" s="16">
        <v>7854</v>
      </c>
      <c r="JD76" s="23">
        <v>7</v>
      </c>
      <c r="JE76" s="23"/>
      <c r="JF76" s="23">
        <v>323400</v>
      </c>
      <c r="JG76" s="23">
        <v>27489</v>
      </c>
      <c r="JH76" s="16">
        <v>2</v>
      </c>
      <c r="JI76" s="16">
        <v>46200</v>
      </c>
      <c r="JJ76" s="16">
        <v>92400</v>
      </c>
      <c r="JK76" s="16">
        <v>7854</v>
      </c>
      <c r="JL76" s="16">
        <v>0</v>
      </c>
      <c r="JM76" s="16">
        <v>0</v>
      </c>
      <c r="JN76" s="16">
        <v>0</v>
      </c>
      <c r="JO76" s="16">
        <v>0</v>
      </c>
      <c r="JP76" s="16">
        <v>2</v>
      </c>
      <c r="JQ76" s="16">
        <v>46200</v>
      </c>
      <c r="JR76" s="16">
        <v>92400</v>
      </c>
      <c r="JS76" s="16">
        <v>7854</v>
      </c>
      <c r="JT76" s="16">
        <v>2</v>
      </c>
      <c r="JU76" s="16">
        <v>46200</v>
      </c>
      <c r="JV76" s="16">
        <v>92400</v>
      </c>
      <c r="JW76" s="16">
        <v>7854</v>
      </c>
      <c r="JX76" s="23">
        <v>6</v>
      </c>
      <c r="JY76" s="23"/>
      <c r="JZ76" s="23">
        <v>277200</v>
      </c>
      <c r="KA76" s="23">
        <v>23562</v>
      </c>
      <c r="KB76" s="16">
        <v>1</v>
      </c>
      <c r="KC76" s="16">
        <v>46200</v>
      </c>
      <c r="KD76" s="16">
        <v>46200</v>
      </c>
      <c r="KE76" s="16">
        <v>3927</v>
      </c>
      <c r="KF76" s="16">
        <v>3</v>
      </c>
      <c r="KG76" s="16">
        <v>46200</v>
      </c>
      <c r="KH76" s="16">
        <v>138600</v>
      </c>
      <c r="KI76" s="16">
        <v>11781</v>
      </c>
      <c r="KJ76" s="16">
        <v>0</v>
      </c>
      <c r="KK76" s="16">
        <v>0</v>
      </c>
      <c r="KL76" s="16">
        <v>0</v>
      </c>
      <c r="KM76" s="16">
        <v>0</v>
      </c>
      <c r="KN76" s="16">
        <v>3</v>
      </c>
      <c r="KO76" s="16">
        <v>46200</v>
      </c>
      <c r="KP76" s="16">
        <v>138600</v>
      </c>
      <c r="KQ76" s="16">
        <v>11781</v>
      </c>
      <c r="KR76" s="23">
        <v>7</v>
      </c>
      <c r="KS76" s="23"/>
      <c r="KT76" s="23">
        <v>323400</v>
      </c>
      <c r="KU76" s="23">
        <v>27489</v>
      </c>
      <c r="KV76" s="23">
        <v>224</v>
      </c>
      <c r="KW76" s="23"/>
      <c r="KX76" s="23">
        <v>10348800</v>
      </c>
      <c r="KY76" s="23">
        <v>879648</v>
      </c>
    </row>
    <row r="77" spans="1:311" ht="16.95" customHeight="1" x14ac:dyDescent="0.4">
      <c r="A77" s="11"/>
      <c r="B77" s="11"/>
      <c r="C77" s="11" t="s">
        <v>21</v>
      </c>
      <c r="D77" s="9">
        <v>1</v>
      </c>
      <c r="E77" s="9">
        <v>59400</v>
      </c>
      <c r="F77" s="9">
        <v>59400</v>
      </c>
      <c r="G77" s="9">
        <v>5049</v>
      </c>
      <c r="H77" s="22">
        <v>1</v>
      </c>
      <c r="I77" s="22"/>
      <c r="J77" s="22">
        <v>59400</v>
      </c>
      <c r="K77" s="22">
        <v>5049</v>
      </c>
      <c r="L77" s="9">
        <v>4</v>
      </c>
      <c r="M77" s="9">
        <v>59400</v>
      </c>
      <c r="N77" s="9">
        <v>237600</v>
      </c>
      <c r="O77" s="9">
        <v>20196</v>
      </c>
      <c r="P77" s="9">
        <v>3</v>
      </c>
      <c r="Q77" s="9">
        <v>59400</v>
      </c>
      <c r="R77" s="9">
        <v>178200</v>
      </c>
      <c r="S77" s="9">
        <v>15147</v>
      </c>
      <c r="T77" s="9">
        <v>2</v>
      </c>
      <c r="U77" s="9">
        <v>59400</v>
      </c>
      <c r="V77" s="9">
        <v>118800</v>
      </c>
      <c r="W77" s="9">
        <v>10098</v>
      </c>
      <c r="X77" s="9">
        <v>3</v>
      </c>
      <c r="Y77" s="9">
        <v>59400</v>
      </c>
      <c r="Z77" s="9">
        <v>178200</v>
      </c>
      <c r="AA77" s="9">
        <v>15147</v>
      </c>
      <c r="AB77" s="22">
        <v>12</v>
      </c>
      <c r="AC77" s="22"/>
      <c r="AD77" s="22">
        <v>712800</v>
      </c>
      <c r="AE77" s="22">
        <v>60588</v>
      </c>
      <c r="AF77" s="9">
        <v>3</v>
      </c>
      <c r="AG77" s="9">
        <v>59400</v>
      </c>
      <c r="AH77" s="9">
        <v>178200</v>
      </c>
      <c r="AI77" s="9">
        <v>15147</v>
      </c>
      <c r="AJ77" s="9">
        <v>2</v>
      </c>
      <c r="AK77" s="9">
        <v>59400</v>
      </c>
      <c r="AL77" s="9">
        <v>118800</v>
      </c>
      <c r="AM77" s="9">
        <v>10098</v>
      </c>
      <c r="AN77" s="9">
        <v>3</v>
      </c>
      <c r="AO77" s="9">
        <v>59400</v>
      </c>
      <c r="AP77" s="9">
        <v>178200</v>
      </c>
      <c r="AQ77" s="9">
        <v>15147</v>
      </c>
      <c r="AR77" s="9">
        <v>3</v>
      </c>
      <c r="AS77" s="9">
        <v>59400</v>
      </c>
      <c r="AT77" s="9">
        <v>178200</v>
      </c>
      <c r="AU77" s="9">
        <v>15147</v>
      </c>
      <c r="AV77" s="22">
        <v>11</v>
      </c>
      <c r="AW77" s="22"/>
      <c r="AX77" s="22">
        <v>653400</v>
      </c>
      <c r="AY77" s="22">
        <v>55539</v>
      </c>
      <c r="AZ77" s="9">
        <v>3</v>
      </c>
      <c r="BA77" s="9">
        <v>59400</v>
      </c>
      <c r="BB77" s="9">
        <v>178200</v>
      </c>
      <c r="BC77" s="9">
        <v>15147</v>
      </c>
      <c r="BD77" s="9">
        <v>3</v>
      </c>
      <c r="BE77" s="9">
        <v>59400</v>
      </c>
      <c r="BF77" s="9">
        <v>178200</v>
      </c>
      <c r="BG77" s="9">
        <v>15147</v>
      </c>
      <c r="BH77" s="9">
        <v>3</v>
      </c>
      <c r="BI77" s="9">
        <v>59400</v>
      </c>
      <c r="BJ77" s="9">
        <v>178200</v>
      </c>
      <c r="BK77" s="9">
        <v>15147</v>
      </c>
      <c r="BL77" s="9">
        <v>3</v>
      </c>
      <c r="BM77" s="9">
        <v>59400</v>
      </c>
      <c r="BN77" s="9">
        <v>178200</v>
      </c>
      <c r="BO77" s="9">
        <v>15147</v>
      </c>
      <c r="BP77" s="9">
        <v>5</v>
      </c>
      <c r="BQ77" s="9">
        <v>59400</v>
      </c>
      <c r="BR77" s="9">
        <v>297000</v>
      </c>
      <c r="BS77" s="9">
        <v>25245</v>
      </c>
      <c r="BT77" s="22">
        <v>17</v>
      </c>
      <c r="BU77" s="22"/>
      <c r="BV77" s="22">
        <v>1009800</v>
      </c>
      <c r="BW77" s="22">
        <v>85833</v>
      </c>
      <c r="BX77" s="9">
        <v>4</v>
      </c>
      <c r="BY77" s="9">
        <v>59400</v>
      </c>
      <c r="BZ77" s="9">
        <v>237600</v>
      </c>
      <c r="CA77" s="9">
        <v>20196</v>
      </c>
      <c r="CB77" s="9">
        <v>5</v>
      </c>
      <c r="CC77" s="9">
        <v>59400</v>
      </c>
      <c r="CD77" s="9">
        <v>297000</v>
      </c>
      <c r="CE77" s="9">
        <v>25245</v>
      </c>
      <c r="CF77" s="9">
        <v>4</v>
      </c>
      <c r="CG77" s="9">
        <v>59400</v>
      </c>
      <c r="CH77" s="9">
        <v>237600</v>
      </c>
      <c r="CI77" s="9">
        <v>20196</v>
      </c>
      <c r="CJ77" s="9">
        <v>5</v>
      </c>
      <c r="CK77" s="9">
        <v>59400</v>
      </c>
      <c r="CL77" s="9">
        <v>297000</v>
      </c>
      <c r="CM77" s="9">
        <v>25245</v>
      </c>
      <c r="CN77" s="22">
        <v>18</v>
      </c>
      <c r="CO77" s="22"/>
      <c r="CP77" s="22">
        <v>1069200</v>
      </c>
      <c r="CQ77" s="22">
        <v>90882</v>
      </c>
      <c r="CR77" s="9">
        <v>4</v>
      </c>
      <c r="CS77" s="9">
        <v>59400</v>
      </c>
      <c r="CT77" s="9">
        <v>237600</v>
      </c>
      <c r="CU77" s="9">
        <v>20196</v>
      </c>
      <c r="CV77" s="9">
        <v>5</v>
      </c>
      <c r="CW77" s="9">
        <v>59400</v>
      </c>
      <c r="CX77" s="9">
        <v>297000</v>
      </c>
      <c r="CY77" s="9">
        <v>25245</v>
      </c>
      <c r="CZ77" s="9">
        <v>5</v>
      </c>
      <c r="DA77" s="9">
        <v>59400</v>
      </c>
      <c r="DB77" s="9">
        <v>297000</v>
      </c>
      <c r="DC77" s="9">
        <v>25245</v>
      </c>
      <c r="DD77" s="9">
        <v>5</v>
      </c>
      <c r="DE77" s="9">
        <v>59400</v>
      </c>
      <c r="DF77" s="9">
        <v>297000</v>
      </c>
      <c r="DG77" s="9">
        <v>25245</v>
      </c>
      <c r="DH77" s="22">
        <v>19</v>
      </c>
      <c r="DI77" s="22"/>
      <c r="DJ77" s="22">
        <v>1128600</v>
      </c>
      <c r="DK77" s="22">
        <v>95931</v>
      </c>
      <c r="DL77" s="9">
        <v>6</v>
      </c>
      <c r="DM77" s="9">
        <v>59400</v>
      </c>
      <c r="DN77" s="9">
        <v>356400</v>
      </c>
      <c r="DO77" s="9">
        <v>30294</v>
      </c>
      <c r="DP77" s="9">
        <v>6</v>
      </c>
      <c r="DQ77" s="9">
        <v>59400</v>
      </c>
      <c r="DR77" s="9">
        <v>356400</v>
      </c>
      <c r="DS77" s="9">
        <v>30294</v>
      </c>
      <c r="DT77" s="9">
        <v>6</v>
      </c>
      <c r="DU77" s="9">
        <v>59400</v>
      </c>
      <c r="DV77" s="9">
        <v>356400</v>
      </c>
      <c r="DW77" s="9">
        <v>30294</v>
      </c>
      <c r="DX77" s="9">
        <v>4</v>
      </c>
      <c r="DY77" s="9">
        <v>59400</v>
      </c>
      <c r="DZ77" s="9">
        <v>237600</v>
      </c>
      <c r="EA77" s="9">
        <v>20196</v>
      </c>
      <c r="EB77" s="9">
        <v>4</v>
      </c>
      <c r="EC77" s="9">
        <v>61050</v>
      </c>
      <c r="ED77" s="9">
        <v>242550</v>
      </c>
      <c r="EE77" s="9">
        <v>20616.8</v>
      </c>
      <c r="EF77" s="22">
        <v>26</v>
      </c>
      <c r="EG77" s="22"/>
      <c r="EH77" s="22">
        <v>1549350</v>
      </c>
      <c r="EI77" s="22">
        <v>131694.79999999999</v>
      </c>
      <c r="EJ77" s="9">
        <v>3</v>
      </c>
      <c r="EK77" s="9">
        <v>61050</v>
      </c>
      <c r="EL77" s="9">
        <v>183150</v>
      </c>
      <c r="EM77" s="9">
        <v>15567.8</v>
      </c>
      <c r="EN77" s="9">
        <v>4</v>
      </c>
      <c r="EO77" s="9">
        <v>61050</v>
      </c>
      <c r="EP77" s="9">
        <v>244200</v>
      </c>
      <c r="EQ77" s="9">
        <v>20757</v>
      </c>
      <c r="ER77" s="9">
        <v>4</v>
      </c>
      <c r="ES77" s="9">
        <v>61050</v>
      </c>
      <c r="ET77" s="9">
        <v>244200</v>
      </c>
      <c r="EU77" s="9">
        <v>20757</v>
      </c>
      <c r="EV77" s="9">
        <v>5</v>
      </c>
      <c r="EW77" s="9">
        <v>61050</v>
      </c>
      <c r="EX77" s="9">
        <v>305250</v>
      </c>
      <c r="EY77" s="9">
        <v>25946.3</v>
      </c>
      <c r="EZ77" s="22">
        <v>16</v>
      </c>
      <c r="FA77" s="22"/>
      <c r="FB77" s="22">
        <v>976800</v>
      </c>
      <c r="FC77" s="22">
        <v>83028</v>
      </c>
      <c r="FD77" s="9">
        <v>5</v>
      </c>
      <c r="FE77" s="9">
        <v>61050</v>
      </c>
      <c r="FF77" s="9">
        <v>305250</v>
      </c>
      <c r="FG77" s="9">
        <v>25946.3</v>
      </c>
      <c r="FH77" s="9">
        <v>4</v>
      </c>
      <c r="FI77" s="9">
        <v>61050</v>
      </c>
      <c r="FJ77" s="9">
        <v>244200</v>
      </c>
      <c r="FK77" s="9">
        <v>20757</v>
      </c>
      <c r="FL77" s="9">
        <v>5</v>
      </c>
      <c r="FM77" s="9">
        <v>61050</v>
      </c>
      <c r="FN77" s="9">
        <v>305250</v>
      </c>
      <c r="FO77" s="9">
        <v>25946.3</v>
      </c>
      <c r="FP77" s="9">
        <v>4</v>
      </c>
      <c r="FQ77" s="9">
        <v>61050</v>
      </c>
      <c r="FR77" s="9">
        <v>244200</v>
      </c>
      <c r="FS77" s="9">
        <v>20757</v>
      </c>
      <c r="FT77" s="22">
        <v>18</v>
      </c>
      <c r="FU77" s="22"/>
      <c r="FV77" s="22">
        <v>1098900</v>
      </c>
      <c r="FW77" s="22">
        <v>93406.5</v>
      </c>
      <c r="FX77" s="9">
        <v>2</v>
      </c>
      <c r="FY77" s="9">
        <v>61050</v>
      </c>
      <c r="FZ77" s="9">
        <v>122100</v>
      </c>
      <c r="GA77" s="9">
        <v>10378.5</v>
      </c>
      <c r="GB77" s="9">
        <v>4</v>
      </c>
      <c r="GC77" s="9">
        <v>61050</v>
      </c>
      <c r="GD77" s="9">
        <v>244200</v>
      </c>
      <c r="GE77" s="9">
        <v>20757</v>
      </c>
      <c r="GF77" s="9">
        <v>3</v>
      </c>
      <c r="GG77" s="9">
        <v>61050</v>
      </c>
      <c r="GH77" s="9">
        <v>183150</v>
      </c>
      <c r="GI77" s="9">
        <v>15567.8</v>
      </c>
      <c r="GJ77" s="9">
        <v>4</v>
      </c>
      <c r="GK77" s="9">
        <v>61050</v>
      </c>
      <c r="GL77" s="9">
        <v>244200</v>
      </c>
      <c r="GM77" s="9">
        <v>20757</v>
      </c>
      <c r="GN77" s="9">
        <v>4</v>
      </c>
      <c r="GO77" s="9">
        <v>61050</v>
      </c>
      <c r="GP77" s="9">
        <v>244200</v>
      </c>
      <c r="GQ77" s="9">
        <v>20757</v>
      </c>
      <c r="GR77" s="22">
        <v>17</v>
      </c>
      <c r="GS77" s="22"/>
      <c r="GT77" s="22">
        <v>1037850</v>
      </c>
      <c r="GU77" s="22">
        <v>88217.3</v>
      </c>
      <c r="GV77" s="9">
        <v>3</v>
      </c>
      <c r="GW77" s="9">
        <v>61050</v>
      </c>
      <c r="GX77" s="9">
        <v>183150</v>
      </c>
      <c r="GY77" s="9">
        <v>15567.8</v>
      </c>
      <c r="GZ77" s="9">
        <v>5</v>
      </c>
      <c r="HA77" s="9">
        <v>61050</v>
      </c>
      <c r="HB77" s="9">
        <v>305250</v>
      </c>
      <c r="HC77" s="9">
        <v>25946.3</v>
      </c>
      <c r="HD77" s="9">
        <v>4</v>
      </c>
      <c r="HE77" s="9">
        <v>61050</v>
      </c>
      <c r="HF77" s="9">
        <v>244200</v>
      </c>
      <c r="HG77" s="9">
        <v>20757</v>
      </c>
      <c r="HH77" s="9">
        <v>5</v>
      </c>
      <c r="HI77" s="9">
        <v>61050</v>
      </c>
      <c r="HJ77" s="9">
        <v>305250</v>
      </c>
      <c r="HK77" s="9">
        <v>25946.3</v>
      </c>
      <c r="HL77" s="22">
        <v>17</v>
      </c>
      <c r="HM77" s="22"/>
      <c r="HN77" s="22">
        <v>1037850</v>
      </c>
      <c r="HO77" s="22">
        <v>88217.3</v>
      </c>
      <c r="HP77" s="9">
        <v>6</v>
      </c>
      <c r="HQ77" s="9">
        <v>61050</v>
      </c>
      <c r="HR77" s="9">
        <v>366300</v>
      </c>
      <c r="HS77" s="9">
        <v>31135.5</v>
      </c>
      <c r="HT77" s="9">
        <v>5</v>
      </c>
      <c r="HU77" s="9">
        <v>61050</v>
      </c>
      <c r="HV77" s="9">
        <v>305250</v>
      </c>
      <c r="HW77" s="9">
        <v>25946.3</v>
      </c>
      <c r="HX77" s="9">
        <v>6</v>
      </c>
      <c r="HY77" s="9">
        <v>61050</v>
      </c>
      <c r="HZ77" s="9">
        <v>366300</v>
      </c>
      <c r="IA77" s="9">
        <v>31135.5</v>
      </c>
      <c r="IB77" s="9">
        <v>4</v>
      </c>
      <c r="IC77" s="9">
        <v>61050</v>
      </c>
      <c r="ID77" s="9">
        <v>244200</v>
      </c>
      <c r="IE77" s="9">
        <v>20757</v>
      </c>
      <c r="IF77" s="22">
        <v>21</v>
      </c>
      <c r="IG77" s="22"/>
      <c r="IH77" s="22">
        <v>1282050</v>
      </c>
      <c r="II77" s="22">
        <v>108974.3</v>
      </c>
      <c r="IJ77" s="9">
        <v>4</v>
      </c>
      <c r="IK77" s="9">
        <v>61050</v>
      </c>
      <c r="IL77" s="9">
        <v>244200</v>
      </c>
      <c r="IM77" s="9">
        <v>20757</v>
      </c>
      <c r="IN77" s="9">
        <v>3</v>
      </c>
      <c r="IO77" s="9">
        <v>61050</v>
      </c>
      <c r="IP77" s="9">
        <v>183150</v>
      </c>
      <c r="IQ77" s="9">
        <v>15567.8</v>
      </c>
      <c r="IR77" s="9">
        <v>4</v>
      </c>
      <c r="IS77" s="9">
        <v>61050</v>
      </c>
      <c r="IT77" s="9">
        <v>244200</v>
      </c>
      <c r="IU77" s="9">
        <v>20757</v>
      </c>
      <c r="IV77" s="9">
        <v>4</v>
      </c>
      <c r="IW77" s="9">
        <v>61050</v>
      </c>
      <c r="IX77" s="9">
        <v>244200</v>
      </c>
      <c r="IY77" s="9">
        <v>20757</v>
      </c>
      <c r="IZ77" s="9">
        <v>5</v>
      </c>
      <c r="JA77" s="9">
        <v>61050</v>
      </c>
      <c r="JB77" s="9">
        <v>305250</v>
      </c>
      <c r="JC77" s="9">
        <v>25946.3</v>
      </c>
      <c r="JD77" s="22">
        <v>20</v>
      </c>
      <c r="JE77" s="22"/>
      <c r="JF77" s="22">
        <v>1221000</v>
      </c>
      <c r="JG77" s="22">
        <v>103785</v>
      </c>
      <c r="JH77" s="9">
        <v>4</v>
      </c>
      <c r="JI77" s="9">
        <v>61050</v>
      </c>
      <c r="JJ77" s="9">
        <v>244200</v>
      </c>
      <c r="JK77" s="9">
        <v>20757</v>
      </c>
      <c r="JL77" s="9">
        <v>3</v>
      </c>
      <c r="JM77" s="9">
        <v>61050</v>
      </c>
      <c r="JN77" s="9">
        <v>183150</v>
      </c>
      <c r="JO77" s="9">
        <v>15567.8</v>
      </c>
      <c r="JP77" s="9">
        <v>3</v>
      </c>
      <c r="JQ77" s="9">
        <v>61050</v>
      </c>
      <c r="JR77" s="9">
        <v>183150</v>
      </c>
      <c r="JS77" s="9">
        <v>15567.8</v>
      </c>
      <c r="JT77" s="9">
        <v>3</v>
      </c>
      <c r="JU77" s="9">
        <v>61050</v>
      </c>
      <c r="JV77" s="9">
        <v>183150</v>
      </c>
      <c r="JW77" s="9">
        <v>15567.8</v>
      </c>
      <c r="JX77" s="22">
        <v>13</v>
      </c>
      <c r="JY77" s="22"/>
      <c r="JZ77" s="22">
        <v>793650</v>
      </c>
      <c r="KA77" s="22">
        <v>67460.3</v>
      </c>
      <c r="KB77" s="9">
        <v>3</v>
      </c>
      <c r="KC77" s="9">
        <v>61050</v>
      </c>
      <c r="KD77" s="9">
        <v>183150</v>
      </c>
      <c r="KE77" s="9">
        <v>15567.8</v>
      </c>
      <c r="KF77" s="9">
        <v>5</v>
      </c>
      <c r="KG77" s="9">
        <v>61050</v>
      </c>
      <c r="KH77" s="9">
        <v>305250</v>
      </c>
      <c r="KI77" s="9">
        <v>25946.3</v>
      </c>
      <c r="KJ77" s="9">
        <v>1</v>
      </c>
      <c r="KK77" s="9">
        <v>61050</v>
      </c>
      <c r="KL77" s="9">
        <v>61050</v>
      </c>
      <c r="KM77" s="9">
        <v>5189.3</v>
      </c>
      <c r="KN77" s="9">
        <v>4</v>
      </c>
      <c r="KO77" s="9">
        <v>61050</v>
      </c>
      <c r="KP77" s="9">
        <v>244200</v>
      </c>
      <c r="KQ77" s="9">
        <v>20757</v>
      </c>
      <c r="KR77" s="22">
        <v>13</v>
      </c>
      <c r="KS77" s="22"/>
      <c r="KT77" s="22">
        <v>793650</v>
      </c>
      <c r="KU77" s="22">
        <v>67460.3</v>
      </c>
      <c r="KV77" s="22">
        <v>239</v>
      </c>
      <c r="KW77" s="22"/>
      <c r="KX77" s="22">
        <v>14424300</v>
      </c>
      <c r="KY77" s="22">
        <v>1226065.5</v>
      </c>
    </row>
    <row r="78" spans="1:311" ht="16.95" customHeight="1" x14ac:dyDescent="0.4">
      <c r="A78" s="15"/>
      <c r="B78" s="15"/>
      <c r="C78" s="15" t="s">
        <v>23</v>
      </c>
      <c r="D78" s="16">
        <v>2</v>
      </c>
      <c r="E78" s="16">
        <v>59400</v>
      </c>
      <c r="F78" s="16">
        <v>118800</v>
      </c>
      <c r="G78" s="16">
        <v>10098</v>
      </c>
      <c r="H78" s="23">
        <v>2</v>
      </c>
      <c r="I78" s="23"/>
      <c r="J78" s="23">
        <v>118800</v>
      </c>
      <c r="K78" s="23">
        <v>10098</v>
      </c>
      <c r="L78" s="16">
        <v>6</v>
      </c>
      <c r="M78" s="16">
        <v>59400</v>
      </c>
      <c r="N78" s="16">
        <v>356400</v>
      </c>
      <c r="O78" s="16">
        <v>30294</v>
      </c>
      <c r="P78" s="16">
        <v>5</v>
      </c>
      <c r="Q78" s="16">
        <v>59400</v>
      </c>
      <c r="R78" s="16">
        <v>297000</v>
      </c>
      <c r="S78" s="16">
        <v>25245</v>
      </c>
      <c r="T78" s="16">
        <v>4</v>
      </c>
      <c r="U78" s="16">
        <v>59400</v>
      </c>
      <c r="V78" s="16">
        <v>237600</v>
      </c>
      <c r="W78" s="16">
        <v>20196</v>
      </c>
      <c r="X78" s="16">
        <v>4</v>
      </c>
      <c r="Y78" s="16">
        <v>59400</v>
      </c>
      <c r="Z78" s="16">
        <v>237600</v>
      </c>
      <c r="AA78" s="16">
        <v>20196</v>
      </c>
      <c r="AB78" s="23">
        <v>19</v>
      </c>
      <c r="AC78" s="23"/>
      <c r="AD78" s="23">
        <v>1128600</v>
      </c>
      <c r="AE78" s="23">
        <v>95931</v>
      </c>
      <c r="AF78" s="16">
        <v>3</v>
      </c>
      <c r="AG78" s="16">
        <v>59400</v>
      </c>
      <c r="AH78" s="16">
        <v>178200</v>
      </c>
      <c r="AI78" s="16">
        <v>15147</v>
      </c>
      <c r="AJ78" s="16">
        <v>4</v>
      </c>
      <c r="AK78" s="16">
        <v>59400</v>
      </c>
      <c r="AL78" s="16">
        <v>237600</v>
      </c>
      <c r="AM78" s="16">
        <v>20196</v>
      </c>
      <c r="AN78" s="16">
        <v>5</v>
      </c>
      <c r="AO78" s="16">
        <v>59400</v>
      </c>
      <c r="AP78" s="16">
        <v>297000</v>
      </c>
      <c r="AQ78" s="16">
        <v>25245</v>
      </c>
      <c r="AR78" s="16">
        <v>6</v>
      </c>
      <c r="AS78" s="16">
        <v>59400</v>
      </c>
      <c r="AT78" s="16">
        <v>356400</v>
      </c>
      <c r="AU78" s="16">
        <v>30294</v>
      </c>
      <c r="AV78" s="23">
        <v>18</v>
      </c>
      <c r="AW78" s="23"/>
      <c r="AX78" s="23">
        <v>1069200</v>
      </c>
      <c r="AY78" s="23">
        <v>90882</v>
      </c>
      <c r="AZ78" s="16">
        <v>6</v>
      </c>
      <c r="BA78" s="16">
        <v>59400</v>
      </c>
      <c r="BB78" s="16">
        <v>356400</v>
      </c>
      <c r="BC78" s="16">
        <v>30294</v>
      </c>
      <c r="BD78" s="16">
        <v>6</v>
      </c>
      <c r="BE78" s="16">
        <v>59400</v>
      </c>
      <c r="BF78" s="16">
        <v>356400</v>
      </c>
      <c r="BG78" s="16">
        <v>30294</v>
      </c>
      <c r="BH78" s="16">
        <v>5</v>
      </c>
      <c r="BI78" s="16">
        <v>59400</v>
      </c>
      <c r="BJ78" s="16">
        <v>297000</v>
      </c>
      <c r="BK78" s="16">
        <v>25245</v>
      </c>
      <c r="BL78" s="16">
        <v>6</v>
      </c>
      <c r="BM78" s="16">
        <v>59400</v>
      </c>
      <c r="BN78" s="16">
        <v>356400</v>
      </c>
      <c r="BO78" s="16">
        <v>30294</v>
      </c>
      <c r="BP78" s="16">
        <v>6</v>
      </c>
      <c r="BQ78" s="16">
        <v>59400</v>
      </c>
      <c r="BR78" s="16">
        <v>356400</v>
      </c>
      <c r="BS78" s="16">
        <v>30294</v>
      </c>
      <c r="BT78" s="23">
        <v>29</v>
      </c>
      <c r="BU78" s="23"/>
      <c r="BV78" s="23">
        <v>1722600</v>
      </c>
      <c r="BW78" s="23">
        <v>146421</v>
      </c>
      <c r="BX78" s="16">
        <v>6</v>
      </c>
      <c r="BY78" s="16">
        <v>59400</v>
      </c>
      <c r="BZ78" s="16">
        <v>356400</v>
      </c>
      <c r="CA78" s="16">
        <v>30294</v>
      </c>
      <c r="CB78" s="16">
        <v>6</v>
      </c>
      <c r="CC78" s="16">
        <v>59400</v>
      </c>
      <c r="CD78" s="16">
        <v>356400</v>
      </c>
      <c r="CE78" s="16">
        <v>30294</v>
      </c>
      <c r="CF78" s="16">
        <v>8</v>
      </c>
      <c r="CG78" s="16">
        <v>59400</v>
      </c>
      <c r="CH78" s="16">
        <v>475200</v>
      </c>
      <c r="CI78" s="16">
        <v>40392</v>
      </c>
      <c r="CJ78" s="16">
        <v>7</v>
      </c>
      <c r="CK78" s="16">
        <v>59400</v>
      </c>
      <c r="CL78" s="16">
        <v>415800</v>
      </c>
      <c r="CM78" s="16">
        <v>35343</v>
      </c>
      <c r="CN78" s="23">
        <v>27</v>
      </c>
      <c r="CO78" s="23"/>
      <c r="CP78" s="23">
        <v>1603800</v>
      </c>
      <c r="CQ78" s="23">
        <v>136323</v>
      </c>
      <c r="CR78" s="16">
        <v>8</v>
      </c>
      <c r="CS78" s="16">
        <v>59400</v>
      </c>
      <c r="CT78" s="16">
        <v>475200</v>
      </c>
      <c r="CU78" s="16">
        <v>40392</v>
      </c>
      <c r="CV78" s="16">
        <v>7</v>
      </c>
      <c r="CW78" s="16">
        <v>59400</v>
      </c>
      <c r="CX78" s="16">
        <v>415800</v>
      </c>
      <c r="CY78" s="16">
        <v>35343</v>
      </c>
      <c r="CZ78" s="16">
        <v>9</v>
      </c>
      <c r="DA78" s="16">
        <v>59400</v>
      </c>
      <c r="DB78" s="16">
        <v>534600</v>
      </c>
      <c r="DC78" s="16">
        <v>45441</v>
      </c>
      <c r="DD78" s="16">
        <v>7</v>
      </c>
      <c r="DE78" s="16">
        <v>59400</v>
      </c>
      <c r="DF78" s="16">
        <v>415800</v>
      </c>
      <c r="DG78" s="16">
        <v>35343</v>
      </c>
      <c r="DH78" s="23">
        <v>31</v>
      </c>
      <c r="DI78" s="23"/>
      <c r="DJ78" s="23">
        <v>1841400</v>
      </c>
      <c r="DK78" s="23">
        <v>156519</v>
      </c>
      <c r="DL78" s="16">
        <v>8</v>
      </c>
      <c r="DM78" s="16">
        <v>59400</v>
      </c>
      <c r="DN78" s="16">
        <v>475200</v>
      </c>
      <c r="DO78" s="16">
        <v>40392</v>
      </c>
      <c r="DP78" s="16">
        <v>8</v>
      </c>
      <c r="DQ78" s="16">
        <v>59400</v>
      </c>
      <c r="DR78" s="16">
        <v>475200</v>
      </c>
      <c r="DS78" s="16">
        <v>40392</v>
      </c>
      <c r="DT78" s="16">
        <v>9</v>
      </c>
      <c r="DU78" s="16">
        <v>59400</v>
      </c>
      <c r="DV78" s="16">
        <v>534600</v>
      </c>
      <c r="DW78" s="16">
        <v>45441</v>
      </c>
      <c r="DX78" s="16">
        <v>9</v>
      </c>
      <c r="DY78" s="16">
        <v>59400</v>
      </c>
      <c r="DZ78" s="16">
        <v>534600</v>
      </c>
      <c r="EA78" s="16">
        <v>45441</v>
      </c>
      <c r="EB78" s="16">
        <v>8</v>
      </c>
      <c r="EC78" s="16">
        <v>61050</v>
      </c>
      <c r="ED78" s="16">
        <v>483450</v>
      </c>
      <c r="EE78" s="16">
        <v>41093.300000000003</v>
      </c>
      <c r="EF78" s="23">
        <v>42</v>
      </c>
      <c r="EG78" s="23"/>
      <c r="EH78" s="23">
        <v>2503050</v>
      </c>
      <c r="EI78" s="23">
        <v>212759.3</v>
      </c>
      <c r="EJ78" s="16">
        <v>9</v>
      </c>
      <c r="EK78" s="16">
        <v>61050</v>
      </c>
      <c r="EL78" s="16">
        <v>549450</v>
      </c>
      <c r="EM78" s="16">
        <v>46703.3</v>
      </c>
      <c r="EN78" s="16">
        <v>8</v>
      </c>
      <c r="EO78" s="16">
        <v>61050</v>
      </c>
      <c r="EP78" s="16">
        <v>488400</v>
      </c>
      <c r="EQ78" s="16">
        <v>41514</v>
      </c>
      <c r="ER78" s="16">
        <v>7</v>
      </c>
      <c r="ES78" s="16">
        <v>61050</v>
      </c>
      <c r="ET78" s="16">
        <v>427350</v>
      </c>
      <c r="EU78" s="16">
        <v>36324.800000000003</v>
      </c>
      <c r="EV78" s="16">
        <v>10</v>
      </c>
      <c r="EW78" s="16">
        <v>61050</v>
      </c>
      <c r="EX78" s="16">
        <v>610500</v>
      </c>
      <c r="EY78" s="16">
        <v>51892.5</v>
      </c>
      <c r="EZ78" s="23">
        <v>34</v>
      </c>
      <c r="FA78" s="23"/>
      <c r="FB78" s="23">
        <v>2075700</v>
      </c>
      <c r="FC78" s="23">
        <v>176434.5</v>
      </c>
      <c r="FD78" s="16">
        <v>8</v>
      </c>
      <c r="FE78" s="16">
        <v>61050</v>
      </c>
      <c r="FF78" s="16">
        <v>488400</v>
      </c>
      <c r="FG78" s="16">
        <v>41514</v>
      </c>
      <c r="FH78" s="16">
        <v>8</v>
      </c>
      <c r="FI78" s="16">
        <v>61050</v>
      </c>
      <c r="FJ78" s="16">
        <v>488400</v>
      </c>
      <c r="FK78" s="16">
        <v>41514</v>
      </c>
      <c r="FL78" s="16">
        <v>9</v>
      </c>
      <c r="FM78" s="16">
        <v>61050</v>
      </c>
      <c r="FN78" s="16">
        <v>549450</v>
      </c>
      <c r="FO78" s="16">
        <v>46703.3</v>
      </c>
      <c r="FP78" s="16">
        <v>8</v>
      </c>
      <c r="FQ78" s="16">
        <v>61050</v>
      </c>
      <c r="FR78" s="16">
        <v>488400</v>
      </c>
      <c r="FS78" s="16">
        <v>41514</v>
      </c>
      <c r="FT78" s="23">
        <v>33</v>
      </c>
      <c r="FU78" s="23"/>
      <c r="FV78" s="23">
        <v>2014650</v>
      </c>
      <c r="FW78" s="23">
        <v>171245.3</v>
      </c>
      <c r="FX78" s="16">
        <v>9</v>
      </c>
      <c r="FY78" s="16">
        <v>61050</v>
      </c>
      <c r="FZ78" s="16">
        <v>549450</v>
      </c>
      <c r="GA78" s="16">
        <v>46703.3</v>
      </c>
      <c r="GB78" s="16">
        <v>8</v>
      </c>
      <c r="GC78" s="16">
        <v>61050</v>
      </c>
      <c r="GD78" s="16">
        <v>488400</v>
      </c>
      <c r="GE78" s="16">
        <v>41514</v>
      </c>
      <c r="GF78" s="16">
        <v>9</v>
      </c>
      <c r="GG78" s="16">
        <v>61050</v>
      </c>
      <c r="GH78" s="16">
        <v>549450</v>
      </c>
      <c r="GI78" s="16">
        <v>46703.3</v>
      </c>
      <c r="GJ78" s="16">
        <v>7</v>
      </c>
      <c r="GK78" s="16">
        <v>61050</v>
      </c>
      <c r="GL78" s="16">
        <v>427350</v>
      </c>
      <c r="GM78" s="16">
        <v>36324.800000000003</v>
      </c>
      <c r="GN78" s="16">
        <v>8</v>
      </c>
      <c r="GO78" s="16">
        <v>61050</v>
      </c>
      <c r="GP78" s="16">
        <v>488400</v>
      </c>
      <c r="GQ78" s="16">
        <v>41514</v>
      </c>
      <c r="GR78" s="23">
        <v>41</v>
      </c>
      <c r="GS78" s="23"/>
      <c r="GT78" s="23">
        <v>2503050</v>
      </c>
      <c r="GU78" s="23">
        <v>212759.3</v>
      </c>
      <c r="GV78" s="16">
        <v>4</v>
      </c>
      <c r="GW78" s="16">
        <v>61050</v>
      </c>
      <c r="GX78" s="16">
        <v>244200</v>
      </c>
      <c r="GY78" s="16">
        <v>20757</v>
      </c>
      <c r="GZ78" s="16">
        <v>7</v>
      </c>
      <c r="HA78" s="16">
        <v>61050</v>
      </c>
      <c r="HB78" s="16">
        <v>427350</v>
      </c>
      <c r="HC78" s="16">
        <v>36324.800000000003</v>
      </c>
      <c r="HD78" s="16">
        <v>8</v>
      </c>
      <c r="HE78" s="16">
        <v>61050</v>
      </c>
      <c r="HF78" s="16">
        <v>488400</v>
      </c>
      <c r="HG78" s="16">
        <v>41514</v>
      </c>
      <c r="HH78" s="16">
        <v>8</v>
      </c>
      <c r="HI78" s="16">
        <v>61050</v>
      </c>
      <c r="HJ78" s="16">
        <v>488400</v>
      </c>
      <c r="HK78" s="16">
        <v>41514</v>
      </c>
      <c r="HL78" s="23">
        <v>27</v>
      </c>
      <c r="HM78" s="23"/>
      <c r="HN78" s="23">
        <v>1648350</v>
      </c>
      <c r="HO78" s="23">
        <v>140109.79999999999</v>
      </c>
      <c r="HP78" s="16">
        <v>8</v>
      </c>
      <c r="HQ78" s="16">
        <v>61050</v>
      </c>
      <c r="HR78" s="16">
        <v>488400</v>
      </c>
      <c r="HS78" s="16">
        <v>41514</v>
      </c>
      <c r="HT78" s="16">
        <v>9</v>
      </c>
      <c r="HU78" s="16">
        <v>61050</v>
      </c>
      <c r="HV78" s="16">
        <v>549450</v>
      </c>
      <c r="HW78" s="16">
        <v>46703.3</v>
      </c>
      <c r="HX78" s="16">
        <v>8</v>
      </c>
      <c r="HY78" s="16">
        <v>61050</v>
      </c>
      <c r="HZ78" s="16">
        <v>488400</v>
      </c>
      <c r="IA78" s="16">
        <v>41514</v>
      </c>
      <c r="IB78" s="16">
        <v>8</v>
      </c>
      <c r="IC78" s="16">
        <v>61050</v>
      </c>
      <c r="ID78" s="16">
        <v>488400</v>
      </c>
      <c r="IE78" s="16">
        <v>41514</v>
      </c>
      <c r="IF78" s="23">
        <v>33</v>
      </c>
      <c r="IG78" s="23"/>
      <c r="IH78" s="23">
        <v>2014650</v>
      </c>
      <c r="II78" s="23">
        <v>171245.3</v>
      </c>
      <c r="IJ78" s="16">
        <v>8</v>
      </c>
      <c r="IK78" s="16">
        <v>61050</v>
      </c>
      <c r="IL78" s="16">
        <v>488400</v>
      </c>
      <c r="IM78" s="16">
        <v>41514</v>
      </c>
      <c r="IN78" s="16">
        <v>8</v>
      </c>
      <c r="IO78" s="16">
        <v>61050</v>
      </c>
      <c r="IP78" s="16">
        <v>488400</v>
      </c>
      <c r="IQ78" s="16">
        <v>41514</v>
      </c>
      <c r="IR78" s="16">
        <v>6</v>
      </c>
      <c r="IS78" s="16">
        <v>61050</v>
      </c>
      <c r="IT78" s="16">
        <v>366300</v>
      </c>
      <c r="IU78" s="16">
        <v>31135.5</v>
      </c>
      <c r="IV78" s="16">
        <v>8</v>
      </c>
      <c r="IW78" s="16">
        <v>61050</v>
      </c>
      <c r="IX78" s="16">
        <v>488400</v>
      </c>
      <c r="IY78" s="16">
        <v>41514</v>
      </c>
      <c r="IZ78" s="16">
        <v>5</v>
      </c>
      <c r="JA78" s="16">
        <v>61050</v>
      </c>
      <c r="JB78" s="16">
        <v>305250</v>
      </c>
      <c r="JC78" s="16">
        <v>25946.3</v>
      </c>
      <c r="JD78" s="23">
        <v>35</v>
      </c>
      <c r="JE78" s="23"/>
      <c r="JF78" s="23">
        <v>2136750</v>
      </c>
      <c r="JG78" s="23">
        <v>181623.8</v>
      </c>
      <c r="JH78" s="16">
        <v>6</v>
      </c>
      <c r="JI78" s="16">
        <v>61050</v>
      </c>
      <c r="JJ78" s="16">
        <v>366300</v>
      </c>
      <c r="JK78" s="16">
        <v>31135.5</v>
      </c>
      <c r="JL78" s="16">
        <v>5</v>
      </c>
      <c r="JM78" s="16">
        <v>61050</v>
      </c>
      <c r="JN78" s="16">
        <v>305250</v>
      </c>
      <c r="JO78" s="16">
        <v>25946.3</v>
      </c>
      <c r="JP78" s="16">
        <v>6</v>
      </c>
      <c r="JQ78" s="16">
        <v>61050</v>
      </c>
      <c r="JR78" s="16">
        <v>366300</v>
      </c>
      <c r="JS78" s="16">
        <v>31135.5</v>
      </c>
      <c r="JT78" s="16">
        <v>7</v>
      </c>
      <c r="JU78" s="16">
        <v>61050</v>
      </c>
      <c r="JV78" s="16">
        <v>427350</v>
      </c>
      <c r="JW78" s="16">
        <v>36324.800000000003</v>
      </c>
      <c r="JX78" s="23">
        <v>24</v>
      </c>
      <c r="JY78" s="23"/>
      <c r="JZ78" s="23">
        <v>1465200</v>
      </c>
      <c r="KA78" s="23">
        <v>124542</v>
      </c>
      <c r="KB78" s="16">
        <v>6</v>
      </c>
      <c r="KC78" s="16">
        <v>61050</v>
      </c>
      <c r="KD78" s="16">
        <v>366300</v>
      </c>
      <c r="KE78" s="16">
        <v>31135.5</v>
      </c>
      <c r="KF78" s="16">
        <v>7</v>
      </c>
      <c r="KG78" s="16">
        <v>61050</v>
      </c>
      <c r="KH78" s="16">
        <v>427350</v>
      </c>
      <c r="KI78" s="16">
        <v>36324.800000000003</v>
      </c>
      <c r="KJ78" s="16">
        <v>2</v>
      </c>
      <c r="KK78" s="16">
        <v>61050</v>
      </c>
      <c r="KL78" s="16">
        <v>122100</v>
      </c>
      <c r="KM78" s="16">
        <v>10378.5</v>
      </c>
      <c r="KN78" s="16">
        <v>7</v>
      </c>
      <c r="KO78" s="16">
        <v>61050</v>
      </c>
      <c r="KP78" s="16">
        <v>427350</v>
      </c>
      <c r="KQ78" s="16">
        <v>36324.800000000003</v>
      </c>
      <c r="KR78" s="23">
        <v>22</v>
      </c>
      <c r="KS78" s="23"/>
      <c r="KT78" s="23">
        <v>1343100</v>
      </c>
      <c r="KU78" s="23">
        <v>114163.5</v>
      </c>
      <c r="KV78" s="23">
        <v>417</v>
      </c>
      <c r="KW78" s="23"/>
      <c r="KX78" s="23">
        <v>25188900</v>
      </c>
      <c r="KY78" s="23">
        <v>2141056.5</v>
      </c>
    </row>
    <row r="79" spans="1:311" ht="16.95" customHeight="1" x14ac:dyDescent="0.4">
      <c r="A79" s="11"/>
      <c r="B79" s="11"/>
      <c r="C79" s="11" t="s">
        <v>51</v>
      </c>
      <c r="D79" s="9">
        <v>0</v>
      </c>
      <c r="E79" s="9">
        <v>0</v>
      </c>
      <c r="F79" s="9">
        <v>0</v>
      </c>
      <c r="G79" s="9">
        <v>0</v>
      </c>
      <c r="H79" s="22">
        <v>0</v>
      </c>
      <c r="I79" s="22"/>
      <c r="J79" s="22">
        <v>0</v>
      </c>
      <c r="K79" s="22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1</v>
      </c>
      <c r="Y79" s="9">
        <v>78375</v>
      </c>
      <c r="Z79" s="9">
        <v>78375</v>
      </c>
      <c r="AA79" s="9">
        <v>6661.9</v>
      </c>
      <c r="AB79" s="22">
        <v>1</v>
      </c>
      <c r="AC79" s="22"/>
      <c r="AD79" s="22">
        <v>78375</v>
      </c>
      <c r="AE79" s="22">
        <v>6661.9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22">
        <v>0</v>
      </c>
      <c r="AW79" s="22"/>
      <c r="AX79" s="22">
        <v>0</v>
      </c>
      <c r="AY79" s="22">
        <v>0</v>
      </c>
      <c r="AZ79" s="9">
        <v>1</v>
      </c>
      <c r="BA79" s="9">
        <v>78375</v>
      </c>
      <c r="BB79" s="9">
        <v>78375</v>
      </c>
      <c r="BC79" s="9">
        <v>6661.9</v>
      </c>
      <c r="BD79" s="9">
        <v>0</v>
      </c>
      <c r="BE79" s="9">
        <v>0</v>
      </c>
      <c r="BF79" s="9">
        <v>0</v>
      </c>
      <c r="BG79" s="9">
        <v>0</v>
      </c>
      <c r="BH79" s="9">
        <v>1</v>
      </c>
      <c r="BI79" s="9">
        <v>78375</v>
      </c>
      <c r="BJ79" s="9">
        <v>78375</v>
      </c>
      <c r="BK79" s="9">
        <v>6661.9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0</v>
      </c>
      <c r="BS79" s="9">
        <v>0</v>
      </c>
      <c r="BT79" s="22">
        <v>2</v>
      </c>
      <c r="BU79" s="22"/>
      <c r="BV79" s="22">
        <v>156750</v>
      </c>
      <c r="BW79" s="22">
        <v>13323.8</v>
      </c>
      <c r="BX79" s="9">
        <v>1</v>
      </c>
      <c r="BY79" s="9">
        <v>78375</v>
      </c>
      <c r="BZ79" s="9">
        <v>78375</v>
      </c>
      <c r="CA79" s="9">
        <v>6661.9</v>
      </c>
      <c r="CB79" s="9">
        <v>0</v>
      </c>
      <c r="CC79" s="9">
        <v>0</v>
      </c>
      <c r="CD79" s="9">
        <v>0</v>
      </c>
      <c r="CE79" s="9">
        <v>0</v>
      </c>
      <c r="CF79" s="9">
        <v>1</v>
      </c>
      <c r="CG79" s="9">
        <v>78375</v>
      </c>
      <c r="CH79" s="9">
        <v>78375</v>
      </c>
      <c r="CI79" s="9">
        <v>6661.9</v>
      </c>
      <c r="CJ79" s="9">
        <v>1</v>
      </c>
      <c r="CK79" s="9">
        <v>78375</v>
      </c>
      <c r="CL79" s="9">
        <v>78375</v>
      </c>
      <c r="CM79" s="9">
        <v>6661.9</v>
      </c>
      <c r="CN79" s="22">
        <v>3</v>
      </c>
      <c r="CO79" s="22"/>
      <c r="CP79" s="22">
        <v>235125</v>
      </c>
      <c r="CQ79" s="22">
        <v>19985.599999999999</v>
      </c>
      <c r="CR79" s="9">
        <v>0</v>
      </c>
      <c r="CS79" s="9">
        <v>0</v>
      </c>
      <c r="CT79" s="9">
        <v>0</v>
      </c>
      <c r="CU79" s="9">
        <v>0</v>
      </c>
      <c r="CV79" s="9">
        <v>1</v>
      </c>
      <c r="CW79" s="9">
        <v>78375</v>
      </c>
      <c r="CX79" s="9">
        <v>78375</v>
      </c>
      <c r="CY79" s="9">
        <v>6661.9</v>
      </c>
      <c r="CZ79" s="9">
        <v>1</v>
      </c>
      <c r="DA79" s="9">
        <v>78375</v>
      </c>
      <c r="DB79" s="9">
        <v>78375</v>
      </c>
      <c r="DC79" s="9">
        <v>6661.9</v>
      </c>
      <c r="DD79" s="9">
        <v>1</v>
      </c>
      <c r="DE79" s="9">
        <v>78375</v>
      </c>
      <c r="DF79" s="9">
        <v>78375</v>
      </c>
      <c r="DG79" s="9">
        <v>6661.9</v>
      </c>
      <c r="DH79" s="22">
        <v>3</v>
      </c>
      <c r="DI79" s="22"/>
      <c r="DJ79" s="22">
        <v>235125</v>
      </c>
      <c r="DK79" s="22">
        <v>19985.599999999999</v>
      </c>
      <c r="DL79" s="9">
        <v>1</v>
      </c>
      <c r="DM79" s="9">
        <v>78375</v>
      </c>
      <c r="DN79" s="9">
        <v>78375</v>
      </c>
      <c r="DO79" s="9">
        <v>6661.9</v>
      </c>
      <c r="DP79" s="9">
        <v>2</v>
      </c>
      <c r="DQ79" s="9">
        <v>78375</v>
      </c>
      <c r="DR79" s="9">
        <v>156750</v>
      </c>
      <c r="DS79" s="9">
        <v>13323.8</v>
      </c>
      <c r="DT79" s="9">
        <v>1</v>
      </c>
      <c r="DU79" s="9">
        <v>78375</v>
      </c>
      <c r="DV79" s="9">
        <v>78375</v>
      </c>
      <c r="DW79" s="9">
        <v>6661.9</v>
      </c>
      <c r="DX79" s="9">
        <v>1</v>
      </c>
      <c r="DY79" s="9">
        <v>78375</v>
      </c>
      <c r="DZ79" s="9">
        <v>78375</v>
      </c>
      <c r="EA79" s="9">
        <v>6661.9</v>
      </c>
      <c r="EB79" s="9">
        <v>0</v>
      </c>
      <c r="EC79" s="9">
        <v>0</v>
      </c>
      <c r="ED79" s="9">
        <v>0</v>
      </c>
      <c r="EE79" s="9">
        <v>0</v>
      </c>
      <c r="EF79" s="22">
        <v>5</v>
      </c>
      <c r="EG79" s="22"/>
      <c r="EH79" s="22">
        <v>391875</v>
      </c>
      <c r="EI79" s="22">
        <v>33309.4</v>
      </c>
      <c r="EJ79" s="9">
        <v>2</v>
      </c>
      <c r="EK79" s="9">
        <v>80300</v>
      </c>
      <c r="EL79" s="9">
        <v>160600</v>
      </c>
      <c r="EM79" s="9">
        <v>13651</v>
      </c>
      <c r="EN79" s="9">
        <v>1</v>
      </c>
      <c r="EO79" s="9">
        <v>80300</v>
      </c>
      <c r="EP79" s="9">
        <v>80300</v>
      </c>
      <c r="EQ79" s="9">
        <v>6825.5</v>
      </c>
      <c r="ER79" s="9">
        <v>1</v>
      </c>
      <c r="ES79" s="9">
        <v>80300</v>
      </c>
      <c r="ET79" s="9">
        <v>80300</v>
      </c>
      <c r="EU79" s="9">
        <v>6825.5</v>
      </c>
      <c r="EV79" s="9">
        <v>1</v>
      </c>
      <c r="EW79" s="9">
        <v>80300</v>
      </c>
      <c r="EX79" s="9">
        <v>80300</v>
      </c>
      <c r="EY79" s="9">
        <v>6825.5</v>
      </c>
      <c r="EZ79" s="22">
        <v>5</v>
      </c>
      <c r="FA79" s="22"/>
      <c r="FB79" s="22">
        <v>401500</v>
      </c>
      <c r="FC79" s="22">
        <v>34127.5</v>
      </c>
      <c r="FD79" s="9">
        <v>1</v>
      </c>
      <c r="FE79" s="9">
        <v>80300</v>
      </c>
      <c r="FF79" s="9">
        <v>80300</v>
      </c>
      <c r="FG79" s="9">
        <v>6825.5</v>
      </c>
      <c r="FH79" s="9">
        <v>1</v>
      </c>
      <c r="FI79" s="9">
        <v>80300</v>
      </c>
      <c r="FJ79" s="9">
        <v>80300</v>
      </c>
      <c r="FK79" s="9">
        <v>6825.5</v>
      </c>
      <c r="FL79" s="9">
        <v>1</v>
      </c>
      <c r="FM79" s="9">
        <v>80300</v>
      </c>
      <c r="FN79" s="9">
        <v>80300</v>
      </c>
      <c r="FO79" s="9">
        <v>6825.5</v>
      </c>
      <c r="FP79" s="9">
        <v>1</v>
      </c>
      <c r="FQ79" s="9">
        <v>80300</v>
      </c>
      <c r="FR79" s="9">
        <v>80300</v>
      </c>
      <c r="FS79" s="9">
        <v>6825.5</v>
      </c>
      <c r="FT79" s="22">
        <v>4</v>
      </c>
      <c r="FU79" s="22"/>
      <c r="FV79" s="22">
        <v>321200</v>
      </c>
      <c r="FW79" s="22">
        <v>27302</v>
      </c>
      <c r="FX79" s="9">
        <v>1</v>
      </c>
      <c r="FY79" s="9">
        <v>80300</v>
      </c>
      <c r="FZ79" s="9">
        <v>80300</v>
      </c>
      <c r="GA79" s="9">
        <v>6825.5</v>
      </c>
      <c r="GB79" s="9">
        <v>0</v>
      </c>
      <c r="GC79" s="9">
        <v>0</v>
      </c>
      <c r="GD79" s="9">
        <v>0</v>
      </c>
      <c r="GE79" s="9">
        <v>0</v>
      </c>
      <c r="GF79" s="9">
        <v>1</v>
      </c>
      <c r="GG79" s="9">
        <v>80300</v>
      </c>
      <c r="GH79" s="9">
        <v>80300</v>
      </c>
      <c r="GI79" s="9">
        <v>6825.5</v>
      </c>
      <c r="GJ79" s="9">
        <v>1</v>
      </c>
      <c r="GK79" s="9">
        <v>80300</v>
      </c>
      <c r="GL79" s="9">
        <v>80300</v>
      </c>
      <c r="GM79" s="9">
        <v>6825.5</v>
      </c>
      <c r="GN79" s="9">
        <v>0</v>
      </c>
      <c r="GO79" s="9">
        <v>0</v>
      </c>
      <c r="GP79" s="9">
        <v>0</v>
      </c>
      <c r="GQ79" s="9">
        <v>0</v>
      </c>
      <c r="GR79" s="22">
        <v>3</v>
      </c>
      <c r="GS79" s="22"/>
      <c r="GT79" s="22">
        <v>240900</v>
      </c>
      <c r="GU79" s="22">
        <v>20476.5</v>
      </c>
      <c r="GV79" s="9">
        <v>0</v>
      </c>
      <c r="GW79" s="9">
        <v>0</v>
      </c>
      <c r="GX79" s="9">
        <v>0</v>
      </c>
      <c r="GY79" s="9">
        <v>0</v>
      </c>
      <c r="GZ79" s="9">
        <v>0</v>
      </c>
      <c r="HA79" s="9">
        <v>0</v>
      </c>
      <c r="HB79" s="9">
        <v>0</v>
      </c>
      <c r="HC79" s="9">
        <v>0</v>
      </c>
      <c r="HD79" s="9">
        <v>1</v>
      </c>
      <c r="HE79" s="9">
        <v>80300</v>
      </c>
      <c r="HF79" s="9">
        <v>80300</v>
      </c>
      <c r="HG79" s="9">
        <v>6825.5</v>
      </c>
      <c r="HH79" s="9">
        <v>0</v>
      </c>
      <c r="HI79" s="9">
        <v>0</v>
      </c>
      <c r="HJ79" s="9">
        <v>0</v>
      </c>
      <c r="HK79" s="9">
        <v>0</v>
      </c>
      <c r="HL79" s="22">
        <v>1</v>
      </c>
      <c r="HM79" s="22"/>
      <c r="HN79" s="22">
        <v>80300</v>
      </c>
      <c r="HO79" s="22">
        <v>6825.5</v>
      </c>
      <c r="HP79" s="9">
        <v>0</v>
      </c>
      <c r="HQ79" s="9">
        <v>0</v>
      </c>
      <c r="HR79" s="9">
        <v>0</v>
      </c>
      <c r="HS79" s="9">
        <v>0</v>
      </c>
      <c r="HT79" s="9">
        <v>1</v>
      </c>
      <c r="HU79" s="9">
        <v>80300</v>
      </c>
      <c r="HV79" s="9">
        <v>80300</v>
      </c>
      <c r="HW79" s="9">
        <v>6825.5</v>
      </c>
      <c r="HX79" s="9">
        <v>0</v>
      </c>
      <c r="HY79" s="9">
        <v>0</v>
      </c>
      <c r="HZ79" s="9">
        <v>0</v>
      </c>
      <c r="IA79" s="9">
        <v>0</v>
      </c>
      <c r="IB79" s="9">
        <v>0</v>
      </c>
      <c r="IC79" s="9">
        <v>0</v>
      </c>
      <c r="ID79" s="9">
        <v>0</v>
      </c>
      <c r="IE79" s="9">
        <v>0</v>
      </c>
      <c r="IF79" s="22">
        <v>1</v>
      </c>
      <c r="IG79" s="22"/>
      <c r="IH79" s="22">
        <v>80300</v>
      </c>
      <c r="II79" s="22">
        <v>6825.5</v>
      </c>
      <c r="IJ79" s="9">
        <v>0</v>
      </c>
      <c r="IK79" s="9">
        <v>0</v>
      </c>
      <c r="IL79" s="9">
        <v>0</v>
      </c>
      <c r="IM79" s="9">
        <v>0</v>
      </c>
      <c r="IN79" s="9">
        <v>0</v>
      </c>
      <c r="IO79" s="9">
        <v>0</v>
      </c>
      <c r="IP79" s="9">
        <v>0</v>
      </c>
      <c r="IQ79" s="9">
        <v>0</v>
      </c>
      <c r="IR79" s="9">
        <v>1</v>
      </c>
      <c r="IS79" s="9">
        <v>80300</v>
      </c>
      <c r="IT79" s="9">
        <v>80300</v>
      </c>
      <c r="IU79" s="9">
        <v>6825.5</v>
      </c>
      <c r="IV79" s="9">
        <v>0</v>
      </c>
      <c r="IW79" s="9">
        <v>0</v>
      </c>
      <c r="IX79" s="9">
        <v>0</v>
      </c>
      <c r="IY79" s="9">
        <v>0</v>
      </c>
      <c r="IZ79" s="9">
        <v>0</v>
      </c>
      <c r="JA79" s="9">
        <v>0</v>
      </c>
      <c r="JB79" s="9">
        <v>0</v>
      </c>
      <c r="JC79" s="9">
        <v>0</v>
      </c>
      <c r="JD79" s="22">
        <v>1</v>
      </c>
      <c r="JE79" s="22"/>
      <c r="JF79" s="22">
        <v>80300</v>
      </c>
      <c r="JG79" s="22">
        <v>6825.5</v>
      </c>
      <c r="JH79" s="9">
        <v>0</v>
      </c>
      <c r="JI79" s="9">
        <v>0</v>
      </c>
      <c r="JJ79" s="9">
        <v>0</v>
      </c>
      <c r="JK79" s="9">
        <v>0</v>
      </c>
      <c r="JL79" s="9">
        <v>0</v>
      </c>
      <c r="JM79" s="9">
        <v>0</v>
      </c>
      <c r="JN79" s="9">
        <v>0</v>
      </c>
      <c r="JO79" s="9">
        <v>0</v>
      </c>
      <c r="JP79" s="9">
        <v>0</v>
      </c>
      <c r="JQ79" s="9">
        <v>0</v>
      </c>
      <c r="JR79" s="9">
        <v>0</v>
      </c>
      <c r="JS79" s="9">
        <v>0</v>
      </c>
      <c r="JT79" s="9">
        <v>0</v>
      </c>
      <c r="JU79" s="9">
        <v>0</v>
      </c>
      <c r="JV79" s="9">
        <v>0</v>
      </c>
      <c r="JW79" s="9">
        <v>0</v>
      </c>
      <c r="JX79" s="22">
        <v>0</v>
      </c>
      <c r="JY79" s="22"/>
      <c r="JZ79" s="22">
        <v>0</v>
      </c>
      <c r="KA79" s="22">
        <v>0</v>
      </c>
      <c r="KB79" s="9">
        <v>1</v>
      </c>
      <c r="KC79" s="9">
        <v>80300</v>
      </c>
      <c r="KD79" s="9">
        <v>80300</v>
      </c>
      <c r="KE79" s="9">
        <v>6825.5</v>
      </c>
      <c r="KF79" s="9">
        <v>0</v>
      </c>
      <c r="KG79" s="9">
        <v>0</v>
      </c>
      <c r="KH79" s="9">
        <v>0</v>
      </c>
      <c r="KI79" s="9">
        <v>0</v>
      </c>
      <c r="KJ79" s="9">
        <v>0</v>
      </c>
      <c r="KK79" s="9">
        <v>0</v>
      </c>
      <c r="KL79" s="9">
        <v>0</v>
      </c>
      <c r="KM79" s="9">
        <v>0</v>
      </c>
      <c r="KN79" s="9">
        <v>0</v>
      </c>
      <c r="KO79" s="9">
        <v>0</v>
      </c>
      <c r="KP79" s="9">
        <v>0</v>
      </c>
      <c r="KQ79" s="9">
        <v>0</v>
      </c>
      <c r="KR79" s="22">
        <v>1</v>
      </c>
      <c r="KS79" s="22"/>
      <c r="KT79" s="22">
        <v>80300</v>
      </c>
      <c r="KU79" s="22">
        <v>6825.5</v>
      </c>
      <c r="KV79" s="22">
        <v>30</v>
      </c>
      <c r="KW79" s="22"/>
      <c r="KX79" s="22">
        <v>2382050</v>
      </c>
      <c r="KY79" s="22">
        <v>202474.3</v>
      </c>
    </row>
    <row r="80" spans="1:311" ht="16.95" customHeight="1" x14ac:dyDescent="0.4">
      <c r="A80" s="12"/>
      <c r="B80" s="12" t="s">
        <v>118</v>
      </c>
      <c r="C80" s="12" t="s">
        <v>395</v>
      </c>
      <c r="D80" s="10">
        <v>0</v>
      </c>
      <c r="E80" s="10">
        <v>0</v>
      </c>
      <c r="F80" s="10">
        <v>0</v>
      </c>
      <c r="G80" s="10">
        <v>0</v>
      </c>
      <c r="H80" s="21">
        <v>0</v>
      </c>
      <c r="I80" s="21">
        <v>0</v>
      </c>
      <c r="J80" s="21">
        <v>0</v>
      </c>
      <c r="K80" s="21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21">
        <v>0</v>
      </c>
      <c r="AC80" s="21">
        <v>0</v>
      </c>
      <c r="AD80" s="21">
        <v>0</v>
      </c>
      <c r="AE80" s="21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15</v>
      </c>
      <c r="AS80" s="10">
        <v>0</v>
      </c>
      <c r="AT80" s="10">
        <v>846417</v>
      </c>
      <c r="AU80" s="10">
        <v>71945.5</v>
      </c>
      <c r="AV80" s="21">
        <v>15</v>
      </c>
      <c r="AW80" s="21">
        <v>0</v>
      </c>
      <c r="AX80" s="21">
        <v>846417</v>
      </c>
      <c r="AY80" s="21">
        <v>71945.5</v>
      </c>
      <c r="AZ80" s="10">
        <v>6</v>
      </c>
      <c r="BA80" s="10">
        <v>0</v>
      </c>
      <c r="BB80" s="10">
        <v>320375</v>
      </c>
      <c r="BC80" s="10">
        <v>27231.9</v>
      </c>
      <c r="BD80" s="10">
        <v>6</v>
      </c>
      <c r="BE80" s="10">
        <v>0</v>
      </c>
      <c r="BF80" s="10">
        <v>294800</v>
      </c>
      <c r="BG80" s="10">
        <v>25058</v>
      </c>
      <c r="BH80" s="10">
        <v>6</v>
      </c>
      <c r="BI80" s="10">
        <v>0</v>
      </c>
      <c r="BJ80" s="10">
        <v>337975</v>
      </c>
      <c r="BK80" s="10">
        <v>28727.9</v>
      </c>
      <c r="BL80" s="10">
        <v>10</v>
      </c>
      <c r="BM80" s="10">
        <v>0</v>
      </c>
      <c r="BN80" s="10">
        <v>535975</v>
      </c>
      <c r="BO80" s="10">
        <v>45557.9</v>
      </c>
      <c r="BP80" s="10">
        <v>4</v>
      </c>
      <c r="BQ80" s="10">
        <v>0</v>
      </c>
      <c r="BR80" s="10">
        <v>189200</v>
      </c>
      <c r="BS80" s="10">
        <v>16082</v>
      </c>
      <c r="BT80" s="21">
        <v>32</v>
      </c>
      <c r="BU80" s="21">
        <v>0</v>
      </c>
      <c r="BV80" s="21">
        <v>1678325</v>
      </c>
      <c r="BW80" s="21">
        <v>142657.60000000001</v>
      </c>
      <c r="BX80" s="10">
        <v>8</v>
      </c>
      <c r="BY80" s="10">
        <v>0</v>
      </c>
      <c r="BZ80" s="10">
        <v>411400</v>
      </c>
      <c r="CA80" s="10">
        <v>34969</v>
      </c>
      <c r="CB80" s="10">
        <v>7</v>
      </c>
      <c r="CC80" s="10">
        <v>0</v>
      </c>
      <c r="CD80" s="10">
        <v>370975</v>
      </c>
      <c r="CE80" s="10">
        <v>31532.9</v>
      </c>
      <c r="CF80" s="10">
        <v>12</v>
      </c>
      <c r="CG80" s="10">
        <v>0</v>
      </c>
      <c r="CH80" s="10">
        <v>699017</v>
      </c>
      <c r="CI80" s="10">
        <v>59416.5</v>
      </c>
      <c r="CJ80" s="10">
        <v>12</v>
      </c>
      <c r="CK80" s="10">
        <v>0</v>
      </c>
      <c r="CL80" s="10">
        <v>628375</v>
      </c>
      <c r="CM80" s="10">
        <v>53411.9</v>
      </c>
      <c r="CN80" s="21">
        <v>39</v>
      </c>
      <c r="CO80" s="21">
        <v>0</v>
      </c>
      <c r="CP80" s="21">
        <v>2109767</v>
      </c>
      <c r="CQ80" s="21">
        <v>179330.2</v>
      </c>
      <c r="CR80" s="10">
        <v>14</v>
      </c>
      <c r="CS80" s="10">
        <v>0</v>
      </c>
      <c r="CT80" s="10">
        <v>725175</v>
      </c>
      <c r="CU80" s="10">
        <v>61639.9</v>
      </c>
      <c r="CV80" s="10">
        <v>13</v>
      </c>
      <c r="CW80" s="10">
        <v>0</v>
      </c>
      <c r="CX80" s="10">
        <v>665775</v>
      </c>
      <c r="CY80" s="10">
        <v>56590.9</v>
      </c>
      <c r="CZ80" s="10">
        <v>12</v>
      </c>
      <c r="DA80" s="10">
        <v>0</v>
      </c>
      <c r="DB80" s="10">
        <v>641575</v>
      </c>
      <c r="DC80" s="10">
        <v>54533.9</v>
      </c>
      <c r="DD80" s="10">
        <v>16</v>
      </c>
      <c r="DE80" s="10">
        <v>0</v>
      </c>
      <c r="DF80" s="10">
        <v>815375</v>
      </c>
      <c r="DG80" s="10">
        <v>69306.899999999994</v>
      </c>
      <c r="DH80" s="21">
        <v>55</v>
      </c>
      <c r="DI80" s="21">
        <v>0</v>
      </c>
      <c r="DJ80" s="21">
        <v>2847900</v>
      </c>
      <c r="DK80" s="21">
        <v>242071.5</v>
      </c>
      <c r="DL80" s="10">
        <v>20</v>
      </c>
      <c r="DM80" s="10">
        <v>0</v>
      </c>
      <c r="DN80" s="10">
        <v>1074150</v>
      </c>
      <c r="DO80" s="10">
        <v>91302.8</v>
      </c>
      <c r="DP80" s="10">
        <v>33</v>
      </c>
      <c r="DQ80" s="10">
        <v>0</v>
      </c>
      <c r="DR80" s="10">
        <v>1752817</v>
      </c>
      <c r="DS80" s="10">
        <v>148989.5</v>
      </c>
      <c r="DT80" s="10">
        <v>3</v>
      </c>
      <c r="DU80" s="10">
        <v>0</v>
      </c>
      <c r="DV80" s="10">
        <v>216150</v>
      </c>
      <c r="DW80" s="10">
        <v>18372.8</v>
      </c>
      <c r="DX80" s="10">
        <v>26</v>
      </c>
      <c r="DY80" s="10">
        <v>0</v>
      </c>
      <c r="DZ80" s="10">
        <v>1321375</v>
      </c>
      <c r="EA80" s="10">
        <v>112316.9</v>
      </c>
      <c r="EB80" s="10">
        <v>19</v>
      </c>
      <c r="EC80" s="10">
        <v>0</v>
      </c>
      <c r="ED80" s="10">
        <v>1115367</v>
      </c>
      <c r="EE80" s="10">
        <v>94806.3</v>
      </c>
      <c r="EF80" s="21">
        <v>101</v>
      </c>
      <c r="EG80" s="21">
        <v>0</v>
      </c>
      <c r="EH80" s="21">
        <v>5479859</v>
      </c>
      <c r="EI80" s="21">
        <v>465788</v>
      </c>
      <c r="EJ80" s="10">
        <v>28</v>
      </c>
      <c r="EK80" s="10">
        <v>0</v>
      </c>
      <c r="EL80" s="10">
        <v>1457500</v>
      </c>
      <c r="EM80" s="10">
        <v>123887.5</v>
      </c>
      <c r="EN80" s="10">
        <v>12</v>
      </c>
      <c r="EO80" s="10">
        <v>0</v>
      </c>
      <c r="EP80" s="10">
        <v>669350</v>
      </c>
      <c r="EQ80" s="10">
        <v>56894.8</v>
      </c>
      <c r="ER80" s="10">
        <v>24</v>
      </c>
      <c r="ES80" s="10">
        <v>0</v>
      </c>
      <c r="ET80" s="10">
        <v>1337292</v>
      </c>
      <c r="EU80" s="10">
        <v>113669.9</v>
      </c>
      <c r="EV80" s="10">
        <v>30</v>
      </c>
      <c r="EW80" s="10">
        <v>0</v>
      </c>
      <c r="EX80" s="10">
        <v>1552100</v>
      </c>
      <c r="EY80" s="10">
        <v>131928.5</v>
      </c>
      <c r="EZ80" s="21">
        <v>94</v>
      </c>
      <c r="FA80" s="21">
        <v>0</v>
      </c>
      <c r="FB80" s="21">
        <v>5016242</v>
      </c>
      <c r="FC80" s="21">
        <v>426380.6</v>
      </c>
      <c r="FD80" s="10">
        <v>24</v>
      </c>
      <c r="FE80" s="10">
        <v>0</v>
      </c>
      <c r="FF80" s="10">
        <v>1309000</v>
      </c>
      <c r="FG80" s="10">
        <v>111265</v>
      </c>
      <c r="FH80" s="10">
        <v>22</v>
      </c>
      <c r="FI80" s="10">
        <v>0</v>
      </c>
      <c r="FJ80" s="10">
        <v>1215192</v>
      </c>
      <c r="FK80" s="10">
        <v>103291.4</v>
      </c>
      <c r="FL80" s="10">
        <v>20</v>
      </c>
      <c r="FM80" s="10">
        <v>0</v>
      </c>
      <c r="FN80" s="10">
        <v>1043350</v>
      </c>
      <c r="FO80" s="10">
        <v>88684.800000000003</v>
      </c>
      <c r="FP80" s="10">
        <v>25</v>
      </c>
      <c r="FQ80" s="10">
        <v>0</v>
      </c>
      <c r="FR80" s="10">
        <v>1333750</v>
      </c>
      <c r="FS80" s="10">
        <v>113368.8</v>
      </c>
      <c r="FT80" s="21">
        <v>91</v>
      </c>
      <c r="FU80" s="21">
        <v>0</v>
      </c>
      <c r="FV80" s="21">
        <v>4901292</v>
      </c>
      <c r="FW80" s="21">
        <v>416609.9</v>
      </c>
      <c r="FX80" s="10">
        <v>13</v>
      </c>
      <c r="FY80" s="10">
        <v>0</v>
      </c>
      <c r="FZ80" s="10">
        <v>767492</v>
      </c>
      <c r="GA80" s="10">
        <v>65236.9</v>
      </c>
      <c r="GB80" s="10">
        <v>8</v>
      </c>
      <c r="GC80" s="10">
        <v>0</v>
      </c>
      <c r="GD80" s="10">
        <v>435600</v>
      </c>
      <c r="GE80" s="10">
        <v>37026</v>
      </c>
      <c r="GF80" s="10">
        <v>10</v>
      </c>
      <c r="GG80" s="10">
        <v>0</v>
      </c>
      <c r="GH80" s="10">
        <v>493900</v>
      </c>
      <c r="GI80" s="10">
        <v>41981.5</v>
      </c>
      <c r="GJ80" s="10">
        <v>13</v>
      </c>
      <c r="GK80" s="10">
        <v>0</v>
      </c>
      <c r="GL80" s="10">
        <v>685850</v>
      </c>
      <c r="GM80" s="10">
        <v>58297.3</v>
      </c>
      <c r="GN80" s="10">
        <v>26</v>
      </c>
      <c r="GO80" s="10">
        <v>0</v>
      </c>
      <c r="GP80" s="10">
        <v>1321100</v>
      </c>
      <c r="GQ80" s="10">
        <v>112293.5</v>
      </c>
      <c r="GR80" s="21">
        <v>70</v>
      </c>
      <c r="GS80" s="21">
        <v>0</v>
      </c>
      <c r="GT80" s="21">
        <v>3703942</v>
      </c>
      <c r="GU80" s="21">
        <v>314835.09999999998</v>
      </c>
      <c r="GV80" s="10">
        <v>9</v>
      </c>
      <c r="GW80" s="10">
        <v>0</v>
      </c>
      <c r="GX80" s="10">
        <v>464750</v>
      </c>
      <c r="GY80" s="10">
        <v>39503.800000000003</v>
      </c>
      <c r="GZ80" s="10">
        <v>19</v>
      </c>
      <c r="HA80" s="10">
        <v>0</v>
      </c>
      <c r="HB80" s="10">
        <v>955350</v>
      </c>
      <c r="HC80" s="10">
        <v>81204.800000000003</v>
      </c>
      <c r="HD80" s="10">
        <v>0</v>
      </c>
      <c r="HE80" s="10">
        <v>0</v>
      </c>
      <c r="HF80" s="10">
        <v>0</v>
      </c>
      <c r="HG80" s="10">
        <v>0</v>
      </c>
      <c r="HH80" s="10">
        <v>24</v>
      </c>
      <c r="HI80" s="10">
        <v>0</v>
      </c>
      <c r="HJ80" s="10">
        <v>1169850</v>
      </c>
      <c r="HK80" s="10">
        <v>99437.3</v>
      </c>
      <c r="HL80" s="21">
        <v>52</v>
      </c>
      <c r="HM80" s="21">
        <v>0</v>
      </c>
      <c r="HN80" s="21">
        <v>2589950</v>
      </c>
      <c r="HO80" s="21">
        <v>220145.8</v>
      </c>
      <c r="HP80" s="10">
        <v>0</v>
      </c>
      <c r="HQ80" s="10">
        <v>0</v>
      </c>
      <c r="HR80" s="10">
        <v>0</v>
      </c>
      <c r="HS80" s="10">
        <v>0</v>
      </c>
      <c r="HT80" s="10">
        <v>0</v>
      </c>
      <c r="HU80" s="10">
        <v>0</v>
      </c>
      <c r="HV80" s="10">
        <v>0</v>
      </c>
      <c r="HW80" s="10">
        <v>0</v>
      </c>
      <c r="HX80" s="10">
        <v>0</v>
      </c>
      <c r="HY80" s="10">
        <v>0</v>
      </c>
      <c r="HZ80" s="10">
        <v>0</v>
      </c>
      <c r="IA80" s="10">
        <v>0</v>
      </c>
      <c r="IB80" s="10">
        <v>0</v>
      </c>
      <c r="IC80" s="10">
        <v>0</v>
      </c>
      <c r="ID80" s="10">
        <v>0</v>
      </c>
      <c r="IE80" s="10">
        <v>0</v>
      </c>
      <c r="IF80" s="21">
        <v>0</v>
      </c>
      <c r="IG80" s="21">
        <v>0</v>
      </c>
      <c r="IH80" s="21">
        <v>0</v>
      </c>
      <c r="II80" s="21">
        <v>0</v>
      </c>
      <c r="IJ80" s="10">
        <v>0</v>
      </c>
      <c r="IK80" s="10">
        <v>0</v>
      </c>
      <c r="IL80" s="10">
        <v>0</v>
      </c>
      <c r="IM80" s="10">
        <v>0</v>
      </c>
      <c r="IN80" s="10">
        <v>0</v>
      </c>
      <c r="IO80" s="10">
        <v>0</v>
      </c>
      <c r="IP80" s="10">
        <v>0</v>
      </c>
      <c r="IQ80" s="10">
        <v>0</v>
      </c>
      <c r="IR80" s="10">
        <v>0</v>
      </c>
      <c r="IS80" s="10">
        <v>0</v>
      </c>
      <c r="IT80" s="10">
        <v>0</v>
      </c>
      <c r="IU80" s="10">
        <v>0</v>
      </c>
      <c r="IV80" s="10">
        <v>0</v>
      </c>
      <c r="IW80" s="10">
        <v>0</v>
      </c>
      <c r="IX80" s="10">
        <v>0</v>
      </c>
      <c r="IY80" s="10">
        <v>0</v>
      </c>
      <c r="IZ80" s="10">
        <v>0</v>
      </c>
      <c r="JA80" s="10">
        <v>0</v>
      </c>
      <c r="JB80" s="10">
        <v>0</v>
      </c>
      <c r="JC80" s="10">
        <v>0</v>
      </c>
      <c r="JD80" s="21">
        <v>0</v>
      </c>
      <c r="JE80" s="21">
        <v>0</v>
      </c>
      <c r="JF80" s="21">
        <v>0</v>
      </c>
      <c r="JG80" s="21">
        <v>0</v>
      </c>
      <c r="JH80" s="10">
        <v>0</v>
      </c>
      <c r="JI80" s="10">
        <v>0</v>
      </c>
      <c r="JJ80" s="10">
        <v>0</v>
      </c>
      <c r="JK80" s="10">
        <v>0</v>
      </c>
      <c r="JL80" s="10">
        <v>0</v>
      </c>
      <c r="JM80" s="10">
        <v>0</v>
      </c>
      <c r="JN80" s="10">
        <v>0</v>
      </c>
      <c r="JO80" s="10">
        <v>0</v>
      </c>
      <c r="JP80" s="10">
        <v>0</v>
      </c>
      <c r="JQ80" s="10">
        <v>0</v>
      </c>
      <c r="JR80" s="10">
        <v>0</v>
      </c>
      <c r="JS80" s="10">
        <v>0</v>
      </c>
      <c r="JT80" s="10">
        <v>0</v>
      </c>
      <c r="JU80" s="10">
        <v>0</v>
      </c>
      <c r="JV80" s="10">
        <v>0</v>
      </c>
      <c r="JW80" s="10">
        <v>0</v>
      </c>
      <c r="JX80" s="21">
        <v>0</v>
      </c>
      <c r="JY80" s="21">
        <v>0</v>
      </c>
      <c r="JZ80" s="21">
        <v>0</v>
      </c>
      <c r="KA80" s="21">
        <v>0</v>
      </c>
      <c r="KB80" s="10">
        <v>0</v>
      </c>
      <c r="KC80" s="10">
        <v>0</v>
      </c>
      <c r="KD80" s="10">
        <v>0</v>
      </c>
      <c r="KE80" s="10">
        <v>0</v>
      </c>
      <c r="KF80" s="10">
        <v>0</v>
      </c>
      <c r="KG80" s="10">
        <v>0</v>
      </c>
      <c r="KH80" s="10">
        <v>0</v>
      </c>
      <c r="KI80" s="10">
        <v>0</v>
      </c>
      <c r="KJ80" s="10">
        <v>0</v>
      </c>
      <c r="KK80" s="10">
        <v>0</v>
      </c>
      <c r="KL80" s="10">
        <v>0</v>
      </c>
      <c r="KM80" s="10">
        <v>0</v>
      </c>
      <c r="KN80" s="10">
        <v>19</v>
      </c>
      <c r="KO80" s="10">
        <v>0</v>
      </c>
      <c r="KP80" s="10">
        <v>1089792</v>
      </c>
      <c r="KQ80" s="10">
        <v>92632.4</v>
      </c>
      <c r="KR80" s="21">
        <v>19</v>
      </c>
      <c r="KS80" s="21">
        <v>0</v>
      </c>
      <c r="KT80" s="21">
        <v>1089792</v>
      </c>
      <c r="KU80" s="21">
        <v>92632.4</v>
      </c>
      <c r="KV80" s="21">
        <v>568</v>
      </c>
      <c r="KW80" s="21">
        <v>0</v>
      </c>
      <c r="KX80" s="21">
        <v>30263486</v>
      </c>
      <c r="KY80" s="21">
        <v>2572396.4</v>
      </c>
    </row>
    <row r="81" spans="1:311" ht="16.95" customHeight="1" x14ac:dyDescent="0.4">
      <c r="A81" s="11"/>
      <c r="B81" s="11"/>
      <c r="C81" s="11" t="s">
        <v>32</v>
      </c>
      <c r="D81" s="9">
        <v>0</v>
      </c>
      <c r="E81" s="9">
        <v>0</v>
      </c>
      <c r="F81" s="9">
        <v>0</v>
      </c>
      <c r="G81" s="9">
        <v>0</v>
      </c>
      <c r="H81" s="22">
        <v>0</v>
      </c>
      <c r="I81" s="22"/>
      <c r="J81" s="22">
        <v>0</v>
      </c>
      <c r="K81" s="22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22">
        <v>0</v>
      </c>
      <c r="AC81" s="22"/>
      <c r="AD81" s="22">
        <v>0</v>
      </c>
      <c r="AE81" s="22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6</v>
      </c>
      <c r="AS81" s="9">
        <v>48400</v>
      </c>
      <c r="AT81" s="9">
        <v>290400</v>
      </c>
      <c r="AU81" s="9">
        <v>24684</v>
      </c>
      <c r="AV81" s="22">
        <v>6</v>
      </c>
      <c r="AW81" s="22"/>
      <c r="AX81" s="22">
        <v>290400</v>
      </c>
      <c r="AY81" s="22">
        <v>24684</v>
      </c>
      <c r="AZ81" s="9">
        <v>5</v>
      </c>
      <c r="BA81" s="9">
        <v>48400</v>
      </c>
      <c r="BB81" s="9">
        <v>242000</v>
      </c>
      <c r="BC81" s="9">
        <v>20570</v>
      </c>
      <c r="BD81" s="9">
        <v>2</v>
      </c>
      <c r="BE81" s="9">
        <v>48400</v>
      </c>
      <c r="BF81" s="9">
        <v>96800</v>
      </c>
      <c r="BG81" s="9">
        <v>8228</v>
      </c>
      <c r="BH81" s="9">
        <v>1</v>
      </c>
      <c r="BI81" s="9">
        <v>48400</v>
      </c>
      <c r="BJ81" s="9">
        <v>48400</v>
      </c>
      <c r="BK81" s="9">
        <v>4114</v>
      </c>
      <c r="BL81" s="9">
        <v>1</v>
      </c>
      <c r="BM81" s="9">
        <v>48400</v>
      </c>
      <c r="BN81" s="9">
        <v>48400</v>
      </c>
      <c r="BO81" s="9">
        <v>4114</v>
      </c>
      <c r="BP81" s="9">
        <v>2</v>
      </c>
      <c r="BQ81" s="9">
        <v>48400</v>
      </c>
      <c r="BR81" s="9">
        <v>96800</v>
      </c>
      <c r="BS81" s="9">
        <v>8228</v>
      </c>
      <c r="BT81" s="22">
        <v>11</v>
      </c>
      <c r="BU81" s="22"/>
      <c r="BV81" s="22">
        <v>532400</v>
      </c>
      <c r="BW81" s="22">
        <v>45254</v>
      </c>
      <c r="BX81" s="9">
        <v>1</v>
      </c>
      <c r="BY81" s="9">
        <v>48400</v>
      </c>
      <c r="BZ81" s="9">
        <v>48400</v>
      </c>
      <c r="CA81" s="9">
        <v>4114</v>
      </c>
      <c r="CB81" s="9">
        <v>1</v>
      </c>
      <c r="CC81" s="9">
        <v>48400</v>
      </c>
      <c r="CD81" s="9">
        <v>48400</v>
      </c>
      <c r="CE81" s="9">
        <v>4114</v>
      </c>
      <c r="CF81" s="9">
        <v>2</v>
      </c>
      <c r="CG81" s="9">
        <v>48400</v>
      </c>
      <c r="CH81" s="9">
        <v>96800</v>
      </c>
      <c r="CI81" s="9">
        <v>8228</v>
      </c>
      <c r="CJ81" s="9">
        <v>1</v>
      </c>
      <c r="CK81" s="9">
        <v>48400</v>
      </c>
      <c r="CL81" s="9">
        <v>48400</v>
      </c>
      <c r="CM81" s="9">
        <v>4114</v>
      </c>
      <c r="CN81" s="22">
        <v>5</v>
      </c>
      <c r="CO81" s="22"/>
      <c r="CP81" s="22">
        <v>242000</v>
      </c>
      <c r="CQ81" s="22">
        <v>20570</v>
      </c>
      <c r="CR81" s="9">
        <v>3</v>
      </c>
      <c r="CS81" s="9">
        <v>48400</v>
      </c>
      <c r="CT81" s="9">
        <v>145200</v>
      </c>
      <c r="CU81" s="9">
        <v>12342</v>
      </c>
      <c r="CV81" s="9">
        <v>3</v>
      </c>
      <c r="CW81" s="9">
        <v>48400</v>
      </c>
      <c r="CX81" s="9">
        <v>145200</v>
      </c>
      <c r="CY81" s="9">
        <v>12342</v>
      </c>
      <c r="CZ81" s="9">
        <v>1</v>
      </c>
      <c r="DA81" s="9">
        <v>48400</v>
      </c>
      <c r="DB81" s="9">
        <v>48400</v>
      </c>
      <c r="DC81" s="9">
        <v>4114</v>
      </c>
      <c r="DD81" s="9">
        <v>2</v>
      </c>
      <c r="DE81" s="9">
        <v>48400</v>
      </c>
      <c r="DF81" s="9">
        <v>96800</v>
      </c>
      <c r="DG81" s="9">
        <v>8228</v>
      </c>
      <c r="DH81" s="22">
        <v>9</v>
      </c>
      <c r="DI81" s="22"/>
      <c r="DJ81" s="22">
        <v>435600</v>
      </c>
      <c r="DK81" s="22">
        <v>37026</v>
      </c>
      <c r="DL81" s="9">
        <v>3</v>
      </c>
      <c r="DM81" s="9">
        <v>48400</v>
      </c>
      <c r="DN81" s="9">
        <v>145200</v>
      </c>
      <c r="DO81" s="9">
        <v>12342</v>
      </c>
      <c r="DP81" s="9">
        <v>4</v>
      </c>
      <c r="DQ81" s="9">
        <v>48400</v>
      </c>
      <c r="DR81" s="9">
        <v>193600</v>
      </c>
      <c r="DS81" s="9">
        <v>16456</v>
      </c>
      <c r="DT81" s="9">
        <v>0</v>
      </c>
      <c r="DU81" s="9">
        <v>0</v>
      </c>
      <c r="DV81" s="9">
        <v>0</v>
      </c>
      <c r="DW81" s="9">
        <v>0</v>
      </c>
      <c r="DX81" s="9">
        <v>4</v>
      </c>
      <c r="DY81" s="9">
        <v>48400</v>
      </c>
      <c r="DZ81" s="9">
        <v>193600</v>
      </c>
      <c r="EA81" s="9">
        <v>16456</v>
      </c>
      <c r="EB81" s="9">
        <v>1</v>
      </c>
      <c r="EC81" s="9">
        <v>48400</v>
      </c>
      <c r="ED81" s="9">
        <v>48400</v>
      </c>
      <c r="EE81" s="9">
        <v>4114</v>
      </c>
      <c r="EF81" s="22">
        <v>12</v>
      </c>
      <c r="EG81" s="22"/>
      <c r="EH81" s="22">
        <v>580800</v>
      </c>
      <c r="EI81" s="22">
        <v>49368</v>
      </c>
      <c r="EJ81" s="9">
        <v>3</v>
      </c>
      <c r="EK81" s="9">
        <v>48400</v>
      </c>
      <c r="EL81" s="9">
        <v>145200</v>
      </c>
      <c r="EM81" s="9">
        <v>12342</v>
      </c>
      <c r="EN81" s="9">
        <v>3</v>
      </c>
      <c r="EO81" s="9">
        <v>48400</v>
      </c>
      <c r="EP81" s="9">
        <v>145200</v>
      </c>
      <c r="EQ81" s="9">
        <v>12342</v>
      </c>
      <c r="ER81" s="9">
        <v>2</v>
      </c>
      <c r="ES81" s="9">
        <v>48400</v>
      </c>
      <c r="ET81" s="9">
        <v>96800</v>
      </c>
      <c r="EU81" s="9">
        <v>8228</v>
      </c>
      <c r="EV81" s="9">
        <v>4</v>
      </c>
      <c r="EW81" s="9">
        <v>48400</v>
      </c>
      <c r="EX81" s="9">
        <v>193600</v>
      </c>
      <c r="EY81" s="9">
        <v>16456</v>
      </c>
      <c r="EZ81" s="22">
        <v>12</v>
      </c>
      <c r="FA81" s="22"/>
      <c r="FB81" s="22">
        <v>580800</v>
      </c>
      <c r="FC81" s="22">
        <v>49368</v>
      </c>
      <c r="FD81" s="9">
        <v>6</v>
      </c>
      <c r="FE81" s="9">
        <v>48400</v>
      </c>
      <c r="FF81" s="9">
        <v>290400</v>
      </c>
      <c r="FG81" s="9">
        <v>24684</v>
      </c>
      <c r="FH81" s="9">
        <v>2</v>
      </c>
      <c r="FI81" s="9">
        <v>48400</v>
      </c>
      <c r="FJ81" s="9">
        <v>96800</v>
      </c>
      <c r="FK81" s="9">
        <v>8228</v>
      </c>
      <c r="FL81" s="9">
        <v>3</v>
      </c>
      <c r="FM81" s="9">
        <v>48400</v>
      </c>
      <c r="FN81" s="9">
        <v>145200</v>
      </c>
      <c r="FO81" s="9">
        <v>12342</v>
      </c>
      <c r="FP81" s="9">
        <v>3</v>
      </c>
      <c r="FQ81" s="9">
        <v>48400</v>
      </c>
      <c r="FR81" s="9">
        <v>145200</v>
      </c>
      <c r="FS81" s="9">
        <v>12342</v>
      </c>
      <c r="FT81" s="22">
        <v>14</v>
      </c>
      <c r="FU81" s="22"/>
      <c r="FV81" s="22">
        <v>677600</v>
      </c>
      <c r="FW81" s="22">
        <v>57596</v>
      </c>
      <c r="FX81" s="9">
        <v>3</v>
      </c>
      <c r="FY81" s="9">
        <v>48400</v>
      </c>
      <c r="FZ81" s="9">
        <v>145200</v>
      </c>
      <c r="GA81" s="9">
        <v>12342</v>
      </c>
      <c r="GB81" s="9">
        <v>1</v>
      </c>
      <c r="GC81" s="9">
        <v>48400</v>
      </c>
      <c r="GD81" s="9">
        <v>48400</v>
      </c>
      <c r="GE81" s="9">
        <v>4114</v>
      </c>
      <c r="GF81" s="9">
        <v>1</v>
      </c>
      <c r="GG81" s="9">
        <v>48400</v>
      </c>
      <c r="GH81" s="9">
        <v>48400</v>
      </c>
      <c r="GI81" s="9">
        <v>4114</v>
      </c>
      <c r="GJ81" s="9">
        <v>3</v>
      </c>
      <c r="GK81" s="9">
        <v>48400</v>
      </c>
      <c r="GL81" s="9">
        <v>145200</v>
      </c>
      <c r="GM81" s="9">
        <v>12342</v>
      </c>
      <c r="GN81" s="9">
        <v>12</v>
      </c>
      <c r="GO81" s="9">
        <v>48400</v>
      </c>
      <c r="GP81" s="9">
        <v>580800</v>
      </c>
      <c r="GQ81" s="9">
        <v>49368</v>
      </c>
      <c r="GR81" s="22">
        <v>20</v>
      </c>
      <c r="GS81" s="22"/>
      <c r="GT81" s="22">
        <v>968000</v>
      </c>
      <c r="GU81" s="22">
        <v>82280</v>
      </c>
      <c r="GV81" s="9">
        <v>2</v>
      </c>
      <c r="GW81" s="9">
        <v>48400</v>
      </c>
      <c r="GX81" s="9">
        <v>96800</v>
      </c>
      <c r="GY81" s="9">
        <v>8228</v>
      </c>
      <c r="GZ81" s="9">
        <v>13</v>
      </c>
      <c r="HA81" s="9">
        <v>48400</v>
      </c>
      <c r="HB81" s="9">
        <v>629200</v>
      </c>
      <c r="HC81" s="9">
        <v>53482</v>
      </c>
      <c r="HD81" s="9">
        <v>0</v>
      </c>
      <c r="HE81" s="9">
        <v>0</v>
      </c>
      <c r="HF81" s="9">
        <v>0</v>
      </c>
      <c r="HG81" s="9">
        <v>0</v>
      </c>
      <c r="HH81" s="9">
        <v>21</v>
      </c>
      <c r="HI81" s="9">
        <v>48400</v>
      </c>
      <c r="HJ81" s="9">
        <v>1016400</v>
      </c>
      <c r="HK81" s="9">
        <v>86394</v>
      </c>
      <c r="HL81" s="22">
        <v>36</v>
      </c>
      <c r="HM81" s="22"/>
      <c r="HN81" s="22">
        <v>1742400</v>
      </c>
      <c r="HO81" s="22">
        <v>148104</v>
      </c>
      <c r="HP81" s="9">
        <v>0</v>
      </c>
      <c r="HQ81" s="9">
        <v>0</v>
      </c>
      <c r="HR81" s="9">
        <v>0</v>
      </c>
      <c r="HS81" s="9">
        <v>0</v>
      </c>
      <c r="HT81" s="9">
        <v>0</v>
      </c>
      <c r="HU81" s="9">
        <v>0</v>
      </c>
      <c r="HV81" s="9">
        <v>0</v>
      </c>
      <c r="HW81" s="9">
        <v>0</v>
      </c>
      <c r="HX81" s="9">
        <v>0</v>
      </c>
      <c r="HY81" s="9">
        <v>0</v>
      </c>
      <c r="HZ81" s="9">
        <v>0</v>
      </c>
      <c r="IA81" s="9">
        <v>0</v>
      </c>
      <c r="IB81" s="9">
        <v>0</v>
      </c>
      <c r="IC81" s="9">
        <v>0</v>
      </c>
      <c r="ID81" s="9">
        <v>0</v>
      </c>
      <c r="IE81" s="9">
        <v>0</v>
      </c>
      <c r="IF81" s="22">
        <v>0</v>
      </c>
      <c r="IG81" s="22"/>
      <c r="IH81" s="22">
        <v>0</v>
      </c>
      <c r="II81" s="22">
        <v>0</v>
      </c>
      <c r="IJ81" s="9">
        <v>0</v>
      </c>
      <c r="IK81" s="9">
        <v>0</v>
      </c>
      <c r="IL81" s="9">
        <v>0</v>
      </c>
      <c r="IM81" s="9">
        <v>0</v>
      </c>
      <c r="IN81" s="9">
        <v>0</v>
      </c>
      <c r="IO81" s="9">
        <v>0</v>
      </c>
      <c r="IP81" s="9">
        <v>0</v>
      </c>
      <c r="IQ81" s="9">
        <v>0</v>
      </c>
      <c r="IR81" s="9">
        <v>0</v>
      </c>
      <c r="IS81" s="9">
        <v>0</v>
      </c>
      <c r="IT81" s="9">
        <v>0</v>
      </c>
      <c r="IU81" s="9">
        <v>0</v>
      </c>
      <c r="IV81" s="9">
        <v>0</v>
      </c>
      <c r="IW81" s="9">
        <v>0</v>
      </c>
      <c r="IX81" s="9">
        <v>0</v>
      </c>
      <c r="IY81" s="9">
        <v>0</v>
      </c>
      <c r="IZ81" s="9">
        <v>0</v>
      </c>
      <c r="JA81" s="9">
        <v>0</v>
      </c>
      <c r="JB81" s="9">
        <v>0</v>
      </c>
      <c r="JC81" s="9">
        <v>0</v>
      </c>
      <c r="JD81" s="22">
        <v>0</v>
      </c>
      <c r="JE81" s="22"/>
      <c r="JF81" s="22">
        <v>0</v>
      </c>
      <c r="JG81" s="22">
        <v>0</v>
      </c>
      <c r="JH81" s="9">
        <v>0</v>
      </c>
      <c r="JI81" s="9">
        <v>0</v>
      </c>
      <c r="JJ81" s="9">
        <v>0</v>
      </c>
      <c r="JK81" s="9">
        <v>0</v>
      </c>
      <c r="JL81" s="9">
        <v>0</v>
      </c>
      <c r="JM81" s="9">
        <v>0</v>
      </c>
      <c r="JN81" s="9">
        <v>0</v>
      </c>
      <c r="JO81" s="9">
        <v>0</v>
      </c>
      <c r="JP81" s="9">
        <v>0</v>
      </c>
      <c r="JQ81" s="9">
        <v>0</v>
      </c>
      <c r="JR81" s="9">
        <v>0</v>
      </c>
      <c r="JS81" s="9">
        <v>0</v>
      </c>
      <c r="JT81" s="9">
        <v>0</v>
      </c>
      <c r="JU81" s="9">
        <v>0</v>
      </c>
      <c r="JV81" s="9">
        <v>0</v>
      </c>
      <c r="JW81" s="9">
        <v>0</v>
      </c>
      <c r="JX81" s="22">
        <v>0</v>
      </c>
      <c r="JY81" s="22"/>
      <c r="JZ81" s="22">
        <v>0</v>
      </c>
      <c r="KA81" s="22">
        <v>0</v>
      </c>
      <c r="KB81" s="9">
        <v>0</v>
      </c>
      <c r="KC81" s="9">
        <v>0</v>
      </c>
      <c r="KD81" s="9">
        <v>0</v>
      </c>
      <c r="KE81" s="9">
        <v>0</v>
      </c>
      <c r="KF81" s="9">
        <v>0</v>
      </c>
      <c r="KG81" s="9">
        <v>0</v>
      </c>
      <c r="KH81" s="9">
        <v>0</v>
      </c>
      <c r="KI81" s="9">
        <v>0</v>
      </c>
      <c r="KJ81" s="9">
        <v>0</v>
      </c>
      <c r="KK81" s="9">
        <v>0</v>
      </c>
      <c r="KL81" s="9">
        <v>0</v>
      </c>
      <c r="KM81" s="9">
        <v>0</v>
      </c>
      <c r="KN81" s="9">
        <v>8</v>
      </c>
      <c r="KO81" s="9">
        <v>48400</v>
      </c>
      <c r="KP81" s="9">
        <v>387200</v>
      </c>
      <c r="KQ81" s="9">
        <v>32912</v>
      </c>
      <c r="KR81" s="22">
        <v>8</v>
      </c>
      <c r="KS81" s="22"/>
      <c r="KT81" s="22">
        <v>387200</v>
      </c>
      <c r="KU81" s="22">
        <v>32912</v>
      </c>
      <c r="KV81" s="22">
        <v>133</v>
      </c>
      <c r="KW81" s="22"/>
      <c r="KX81" s="22">
        <v>6437200</v>
      </c>
      <c r="KY81" s="22">
        <v>547162</v>
      </c>
    </row>
    <row r="82" spans="1:311" ht="16.95" customHeight="1" x14ac:dyDescent="0.4">
      <c r="A82" s="15"/>
      <c r="B82" s="15"/>
      <c r="C82" s="15" t="s">
        <v>13</v>
      </c>
      <c r="D82" s="16">
        <v>0</v>
      </c>
      <c r="E82" s="16">
        <v>0</v>
      </c>
      <c r="F82" s="16">
        <v>0</v>
      </c>
      <c r="G82" s="16">
        <v>0</v>
      </c>
      <c r="H82" s="23">
        <v>0</v>
      </c>
      <c r="I82" s="23"/>
      <c r="J82" s="23">
        <v>0</v>
      </c>
      <c r="K82" s="23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23">
        <v>0</v>
      </c>
      <c r="AC82" s="23"/>
      <c r="AD82" s="23">
        <v>0</v>
      </c>
      <c r="AE82" s="23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5</v>
      </c>
      <c r="AS82" s="16">
        <v>46200</v>
      </c>
      <c r="AT82" s="16">
        <v>231000</v>
      </c>
      <c r="AU82" s="16">
        <v>19635</v>
      </c>
      <c r="AV82" s="23">
        <v>5</v>
      </c>
      <c r="AW82" s="23"/>
      <c r="AX82" s="23">
        <v>231000</v>
      </c>
      <c r="AY82" s="23">
        <v>19635</v>
      </c>
      <c r="AZ82" s="16">
        <v>0</v>
      </c>
      <c r="BA82" s="16">
        <v>0</v>
      </c>
      <c r="BB82" s="16">
        <v>0</v>
      </c>
      <c r="BC82" s="16">
        <v>0</v>
      </c>
      <c r="BD82" s="16">
        <v>3</v>
      </c>
      <c r="BE82" s="16">
        <v>46200</v>
      </c>
      <c r="BF82" s="16">
        <v>138600</v>
      </c>
      <c r="BG82" s="16">
        <v>11781</v>
      </c>
      <c r="BH82" s="16">
        <v>2</v>
      </c>
      <c r="BI82" s="16">
        <v>46200</v>
      </c>
      <c r="BJ82" s="16">
        <v>92400</v>
      </c>
      <c r="BK82" s="16">
        <v>7854</v>
      </c>
      <c r="BL82" s="16">
        <v>5</v>
      </c>
      <c r="BM82" s="16">
        <v>46200</v>
      </c>
      <c r="BN82" s="16">
        <v>231000</v>
      </c>
      <c r="BO82" s="16">
        <v>19635</v>
      </c>
      <c r="BP82" s="16">
        <v>2</v>
      </c>
      <c r="BQ82" s="16">
        <v>46200</v>
      </c>
      <c r="BR82" s="16">
        <v>92400</v>
      </c>
      <c r="BS82" s="16">
        <v>7854</v>
      </c>
      <c r="BT82" s="23">
        <v>12</v>
      </c>
      <c r="BU82" s="23"/>
      <c r="BV82" s="23">
        <v>554400</v>
      </c>
      <c r="BW82" s="23">
        <v>47124</v>
      </c>
      <c r="BX82" s="16">
        <v>4</v>
      </c>
      <c r="BY82" s="16">
        <v>46200</v>
      </c>
      <c r="BZ82" s="16">
        <v>184800</v>
      </c>
      <c r="CA82" s="16">
        <v>15708</v>
      </c>
      <c r="CB82" s="16">
        <v>4</v>
      </c>
      <c r="CC82" s="16">
        <v>46200</v>
      </c>
      <c r="CD82" s="16">
        <v>184800</v>
      </c>
      <c r="CE82" s="16">
        <v>15708</v>
      </c>
      <c r="CF82" s="16">
        <v>6</v>
      </c>
      <c r="CG82" s="16">
        <v>46200</v>
      </c>
      <c r="CH82" s="16">
        <v>277200</v>
      </c>
      <c r="CI82" s="16">
        <v>23562</v>
      </c>
      <c r="CJ82" s="16">
        <v>7</v>
      </c>
      <c r="CK82" s="16">
        <v>46200</v>
      </c>
      <c r="CL82" s="16">
        <v>323400</v>
      </c>
      <c r="CM82" s="16">
        <v>27489</v>
      </c>
      <c r="CN82" s="23">
        <v>21</v>
      </c>
      <c r="CO82" s="23"/>
      <c r="CP82" s="23">
        <v>970200</v>
      </c>
      <c r="CQ82" s="23">
        <v>82467</v>
      </c>
      <c r="CR82" s="16">
        <v>7</v>
      </c>
      <c r="CS82" s="16">
        <v>46200</v>
      </c>
      <c r="CT82" s="16">
        <v>323400</v>
      </c>
      <c r="CU82" s="16">
        <v>27489</v>
      </c>
      <c r="CV82" s="16">
        <v>7</v>
      </c>
      <c r="CW82" s="16">
        <v>46200</v>
      </c>
      <c r="CX82" s="16">
        <v>323400</v>
      </c>
      <c r="CY82" s="16">
        <v>27489</v>
      </c>
      <c r="CZ82" s="16">
        <v>6</v>
      </c>
      <c r="DA82" s="16">
        <v>46200</v>
      </c>
      <c r="DB82" s="16">
        <v>277200</v>
      </c>
      <c r="DC82" s="16">
        <v>23562</v>
      </c>
      <c r="DD82" s="16">
        <v>10</v>
      </c>
      <c r="DE82" s="16">
        <v>46200</v>
      </c>
      <c r="DF82" s="16">
        <v>462000</v>
      </c>
      <c r="DG82" s="16">
        <v>39270</v>
      </c>
      <c r="DH82" s="23">
        <v>30</v>
      </c>
      <c r="DI82" s="23"/>
      <c r="DJ82" s="23">
        <v>1386000</v>
      </c>
      <c r="DK82" s="23">
        <v>117810</v>
      </c>
      <c r="DL82" s="16">
        <v>9</v>
      </c>
      <c r="DM82" s="16">
        <v>46200</v>
      </c>
      <c r="DN82" s="16">
        <v>415800</v>
      </c>
      <c r="DO82" s="16">
        <v>35343</v>
      </c>
      <c r="DP82" s="16">
        <v>19</v>
      </c>
      <c r="DQ82" s="16">
        <v>46200</v>
      </c>
      <c r="DR82" s="16">
        <v>877800</v>
      </c>
      <c r="DS82" s="16">
        <v>74613</v>
      </c>
      <c r="DT82" s="16">
        <v>0</v>
      </c>
      <c r="DU82" s="16">
        <v>0</v>
      </c>
      <c r="DV82" s="16">
        <v>0</v>
      </c>
      <c r="DW82" s="16">
        <v>0</v>
      </c>
      <c r="DX82" s="16">
        <v>15</v>
      </c>
      <c r="DY82" s="16">
        <v>46200</v>
      </c>
      <c r="DZ82" s="16">
        <v>693000</v>
      </c>
      <c r="EA82" s="16">
        <v>58905</v>
      </c>
      <c r="EB82" s="16">
        <v>9</v>
      </c>
      <c r="EC82" s="16">
        <v>46200</v>
      </c>
      <c r="ED82" s="16">
        <v>415800</v>
      </c>
      <c r="EE82" s="16">
        <v>35343</v>
      </c>
      <c r="EF82" s="23">
        <v>52</v>
      </c>
      <c r="EG82" s="23"/>
      <c r="EH82" s="23">
        <v>2402400</v>
      </c>
      <c r="EI82" s="23">
        <v>204204</v>
      </c>
      <c r="EJ82" s="16">
        <v>17</v>
      </c>
      <c r="EK82" s="16">
        <v>46200</v>
      </c>
      <c r="EL82" s="16">
        <v>785400</v>
      </c>
      <c r="EM82" s="16">
        <v>66759</v>
      </c>
      <c r="EN82" s="16">
        <v>3</v>
      </c>
      <c r="EO82" s="16">
        <v>46200</v>
      </c>
      <c r="EP82" s="16">
        <v>138600</v>
      </c>
      <c r="EQ82" s="16">
        <v>11781</v>
      </c>
      <c r="ER82" s="16">
        <v>14</v>
      </c>
      <c r="ES82" s="16">
        <v>46200</v>
      </c>
      <c r="ET82" s="16">
        <v>646800</v>
      </c>
      <c r="EU82" s="16">
        <v>54978</v>
      </c>
      <c r="EV82" s="16">
        <v>18</v>
      </c>
      <c r="EW82" s="16">
        <v>46200</v>
      </c>
      <c r="EX82" s="16">
        <v>831600</v>
      </c>
      <c r="EY82" s="16">
        <v>70686</v>
      </c>
      <c r="EZ82" s="23">
        <v>52</v>
      </c>
      <c r="FA82" s="23"/>
      <c r="FB82" s="23">
        <v>2402400</v>
      </c>
      <c r="FC82" s="23">
        <v>204204</v>
      </c>
      <c r="FD82" s="16">
        <v>8</v>
      </c>
      <c r="FE82" s="16">
        <v>46200</v>
      </c>
      <c r="FF82" s="16">
        <v>369600</v>
      </c>
      <c r="FG82" s="16">
        <v>31416</v>
      </c>
      <c r="FH82" s="16">
        <v>14</v>
      </c>
      <c r="FI82" s="16">
        <v>46200</v>
      </c>
      <c r="FJ82" s="16">
        <v>646800</v>
      </c>
      <c r="FK82" s="16">
        <v>54978</v>
      </c>
      <c r="FL82" s="16">
        <v>12</v>
      </c>
      <c r="FM82" s="16">
        <v>46200</v>
      </c>
      <c r="FN82" s="16">
        <v>554400</v>
      </c>
      <c r="FO82" s="16">
        <v>47124</v>
      </c>
      <c r="FP82" s="16">
        <v>13</v>
      </c>
      <c r="FQ82" s="16">
        <v>46200</v>
      </c>
      <c r="FR82" s="16">
        <v>600600</v>
      </c>
      <c r="FS82" s="16">
        <v>51051</v>
      </c>
      <c r="FT82" s="23">
        <v>47</v>
      </c>
      <c r="FU82" s="23"/>
      <c r="FV82" s="23">
        <v>2171400</v>
      </c>
      <c r="FW82" s="23">
        <v>184569</v>
      </c>
      <c r="FX82" s="16">
        <v>5</v>
      </c>
      <c r="FY82" s="16">
        <v>46200</v>
      </c>
      <c r="FZ82" s="16">
        <v>231000</v>
      </c>
      <c r="GA82" s="16">
        <v>19635</v>
      </c>
      <c r="GB82" s="16">
        <v>4</v>
      </c>
      <c r="GC82" s="16">
        <v>46200</v>
      </c>
      <c r="GD82" s="16">
        <v>184800</v>
      </c>
      <c r="GE82" s="16">
        <v>15708</v>
      </c>
      <c r="GF82" s="16">
        <v>7</v>
      </c>
      <c r="GG82" s="16">
        <v>46200</v>
      </c>
      <c r="GH82" s="16">
        <v>323400</v>
      </c>
      <c r="GI82" s="16">
        <v>27489</v>
      </c>
      <c r="GJ82" s="16">
        <v>6</v>
      </c>
      <c r="GK82" s="16">
        <v>46200</v>
      </c>
      <c r="GL82" s="16">
        <v>277200</v>
      </c>
      <c r="GM82" s="16">
        <v>23562</v>
      </c>
      <c r="GN82" s="16">
        <v>9</v>
      </c>
      <c r="GO82" s="16">
        <v>46200</v>
      </c>
      <c r="GP82" s="16">
        <v>415800</v>
      </c>
      <c r="GQ82" s="16">
        <v>35343</v>
      </c>
      <c r="GR82" s="23">
        <v>31</v>
      </c>
      <c r="GS82" s="23"/>
      <c r="GT82" s="23">
        <v>1432200</v>
      </c>
      <c r="GU82" s="23">
        <v>121737</v>
      </c>
      <c r="GV82" s="16">
        <v>4</v>
      </c>
      <c r="GW82" s="16">
        <v>46200</v>
      </c>
      <c r="GX82" s="16">
        <v>184800</v>
      </c>
      <c r="GY82" s="16">
        <v>15708</v>
      </c>
      <c r="GZ82" s="16">
        <v>4</v>
      </c>
      <c r="HA82" s="16">
        <v>46200</v>
      </c>
      <c r="HB82" s="16">
        <v>184800</v>
      </c>
      <c r="HC82" s="16">
        <v>15708</v>
      </c>
      <c r="HD82" s="16">
        <v>0</v>
      </c>
      <c r="HE82" s="16">
        <v>0</v>
      </c>
      <c r="HF82" s="16">
        <v>0</v>
      </c>
      <c r="HG82" s="16">
        <v>0</v>
      </c>
      <c r="HH82" s="16">
        <v>2</v>
      </c>
      <c r="HI82" s="16">
        <v>46200</v>
      </c>
      <c r="HJ82" s="16">
        <v>92400</v>
      </c>
      <c r="HK82" s="16">
        <v>7854</v>
      </c>
      <c r="HL82" s="23">
        <v>10</v>
      </c>
      <c r="HM82" s="23"/>
      <c r="HN82" s="23">
        <v>462000</v>
      </c>
      <c r="HO82" s="23">
        <v>39270</v>
      </c>
      <c r="HP82" s="16">
        <v>0</v>
      </c>
      <c r="HQ82" s="16">
        <v>0</v>
      </c>
      <c r="HR82" s="16">
        <v>0</v>
      </c>
      <c r="HS82" s="16">
        <v>0</v>
      </c>
      <c r="HT82" s="16">
        <v>0</v>
      </c>
      <c r="HU82" s="16">
        <v>0</v>
      </c>
      <c r="HV82" s="16">
        <v>0</v>
      </c>
      <c r="HW82" s="16">
        <v>0</v>
      </c>
      <c r="HX82" s="16">
        <v>0</v>
      </c>
      <c r="HY82" s="16">
        <v>0</v>
      </c>
      <c r="HZ82" s="16">
        <v>0</v>
      </c>
      <c r="IA82" s="16">
        <v>0</v>
      </c>
      <c r="IB82" s="16">
        <v>0</v>
      </c>
      <c r="IC82" s="16">
        <v>0</v>
      </c>
      <c r="ID82" s="16">
        <v>0</v>
      </c>
      <c r="IE82" s="16">
        <v>0</v>
      </c>
      <c r="IF82" s="23">
        <v>0</v>
      </c>
      <c r="IG82" s="23"/>
      <c r="IH82" s="23">
        <v>0</v>
      </c>
      <c r="II82" s="23">
        <v>0</v>
      </c>
      <c r="IJ82" s="16">
        <v>0</v>
      </c>
      <c r="IK82" s="16">
        <v>0</v>
      </c>
      <c r="IL82" s="16">
        <v>0</v>
      </c>
      <c r="IM82" s="16">
        <v>0</v>
      </c>
      <c r="IN82" s="16">
        <v>0</v>
      </c>
      <c r="IO82" s="16">
        <v>0</v>
      </c>
      <c r="IP82" s="16">
        <v>0</v>
      </c>
      <c r="IQ82" s="16">
        <v>0</v>
      </c>
      <c r="IR82" s="16">
        <v>0</v>
      </c>
      <c r="IS82" s="16">
        <v>0</v>
      </c>
      <c r="IT82" s="16">
        <v>0</v>
      </c>
      <c r="IU82" s="16">
        <v>0</v>
      </c>
      <c r="IV82" s="16">
        <v>0</v>
      </c>
      <c r="IW82" s="16">
        <v>0</v>
      </c>
      <c r="IX82" s="16">
        <v>0</v>
      </c>
      <c r="IY82" s="16">
        <v>0</v>
      </c>
      <c r="IZ82" s="16">
        <v>0</v>
      </c>
      <c r="JA82" s="16">
        <v>0</v>
      </c>
      <c r="JB82" s="16">
        <v>0</v>
      </c>
      <c r="JC82" s="16">
        <v>0</v>
      </c>
      <c r="JD82" s="23">
        <v>0</v>
      </c>
      <c r="JE82" s="23"/>
      <c r="JF82" s="23">
        <v>0</v>
      </c>
      <c r="JG82" s="23">
        <v>0</v>
      </c>
      <c r="JH82" s="16">
        <v>0</v>
      </c>
      <c r="JI82" s="16">
        <v>0</v>
      </c>
      <c r="JJ82" s="16">
        <v>0</v>
      </c>
      <c r="JK82" s="16">
        <v>0</v>
      </c>
      <c r="JL82" s="16">
        <v>0</v>
      </c>
      <c r="JM82" s="16">
        <v>0</v>
      </c>
      <c r="JN82" s="16">
        <v>0</v>
      </c>
      <c r="JO82" s="16">
        <v>0</v>
      </c>
      <c r="JP82" s="16">
        <v>0</v>
      </c>
      <c r="JQ82" s="16">
        <v>0</v>
      </c>
      <c r="JR82" s="16">
        <v>0</v>
      </c>
      <c r="JS82" s="16">
        <v>0</v>
      </c>
      <c r="JT82" s="16">
        <v>0</v>
      </c>
      <c r="JU82" s="16">
        <v>0</v>
      </c>
      <c r="JV82" s="16">
        <v>0</v>
      </c>
      <c r="JW82" s="16">
        <v>0</v>
      </c>
      <c r="JX82" s="23">
        <v>0</v>
      </c>
      <c r="JY82" s="23"/>
      <c r="JZ82" s="23">
        <v>0</v>
      </c>
      <c r="KA82" s="23">
        <v>0</v>
      </c>
      <c r="KB82" s="16">
        <v>0</v>
      </c>
      <c r="KC82" s="16">
        <v>0</v>
      </c>
      <c r="KD82" s="16">
        <v>0</v>
      </c>
      <c r="KE82" s="16">
        <v>0</v>
      </c>
      <c r="KF82" s="16">
        <v>0</v>
      </c>
      <c r="KG82" s="16">
        <v>0</v>
      </c>
      <c r="KH82" s="16">
        <v>0</v>
      </c>
      <c r="KI82" s="16">
        <v>0</v>
      </c>
      <c r="KJ82" s="16">
        <v>0</v>
      </c>
      <c r="KK82" s="16">
        <v>0</v>
      </c>
      <c r="KL82" s="16">
        <v>0</v>
      </c>
      <c r="KM82" s="16">
        <v>0</v>
      </c>
      <c r="KN82" s="16">
        <v>5</v>
      </c>
      <c r="KO82" s="16">
        <v>46200</v>
      </c>
      <c r="KP82" s="16">
        <v>231000</v>
      </c>
      <c r="KQ82" s="16">
        <v>19635</v>
      </c>
      <c r="KR82" s="23">
        <v>5</v>
      </c>
      <c r="KS82" s="23"/>
      <c r="KT82" s="23">
        <v>231000</v>
      </c>
      <c r="KU82" s="23">
        <v>19635</v>
      </c>
      <c r="KV82" s="23">
        <v>265</v>
      </c>
      <c r="KW82" s="23"/>
      <c r="KX82" s="23">
        <v>12243000</v>
      </c>
      <c r="KY82" s="23">
        <v>1040655</v>
      </c>
    </row>
    <row r="83" spans="1:311" ht="16.95" customHeight="1" x14ac:dyDescent="0.4">
      <c r="A83" s="11"/>
      <c r="B83" s="11"/>
      <c r="C83" s="11" t="s">
        <v>35</v>
      </c>
      <c r="D83" s="9">
        <v>0</v>
      </c>
      <c r="E83" s="9">
        <v>0</v>
      </c>
      <c r="F83" s="9">
        <v>0</v>
      </c>
      <c r="G83" s="9">
        <v>0</v>
      </c>
      <c r="H83" s="22">
        <v>0</v>
      </c>
      <c r="I83" s="22"/>
      <c r="J83" s="22">
        <v>0</v>
      </c>
      <c r="K83" s="22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22">
        <v>0</v>
      </c>
      <c r="AC83" s="22"/>
      <c r="AD83" s="22">
        <v>0</v>
      </c>
      <c r="AE83" s="22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1</v>
      </c>
      <c r="AS83" s="9">
        <v>127842</v>
      </c>
      <c r="AT83" s="9">
        <v>127842</v>
      </c>
      <c r="AU83" s="9">
        <v>10866.6</v>
      </c>
      <c r="AV83" s="22">
        <v>1</v>
      </c>
      <c r="AW83" s="22"/>
      <c r="AX83" s="22">
        <v>127842</v>
      </c>
      <c r="AY83" s="22">
        <v>10866.6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9">
        <v>0</v>
      </c>
      <c r="BQ83" s="9">
        <v>0</v>
      </c>
      <c r="BR83" s="9">
        <v>0</v>
      </c>
      <c r="BS83" s="9">
        <v>0</v>
      </c>
      <c r="BT83" s="22">
        <v>0</v>
      </c>
      <c r="BU83" s="22"/>
      <c r="BV83" s="22">
        <v>0</v>
      </c>
      <c r="BW83" s="22">
        <v>0</v>
      </c>
      <c r="BX83" s="9">
        <v>0</v>
      </c>
      <c r="BY83" s="9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1</v>
      </c>
      <c r="CG83" s="9">
        <v>127842</v>
      </c>
      <c r="CH83" s="9">
        <v>127842</v>
      </c>
      <c r="CI83" s="9">
        <v>10866.6</v>
      </c>
      <c r="CJ83" s="9">
        <v>0</v>
      </c>
      <c r="CK83" s="9">
        <v>0</v>
      </c>
      <c r="CL83" s="9">
        <v>0</v>
      </c>
      <c r="CM83" s="9">
        <v>0</v>
      </c>
      <c r="CN83" s="22">
        <v>1</v>
      </c>
      <c r="CO83" s="22"/>
      <c r="CP83" s="22">
        <v>127842</v>
      </c>
      <c r="CQ83" s="22">
        <v>10866.6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9">
        <v>0</v>
      </c>
      <c r="DE83" s="9">
        <v>0</v>
      </c>
      <c r="DF83" s="9">
        <v>0</v>
      </c>
      <c r="DG83" s="9">
        <v>0</v>
      </c>
      <c r="DH83" s="22">
        <v>0</v>
      </c>
      <c r="DI83" s="22"/>
      <c r="DJ83" s="22">
        <v>0</v>
      </c>
      <c r="DK83" s="22">
        <v>0</v>
      </c>
      <c r="DL83" s="9">
        <v>0</v>
      </c>
      <c r="DM83" s="9">
        <v>0</v>
      </c>
      <c r="DN83" s="9">
        <v>0</v>
      </c>
      <c r="DO83" s="9">
        <v>0</v>
      </c>
      <c r="DP83" s="9">
        <v>1</v>
      </c>
      <c r="DQ83" s="9">
        <v>127842</v>
      </c>
      <c r="DR83" s="9">
        <v>127842</v>
      </c>
      <c r="DS83" s="9">
        <v>10866.6</v>
      </c>
      <c r="DT83" s="9">
        <v>0</v>
      </c>
      <c r="DU83" s="9">
        <v>0</v>
      </c>
      <c r="DV83" s="9">
        <v>0</v>
      </c>
      <c r="DW83" s="9">
        <v>0</v>
      </c>
      <c r="DX83" s="9">
        <v>0</v>
      </c>
      <c r="DY83" s="9">
        <v>0</v>
      </c>
      <c r="DZ83" s="9">
        <v>0</v>
      </c>
      <c r="EA83" s="9">
        <v>0</v>
      </c>
      <c r="EB83" s="9">
        <v>1</v>
      </c>
      <c r="EC83" s="9">
        <v>127842</v>
      </c>
      <c r="ED83" s="9">
        <v>127842</v>
      </c>
      <c r="EE83" s="9">
        <v>10866.6</v>
      </c>
      <c r="EF83" s="22">
        <v>2</v>
      </c>
      <c r="EG83" s="22"/>
      <c r="EH83" s="22">
        <v>255684</v>
      </c>
      <c r="EI83" s="22">
        <v>21733.1</v>
      </c>
      <c r="EJ83" s="9">
        <v>0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1</v>
      </c>
      <c r="ES83" s="9">
        <v>127842</v>
      </c>
      <c r="ET83" s="9">
        <v>127842</v>
      </c>
      <c r="EU83" s="9">
        <v>10866.6</v>
      </c>
      <c r="EV83" s="9">
        <v>0</v>
      </c>
      <c r="EW83" s="9">
        <v>0</v>
      </c>
      <c r="EX83" s="9">
        <v>0</v>
      </c>
      <c r="EY83" s="9">
        <v>0</v>
      </c>
      <c r="EZ83" s="22">
        <v>1</v>
      </c>
      <c r="FA83" s="22"/>
      <c r="FB83" s="22">
        <v>127842</v>
      </c>
      <c r="FC83" s="22">
        <v>10866.6</v>
      </c>
      <c r="FD83" s="9">
        <v>0</v>
      </c>
      <c r="FE83" s="9">
        <v>0</v>
      </c>
      <c r="FF83" s="9">
        <v>0</v>
      </c>
      <c r="FG83" s="9">
        <v>0</v>
      </c>
      <c r="FH83" s="9">
        <v>1</v>
      </c>
      <c r="FI83" s="9">
        <v>127842</v>
      </c>
      <c r="FJ83" s="9">
        <v>127842</v>
      </c>
      <c r="FK83" s="9">
        <v>10866.6</v>
      </c>
      <c r="FL83" s="9">
        <v>0</v>
      </c>
      <c r="FM83" s="9">
        <v>0</v>
      </c>
      <c r="FN83" s="9">
        <v>0</v>
      </c>
      <c r="FO83" s="9">
        <v>0</v>
      </c>
      <c r="FP83" s="9">
        <v>0</v>
      </c>
      <c r="FQ83" s="9">
        <v>0</v>
      </c>
      <c r="FR83" s="9">
        <v>0</v>
      </c>
      <c r="FS83" s="9">
        <v>0</v>
      </c>
      <c r="FT83" s="22">
        <v>1</v>
      </c>
      <c r="FU83" s="22"/>
      <c r="FV83" s="22">
        <v>127842</v>
      </c>
      <c r="FW83" s="22">
        <v>10866.6</v>
      </c>
      <c r="FX83" s="9">
        <v>1</v>
      </c>
      <c r="FY83" s="9">
        <v>127842</v>
      </c>
      <c r="FZ83" s="9">
        <v>127842</v>
      </c>
      <c r="GA83" s="9">
        <v>10866.6</v>
      </c>
      <c r="GB83" s="9">
        <v>0</v>
      </c>
      <c r="GC83" s="9">
        <v>0</v>
      </c>
      <c r="GD83" s="9">
        <v>0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  <c r="GJ83" s="9">
        <v>0</v>
      </c>
      <c r="GK83" s="9">
        <v>0</v>
      </c>
      <c r="GL83" s="9">
        <v>0</v>
      </c>
      <c r="GM83" s="9">
        <v>0</v>
      </c>
      <c r="GN83" s="9">
        <v>0</v>
      </c>
      <c r="GO83" s="9">
        <v>0</v>
      </c>
      <c r="GP83" s="9">
        <v>0</v>
      </c>
      <c r="GQ83" s="9">
        <v>0</v>
      </c>
      <c r="GR83" s="22">
        <v>1</v>
      </c>
      <c r="GS83" s="22"/>
      <c r="GT83" s="22">
        <v>127842</v>
      </c>
      <c r="GU83" s="22">
        <v>10866.6</v>
      </c>
      <c r="GV83" s="9">
        <v>0</v>
      </c>
      <c r="GW83" s="9">
        <v>0</v>
      </c>
      <c r="GX83" s="9">
        <v>0</v>
      </c>
      <c r="GY83" s="9">
        <v>0</v>
      </c>
      <c r="GZ83" s="9">
        <v>0</v>
      </c>
      <c r="HA83" s="9">
        <v>0</v>
      </c>
      <c r="HB83" s="9">
        <v>0</v>
      </c>
      <c r="HC83" s="9">
        <v>0</v>
      </c>
      <c r="HD83" s="9">
        <v>0</v>
      </c>
      <c r="HE83" s="9">
        <v>0</v>
      </c>
      <c r="HF83" s="9">
        <v>0</v>
      </c>
      <c r="HG83" s="9">
        <v>0</v>
      </c>
      <c r="HH83" s="9">
        <v>0</v>
      </c>
      <c r="HI83" s="9">
        <v>0</v>
      </c>
      <c r="HJ83" s="9">
        <v>0</v>
      </c>
      <c r="HK83" s="9">
        <v>0</v>
      </c>
      <c r="HL83" s="22">
        <v>0</v>
      </c>
      <c r="HM83" s="22"/>
      <c r="HN83" s="22">
        <v>0</v>
      </c>
      <c r="HO83" s="22">
        <v>0</v>
      </c>
      <c r="HP83" s="9">
        <v>0</v>
      </c>
      <c r="HQ83" s="9">
        <v>0</v>
      </c>
      <c r="HR83" s="9">
        <v>0</v>
      </c>
      <c r="HS83" s="9">
        <v>0</v>
      </c>
      <c r="HT83" s="9">
        <v>0</v>
      </c>
      <c r="HU83" s="9">
        <v>0</v>
      </c>
      <c r="HV83" s="9">
        <v>0</v>
      </c>
      <c r="HW83" s="9">
        <v>0</v>
      </c>
      <c r="HX83" s="9">
        <v>0</v>
      </c>
      <c r="HY83" s="9">
        <v>0</v>
      </c>
      <c r="HZ83" s="9">
        <v>0</v>
      </c>
      <c r="IA83" s="9">
        <v>0</v>
      </c>
      <c r="IB83" s="9">
        <v>0</v>
      </c>
      <c r="IC83" s="9">
        <v>0</v>
      </c>
      <c r="ID83" s="9">
        <v>0</v>
      </c>
      <c r="IE83" s="9">
        <v>0</v>
      </c>
      <c r="IF83" s="22">
        <v>0</v>
      </c>
      <c r="IG83" s="22"/>
      <c r="IH83" s="22">
        <v>0</v>
      </c>
      <c r="II83" s="22">
        <v>0</v>
      </c>
      <c r="IJ83" s="9">
        <v>0</v>
      </c>
      <c r="IK83" s="9">
        <v>0</v>
      </c>
      <c r="IL83" s="9">
        <v>0</v>
      </c>
      <c r="IM83" s="9">
        <v>0</v>
      </c>
      <c r="IN83" s="9">
        <v>0</v>
      </c>
      <c r="IO83" s="9">
        <v>0</v>
      </c>
      <c r="IP83" s="9">
        <v>0</v>
      </c>
      <c r="IQ83" s="9">
        <v>0</v>
      </c>
      <c r="IR83" s="9">
        <v>0</v>
      </c>
      <c r="IS83" s="9">
        <v>0</v>
      </c>
      <c r="IT83" s="9">
        <v>0</v>
      </c>
      <c r="IU83" s="9">
        <v>0</v>
      </c>
      <c r="IV83" s="9">
        <v>0</v>
      </c>
      <c r="IW83" s="9">
        <v>0</v>
      </c>
      <c r="IX83" s="9">
        <v>0</v>
      </c>
      <c r="IY83" s="9">
        <v>0</v>
      </c>
      <c r="IZ83" s="9">
        <v>0</v>
      </c>
      <c r="JA83" s="9">
        <v>0</v>
      </c>
      <c r="JB83" s="9">
        <v>0</v>
      </c>
      <c r="JC83" s="9">
        <v>0</v>
      </c>
      <c r="JD83" s="22">
        <v>0</v>
      </c>
      <c r="JE83" s="22"/>
      <c r="JF83" s="22">
        <v>0</v>
      </c>
      <c r="JG83" s="22">
        <v>0</v>
      </c>
      <c r="JH83" s="9">
        <v>0</v>
      </c>
      <c r="JI83" s="9">
        <v>0</v>
      </c>
      <c r="JJ83" s="9">
        <v>0</v>
      </c>
      <c r="JK83" s="9">
        <v>0</v>
      </c>
      <c r="JL83" s="9">
        <v>0</v>
      </c>
      <c r="JM83" s="9">
        <v>0</v>
      </c>
      <c r="JN83" s="9">
        <v>0</v>
      </c>
      <c r="JO83" s="9">
        <v>0</v>
      </c>
      <c r="JP83" s="9">
        <v>0</v>
      </c>
      <c r="JQ83" s="9">
        <v>0</v>
      </c>
      <c r="JR83" s="9">
        <v>0</v>
      </c>
      <c r="JS83" s="9">
        <v>0</v>
      </c>
      <c r="JT83" s="9">
        <v>0</v>
      </c>
      <c r="JU83" s="9">
        <v>0</v>
      </c>
      <c r="JV83" s="9">
        <v>0</v>
      </c>
      <c r="JW83" s="9">
        <v>0</v>
      </c>
      <c r="JX83" s="22">
        <v>0</v>
      </c>
      <c r="JY83" s="22"/>
      <c r="JZ83" s="22">
        <v>0</v>
      </c>
      <c r="KA83" s="22">
        <v>0</v>
      </c>
      <c r="KB83" s="9">
        <v>0</v>
      </c>
      <c r="KC83" s="9">
        <v>0</v>
      </c>
      <c r="KD83" s="9">
        <v>0</v>
      </c>
      <c r="KE83" s="9">
        <v>0</v>
      </c>
      <c r="KF83" s="9">
        <v>0</v>
      </c>
      <c r="KG83" s="9">
        <v>0</v>
      </c>
      <c r="KH83" s="9">
        <v>0</v>
      </c>
      <c r="KI83" s="9">
        <v>0</v>
      </c>
      <c r="KJ83" s="9">
        <v>0</v>
      </c>
      <c r="KK83" s="9">
        <v>0</v>
      </c>
      <c r="KL83" s="9">
        <v>0</v>
      </c>
      <c r="KM83" s="9">
        <v>0</v>
      </c>
      <c r="KN83" s="9">
        <v>1</v>
      </c>
      <c r="KO83" s="9">
        <v>127842</v>
      </c>
      <c r="KP83" s="9">
        <v>127842</v>
      </c>
      <c r="KQ83" s="9">
        <v>10866.6</v>
      </c>
      <c r="KR83" s="22">
        <v>1</v>
      </c>
      <c r="KS83" s="22"/>
      <c r="KT83" s="22">
        <v>127842</v>
      </c>
      <c r="KU83" s="22">
        <v>10866.6</v>
      </c>
      <c r="KV83" s="22">
        <v>8</v>
      </c>
      <c r="KW83" s="22"/>
      <c r="KX83" s="22">
        <v>1022736</v>
      </c>
      <c r="KY83" s="22">
        <v>86932.6</v>
      </c>
    </row>
    <row r="84" spans="1:311" ht="16.95" customHeight="1" x14ac:dyDescent="0.4">
      <c r="A84" s="15"/>
      <c r="B84" s="15"/>
      <c r="C84" s="15" t="s">
        <v>23</v>
      </c>
      <c r="D84" s="16">
        <v>0</v>
      </c>
      <c r="E84" s="16">
        <v>0</v>
      </c>
      <c r="F84" s="16">
        <v>0</v>
      </c>
      <c r="G84" s="16">
        <v>0</v>
      </c>
      <c r="H84" s="23">
        <v>0</v>
      </c>
      <c r="I84" s="23"/>
      <c r="J84" s="23">
        <v>0</v>
      </c>
      <c r="K84" s="23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23">
        <v>0</v>
      </c>
      <c r="AC84" s="23"/>
      <c r="AD84" s="23">
        <v>0</v>
      </c>
      <c r="AE84" s="23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2</v>
      </c>
      <c r="AS84" s="16">
        <v>59400</v>
      </c>
      <c r="AT84" s="16">
        <v>118800</v>
      </c>
      <c r="AU84" s="16">
        <v>10098</v>
      </c>
      <c r="AV84" s="23">
        <v>2</v>
      </c>
      <c r="AW84" s="23"/>
      <c r="AX84" s="23">
        <v>118800</v>
      </c>
      <c r="AY84" s="23">
        <v>10098</v>
      </c>
      <c r="AZ84" s="16">
        <v>0</v>
      </c>
      <c r="BA84" s="16">
        <v>0</v>
      </c>
      <c r="BB84" s="16">
        <v>0</v>
      </c>
      <c r="BC84" s="16">
        <v>0</v>
      </c>
      <c r="BD84" s="16">
        <v>1</v>
      </c>
      <c r="BE84" s="16">
        <v>59400</v>
      </c>
      <c r="BF84" s="16">
        <v>59400</v>
      </c>
      <c r="BG84" s="16">
        <v>5049</v>
      </c>
      <c r="BH84" s="16">
        <v>2</v>
      </c>
      <c r="BI84" s="16">
        <v>59400</v>
      </c>
      <c r="BJ84" s="16">
        <v>118800</v>
      </c>
      <c r="BK84" s="16">
        <v>10098</v>
      </c>
      <c r="BL84" s="16">
        <v>3</v>
      </c>
      <c r="BM84" s="16">
        <v>59400</v>
      </c>
      <c r="BN84" s="16">
        <v>178200</v>
      </c>
      <c r="BO84" s="16">
        <v>15147</v>
      </c>
      <c r="BP84" s="16">
        <v>0</v>
      </c>
      <c r="BQ84" s="16">
        <v>0</v>
      </c>
      <c r="BR84" s="16">
        <v>0</v>
      </c>
      <c r="BS84" s="16">
        <v>0</v>
      </c>
      <c r="BT84" s="23">
        <v>6</v>
      </c>
      <c r="BU84" s="23"/>
      <c r="BV84" s="23">
        <v>356400</v>
      </c>
      <c r="BW84" s="23">
        <v>30294</v>
      </c>
      <c r="BX84" s="16">
        <v>3</v>
      </c>
      <c r="BY84" s="16">
        <v>59400</v>
      </c>
      <c r="BZ84" s="16">
        <v>178200</v>
      </c>
      <c r="CA84" s="16">
        <v>15147</v>
      </c>
      <c r="CB84" s="16">
        <v>1</v>
      </c>
      <c r="CC84" s="16">
        <v>59400</v>
      </c>
      <c r="CD84" s="16">
        <v>59400</v>
      </c>
      <c r="CE84" s="16">
        <v>5049</v>
      </c>
      <c r="CF84" s="16">
        <v>2</v>
      </c>
      <c r="CG84" s="16">
        <v>59400</v>
      </c>
      <c r="CH84" s="16">
        <v>118800</v>
      </c>
      <c r="CI84" s="16">
        <v>10098</v>
      </c>
      <c r="CJ84" s="16">
        <v>3</v>
      </c>
      <c r="CK84" s="16">
        <v>59400</v>
      </c>
      <c r="CL84" s="16">
        <v>178200</v>
      </c>
      <c r="CM84" s="16">
        <v>15147</v>
      </c>
      <c r="CN84" s="23">
        <v>9</v>
      </c>
      <c r="CO84" s="23"/>
      <c r="CP84" s="23">
        <v>534600</v>
      </c>
      <c r="CQ84" s="23">
        <v>45441</v>
      </c>
      <c r="CR84" s="16">
        <v>3</v>
      </c>
      <c r="CS84" s="16">
        <v>59400</v>
      </c>
      <c r="CT84" s="16">
        <v>178200</v>
      </c>
      <c r="CU84" s="16">
        <v>15147</v>
      </c>
      <c r="CV84" s="16">
        <v>2</v>
      </c>
      <c r="CW84" s="16">
        <v>59400</v>
      </c>
      <c r="CX84" s="16">
        <v>118800</v>
      </c>
      <c r="CY84" s="16">
        <v>10098</v>
      </c>
      <c r="CZ84" s="16">
        <v>4</v>
      </c>
      <c r="DA84" s="16">
        <v>59400</v>
      </c>
      <c r="DB84" s="16">
        <v>237600</v>
      </c>
      <c r="DC84" s="16">
        <v>20196</v>
      </c>
      <c r="DD84" s="16">
        <v>3</v>
      </c>
      <c r="DE84" s="16">
        <v>59400</v>
      </c>
      <c r="DF84" s="16">
        <v>178200</v>
      </c>
      <c r="DG84" s="16">
        <v>15147</v>
      </c>
      <c r="DH84" s="23">
        <v>12</v>
      </c>
      <c r="DI84" s="23"/>
      <c r="DJ84" s="23">
        <v>712800</v>
      </c>
      <c r="DK84" s="23">
        <v>60588</v>
      </c>
      <c r="DL84" s="16">
        <v>6</v>
      </c>
      <c r="DM84" s="16">
        <v>59400</v>
      </c>
      <c r="DN84" s="16">
        <v>356400</v>
      </c>
      <c r="DO84" s="16">
        <v>30294</v>
      </c>
      <c r="DP84" s="16">
        <v>8</v>
      </c>
      <c r="DQ84" s="16">
        <v>59400</v>
      </c>
      <c r="DR84" s="16">
        <v>475200</v>
      </c>
      <c r="DS84" s="16">
        <v>40392</v>
      </c>
      <c r="DT84" s="16">
        <v>1</v>
      </c>
      <c r="DU84" s="16">
        <v>59400</v>
      </c>
      <c r="DV84" s="16">
        <v>59400</v>
      </c>
      <c r="DW84" s="16">
        <v>5049</v>
      </c>
      <c r="DX84" s="16">
        <v>6</v>
      </c>
      <c r="DY84" s="16">
        <v>59400</v>
      </c>
      <c r="DZ84" s="16">
        <v>356400</v>
      </c>
      <c r="EA84" s="16">
        <v>30294</v>
      </c>
      <c r="EB84" s="16">
        <v>6</v>
      </c>
      <c r="EC84" s="16">
        <v>61050</v>
      </c>
      <c r="ED84" s="16">
        <v>364650</v>
      </c>
      <c r="EE84" s="16">
        <v>30995.3</v>
      </c>
      <c r="EF84" s="23">
        <v>27</v>
      </c>
      <c r="EG84" s="23"/>
      <c r="EH84" s="23">
        <v>1612050</v>
      </c>
      <c r="EI84" s="23">
        <v>137024.29999999999</v>
      </c>
      <c r="EJ84" s="16">
        <v>6</v>
      </c>
      <c r="EK84" s="16">
        <v>61050</v>
      </c>
      <c r="EL84" s="16">
        <v>366300</v>
      </c>
      <c r="EM84" s="16">
        <v>31135.5</v>
      </c>
      <c r="EN84" s="16">
        <v>5</v>
      </c>
      <c r="EO84" s="16">
        <v>61050</v>
      </c>
      <c r="EP84" s="16">
        <v>305250</v>
      </c>
      <c r="EQ84" s="16">
        <v>25946.3</v>
      </c>
      <c r="ER84" s="16">
        <v>5</v>
      </c>
      <c r="ES84" s="16">
        <v>61050</v>
      </c>
      <c r="ET84" s="16">
        <v>305250</v>
      </c>
      <c r="EU84" s="16">
        <v>25946.3</v>
      </c>
      <c r="EV84" s="16">
        <v>6</v>
      </c>
      <c r="EW84" s="16">
        <v>61050</v>
      </c>
      <c r="EX84" s="16">
        <v>366300</v>
      </c>
      <c r="EY84" s="16">
        <v>31135.5</v>
      </c>
      <c r="EZ84" s="23">
        <v>22</v>
      </c>
      <c r="FA84" s="23"/>
      <c r="FB84" s="23">
        <v>1343100</v>
      </c>
      <c r="FC84" s="23">
        <v>114163.5</v>
      </c>
      <c r="FD84" s="16">
        <v>8</v>
      </c>
      <c r="FE84" s="16">
        <v>61050</v>
      </c>
      <c r="FF84" s="16">
        <v>488400</v>
      </c>
      <c r="FG84" s="16">
        <v>41514</v>
      </c>
      <c r="FH84" s="16">
        <v>3</v>
      </c>
      <c r="FI84" s="16">
        <v>61050</v>
      </c>
      <c r="FJ84" s="16">
        <v>183150</v>
      </c>
      <c r="FK84" s="16">
        <v>15567.8</v>
      </c>
      <c r="FL84" s="16">
        <v>3</v>
      </c>
      <c r="FM84" s="16">
        <v>61050</v>
      </c>
      <c r="FN84" s="16">
        <v>183150</v>
      </c>
      <c r="FO84" s="16">
        <v>15567.8</v>
      </c>
      <c r="FP84" s="16">
        <v>7</v>
      </c>
      <c r="FQ84" s="16">
        <v>61050</v>
      </c>
      <c r="FR84" s="16">
        <v>427350</v>
      </c>
      <c r="FS84" s="16">
        <v>36324.800000000003</v>
      </c>
      <c r="FT84" s="23">
        <v>21</v>
      </c>
      <c r="FU84" s="23"/>
      <c r="FV84" s="23">
        <v>1282050</v>
      </c>
      <c r="FW84" s="23">
        <v>108974.3</v>
      </c>
      <c r="FX84" s="16">
        <v>3</v>
      </c>
      <c r="FY84" s="16">
        <v>61050</v>
      </c>
      <c r="FZ84" s="16">
        <v>183150</v>
      </c>
      <c r="GA84" s="16">
        <v>15567.8</v>
      </c>
      <c r="GB84" s="16">
        <v>2</v>
      </c>
      <c r="GC84" s="16">
        <v>61050</v>
      </c>
      <c r="GD84" s="16">
        <v>122100</v>
      </c>
      <c r="GE84" s="16">
        <v>10378.5</v>
      </c>
      <c r="GF84" s="16">
        <v>2</v>
      </c>
      <c r="GG84" s="16">
        <v>61050</v>
      </c>
      <c r="GH84" s="16">
        <v>122100</v>
      </c>
      <c r="GI84" s="16">
        <v>10378.5</v>
      </c>
      <c r="GJ84" s="16">
        <v>3</v>
      </c>
      <c r="GK84" s="16">
        <v>61050</v>
      </c>
      <c r="GL84" s="16">
        <v>183150</v>
      </c>
      <c r="GM84" s="16">
        <v>15567.8</v>
      </c>
      <c r="GN84" s="16">
        <v>4</v>
      </c>
      <c r="GO84" s="16">
        <v>61050</v>
      </c>
      <c r="GP84" s="16">
        <v>244200</v>
      </c>
      <c r="GQ84" s="16">
        <v>20757</v>
      </c>
      <c r="GR84" s="23">
        <v>14</v>
      </c>
      <c r="GS84" s="23"/>
      <c r="GT84" s="23">
        <v>854700</v>
      </c>
      <c r="GU84" s="23">
        <v>72649.5</v>
      </c>
      <c r="GV84" s="16">
        <v>3</v>
      </c>
      <c r="GW84" s="16">
        <v>61050</v>
      </c>
      <c r="GX84" s="16">
        <v>183150</v>
      </c>
      <c r="GY84" s="16">
        <v>15567.8</v>
      </c>
      <c r="GZ84" s="16">
        <v>1</v>
      </c>
      <c r="HA84" s="16">
        <v>61050</v>
      </c>
      <c r="HB84" s="16">
        <v>61050</v>
      </c>
      <c r="HC84" s="16">
        <v>5189.3</v>
      </c>
      <c r="HD84" s="16">
        <v>0</v>
      </c>
      <c r="HE84" s="16">
        <v>0</v>
      </c>
      <c r="HF84" s="16">
        <v>0</v>
      </c>
      <c r="HG84" s="16">
        <v>0</v>
      </c>
      <c r="HH84" s="16">
        <v>1</v>
      </c>
      <c r="HI84" s="16">
        <v>61050</v>
      </c>
      <c r="HJ84" s="16">
        <v>61050</v>
      </c>
      <c r="HK84" s="16">
        <v>5189.3</v>
      </c>
      <c r="HL84" s="23">
        <v>5</v>
      </c>
      <c r="HM84" s="23"/>
      <c r="HN84" s="23">
        <v>305250</v>
      </c>
      <c r="HO84" s="23">
        <v>25946.3</v>
      </c>
      <c r="HP84" s="16">
        <v>0</v>
      </c>
      <c r="HQ84" s="16">
        <v>0</v>
      </c>
      <c r="HR84" s="16">
        <v>0</v>
      </c>
      <c r="HS84" s="16">
        <v>0</v>
      </c>
      <c r="HT84" s="16">
        <v>0</v>
      </c>
      <c r="HU84" s="16">
        <v>0</v>
      </c>
      <c r="HV84" s="16">
        <v>0</v>
      </c>
      <c r="HW84" s="16">
        <v>0</v>
      </c>
      <c r="HX84" s="16">
        <v>0</v>
      </c>
      <c r="HY84" s="16">
        <v>0</v>
      </c>
      <c r="HZ84" s="16">
        <v>0</v>
      </c>
      <c r="IA84" s="16">
        <v>0</v>
      </c>
      <c r="IB84" s="16">
        <v>0</v>
      </c>
      <c r="IC84" s="16">
        <v>0</v>
      </c>
      <c r="ID84" s="16">
        <v>0</v>
      </c>
      <c r="IE84" s="16">
        <v>0</v>
      </c>
      <c r="IF84" s="23">
        <v>0</v>
      </c>
      <c r="IG84" s="23"/>
      <c r="IH84" s="23">
        <v>0</v>
      </c>
      <c r="II84" s="23">
        <v>0</v>
      </c>
      <c r="IJ84" s="16">
        <v>0</v>
      </c>
      <c r="IK84" s="16">
        <v>0</v>
      </c>
      <c r="IL84" s="16">
        <v>0</v>
      </c>
      <c r="IM84" s="16">
        <v>0</v>
      </c>
      <c r="IN84" s="16">
        <v>0</v>
      </c>
      <c r="IO84" s="16">
        <v>0</v>
      </c>
      <c r="IP84" s="16">
        <v>0</v>
      </c>
      <c r="IQ84" s="16">
        <v>0</v>
      </c>
      <c r="IR84" s="16">
        <v>0</v>
      </c>
      <c r="IS84" s="16">
        <v>0</v>
      </c>
      <c r="IT84" s="16">
        <v>0</v>
      </c>
      <c r="IU84" s="16">
        <v>0</v>
      </c>
      <c r="IV84" s="16">
        <v>0</v>
      </c>
      <c r="IW84" s="16">
        <v>0</v>
      </c>
      <c r="IX84" s="16">
        <v>0</v>
      </c>
      <c r="IY84" s="16">
        <v>0</v>
      </c>
      <c r="IZ84" s="16">
        <v>0</v>
      </c>
      <c r="JA84" s="16">
        <v>0</v>
      </c>
      <c r="JB84" s="16">
        <v>0</v>
      </c>
      <c r="JC84" s="16">
        <v>0</v>
      </c>
      <c r="JD84" s="23">
        <v>0</v>
      </c>
      <c r="JE84" s="23"/>
      <c r="JF84" s="23">
        <v>0</v>
      </c>
      <c r="JG84" s="23">
        <v>0</v>
      </c>
      <c r="JH84" s="16">
        <v>0</v>
      </c>
      <c r="JI84" s="16">
        <v>0</v>
      </c>
      <c r="JJ84" s="16">
        <v>0</v>
      </c>
      <c r="JK84" s="16">
        <v>0</v>
      </c>
      <c r="JL84" s="16">
        <v>0</v>
      </c>
      <c r="JM84" s="16">
        <v>0</v>
      </c>
      <c r="JN84" s="16">
        <v>0</v>
      </c>
      <c r="JO84" s="16">
        <v>0</v>
      </c>
      <c r="JP84" s="16">
        <v>0</v>
      </c>
      <c r="JQ84" s="16">
        <v>0</v>
      </c>
      <c r="JR84" s="16">
        <v>0</v>
      </c>
      <c r="JS84" s="16">
        <v>0</v>
      </c>
      <c r="JT84" s="16">
        <v>0</v>
      </c>
      <c r="JU84" s="16">
        <v>0</v>
      </c>
      <c r="JV84" s="16">
        <v>0</v>
      </c>
      <c r="JW84" s="16">
        <v>0</v>
      </c>
      <c r="JX84" s="23">
        <v>0</v>
      </c>
      <c r="JY84" s="23"/>
      <c r="JZ84" s="23">
        <v>0</v>
      </c>
      <c r="KA84" s="23">
        <v>0</v>
      </c>
      <c r="KB84" s="16">
        <v>0</v>
      </c>
      <c r="KC84" s="16">
        <v>0</v>
      </c>
      <c r="KD84" s="16">
        <v>0</v>
      </c>
      <c r="KE84" s="16">
        <v>0</v>
      </c>
      <c r="KF84" s="16">
        <v>0</v>
      </c>
      <c r="KG84" s="16">
        <v>0</v>
      </c>
      <c r="KH84" s="16">
        <v>0</v>
      </c>
      <c r="KI84" s="16">
        <v>0</v>
      </c>
      <c r="KJ84" s="16">
        <v>0</v>
      </c>
      <c r="KK84" s="16">
        <v>0</v>
      </c>
      <c r="KL84" s="16">
        <v>0</v>
      </c>
      <c r="KM84" s="16">
        <v>0</v>
      </c>
      <c r="KN84" s="16">
        <v>3</v>
      </c>
      <c r="KO84" s="16">
        <v>61050</v>
      </c>
      <c r="KP84" s="16">
        <v>183150</v>
      </c>
      <c r="KQ84" s="16">
        <v>15567.8</v>
      </c>
      <c r="KR84" s="23">
        <v>3</v>
      </c>
      <c r="KS84" s="23"/>
      <c r="KT84" s="23">
        <v>183150</v>
      </c>
      <c r="KU84" s="23">
        <v>15567.8</v>
      </c>
      <c r="KV84" s="23">
        <v>121</v>
      </c>
      <c r="KW84" s="23"/>
      <c r="KX84" s="23">
        <v>7302900</v>
      </c>
      <c r="KY84" s="23">
        <v>620746.5</v>
      </c>
    </row>
    <row r="85" spans="1:311" ht="16.95" customHeight="1" x14ac:dyDescent="0.4">
      <c r="A85" s="11"/>
      <c r="B85" s="11"/>
      <c r="C85" s="11" t="s">
        <v>51</v>
      </c>
      <c r="D85" s="9">
        <v>0</v>
      </c>
      <c r="E85" s="9">
        <v>0</v>
      </c>
      <c r="F85" s="9">
        <v>0</v>
      </c>
      <c r="G85" s="9">
        <v>0</v>
      </c>
      <c r="H85" s="22">
        <v>0</v>
      </c>
      <c r="I85" s="22"/>
      <c r="J85" s="22">
        <v>0</v>
      </c>
      <c r="K85" s="22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22">
        <v>0</v>
      </c>
      <c r="AC85" s="22"/>
      <c r="AD85" s="22">
        <v>0</v>
      </c>
      <c r="AE85" s="22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1</v>
      </c>
      <c r="AS85" s="9">
        <v>78375</v>
      </c>
      <c r="AT85" s="9">
        <v>78375</v>
      </c>
      <c r="AU85" s="9">
        <v>6661.9</v>
      </c>
      <c r="AV85" s="22">
        <v>1</v>
      </c>
      <c r="AW85" s="22"/>
      <c r="AX85" s="22">
        <v>78375</v>
      </c>
      <c r="AY85" s="22">
        <v>6661.9</v>
      </c>
      <c r="AZ85" s="9">
        <v>1</v>
      </c>
      <c r="BA85" s="9">
        <v>78375</v>
      </c>
      <c r="BB85" s="9">
        <v>78375</v>
      </c>
      <c r="BC85" s="9">
        <v>6661.9</v>
      </c>
      <c r="BD85" s="9">
        <v>0</v>
      </c>
      <c r="BE85" s="9">
        <v>0</v>
      </c>
      <c r="BF85" s="9">
        <v>0</v>
      </c>
      <c r="BG85" s="9">
        <v>0</v>
      </c>
      <c r="BH85" s="9">
        <v>1</v>
      </c>
      <c r="BI85" s="9">
        <v>78375</v>
      </c>
      <c r="BJ85" s="9">
        <v>78375</v>
      </c>
      <c r="BK85" s="9">
        <v>6661.9</v>
      </c>
      <c r="BL85" s="9">
        <v>1</v>
      </c>
      <c r="BM85" s="9">
        <v>78375</v>
      </c>
      <c r="BN85" s="9">
        <v>78375</v>
      </c>
      <c r="BO85" s="9">
        <v>6661.9</v>
      </c>
      <c r="BP85" s="9">
        <v>0</v>
      </c>
      <c r="BQ85" s="9">
        <v>0</v>
      </c>
      <c r="BR85" s="9">
        <v>0</v>
      </c>
      <c r="BS85" s="9">
        <v>0</v>
      </c>
      <c r="BT85" s="22">
        <v>3</v>
      </c>
      <c r="BU85" s="22"/>
      <c r="BV85" s="22">
        <v>235125</v>
      </c>
      <c r="BW85" s="22">
        <v>19985.599999999999</v>
      </c>
      <c r="BX85" s="9">
        <v>0</v>
      </c>
      <c r="BY85" s="9">
        <v>0</v>
      </c>
      <c r="BZ85" s="9">
        <v>0</v>
      </c>
      <c r="CA85" s="9">
        <v>0</v>
      </c>
      <c r="CB85" s="9">
        <v>1</v>
      </c>
      <c r="CC85" s="9">
        <v>78375</v>
      </c>
      <c r="CD85" s="9">
        <v>78375</v>
      </c>
      <c r="CE85" s="9">
        <v>6661.9</v>
      </c>
      <c r="CF85" s="9">
        <v>1</v>
      </c>
      <c r="CG85" s="9">
        <v>78375</v>
      </c>
      <c r="CH85" s="9">
        <v>78375</v>
      </c>
      <c r="CI85" s="9">
        <v>6661.9</v>
      </c>
      <c r="CJ85" s="9">
        <v>1</v>
      </c>
      <c r="CK85" s="9">
        <v>78375</v>
      </c>
      <c r="CL85" s="9">
        <v>78375</v>
      </c>
      <c r="CM85" s="9">
        <v>6661.9</v>
      </c>
      <c r="CN85" s="22">
        <v>3</v>
      </c>
      <c r="CO85" s="22"/>
      <c r="CP85" s="22">
        <v>235125</v>
      </c>
      <c r="CQ85" s="22">
        <v>19985.599999999999</v>
      </c>
      <c r="CR85" s="9">
        <v>1</v>
      </c>
      <c r="CS85" s="9">
        <v>78375</v>
      </c>
      <c r="CT85" s="9">
        <v>78375</v>
      </c>
      <c r="CU85" s="9">
        <v>6661.9</v>
      </c>
      <c r="CV85" s="9">
        <v>1</v>
      </c>
      <c r="CW85" s="9">
        <v>78375</v>
      </c>
      <c r="CX85" s="9">
        <v>78375</v>
      </c>
      <c r="CY85" s="9">
        <v>6661.9</v>
      </c>
      <c r="CZ85" s="9">
        <v>1</v>
      </c>
      <c r="DA85" s="9">
        <v>78375</v>
      </c>
      <c r="DB85" s="9">
        <v>78375</v>
      </c>
      <c r="DC85" s="9">
        <v>6661.9</v>
      </c>
      <c r="DD85" s="9">
        <v>1</v>
      </c>
      <c r="DE85" s="9">
        <v>78375</v>
      </c>
      <c r="DF85" s="9">
        <v>78375</v>
      </c>
      <c r="DG85" s="9">
        <v>6661.9</v>
      </c>
      <c r="DH85" s="22">
        <v>4</v>
      </c>
      <c r="DI85" s="22"/>
      <c r="DJ85" s="22">
        <v>313500</v>
      </c>
      <c r="DK85" s="22">
        <v>26647.5</v>
      </c>
      <c r="DL85" s="9">
        <v>2</v>
      </c>
      <c r="DM85" s="9">
        <v>78375</v>
      </c>
      <c r="DN85" s="9">
        <v>156750</v>
      </c>
      <c r="DO85" s="9">
        <v>13323.8</v>
      </c>
      <c r="DP85" s="9">
        <v>1</v>
      </c>
      <c r="DQ85" s="9">
        <v>78375</v>
      </c>
      <c r="DR85" s="9">
        <v>78375</v>
      </c>
      <c r="DS85" s="9">
        <v>6661.9</v>
      </c>
      <c r="DT85" s="9">
        <v>2</v>
      </c>
      <c r="DU85" s="9">
        <v>78375</v>
      </c>
      <c r="DV85" s="9">
        <v>156750</v>
      </c>
      <c r="DW85" s="9">
        <v>13323.8</v>
      </c>
      <c r="DX85" s="9">
        <v>1</v>
      </c>
      <c r="DY85" s="9">
        <v>78375</v>
      </c>
      <c r="DZ85" s="9">
        <v>78375</v>
      </c>
      <c r="EA85" s="9">
        <v>6661.9</v>
      </c>
      <c r="EB85" s="9">
        <v>2</v>
      </c>
      <c r="EC85" s="9">
        <v>80300</v>
      </c>
      <c r="ED85" s="9">
        <v>158675</v>
      </c>
      <c r="EE85" s="9">
        <v>13487.4</v>
      </c>
      <c r="EF85" s="22">
        <v>8</v>
      </c>
      <c r="EG85" s="22"/>
      <c r="EH85" s="22">
        <v>628925</v>
      </c>
      <c r="EI85" s="22">
        <v>53458.6</v>
      </c>
      <c r="EJ85" s="9">
        <v>2</v>
      </c>
      <c r="EK85" s="9">
        <v>80300</v>
      </c>
      <c r="EL85" s="9">
        <v>160600</v>
      </c>
      <c r="EM85" s="9">
        <v>13651</v>
      </c>
      <c r="EN85" s="9">
        <v>1</v>
      </c>
      <c r="EO85" s="9">
        <v>80300</v>
      </c>
      <c r="EP85" s="9">
        <v>80300</v>
      </c>
      <c r="EQ85" s="9">
        <v>6825.5</v>
      </c>
      <c r="ER85" s="9">
        <v>2</v>
      </c>
      <c r="ES85" s="9">
        <v>80300</v>
      </c>
      <c r="ET85" s="9">
        <v>160600</v>
      </c>
      <c r="EU85" s="9">
        <v>13651</v>
      </c>
      <c r="EV85" s="9">
        <v>2</v>
      </c>
      <c r="EW85" s="9">
        <v>80300</v>
      </c>
      <c r="EX85" s="9">
        <v>160600</v>
      </c>
      <c r="EY85" s="9">
        <v>13651</v>
      </c>
      <c r="EZ85" s="22">
        <v>7</v>
      </c>
      <c r="FA85" s="22"/>
      <c r="FB85" s="22">
        <v>562100</v>
      </c>
      <c r="FC85" s="22">
        <v>47778.5</v>
      </c>
      <c r="FD85" s="9">
        <v>2</v>
      </c>
      <c r="FE85" s="9">
        <v>80300</v>
      </c>
      <c r="FF85" s="9">
        <v>160600</v>
      </c>
      <c r="FG85" s="9">
        <v>13651</v>
      </c>
      <c r="FH85" s="9">
        <v>2</v>
      </c>
      <c r="FI85" s="9">
        <v>80300</v>
      </c>
      <c r="FJ85" s="9">
        <v>160600</v>
      </c>
      <c r="FK85" s="9">
        <v>13651</v>
      </c>
      <c r="FL85" s="9">
        <v>2</v>
      </c>
      <c r="FM85" s="9">
        <v>80300</v>
      </c>
      <c r="FN85" s="9">
        <v>160600</v>
      </c>
      <c r="FO85" s="9">
        <v>13651</v>
      </c>
      <c r="FP85" s="9">
        <v>2</v>
      </c>
      <c r="FQ85" s="9">
        <v>80300</v>
      </c>
      <c r="FR85" s="9">
        <v>160600</v>
      </c>
      <c r="FS85" s="9">
        <v>13651</v>
      </c>
      <c r="FT85" s="22">
        <v>8</v>
      </c>
      <c r="FU85" s="22"/>
      <c r="FV85" s="22">
        <v>642400</v>
      </c>
      <c r="FW85" s="22">
        <v>54604</v>
      </c>
      <c r="FX85" s="9">
        <v>1</v>
      </c>
      <c r="FY85" s="9">
        <v>80300</v>
      </c>
      <c r="FZ85" s="9">
        <v>80300</v>
      </c>
      <c r="GA85" s="9">
        <v>6825.5</v>
      </c>
      <c r="GB85" s="9">
        <v>1</v>
      </c>
      <c r="GC85" s="9">
        <v>80300</v>
      </c>
      <c r="GD85" s="9">
        <v>80300</v>
      </c>
      <c r="GE85" s="9">
        <v>6825.5</v>
      </c>
      <c r="GF85" s="9">
        <v>0</v>
      </c>
      <c r="GG85" s="9">
        <v>80300</v>
      </c>
      <c r="GH85" s="9">
        <v>0</v>
      </c>
      <c r="GI85" s="9">
        <v>0</v>
      </c>
      <c r="GJ85" s="9">
        <v>1</v>
      </c>
      <c r="GK85" s="9">
        <v>80300</v>
      </c>
      <c r="GL85" s="9">
        <v>80300</v>
      </c>
      <c r="GM85" s="9">
        <v>6825.5</v>
      </c>
      <c r="GN85" s="9">
        <v>1</v>
      </c>
      <c r="GO85" s="9">
        <v>80300</v>
      </c>
      <c r="GP85" s="9">
        <v>80300</v>
      </c>
      <c r="GQ85" s="9">
        <v>6825.5</v>
      </c>
      <c r="GR85" s="22">
        <v>4</v>
      </c>
      <c r="GS85" s="22"/>
      <c r="GT85" s="22">
        <v>321200</v>
      </c>
      <c r="GU85" s="22">
        <v>27302</v>
      </c>
      <c r="GV85" s="9">
        <v>0</v>
      </c>
      <c r="GW85" s="9">
        <v>0</v>
      </c>
      <c r="GX85" s="9">
        <v>0</v>
      </c>
      <c r="GY85" s="9">
        <v>0</v>
      </c>
      <c r="GZ85" s="9">
        <v>1</v>
      </c>
      <c r="HA85" s="9">
        <v>80300</v>
      </c>
      <c r="HB85" s="9">
        <v>80300</v>
      </c>
      <c r="HC85" s="9">
        <v>6825.5</v>
      </c>
      <c r="HD85" s="9">
        <v>0</v>
      </c>
      <c r="HE85" s="9">
        <v>0</v>
      </c>
      <c r="HF85" s="9">
        <v>0</v>
      </c>
      <c r="HG85" s="9">
        <v>0</v>
      </c>
      <c r="HH85" s="9">
        <v>0</v>
      </c>
      <c r="HI85" s="9">
        <v>0</v>
      </c>
      <c r="HJ85" s="9">
        <v>0</v>
      </c>
      <c r="HK85" s="9">
        <v>0</v>
      </c>
      <c r="HL85" s="22">
        <v>1</v>
      </c>
      <c r="HM85" s="22"/>
      <c r="HN85" s="22">
        <v>80300</v>
      </c>
      <c r="HO85" s="22">
        <v>6825.5</v>
      </c>
      <c r="HP85" s="9">
        <v>0</v>
      </c>
      <c r="HQ85" s="9">
        <v>0</v>
      </c>
      <c r="HR85" s="9">
        <v>0</v>
      </c>
      <c r="HS85" s="9">
        <v>0</v>
      </c>
      <c r="HT85" s="9">
        <v>0</v>
      </c>
      <c r="HU85" s="9">
        <v>0</v>
      </c>
      <c r="HV85" s="9">
        <v>0</v>
      </c>
      <c r="HW85" s="9">
        <v>0</v>
      </c>
      <c r="HX85" s="9">
        <v>0</v>
      </c>
      <c r="HY85" s="9">
        <v>0</v>
      </c>
      <c r="HZ85" s="9">
        <v>0</v>
      </c>
      <c r="IA85" s="9">
        <v>0</v>
      </c>
      <c r="IB85" s="9">
        <v>0</v>
      </c>
      <c r="IC85" s="9">
        <v>0</v>
      </c>
      <c r="ID85" s="9">
        <v>0</v>
      </c>
      <c r="IE85" s="9">
        <v>0</v>
      </c>
      <c r="IF85" s="22">
        <v>0</v>
      </c>
      <c r="IG85" s="22"/>
      <c r="IH85" s="22">
        <v>0</v>
      </c>
      <c r="II85" s="22">
        <v>0</v>
      </c>
      <c r="IJ85" s="9">
        <v>0</v>
      </c>
      <c r="IK85" s="9">
        <v>0</v>
      </c>
      <c r="IL85" s="9">
        <v>0</v>
      </c>
      <c r="IM85" s="9">
        <v>0</v>
      </c>
      <c r="IN85" s="9">
        <v>0</v>
      </c>
      <c r="IO85" s="9">
        <v>0</v>
      </c>
      <c r="IP85" s="9">
        <v>0</v>
      </c>
      <c r="IQ85" s="9">
        <v>0</v>
      </c>
      <c r="IR85" s="9">
        <v>0</v>
      </c>
      <c r="IS85" s="9">
        <v>0</v>
      </c>
      <c r="IT85" s="9">
        <v>0</v>
      </c>
      <c r="IU85" s="9">
        <v>0</v>
      </c>
      <c r="IV85" s="9">
        <v>0</v>
      </c>
      <c r="IW85" s="9">
        <v>0</v>
      </c>
      <c r="IX85" s="9">
        <v>0</v>
      </c>
      <c r="IY85" s="9">
        <v>0</v>
      </c>
      <c r="IZ85" s="9">
        <v>0</v>
      </c>
      <c r="JA85" s="9">
        <v>0</v>
      </c>
      <c r="JB85" s="9">
        <v>0</v>
      </c>
      <c r="JC85" s="9">
        <v>0</v>
      </c>
      <c r="JD85" s="22">
        <v>0</v>
      </c>
      <c r="JE85" s="22"/>
      <c r="JF85" s="22">
        <v>0</v>
      </c>
      <c r="JG85" s="22">
        <v>0</v>
      </c>
      <c r="JH85" s="9">
        <v>0</v>
      </c>
      <c r="JI85" s="9">
        <v>0</v>
      </c>
      <c r="JJ85" s="9">
        <v>0</v>
      </c>
      <c r="JK85" s="9">
        <v>0</v>
      </c>
      <c r="JL85" s="9">
        <v>0</v>
      </c>
      <c r="JM85" s="9">
        <v>0</v>
      </c>
      <c r="JN85" s="9">
        <v>0</v>
      </c>
      <c r="JO85" s="9">
        <v>0</v>
      </c>
      <c r="JP85" s="9">
        <v>0</v>
      </c>
      <c r="JQ85" s="9">
        <v>0</v>
      </c>
      <c r="JR85" s="9">
        <v>0</v>
      </c>
      <c r="JS85" s="9">
        <v>0</v>
      </c>
      <c r="JT85" s="9">
        <v>0</v>
      </c>
      <c r="JU85" s="9">
        <v>0</v>
      </c>
      <c r="JV85" s="9">
        <v>0</v>
      </c>
      <c r="JW85" s="9">
        <v>0</v>
      </c>
      <c r="JX85" s="22">
        <v>0</v>
      </c>
      <c r="JY85" s="22"/>
      <c r="JZ85" s="22">
        <v>0</v>
      </c>
      <c r="KA85" s="22">
        <v>0</v>
      </c>
      <c r="KB85" s="9">
        <v>0</v>
      </c>
      <c r="KC85" s="9">
        <v>0</v>
      </c>
      <c r="KD85" s="9">
        <v>0</v>
      </c>
      <c r="KE85" s="9">
        <v>0</v>
      </c>
      <c r="KF85" s="9">
        <v>0</v>
      </c>
      <c r="KG85" s="9">
        <v>0</v>
      </c>
      <c r="KH85" s="9">
        <v>0</v>
      </c>
      <c r="KI85" s="9">
        <v>0</v>
      </c>
      <c r="KJ85" s="9">
        <v>0</v>
      </c>
      <c r="KK85" s="9">
        <v>0</v>
      </c>
      <c r="KL85" s="9">
        <v>0</v>
      </c>
      <c r="KM85" s="9">
        <v>0</v>
      </c>
      <c r="KN85" s="9">
        <v>2</v>
      </c>
      <c r="KO85" s="9">
        <v>80300</v>
      </c>
      <c r="KP85" s="9">
        <v>160600</v>
      </c>
      <c r="KQ85" s="9">
        <v>13651</v>
      </c>
      <c r="KR85" s="22">
        <v>2</v>
      </c>
      <c r="KS85" s="22"/>
      <c r="KT85" s="22">
        <v>160600</v>
      </c>
      <c r="KU85" s="22">
        <v>13651</v>
      </c>
      <c r="KV85" s="22">
        <v>41</v>
      </c>
      <c r="KW85" s="22"/>
      <c r="KX85" s="22">
        <v>3257650</v>
      </c>
      <c r="KY85" s="22">
        <v>276900.3</v>
      </c>
    </row>
    <row r="86" spans="1:311" ht="16.95" customHeight="1" x14ac:dyDescent="0.4">
      <c r="A86" s="12"/>
      <c r="B86" s="12" t="s">
        <v>34</v>
      </c>
      <c r="C86" s="12" t="s">
        <v>395</v>
      </c>
      <c r="D86" s="10">
        <v>55.4</v>
      </c>
      <c r="E86" s="10">
        <v>0</v>
      </c>
      <c r="F86" s="10">
        <v>870162</v>
      </c>
      <c r="G86" s="10">
        <v>73963.8</v>
      </c>
      <c r="H86" s="21">
        <v>55.4</v>
      </c>
      <c r="I86" s="21">
        <v>0</v>
      </c>
      <c r="J86" s="21">
        <v>870162</v>
      </c>
      <c r="K86" s="21">
        <v>73963.8</v>
      </c>
      <c r="L86" s="10">
        <v>196.60000000000002</v>
      </c>
      <c r="M86" s="10">
        <v>0</v>
      </c>
      <c r="N86" s="10">
        <v>3065640</v>
      </c>
      <c r="O86" s="10">
        <v>260579.5</v>
      </c>
      <c r="P86" s="10">
        <v>209.6</v>
      </c>
      <c r="Q86" s="10">
        <v>0</v>
      </c>
      <c r="R86" s="10">
        <v>3329423</v>
      </c>
      <c r="S86" s="10">
        <v>283001</v>
      </c>
      <c r="T86" s="10">
        <v>177.6</v>
      </c>
      <c r="U86" s="10">
        <v>0</v>
      </c>
      <c r="V86" s="10">
        <v>2892640</v>
      </c>
      <c r="W86" s="10">
        <v>245874.5</v>
      </c>
      <c r="X86" s="10">
        <v>69.099999999999994</v>
      </c>
      <c r="Y86" s="10">
        <v>0</v>
      </c>
      <c r="Z86" s="10">
        <v>876655</v>
      </c>
      <c r="AA86" s="10">
        <v>74515.7</v>
      </c>
      <c r="AB86" s="21">
        <v>652.90000000000009</v>
      </c>
      <c r="AC86" s="21">
        <v>0</v>
      </c>
      <c r="AD86" s="21">
        <v>10164358</v>
      </c>
      <c r="AE86" s="21">
        <v>863970.4</v>
      </c>
      <c r="AF86" s="10">
        <v>209.20000000000002</v>
      </c>
      <c r="AG86" s="10">
        <v>0</v>
      </c>
      <c r="AH86" s="10">
        <v>3342545</v>
      </c>
      <c r="AI86" s="10">
        <v>284116.40000000002</v>
      </c>
      <c r="AJ86" s="10">
        <v>192.5</v>
      </c>
      <c r="AK86" s="10">
        <v>0</v>
      </c>
      <c r="AL86" s="10">
        <v>3079153</v>
      </c>
      <c r="AM86" s="10">
        <v>261728.1</v>
      </c>
      <c r="AN86" s="10">
        <v>188.7</v>
      </c>
      <c r="AO86" s="10">
        <v>0</v>
      </c>
      <c r="AP86" s="10">
        <v>3079920</v>
      </c>
      <c r="AQ86" s="10">
        <v>261793.3</v>
      </c>
      <c r="AR86" s="10">
        <v>204.90000000000003</v>
      </c>
      <c r="AS86" s="10">
        <v>0</v>
      </c>
      <c r="AT86" s="10">
        <v>3198680</v>
      </c>
      <c r="AU86" s="10">
        <v>271887.90000000002</v>
      </c>
      <c r="AV86" s="21">
        <v>795.30000000000007</v>
      </c>
      <c r="AW86" s="21">
        <v>0</v>
      </c>
      <c r="AX86" s="21">
        <v>12700298</v>
      </c>
      <c r="AY86" s="21">
        <v>1079525.3999999999</v>
      </c>
      <c r="AZ86" s="10">
        <v>192.2</v>
      </c>
      <c r="BA86" s="10">
        <v>0</v>
      </c>
      <c r="BB86" s="10">
        <v>2995471</v>
      </c>
      <c r="BC86" s="10">
        <v>254615.1</v>
      </c>
      <c r="BD86" s="10">
        <v>213.3</v>
      </c>
      <c r="BE86" s="10">
        <v>0</v>
      </c>
      <c r="BF86" s="10">
        <v>3032400</v>
      </c>
      <c r="BG86" s="10">
        <v>257754.1</v>
      </c>
      <c r="BH86" s="10">
        <v>208.1</v>
      </c>
      <c r="BI86" s="10">
        <v>0</v>
      </c>
      <c r="BJ86" s="10">
        <v>3472882</v>
      </c>
      <c r="BK86" s="10">
        <v>295195</v>
      </c>
      <c r="BL86" s="10">
        <v>212.1</v>
      </c>
      <c r="BM86" s="10">
        <v>0</v>
      </c>
      <c r="BN86" s="10">
        <v>3506766</v>
      </c>
      <c r="BO86" s="10">
        <v>298075.2</v>
      </c>
      <c r="BP86" s="10">
        <v>194.50000000000003</v>
      </c>
      <c r="BQ86" s="10">
        <v>0</v>
      </c>
      <c r="BR86" s="10">
        <v>3085528</v>
      </c>
      <c r="BS86" s="10">
        <v>262270</v>
      </c>
      <c r="BT86" s="21">
        <v>1020.2</v>
      </c>
      <c r="BU86" s="21">
        <v>0</v>
      </c>
      <c r="BV86" s="21">
        <v>16093047</v>
      </c>
      <c r="BW86" s="21">
        <v>1367909</v>
      </c>
      <c r="BX86" s="10">
        <v>229.29999999999998</v>
      </c>
      <c r="BY86" s="10">
        <v>0</v>
      </c>
      <c r="BZ86" s="10">
        <v>3490775</v>
      </c>
      <c r="CA86" s="10">
        <v>296715.90000000002</v>
      </c>
      <c r="CB86" s="10">
        <v>204.6</v>
      </c>
      <c r="CC86" s="10">
        <v>0</v>
      </c>
      <c r="CD86" s="10">
        <v>3589801</v>
      </c>
      <c r="CE86" s="10">
        <v>305133.09999999998</v>
      </c>
      <c r="CF86" s="10">
        <v>253.9</v>
      </c>
      <c r="CG86" s="10">
        <v>0</v>
      </c>
      <c r="CH86" s="10">
        <v>3947998</v>
      </c>
      <c r="CI86" s="10">
        <v>335579.9</v>
      </c>
      <c r="CJ86" s="10">
        <v>183.79999999999998</v>
      </c>
      <c r="CK86" s="10">
        <v>0</v>
      </c>
      <c r="CL86" s="10">
        <v>2974642</v>
      </c>
      <c r="CM86" s="10">
        <v>252844.6</v>
      </c>
      <c r="CN86" s="21">
        <v>871.59999999999991</v>
      </c>
      <c r="CO86" s="21">
        <v>0</v>
      </c>
      <c r="CP86" s="21">
        <v>14003216</v>
      </c>
      <c r="CQ86" s="21">
        <v>1190273.5</v>
      </c>
      <c r="CR86" s="10">
        <v>132.19999999999999</v>
      </c>
      <c r="CS86" s="10">
        <v>0</v>
      </c>
      <c r="CT86" s="10">
        <v>2330446</v>
      </c>
      <c r="CU86" s="10">
        <v>198088</v>
      </c>
      <c r="CV86" s="10">
        <v>216.5</v>
      </c>
      <c r="CW86" s="10">
        <v>0</v>
      </c>
      <c r="CX86" s="10">
        <v>3642328</v>
      </c>
      <c r="CY86" s="10">
        <v>309598</v>
      </c>
      <c r="CZ86" s="10">
        <v>264.10000000000002</v>
      </c>
      <c r="DA86" s="10">
        <v>0</v>
      </c>
      <c r="DB86" s="10">
        <v>3930383</v>
      </c>
      <c r="DC86" s="10">
        <v>334082.59999999998</v>
      </c>
      <c r="DD86" s="10">
        <v>250.9</v>
      </c>
      <c r="DE86" s="10">
        <v>0</v>
      </c>
      <c r="DF86" s="10">
        <v>4143265</v>
      </c>
      <c r="DG86" s="10">
        <v>352177.5</v>
      </c>
      <c r="DH86" s="21">
        <v>863.7</v>
      </c>
      <c r="DI86" s="21">
        <v>0</v>
      </c>
      <c r="DJ86" s="21">
        <v>14046422</v>
      </c>
      <c r="DK86" s="21">
        <v>1193945.8999999999</v>
      </c>
      <c r="DL86" s="10">
        <v>126.80000000000001</v>
      </c>
      <c r="DM86" s="10">
        <v>0</v>
      </c>
      <c r="DN86" s="10">
        <v>1688783</v>
      </c>
      <c r="DO86" s="10">
        <v>143546.6</v>
      </c>
      <c r="DP86" s="10">
        <v>231.3</v>
      </c>
      <c r="DQ86" s="10">
        <v>0</v>
      </c>
      <c r="DR86" s="10">
        <v>4106686</v>
      </c>
      <c r="DS86" s="10">
        <v>349068.3</v>
      </c>
      <c r="DT86" s="10">
        <v>226</v>
      </c>
      <c r="DU86" s="10">
        <v>0</v>
      </c>
      <c r="DV86" s="10">
        <v>3931071</v>
      </c>
      <c r="DW86" s="10">
        <v>334141</v>
      </c>
      <c r="DX86" s="10">
        <v>237.79999999999998</v>
      </c>
      <c r="DY86" s="10">
        <v>0</v>
      </c>
      <c r="DZ86" s="10">
        <v>4034975</v>
      </c>
      <c r="EA86" s="10">
        <v>342972.9</v>
      </c>
      <c r="EB86" s="10">
        <v>266.10000000000002</v>
      </c>
      <c r="EC86" s="10">
        <v>0</v>
      </c>
      <c r="ED86" s="10">
        <v>4548251</v>
      </c>
      <c r="EE86" s="10">
        <v>386601.5</v>
      </c>
      <c r="EF86" s="21">
        <v>1088</v>
      </c>
      <c r="EG86" s="21">
        <v>0</v>
      </c>
      <c r="EH86" s="21">
        <v>18309766</v>
      </c>
      <c r="EI86" s="21">
        <v>1556330.3</v>
      </c>
      <c r="EJ86" s="10">
        <v>273.29999999999995</v>
      </c>
      <c r="EK86" s="10">
        <v>0</v>
      </c>
      <c r="EL86" s="10">
        <v>4597718</v>
      </c>
      <c r="EM86" s="10">
        <v>390806.2</v>
      </c>
      <c r="EN86" s="10">
        <v>262.7</v>
      </c>
      <c r="EO86" s="10">
        <v>0</v>
      </c>
      <c r="EP86" s="10">
        <v>4608348</v>
      </c>
      <c r="EQ86" s="10">
        <v>391709.6</v>
      </c>
      <c r="ER86" s="10">
        <v>258.8</v>
      </c>
      <c r="ES86" s="10">
        <v>0</v>
      </c>
      <c r="ET86" s="10">
        <v>4654760</v>
      </c>
      <c r="EU86" s="10">
        <v>395654.6</v>
      </c>
      <c r="EV86" s="10">
        <v>284.8</v>
      </c>
      <c r="EW86" s="10">
        <v>0</v>
      </c>
      <c r="EX86" s="10">
        <v>4915910</v>
      </c>
      <c r="EY86" s="10">
        <v>417852.4</v>
      </c>
      <c r="EZ86" s="21">
        <v>1079.5999999999999</v>
      </c>
      <c r="FA86" s="21">
        <v>0</v>
      </c>
      <c r="FB86" s="21">
        <v>18776736</v>
      </c>
      <c r="FC86" s="21">
        <v>1596022.6</v>
      </c>
      <c r="FD86" s="10">
        <v>281</v>
      </c>
      <c r="FE86" s="10">
        <v>0</v>
      </c>
      <c r="FF86" s="10">
        <v>4734778</v>
      </c>
      <c r="FG86" s="10">
        <v>402456.3</v>
      </c>
      <c r="FH86" s="10">
        <v>157.80000000000001</v>
      </c>
      <c r="FI86" s="10">
        <v>0</v>
      </c>
      <c r="FJ86" s="10">
        <v>2763318</v>
      </c>
      <c r="FK86" s="10">
        <v>234882.2</v>
      </c>
      <c r="FL86" s="10">
        <v>278.3</v>
      </c>
      <c r="FM86" s="10">
        <v>0</v>
      </c>
      <c r="FN86" s="10">
        <v>4347626</v>
      </c>
      <c r="FO86" s="10">
        <v>369548.3</v>
      </c>
      <c r="FP86" s="10">
        <v>220.7</v>
      </c>
      <c r="FQ86" s="10">
        <v>0</v>
      </c>
      <c r="FR86" s="10">
        <v>4010430</v>
      </c>
      <c r="FS86" s="10">
        <v>340886.7</v>
      </c>
      <c r="FT86" s="21">
        <v>937.8</v>
      </c>
      <c r="FU86" s="21">
        <v>0</v>
      </c>
      <c r="FV86" s="21">
        <v>15856152</v>
      </c>
      <c r="FW86" s="21">
        <v>1347773</v>
      </c>
      <c r="FX86" s="10">
        <v>215.9</v>
      </c>
      <c r="FY86" s="10">
        <v>0</v>
      </c>
      <c r="FZ86" s="10">
        <v>3315512</v>
      </c>
      <c r="GA86" s="10">
        <v>281818.7</v>
      </c>
      <c r="GB86" s="10">
        <v>237.2</v>
      </c>
      <c r="GC86" s="10">
        <v>0</v>
      </c>
      <c r="GD86" s="10">
        <v>3888714</v>
      </c>
      <c r="GE86" s="10">
        <v>330540.7</v>
      </c>
      <c r="GF86" s="10">
        <v>190.3</v>
      </c>
      <c r="GG86" s="10">
        <v>0</v>
      </c>
      <c r="GH86" s="10">
        <v>3154650</v>
      </c>
      <c r="GI86" s="10">
        <v>268145.40000000002</v>
      </c>
      <c r="GJ86" s="10">
        <v>209.8</v>
      </c>
      <c r="GK86" s="10">
        <v>0</v>
      </c>
      <c r="GL86" s="10">
        <v>3275550</v>
      </c>
      <c r="GM86" s="10">
        <v>278421.90000000002</v>
      </c>
      <c r="GN86" s="10">
        <v>95.7</v>
      </c>
      <c r="GO86" s="10">
        <v>0</v>
      </c>
      <c r="GP86" s="10">
        <v>1433760</v>
      </c>
      <c r="GQ86" s="10">
        <v>121869.7</v>
      </c>
      <c r="GR86" s="21">
        <v>948.90000000000009</v>
      </c>
      <c r="GS86" s="21">
        <v>0</v>
      </c>
      <c r="GT86" s="21">
        <v>15068186</v>
      </c>
      <c r="GU86" s="21">
        <v>1280795.8999999999</v>
      </c>
      <c r="GV86" s="10">
        <v>53.3</v>
      </c>
      <c r="GW86" s="10">
        <v>0</v>
      </c>
      <c r="GX86" s="10">
        <v>808640</v>
      </c>
      <c r="GY86" s="10">
        <v>68734.5</v>
      </c>
      <c r="GZ86" s="10">
        <v>197</v>
      </c>
      <c r="HA86" s="10">
        <v>0</v>
      </c>
      <c r="HB86" s="10">
        <v>3482628</v>
      </c>
      <c r="HC86" s="10">
        <v>296023.5</v>
      </c>
      <c r="HD86" s="10">
        <v>168.20000000000002</v>
      </c>
      <c r="HE86" s="10">
        <v>0</v>
      </c>
      <c r="HF86" s="10">
        <v>2413210</v>
      </c>
      <c r="HG86" s="10">
        <v>205122.9</v>
      </c>
      <c r="HH86" s="10">
        <v>198.4</v>
      </c>
      <c r="HI86" s="10">
        <v>0</v>
      </c>
      <c r="HJ86" s="10">
        <v>3007030</v>
      </c>
      <c r="HK86" s="10">
        <v>255597.7</v>
      </c>
      <c r="HL86" s="21">
        <v>616.9</v>
      </c>
      <c r="HM86" s="21">
        <v>0</v>
      </c>
      <c r="HN86" s="21">
        <v>9711508</v>
      </c>
      <c r="HO86" s="21">
        <v>825478.2</v>
      </c>
      <c r="HP86" s="10">
        <v>169.5</v>
      </c>
      <c r="HQ86" s="10">
        <v>0</v>
      </c>
      <c r="HR86" s="10">
        <v>2921728</v>
      </c>
      <c r="HS86" s="10">
        <v>248347</v>
      </c>
      <c r="HT86" s="10">
        <v>166.5</v>
      </c>
      <c r="HU86" s="10">
        <v>0</v>
      </c>
      <c r="HV86" s="10">
        <v>2327800</v>
      </c>
      <c r="HW86" s="10">
        <v>197863.1</v>
      </c>
      <c r="HX86" s="10">
        <v>191.2</v>
      </c>
      <c r="HY86" s="10">
        <v>0</v>
      </c>
      <c r="HZ86" s="10">
        <v>3028952</v>
      </c>
      <c r="IA86" s="10">
        <v>257461</v>
      </c>
      <c r="IB86" s="10">
        <v>190.3</v>
      </c>
      <c r="IC86" s="10">
        <v>0</v>
      </c>
      <c r="ID86" s="10">
        <v>2921090</v>
      </c>
      <c r="IE86" s="10">
        <v>248292.7</v>
      </c>
      <c r="IF86" s="21">
        <v>717.5</v>
      </c>
      <c r="IG86" s="21">
        <v>0</v>
      </c>
      <c r="IH86" s="21">
        <v>11199570</v>
      </c>
      <c r="II86" s="21">
        <v>951963.6</v>
      </c>
      <c r="IJ86" s="10">
        <v>183.6</v>
      </c>
      <c r="IK86" s="10">
        <v>0</v>
      </c>
      <c r="IL86" s="10">
        <v>2640130</v>
      </c>
      <c r="IM86" s="10">
        <v>224411.1</v>
      </c>
      <c r="IN86" s="10">
        <v>172</v>
      </c>
      <c r="IO86" s="10">
        <v>0</v>
      </c>
      <c r="IP86" s="10">
        <v>2774292</v>
      </c>
      <c r="IQ86" s="10">
        <v>235814.9</v>
      </c>
      <c r="IR86" s="10">
        <v>186.10000000000002</v>
      </c>
      <c r="IS86" s="10">
        <v>0</v>
      </c>
      <c r="IT86" s="10">
        <v>2952822</v>
      </c>
      <c r="IU86" s="10">
        <v>250990</v>
      </c>
      <c r="IV86" s="10">
        <v>130.19999999999999</v>
      </c>
      <c r="IW86" s="10">
        <v>0</v>
      </c>
      <c r="IX86" s="10">
        <v>1590760</v>
      </c>
      <c r="IY86" s="10">
        <v>135214.70000000001</v>
      </c>
      <c r="IZ86" s="10">
        <v>119</v>
      </c>
      <c r="JA86" s="10">
        <v>0</v>
      </c>
      <c r="JB86" s="10">
        <v>1756850</v>
      </c>
      <c r="JC86" s="10">
        <v>149332.29999999999</v>
      </c>
      <c r="JD86" s="21">
        <v>790.90000000000009</v>
      </c>
      <c r="JE86" s="21">
        <v>0</v>
      </c>
      <c r="JF86" s="21">
        <v>11714854</v>
      </c>
      <c r="JG86" s="21">
        <v>995762.6</v>
      </c>
      <c r="JH86" s="10">
        <v>154.4</v>
      </c>
      <c r="JI86" s="10">
        <v>0</v>
      </c>
      <c r="JJ86" s="10">
        <v>2372662</v>
      </c>
      <c r="JK86" s="10">
        <v>201676.4</v>
      </c>
      <c r="JL86" s="10">
        <v>196.5</v>
      </c>
      <c r="JM86" s="10">
        <v>0</v>
      </c>
      <c r="JN86" s="10">
        <v>3007450</v>
      </c>
      <c r="JO86" s="10">
        <v>255633.3</v>
      </c>
      <c r="JP86" s="10">
        <v>210.79999999999998</v>
      </c>
      <c r="JQ86" s="10">
        <v>0</v>
      </c>
      <c r="JR86" s="10">
        <v>2929140</v>
      </c>
      <c r="JS86" s="10">
        <v>248976.9</v>
      </c>
      <c r="JT86" s="10">
        <v>161.9</v>
      </c>
      <c r="JU86" s="10">
        <v>0</v>
      </c>
      <c r="JV86" s="10">
        <v>2766962</v>
      </c>
      <c r="JW86" s="10">
        <v>235191.9</v>
      </c>
      <c r="JX86" s="21">
        <v>723.59999999999991</v>
      </c>
      <c r="JY86" s="21">
        <v>0</v>
      </c>
      <c r="JZ86" s="21">
        <v>11076214</v>
      </c>
      <c r="KA86" s="21">
        <v>941478.2</v>
      </c>
      <c r="KB86" s="10">
        <v>190.3</v>
      </c>
      <c r="KC86" s="10">
        <v>0</v>
      </c>
      <c r="KD86" s="10">
        <v>2903676</v>
      </c>
      <c r="KE86" s="10">
        <v>246812.6</v>
      </c>
      <c r="KF86" s="10">
        <v>168.9</v>
      </c>
      <c r="KG86" s="10">
        <v>0</v>
      </c>
      <c r="KH86" s="10">
        <v>2456662</v>
      </c>
      <c r="KI86" s="10">
        <v>208816.4</v>
      </c>
      <c r="KJ86" s="10">
        <v>58.7</v>
      </c>
      <c r="KK86" s="10">
        <v>0</v>
      </c>
      <c r="KL86" s="10">
        <v>784260</v>
      </c>
      <c r="KM86" s="10">
        <v>66662.2</v>
      </c>
      <c r="KN86" s="10">
        <v>181.7</v>
      </c>
      <c r="KO86" s="10">
        <v>0</v>
      </c>
      <c r="KP86" s="10">
        <v>2815794</v>
      </c>
      <c r="KQ86" s="10">
        <v>239342.5</v>
      </c>
      <c r="KR86" s="21">
        <v>599.6</v>
      </c>
      <c r="KS86" s="21">
        <v>0</v>
      </c>
      <c r="KT86" s="21">
        <v>8960392</v>
      </c>
      <c r="KU86" s="21">
        <v>761633.4</v>
      </c>
      <c r="KV86" s="21">
        <v>11761.900000000001</v>
      </c>
      <c r="KW86" s="21">
        <v>0</v>
      </c>
      <c r="KX86" s="21">
        <v>188550881</v>
      </c>
      <c r="KY86" s="21">
        <v>16026825</v>
      </c>
    </row>
    <row r="87" spans="1:311" ht="16.95" customHeight="1" x14ac:dyDescent="0.4">
      <c r="A87" s="11"/>
      <c r="B87" s="11"/>
      <c r="C87" s="11" t="s">
        <v>32</v>
      </c>
      <c r="D87" s="9">
        <v>2</v>
      </c>
      <c r="E87" s="9">
        <v>48400</v>
      </c>
      <c r="F87" s="9">
        <v>96800</v>
      </c>
      <c r="G87" s="9">
        <v>8228</v>
      </c>
      <c r="H87" s="22">
        <v>2</v>
      </c>
      <c r="I87" s="22"/>
      <c r="J87" s="22">
        <v>96800</v>
      </c>
      <c r="K87" s="22">
        <v>8228</v>
      </c>
      <c r="L87" s="9">
        <v>5</v>
      </c>
      <c r="M87" s="9">
        <v>48400</v>
      </c>
      <c r="N87" s="9">
        <v>242000</v>
      </c>
      <c r="O87" s="9">
        <v>20570</v>
      </c>
      <c r="P87" s="9">
        <v>5</v>
      </c>
      <c r="Q87" s="9">
        <v>48400</v>
      </c>
      <c r="R87" s="9">
        <v>242000</v>
      </c>
      <c r="S87" s="9">
        <v>20570</v>
      </c>
      <c r="T87" s="9">
        <v>3</v>
      </c>
      <c r="U87" s="9">
        <v>48400</v>
      </c>
      <c r="V87" s="9">
        <v>145200</v>
      </c>
      <c r="W87" s="9">
        <v>12342</v>
      </c>
      <c r="X87" s="9">
        <v>3</v>
      </c>
      <c r="Y87" s="9">
        <v>48400</v>
      </c>
      <c r="Z87" s="9">
        <v>145200</v>
      </c>
      <c r="AA87" s="9">
        <v>12342</v>
      </c>
      <c r="AB87" s="22">
        <v>16</v>
      </c>
      <c r="AC87" s="22"/>
      <c r="AD87" s="22">
        <v>774400</v>
      </c>
      <c r="AE87" s="22">
        <v>65824</v>
      </c>
      <c r="AF87" s="9">
        <v>5</v>
      </c>
      <c r="AG87" s="9">
        <v>48400</v>
      </c>
      <c r="AH87" s="9">
        <v>242000</v>
      </c>
      <c r="AI87" s="9">
        <v>20570</v>
      </c>
      <c r="AJ87" s="9">
        <v>5</v>
      </c>
      <c r="AK87" s="9">
        <v>48400</v>
      </c>
      <c r="AL87" s="9">
        <v>242000</v>
      </c>
      <c r="AM87" s="9">
        <v>20570</v>
      </c>
      <c r="AN87" s="9">
        <v>6</v>
      </c>
      <c r="AO87" s="9">
        <v>48400</v>
      </c>
      <c r="AP87" s="9">
        <v>290400</v>
      </c>
      <c r="AQ87" s="9">
        <v>24684</v>
      </c>
      <c r="AR87" s="9">
        <v>4</v>
      </c>
      <c r="AS87" s="9">
        <v>48400</v>
      </c>
      <c r="AT87" s="9">
        <v>193600</v>
      </c>
      <c r="AU87" s="9">
        <v>16456</v>
      </c>
      <c r="AV87" s="22">
        <v>20</v>
      </c>
      <c r="AW87" s="22"/>
      <c r="AX87" s="22">
        <v>968000</v>
      </c>
      <c r="AY87" s="22">
        <v>82280</v>
      </c>
      <c r="AZ87" s="9">
        <v>5</v>
      </c>
      <c r="BA87" s="9">
        <v>48400</v>
      </c>
      <c r="BB87" s="9">
        <v>242000</v>
      </c>
      <c r="BC87" s="9">
        <v>20570</v>
      </c>
      <c r="BD87" s="9">
        <v>4</v>
      </c>
      <c r="BE87" s="9">
        <v>48400</v>
      </c>
      <c r="BF87" s="9">
        <v>193600</v>
      </c>
      <c r="BG87" s="9">
        <v>16456</v>
      </c>
      <c r="BH87" s="9">
        <v>4</v>
      </c>
      <c r="BI87" s="9">
        <v>48400</v>
      </c>
      <c r="BJ87" s="9">
        <v>193600</v>
      </c>
      <c r="BK87" s="9">
        <v>16456</v>
      </c>
      <c r="BL87" s="9">
        <v>6</v>
      </c>
      <c r="BM87" s="9">
        <v>48400</v>
      </c>
      <c r="BN87" s="9">
        <v>290400</v>
      </c>
      <c r="BO87" s="9">
        <v>24684</v>
      </c>
      <c r="BP87" s="9">
        <v>5</v>
      </c>
      <c r="BQ87" s="9">
        <v>48400</v>
      </c>
      <c r="BR87" s="9">
        <v>242000</v>
      </c>
      <c r="BS87" s="9">
        <v>20570</v>
      </c>
      <c r="BT87" s="22">
        <v>24</v>
      </c>
      <c r="BU87" s="22"/>
      <c r="BV87" s="22">
        <v>1161600</v>
      </c>
      <c r="BW87" s="22">
        <v>98736</v>
      </c>
      <c r="BX87" s="9">
        <v>5</v>
      </c>
      <c r="BY87" s="9">
        <v>48400</v>
      </c>
      <c r="BZ87" s="9">
        <v>242000</v>
      </c>
      <c r="CA87" s="9">
        <v>20570</v>
      </c>
      <c r="CB87" s="9">
        <v>5</v>
      </c>
      <c r="CC87" s="9">
        <v>48400</v>
      </c>
      <c r="CD87" s="9">
        <v>242000</v>
      </c>
      <c r="CE87" s="9">
        <v>20570</v>
      </c>
      <c r="CF87" s="9">
        <v>5</v>
      </c>
      <c r="CG87" s="9">
        <v>48400</v>
      </c>
      <c r="CH87" s="9">
        <v>242000</v>
      </c>
      <c r="CI87" s="9">
        <v>20570</v>
      </c>
      <c r="CJ87" s="9">
        <v>2</v>
      </c>
      <c r="CK87" s="9">
        <v>48400</v>
      </c>
      <c r="CL87" s="9">
        <v>96800</v>
      </c>
      <c r="CM87" s="9">
        <v>8228</v>
      </c>
      <c r="CN87" s="22">
        <v>17</v>
      </c>
      <c r="CO87" s="22"/>
      <c r="CP87" s="22">
        <v>822800</v>
      </c>
      <c r="CQ87" s="22">
        <v>69938</v>
      </c>
      <c r="CR87" s="9">
        <v>5</v>
      </c>
      <c r="CS87" s="9">
        <v>48400</v>
      </c>
      <c r="CT87" s="9">
        <v>242000</v>
      </c>
      <c r="CU87" s="9">
        <v>20570</v>
      </c>
      <c r="CV87" s="9">
        <v>5</v>
      </c>
      <c r="CW87" s="9">
        <v>48400</v>
      </c>
      <c r="CX87" s="9">
        <v>242000</v>
      </c>
      <c r="CY87" s="9">
        <v>20570</v>
      </c>
      <c r="CZ87" s="9">
        <v>4</v>
      </c>
      <c r="DA87" s="9">
        <v>48400</v>
      </c>
      <c r="DB87" s="9">
        <v>193600</v>
      </c>
      <c r="DC87" s="9">
        <v>16456</v>
      </c>
      <c r="DD87" s="9">
        <v>3</v>
      </c>
      <c r="DE87" s="9">
        <v>48400</v>
      </c>
      <c r="DF87" s="9">
        <v>145200</v>
      </c>
      <c r="DG87" s="9">
        <v>12342</v>
      </c>
      <c r="DH87" s="22">
        <v>17</v>
      </c>
      <c r="DI87" s="22"/>
      <c r="DJ87" s="22">
        <v>822800</v>
      </c>
      <c r="DK87" s="22">
        <v>69938</v>
      </c>
      <c r="DL87" s="9">
        <v>5</v>
      </c>
      <c r="DM87" s="9">
        <v>48400</v>
      </c>
      <c r="DN87" s="9">
        <v>242000</v>
      </c>
      <c r="DO87" s="9">
        <v>20570</v>
      </c>
      <c r="DP87" s="9">
        <v>6</v>
      </c>
      <c r="DQ87" s="9">
        <v>48400</v>
      </c>
      <c r="DR87" s="9">
        <v>290400</v>
      </c>
      <c r="DS87" s="9">
        <v>24684</v>
      </c>
      <c r="DT87" s="9">
        <v>5</v>
      </c>
      <c r="DU87" s="9">
        <v>48400</v>
      </c>
      <c r="DV87" s="9">
        <v>242000</v>
      </c>
      <c r="DW87" s="9">
        <v>20570</v>
      </c>
      <c r="DX87" s="9">
        <v>5</v>
      </c>
      <c r="DY87" s="9">
        <v>48400</v>
      </c>
      <c r="DZ87" s="9">
        <v>242000</v>
      </c>
      <c r="EA87" s="9">
        <v>20570</v>
      </c>
      <c r="EB87" s="9">
        <v>6</v>
      </c>
      <c r="EC87" s="9">
        <v>48400</v>
      </c>
      <c r="ED87" s="9">
        <v>290400</v>
      </c>
      <c r="EE87" s="9">
        <v>24684</v>
      </c>
      <c r="EF87" s="22">
        <v>27</v>
      </c>
      <c r="EG87" s="22"/>
      <c r="EH87" s="22">
        <v>1306800</v>
      </c>
      <c r="EI87" s="22">
        <v>111078</v>
      </c>
      <c r="EJ87" s="9">
        <v>4</v>
      </c>
      <c r="EK87" s="9">
        <v>48400</v>
      </c>
      <c r="EL87" s="9">
        <v>193600</v>
      </c>
      <c r="EM87" s="9">
        <v>16456</v>
      </c>
      <c r="EN87" s="9">
        <v>5</v>
      </c>
      <c r="EO87" s="9">
        <v>48400</v>
      </c>
      <c r="EP87" s="9">
        <v>242000</v>
      </c>
      <c r="EQ87" s="9">
        <v>20570</v>
      </c>
      <c r="ER87" s="9">
        <v>3</v>
      </c>
      <c r="ES87" s="9">
        <v>48400</v>
      </c>
      <c r="ET87" s="9">
        <v>145200</v>
      </c>
      <c r="EU87" s="9">
        <v>12342</v>
      </c>
      <c r="EV87" s="9">
        <v>7</v>
      </c>
      <c r="EW87" s="9">
        <v>48400</v>
      </c>
      <c r="EX87" s="9">
        <v>338800</v>
      </c>
      <c r="EY87" s="9">
        <v>28798</v>
      </c>
      <c r="EZ87" s="22">
        <v>19</v>
      </c>
      <c r="FA87" s="22"/>
      <c r="FB87" s="22">
        <v>919600</v>
      </c>
      <c r="FC87" s="22">
        <v>78166</v>
      </c>
      <c r="FD87" s="9">
        <v>5</v>
      </c>
      <c r="FE87" s="9">
        <v>48400</v>
      </c>
      <c r="FF87" s="9">
        <v>242000</v>
      </c>
      <c r="FG87" s="9">
        <v>20570</v>
      </c>
      <c r="FH87" s="9">
        <v>3</v>
      </c>
      <c r="FI87" s="9">
        <v>48400</v>
      </c>
      <c r="FJ87" s="9">
        <v>145200</v>
      </c>
      <c r="FK87" s="9">
        <v>12342</v>
      </c>
      <c r="FL87" s="9">
        <v>6</v>
      </c>
      <c r="FM87" s="9">
        <v>48400</v>
      </c>
      <c r="FN87" s="9">
        <v>290400</v>
      </c>
      <c r="FO87" s="9">
        <v>24684</v>
      </c>
      <c r="FP87" s="9">
        <v>5</v>
      </c>
      <c r="FQ87" s="9">
        <v>48400</v>
      </c>
      <c r="FR87" s="9">
        <v>242000</v>
      </c>
      <c r="FS87" s="9">
        <v>20570</v>
      </c>
      <c r="FT87" s="22">
        <v>19</v>
      </c>
      <c r="FU87" s="22"/>
      <c r="FV87" s="22">
        <v>919600</v>
      </c>
      <c r="FW87" s="22">
        <v>78166</v>
      </c>
      <c r="FX87" s="9">
        <v>5</v>
      </c>
      <c r="FY87" s="9">
        <v>48400</v>
      </c>
      <c r="FZ87" s="9">
        <v>242000</v>
      </c>
      <c r="GA87" s="9">
        <v>20570</v>
      </c>
      <c r="GB87" s="9">
        <v>5</v>
      </c>
      <c r="GC87" s="9">
        <v>48400</v>
      </c>
      <c r="GD87" s="9">
        <v>242000</v>
      </c>
      <c r="GE87" s="9">
        <v>20570</v>
      </c>
      <c r="GF87" s="9">
        <v>6</v>
      </c>
      <c r="GG87" s="9">
        <v>48400</v>
      </c>
      <c r="GH87" s="9">
        <v>290400</v>
      </c>
      <c r="GI87" s="9">
        <v>24684</v>
      </c>
      <c r="GJ87" s="9">
        <v>5</v>
      </c>
      <c r="GK87" s="9">
        <v>48400</v>
      </c>
      <c r="GL87" s="9">
        <v>242000</v>
      </c>
      <c r="GM87" s="9">
        <v>20570</v>
      </c>
      <c r="GN87" s="9">
        <v>2</v>
      </c>
      <c r="GO87" s="9">
        <v>48400</v>
      </c>
      <c r="GP87" s="9">
        <v>96800</v>
      </c>
      <c r="GQ87" s="9">
        <v>8228</v>
      </c>
      <c r="GR87" s="22">
        <v>23</v>
      </c>
      <c r="GS87" s="22"/>
      <c r="GT87" s="22">
        <v>1113200</v>
      </c>
      <c r="GU87" s="22">
        <v>94622</v>
      </c>
      <c r="GV87" s="9">
        <v>0</v>
      </c>
      <c r="GW87" s="9">
        <v>0</v>
      </c>
      <c r="GX87" s="9">
        <v>0</v>
      </c>
      <c r="GY87" s="9">
        <v>0</v>
      </c>
      <c r="GZ87" s="9">
        <v>7</v>
      </c>
      <c r="HA87" s="9">
        <v>48400</v>
      </c>
      <c r="HB87" s="9">
        <v>338800</v>
      </c>
      <c r="HC87" s="9">
        <v>28798</v>
      </c>
      <c r="HD87" s="9">
        <v>5</v>
      </c>
      <c r="HE87" s="9">
        <v>48400</v>
      </c>
      <c r="HF87" s="9">
        <v>242000</v>
      </c>
      <c r="HG87" s="9">
        <v>20570</v>
      </c>
      <c r="HH87" s="9">
        <v>5</v>
      </c>
      <c r="HI87" s="9">
        <v>48400</v>
      </c>
      <c r="HJ87" s="9">
        <v>242000</v>
      </c>
      <c r="HK87" s="9">
        <v>20570</v>
      </c>
      <c r="HL87" s="22">
        <v>17</v>
      </c>
      <c r="HM87" s="22"/>
      <c r="HN87" s="22">
        <v>822800</v>
      </c>
      <c r="HO87" s="22">
        <v>69938</v>
      </c>
      <c r="HP87" s="9">
        <v>5</v>
      </c>
      <c r="HQ87" s="9">
        <v>48400</v>
      </c>
      <c r="HR87" s="9">
        <v>242000</v>
      </c>
      <c r="HS87" s="9">
        <v>20570</v>
      </c>
      <c r="HT87" s="9">
        <v>5</v>
      </c>
      <c r="HU87" s="9">
        <v>48400</v>
      </c>
      <c r="HV87" s="9">
        <v>242000</v>
      </c>
      <c r="HW87" s="9">
        <v>20570</v>
      </c>
      <c r="HX87" s="9">
        <v>5</v>
      </c>
      <c r="HY87" s="9">
        <v>48400</v>
      </c>
      <c r="HZ87" s="9">
        <v>242000</v>
      </c>
      <c r="IA87" s="9">
        <v>20570</v>
      </c>
      <c r="IB87" s="9">
        <v>5</v>
      </c>
      <c r="IC87" s="9">
        <v>48400</v>
      </c>
      <c r="ID87" s="9">
        <v>242000</v>
      </c>
      <c r="IE87" s="9">
        <v>20570</v>
      </c>
      <c r="IF87" s="22">
        <v>20</v>
      </c>
      <c r="IG87" s="22"/>
      <c r="IH87" s="22">
        <v>968000</v>
      </c>
      <c r="II87" s="22">
        <v>82280</v>
      </c>
      <c r="IJ87" s="9">
        <v>6</v>
      </c>
      <c r="IK87" s="9">
        <v>48400</v>
      </c>
      <c r="IL87" s="9">
        <v>290400</v>
      </c>
      <c r="IM87" s="9">
        <v>24684</v>
      </c>
      <c r="IN87" s="9">
        <v>4</v>
      </c>
      <c r="IO87" s="9">
        <v>48400</v>
      </c>
      <c r="IP87" s="9">
        <v>193600</v>
      </c>
      <c r="IQ87" s="9">
        <v>16456</v>
      </c>
      <c r="IR87" s="9">
        <v>5</v>
      </c>
      <c r="IS87" s="9">
        <v>48400</v>
      </c>
      <c r="IT87" s="9">
        <v>242000</v>
      </c>
      <c r="IU87" s="9">
        <v>20570</v>
      </c>
      <c r="IV87" s="9">
        <v>3</v>
      </c>
      <c r="IW87" s="9">
        <v>48400</v>
      </c>
      <c r="IX87" s="9">
        <v>145200</v>
      </c>
      <c r="IY87" s="9">
        <v>12342</v>
      </c>
      <c r="IZ87" s="9">
        <v>5</v>
      </c>
      <c r="JA87" s="9">
        <v>48400</v>
      </c>
      <c r="JB87" s="9">
        <v>242000</v>
      </c>
      <c r="JC87" s="9">
        <v>20570</v>
      </c>
      <c r="JD87" s="22">
        <v>23</v>
      </c>
      <c r="JE87" s="22"/>
      <c r="JF87" s="22">
        <v>1113200</v>
      </c>
      <c r="JG87" s="22">
        <v>94622</v>
      </c>
      <c r="JH87" s="9">
        <v>4</v>
      </c>
      <c r="JI87" s="9">
        <v>48400</v>
      </c>
      <c r="JJ87" s="9">
        <v>193600</v>
      </c>
      <c r="JK87" s="9">
        <v>16456</v>
      </c>
      <c r="JL87" s="9">
        <v>6</v>
      </c>
      <c r="JM87" s="9">
        <v>48400</v>
      </c>
      <c r="JN87" s="9">
        <v>290400</v>
      </c>
      <c r="JO87" s="9">
        <v>24684</v>
      </c>
      <c r="JP87" s="9">
        <v>5</v>
      </c>
      <c r="JQ87" s="9">
        <v>48400</v>
      </c>
      <c r="JR87" s="9">
        <v>242000</v>
      </c>
      <c r="JS87" s="9">
        <v>20570</v>
      </c>
      <c r="JT87" s="9">
        <v>5</v>
      </c>
      <c r="JU87" s="9">
        <v>48400</v>
      </c>
      <c r="JV87" s="9">
        <v>242000</v>
      </c>
      <c r="JW87" s="9">
        <v>20570</v>
      </c>
      <c r="JX87" s="22">
        <v>20</v>
      </c>
      <c r="JY87" s="22"/>
      <c r="JZ87" s="22">
        <v>968000</v>
      </c>
      <c r="KA87" s="22">
        <v>82280</v>
      </c>
      <c r="KB87" s="9">
        <v>5</v>
      </c>
      <c r="KC87" s="9">
        <v>48400</v>
      </c>
      <c r="KD87" s="9">
        <v>242000</v>
      </c>
      <c r="KE87" s="9">
        <v>20570</v>
      </c>
      <c r="KF87" s="9">
        <v>5</v>
      </c>
      <c r="KG87" s="9">
        <v>48400</v>
      </c>
      <c r="KH87" s="9">
        <v>242000</v>
      </c>
      <c r="KI87" s="9">
        <v>20570</v>
      </c>
      <c r="KJ87" s="9">
        <v>0</v>
      </c>
      <c r="KK87" s="9">
        <v>0</v>
      </c>
      <c r="KL87" s="9">
        <v>0</v>
      </c>
      <c r="KM87" s="9">
        <v>0</v>
      </c>
      <c r="KN87" s="9">
        <v>7</v>
      </c>
      <c r="KO87" s="9">
        <v>48400</v>
      </c>
      <c r="KP87" s="9">
        <v>338800</v>
      </c>
      <c r="KQ87" s="9">
        <v>28798</v>
      </c>
      <c r="KR87" s="22">
        <v>17</v>
      </c>
      <c r="KS87" s="22"/>
      <c r="KT87" s="22">
        <v>822800</v>
      </c>
      <c r="KU87" s="22">
        <v>69938</v>
      </c>
      <c r="KV87" s="22">
        <v>281</v>
      </c>
      <c r="KW87" s="22"/>
      <c r="KX87" s="22">
        <v>13600400</v>
      </c>
      <c r="KY87" s="22">
        <v>1156034</v>
      </c>
    </row>
    <row r="88" spans="1:311" ht="16.95" customHeight="1" x14ac:dyDescent="0.4">
      <c r="A88" s="15"/>
      <c r="B88" s="15"/>
      <c r="C88" s="15" t="s">
        <v>42</v>
      </c>
      <c r="D88" s="16">
        <v>46.4</v>
      </c>
      <c r="E88" s="16">
        <v>6800</v>
      </c>
      <c r="F88" s="16">
        <v>315520</v>
      </c>
      <c r="G88" s="16">
        <v>26819.200000000001</v>
      </c>
      <c r="H88" s="23">
        <v>46.4</v>
      </c>
      <c r="I88" s="23"/>
      <c r="J88" s="23">
        <v>315520</v>
      </c>
      <c r="K88" s="23">
        <v>26819.200000000001</v>
      </c>
      <c r="L88" s="16">
        <v>163.60000000000002</v>
      </c>
      <c r="M88" s="16">
        <v>6800</v>
      </c>
      <c r="N88" s="16">
        <v>1112480</v>
      </c>
      <c r="O88" s="16">
        <v>94560.8</v>
      </c>
      <c r="P88" s="16">
        <v>170.6</v>
      </c>
      <c r="Q88" s="16">
        <v>6800</v>
      </c>
      <c r="R88" s="16">
        <v>1160080</v>
      </c>
      <c r="S88" s="16">
        <v>98606.8</v>
      </c>
      <c r="T88" s="16">
        <v>145.6</v>
      </c>
      <c r="U88" s="16">
        <v>6800</v>
      </c>
      <c r="V88" s="16">
        <v>990080</v>
      </c>
      <c r="W88" s="16">
        <v>84156.800000000003</v>
      </c>
      <c r="X88" s="16">
        <v>61.1</v>
      </c>
      <c r="Y88" s="16">
        <v>6800</v>
      </c>
      <c r="Z88" s="16">
        <v>415480</v>
      </c>
      <c r="AA88" s="16">
        <v>35315.800000000003</v>
      </c>
      <c r="AB88" s="23">
        <v>540.90000000000009</v>
      </c>
      <c r="AC88" s="23"/>
      <c r="AD88" s="23">
        <v>3678120</v>
      </c>
      <c r="AE88" s="23">
        <v>312640.2</v>
      </c>
      <c r="AF88" s="16">
        <v>171.20000000000002</v>
      </c>
      <c r="AG88" s="16">
        <v>6800</v>
      </c>
      <c r="AH88" s="16">
        <v>1164160</v>
      </c>
      <c r="AI88" s="16">
        <v>98953.600000000006</v>
      </c>
      <c r="AJ88" s="16">
        <v>159.5</v>
      </c>
      <c r="AK88" s="16">
        <v>6800</v>
      </c>
      <c r="AL88" s="16">
        <v>1084600</v>
      </c>
      <c r="AM88" s="16">
        <v>92191</v>
      </c>
      <c r="AN88" s="16">
        <v>154.69999999999999</v>
      </c>
      <c r="AO88" s="16">
        <v>6800</v>
      </c>
      <c r="AP88" s="16">
        <v>1051960</v>
      </c>
      <c r="AQ88" s="16">
        <v>89416.6</v>
      </c>
      <c r="AR88" s="16">
        <v>169.90000000000003</v>
      </c>
      <c r="AS88" s="16">
        <v>6800</v>
      </c>
      <c r="AT88" s="16">
        <v>1155320</v>
      </c>
      <c r="AU88" s="16">
        <v>98202.2</v>
      </c>
      <c r="AV88" s="23">
        <v>655.30000000000007</v>
      </c>
      <c r="AW88" s="23"/>
      <c r="AX88" s="23">
        <v>4456040</v>
      </c>
      <c r="AY88" s="23">
        <v>378763.4</v>
      </c>
      <c r="AZ88" s="16">
        <v>159.19999999999999</v>
      </c>
      <c r="BA88" s="16">
        <v>6800</v>
      </c>
      <c r="BB88" s="16">
        <v>1082560</v>
      </c>
      <c r="BC88" s="16">
        <v>92017.600000000006</v>
      </c>
      <c r="BD88" s="16">
        <v>183.3</v>
      </c>
      <c r="BE88" s="16">
        <v>6800</v>
      </c>
      <c r="BF88" s="16">
        <v>1246440</v>
      </c>
      <c r="BG88" s="16">
        <v>105947.4</v>
      </c>
      <c r="BH88" s="16">
        <v>169.1</v>
      </c>
      <c r="BI88" s="16">
        <v>6800</v>
      </c>
      <c r="BJ88" s="16">
        <v>1149880</v>
      </c>
      <c r="BK88" s="16">
        <v>97739.8</v>
      </c>
      <c r="BL88" s="16">
        <v>171.1</v>
      </c>
      <c r="BM88" s="16">
        <v>6800</v>
      </c>
      <c r="BN88" s="16">
        <v>1163480</v>
      </c>
      <c r="BO88" s="16">
        <v>98895.8</v>
      </c>
      <c r="BP88" s="16">
        <v>162.50000000000003</v>
      </c>
      <c r="BQ88" s="16">
        <v>6800</v>
      </c>
      <c r="BR88" s="16">
        <v>1105000</v>
      </c>
      <c r="BS88" s="16">
        <v>93925</v>
      </c>
      <c r="BT88" s="23">
        <v>845.2</v>
      </c>
      <c r="BU88" s="23"/>
      <c r="BV88" s="23">
        <v>5747360</v>
      </c>
      <c r="BW88" s="23">
        <v>488525.6</v>
      </c>
      <c r="BX88" s="16">
        <v>191.29999999999998</v>
      </c>
      <c r="BY88" s="16">
        <v>6800</v>
      </c>
      <c r="BZ88" s="16">
        <v>1300840</v>
      </c>
      <c r="CA88" s="16">
        <v>110571.4</v>
      </c>
      <c r="CB88" s="16">
        <v>163.6</v>
      </c>
      <c r="CC88" s="16">
        <v>6800</v>
      </c>
      <c r="CD88" s="16">
        <v>1112480</v>
      </c>
      <c r="CE88" s="16">
        <v>94560.8</v>
      </c>
      <c r="CF88" s="16">
        <v>212.9</v>
      </c>
      <c r="CG88" s="16">
        <v>6800</v>
      </c>
      <c r="CH88" s="16">
        <v>1447720</v>
      </c>
      <c r="CI88" s="16">
        <v>123056.2</v>
      </c>
      <c r="CJ88" s="16">
        <v>151.79999999999998</v>
      </c>
      <c r="CK88" s="16">
        <v>6800</v>
      </c>
      <c r="CL88" s="16">
        <v>1032240</v>
      </c>
      <c r="CM88" s="16">
        <v>87740.4</v>
      </c>
      <c r="CN88" s="23">
        <v>719.59999999999991</v>
      </c>
      <c r="CO88" s="23"/>
      <c r="CP88" s="23">
        <v>4893280</v>
      </c>
      <c r="CQ88" s="23">
        <v>415928.8</v>
      </c>
      <c r="CR88" s="16">
        <v>105.2</v>
      </c>
      <c r="CS88" s="16">
        <v>6800</v>
      </c>
      <c r="CT88" s="16">
        <v>715360</v>
      </c>
      <c r="CU88" s="16">
        <v>60805.599999999999</v>
      </c>
      <c r="CV88" s="16">
        <v>174.5</v>
      </c>
      <c r="CW88" s="16">
        <v>6800</v>
      </c>
      <c r="CX88" s="16">
        <v>1186600</v>
      </c>
      <c r="CY88" s="16">
        <v>100861</v>
      </c>
      <c r="CZ88" s="16">
        <v>224.10000000000002</v>
      </c>
      <c r="DA88" s="16">
        <v>6800</v>
      </c>
      <c r="DB88" s="16">
        <v>1523880</v>
      </c>
      <c r="DC88" s="16">
        <v>129529.8</v>
      </c>
      <c r="DD88" s="16">
        <v>204.9</v>
      </c>
      <c r="DE88" s="16">
        <v>6800</v>
      </c>
      <c r="DF88" s="16">
        <v>1393320</v>
      </c>
      <c r="DG88" s="16">
        <v>118432.2</v>
      </c>
      <c r="DH88" s="23">
        <v>708.7</v>
      </c>
      <c r="DI88" s="23"/>
      <c r="DJ88" s="23">
        <v>4819160</v>
      </c>
      <c r="DK88" s="23">
        <v>409628.6</v>
      </c>
      <c r="DL88" s="16">
        <v>111.80000000000001</v>
      </c>
      <c r="DM88" s="16">
        <v>6800</v>
      </c>
      <c r="DN88" s="16">
        <v>760240</v>
      </c>
      <c r="DO88" s="16">
        <v>64620.4</v>
      </c>
      <c r="DP88" s="16">
        <v>185.3</v>
      </c>
      <c r="DQ88" s="16">
        <v>6800</v>
      </c>
      <c r="DR88" s="16">
        <v>1260040</v>
      </c>
      <c r="DS88" s="16">
        <v>107103.4</v>
      </c>
      <c r="DT88" s="16">
        <v>182</v>
      </c>
      <c r="DU88" s="16">
        <v>6800</v>
      </c>
      <c r="DV88" s="16">
        <v>1237600</v>
      </c>
      <c r="DW88" s="16">
        <v>105196</v>
      </c>
      <c r="DX88" s="16">
        <v>189.79999999999998</v>
      </c>
      <c r="DY88" s="16">
        <v>6800</v>
      </c>
      <c r="DZ88" s="16">
        <v>1290640</v>
      </c>
      <c r="EA88" s="16">
        <v>109704.4</v>
      </c>
      <c r="EB88" s="16">
        <v>217.1</v>
      </c>
      <c r="EC88" s="16">
        <v>7300</v>
      </c>
      <c r="ED88" s="16">
        <v>1547330</v>
      </c>
      <c r="EE88" s="16">
        <v>131523.1</v>
      </c>
      <c r="EF88" s="23">
        <v>886</v>
      </c>
      <c r="EG88" s="23"/>
      <c r="EH88" s="23">
        <v>6095850</v>
      </c>
      <c r="EI88" s="23">
        <v>518147.3</v>
      </c>
      <c r="EJ88" s="16">
        <v>222.29999999999998</v>
      </c>
      <c r="EK88" s="16">
        <v>7300</v>
      </c>
      <c r="EL88" s="16">
        <v>1622790</v>
      </c>
      <c r="EM88" s="16">
        <v>137937.20000000001</v>
      </c>
      <c r="EN88" s="16">
        <v>214.7</v>
      </c>
      <c r="EO88" s="16">
        <v>7300</v>
      </c>
      <c r="EP88" s="16">
        <v>1567310</v>
      </c>
      <c r="EQ88" s="16">
        <v>133221.4</v>
      </c>
      <c r="ER88" s="16">
        <v>206.8</v>
      </c>
      <c r="ES88" s="16">
        <v>7300</v>
      </c>
      <c r="ET88" s="16">
        <v>1509640</v>
      </c>
      <c r="EU88" s="16">
        <v>128319.4</v>
      </c>
      <c r="EV88" s="16">
        <v>231.8</v>
      </c>
      <c r="EW88" s="16">
        <v>7300</v>
      </c>
      <c r="EX88" s="16">
        <v>1692140</v>
      </c>
      <c r="EY88" s="16">
        <v>143831.9</v>
      </c>
      <c r="EZ88" s="23">
        <v>875.59999999999991</v>
      </c>
      <c r="FA88" s="23"/>
      <c r="FB88" s="23">
        <v>6391880</v>
      </c>
      <c r="FC88" s="23">
        <v>543309.80000000005</v>
      </c>
      <c r="FD88" s="16">
        <v>230</v>
      </c>
      <c r="FE88" s="16">
        <v>7300</v>
      </c>
      <c r="FF88" s="16">
        <v>1679000</v>
      </c>
      <c r="FG88" s="16">
        <v>142715</v>
      </c>
      <c r="FH88" s="16">
        <v>127.8</v>
      </c>
      <c r="FI88" s="16">
        <v>7300</v>
      </c>
      <c r="FJ88" s="16">
        <v>932940</v>
      </c>
      <c r="FK88" s="16">
        <v>79299.899999999994</v>
      </c>
      <c r="FL88" s="16">
        <v>232.3</v>
      </c>
      <c r="FM88" s="16">
        <v>7300</v>
      </c>
      <c r="FN88" s="16">
        <v>1695790</v>
      </c>
      <c r="FO88" s="16">
        <v>144142.20000000001</v>
      </c>
      <c r="FP88" s="16">
        <v>176.7</v>
      </c>
      <c r="FQ88" s="16">
        <v>7300</v>
      </c>
      <c r="FR88" s="16">
        <v>1289910</v>
      </c>
      <c r="FS88" s="16">
        <v>109642.4</v>
      </c>
      <c r="FT88" s="23">
        <v>766.8</v>
      </c>
      <c r="FU88" s="23"/>
      <c r="FV88" s="23">
        <v>5597640</v>
      </c>
      <c r="FW88" s="23">
        <v>475799.4</v>
      </c>
      <c r="FX88" s="16">
        <v>179.9</v>
      </c>
      <c r="FY88" s="16">
        <v>7300</v>
      </c>
      <c r="FZ88" s="16">
        <v>1313270</v>
      </c>
      <c r="GA88" s="16">
        <v>111628</v>
      </c>
      <c r="GB88" s="16">
        <v>196.2</v>
      </c>
      <c r="GC88" s="16">
        <v>7300</v>
      </c>
      <c r="GD88" s="16">
        <v>1432260</v>
      </c>
      <c r="GE88" s="16">
        <v>121742.1</v>
      </c>
      <c r="GF88" s="16">
        <v>156.30000000000001</v>
      </c>
      <c r="GG88" s="16">
        <v>7300</v>
      </c>
      <c r="GH88" s="16">
        <v>1140990</v>
      </c>
      <c r="GI88" s="16">
        <v>96984.2</v>
      </c>
      <c r="GJ88" s="16">
        <v>175.8</v>
      </c>
      <c r="GK88" s="16">
        <v>7300</v>
      </c>
      <c r="GL88" s="16">
        <v>1283340</v>
      </c>
      <c r="GM88" s="16">
        <v>109083.9</v>
      </c>
      <c r="GN88" s="16">
        <v>79.7</v>
      </c>
      <c r="GO88" s="16">
        <v>7300</v>
      </c>
      <c r="GP88" s="16">
        <v>581810</v>
      </c>
      <c r="GQ88" s="16">
        <v>49453.9</v>
      </c>
      <c r="GR88" s="23">
        <v>787.90000000000009</v>
      </c>
      <c r="GS88" s="23"/>
      <c r="GT88" s="23">
        <v>5751670</v>
      </c>
      <c r="GU88" s="23">
        <v>488892</v>
      </c>
      <c r="GV88" s="16">
        <v>45.3</v>
      </c>
      <c r="GW88" s="16">
        <v>7300</v>
      </c>
      <c r="GX88" s="16">
        <v>330690</v>
      </c>
      <c r="GY88" s="16">
        <v>28108.7</v>
      </c>
      <c r="GZ88" s="16">
        <v>158</v>
      </c>
      <c r="HA88" s="16">
        <v>7300</v>
      </c>
      <c r="HB88" s="16">
        <v>1153400</v>
      </c>
      <c r="HC88" s="16">
        <v>98039</v>
      </c>
      <c r="HD88" s="16">
        <v>143.20000000000002</v>
      </c>
      <c r="HE88" s="16">
        <v>7300</v>
      </c>
      <c r="HF88" s="16">
        <v>1045360</v>
      </c>
      <c r="HG88" s="16">
        <v>88855.6</v>
      </c>
      <c r="HH88" s="16">
        <v>168.4</v>
      </c>
      <c r="HI88" s="16">
        <v>7300</v>
      </c>
      <c r="HJ88" s="16">
        <v>1229320</v>
      </c>
      <c r="HK88" s="16">
        <v>104492.2</v>
      </c>
      <c r="HL88" s="23">
        <v>514.9</v>
      </c>
      <c r="HM88" s="23"/>
      <c r="HN88" s="23">
        <v>3758770</v>
      </c>
      <c r="HO88" s="23">
        <v>319495.5</v>
      </c>
      <c r="HP88" s="16">
        <v>138.5</v>
      </c>
      <c r="HQ88" s="16">
        <v>7300</v>
      </c>
      <c r="HR88" s="16">
        <v>1011050</v>
      </c>
      <c r="HS88" s="16">
        <v>85939.3</v>
      </c>
      <c r="HT88" s="16">
        <v>142.5</v>
      </c>
      <c r="HU88" s="16">
        <v>7300</v>
      </c>
      <c r="HV88" s="16">
        <v>1040250</v>
      </c>
      <c r="HW88" s="16">
        <v>88421.3</v>
      </c>
      <c r="HX88" s="16">
        <v>158.19999999999999</v>
      </c>
      <c r="HY88" s="16">
        <v>7300</v>
      </c>
      <c r="HZ88" s="16">
        <v>1154860</v>
      </c>
      <c r="IA88" s="16">
        <v>98163.1</v>
      </c>
      <c r="IB88" s="16">
        <v>158.30000000000001</v>
      </c>
      <c r="IC88" s="16">
        <v>7300</v>
      </c>
      <c r="ID88" s="16">
        <v>1155590</v>
      </c>
      <c r="IE88" s="16">
        <v>98225.2</v>
      </c>
      <c r="IF88" s="23">
        <v>597.5</v>
      </c>
      <c r="IG88" s="23"/>
      <c r="IH88" s="23">
        <v>4361750</v>
      </c>
      <c r="II88" s="23">
        <v>370748.8</v>
      </c>
      <c r="IJ88" s="16">
        <v>155.6</v>
      </c>
      <c r="IK88" s="16">
        <v>7300</v>
      </c>
      <c r="IL88" s="16">
        <v>1135880</v>
      </c>
      <c r="IM88" s="16">
        <v>96549.8</v>
      </c>
      <c r="IN88" s="16">
        <v>142</v>
      </c>
      <c r="IO88" s="16">
        <v>7300</v>
      </c>
      <c r="IP88" s="16">
        <v>1036600</v>
      </c>
      <c r="IQ88" s="16">
        <v>88111</v>
      </c>
      <c r="IR88" s="16">
        <v>154.10000000000002</v>
      </c>
      <c r="IS88" s="16">
        <v>7300</v>
      </c>
      <c r="IT88" s="16">
        <v>1124930</v>
      </c>
      <c r="IU88" s="16">
        <v>95619.1</v>
      </c>
      <c r="IV88" s="16">
        <v>116.19999999999999</v>
      </c>
      <c r="IW88" s="16">
        <v>7300</v>
      </c>
      <c r="IX88" s="16">
        <v>848260</v>
      </c>
      <c r="IY88" s="16">
        <v>72102.100000000006</v>
      </c>
      <c r="IZ88" s="16">
        <v>100</v>
      </c>
      <c r="JA88" s="16">
        <v>7300</v>
      </c>
      <c r="JB88" s="16">
        <v>730000</v>
      </c>
      <c r="JC88" s="16">
        <v>62050</v>
      </c>
      <c r="JD88" s="23">
        <v>667.90000000000009</v>
      </c>
      <c r="JE88" s="23"/>
      <c r="JF88" s="23">
        <v>4875670</v>
      </c>
      <c r="JG88" s="23">
        <v>414432</v>
      </c>
      <c r="JH88" s="16">
        <v>129.4</v>
      </c>
      <c r="JI88" s="16">
        <v>7300</v>
      </c>
      <c r="JJ88" s="16">
        <v>944620</v>
      </c>
      <c r="JK88" s="16">
        <v>80292.7</v>
      </c>
      <c r="JL88" s="16">
        <v>163.5</v>
      </c>
      <c r="JM88" s="16">
        <v>7300</v>
      </c>
      <c r="JN88" s="16">
        <v>1193550</v>
      </c>
      <c r="JO88" s="16">
        <v>101451.8</v>
      </c>
      <c r="JP88" s="16">
        <v>180.79999999999998</v>
      </c>
      <c r="JQ88" s="16">
        <v>7300</v>
      </c>
      <c r="JR88" s="16">
        <v>1319840</v>
      </c>
      <c r="JS88" s="16">
        <v>112186.4</v>
      </c>
      <c r="JT88" s="16">
        <v>130.9</v>
      </c>
      <c r="JU88" s="16">
        <v>7300</v>
      </c>
      <c r="JV88" s="16">
        <v>955570</v>
      </c>
      <c r="JW88" s="16">
        <v>81223.5</v>
      </c>
      <c r="JX88" s="23">
        <v>604.59999999999991</v>
      </c>
      <c r="JY88" s="23"/>
      <c r="JZ88" s="23">
        <v>4413580</v>
      </c>
      <c r="KA88" s="23">
        <v>375154.3</v>
      </c>
      <c r="KB88" s="16">
        <v>161.30000000000001</v>
      </c>
      <c r="KC88" s="16">
        <v>7300</v>
      </c>
      <c r="KD88" s="16">
        <v>1177490</v>
      </c>
      <c r="KE88" s="16">
        <v>100086.7</v>
      </c>
      <c r="KF88" s="16">
        <v>144.9</v>
      </c>
      <c r="KG88" s="16">
        <v>7300</v>
      </c>
      <c r="KH88" s="16">
        <v>1057770</v>
      </c>
      <c r="KI88" s="16">
        <v>89910.5</v>
      </c>
      <c r="KJ88" s="16">
        <v>50.7</v>
      </c>
      <c r="KK88" s="16">
        <v>7300</v>
      </c>
      <c r="KL88" s="16">
        <v>370110</v>
      </c>
      <c r="KM88" s="16">
        <v>31459.4</v>
      </c>
      <c r="KN88" s="16">
        <v>152.69999999999999</v>
      </c>
      <c r="KO88" s="16">
        <v>7300</v>
      </c>
      <c r="KP88" s="16">
        <v>1114710</v>
      </c>
      <c r="KQ88" s="16">
        <v>94750.399999999994</v>
      </c>
      <c r="KR88" s="23">
        <v>509.6</v>
      </c>
      <c r="KS88" s="23"/>
      <c r="KT88" s="23">
        <v>3720080</v>
      </c>
      <c r="KU88" s="23">
        <v>316206.8</v>
      </c>
      <c r="KV88" s="23">
        <v>9726.9000000000015</v>
      </c>
      <c r="KW88" s="23"/>
      <c r="KX88" s="23">
        <v>68876370</v>
      </c>
      <c r="KY88" s="23">
        <v>5854491.5</v>
      </c>
    </row>
    <row r="89" spans="1:311" ht="16.95" customHeight="1" x14ac:dyDescent="0.4">
      <c r="A89" s="11"/>
      <c r="B89" s="11"/>
      <c r="C89" s="11" t="s">
        <v>58</v>
      </c>
      <c r="D89" s="9">
        <v>0</v>
      </c>
      <c r="E89" s="9">
        <v>0</v>
      </c>
      <c r="F89" s="9">
        <v>0</v>
      </c>
      <c r="G89" s="9">
        <v>0</v>
      </c>
      <c r="H89" s="22">
        <v>0</v>
      </c>
      <c r="I89" s="22"/>
      <c r="J89" s="22">
        <v>0</v>
      </c>
      <c r="K89" s="22">
        <v>0</v>
      </c>
      <c r="L89" s="9">
        <v>1</v>
      </c>
      <c r="M89" s="9">
        <v>132968</v>
      </c>
      <c r="N89" s="9">
        <v>132968</v>
      </c>
      <c r="O89" s="9">
        <v>11302.3</v>
      </c>
      <c r="P89" s="9">
        <v>1</v>
      </c>
      <c r="Q89" s="9">
        <v>132968</v>
      </c>
      <c r="R89" s="9">
        <v>132968</v>
      </c>
      <c r="S89" s="9">
        <v>11302.3</v>
      </c>
      <c r="T89" s="9">
        <v>1</v>
      </c>
      <c r="U89" s="9">
        <v>132968</v>
      </c>
      <c r="V89" s="9">
        <v>132968</v>
      </c>
      <c r="W89" s="9">
        <v>11302.3</v>
      </c>
      <c r="X89" s="9">
        <v>0</v>
      </c>
      <c r="Y89" s="9">
        <v>0</v>
      </c>
      <c r="Z89" s="9">
        <v>0</v>
      </c>
      <c r="AA89" s="9">
        <v>0</v>
      </c>
      <c r="AB89" s="22">
        <v>3</v>
      </c>
      <c r="AC89" s="22"/>
      <c r="AD89" s="22">
        <v>398904</v>
      </c>
      <c r="AE89" s="22">
        <v>33906.800000000003</v>
      </c>
      <c r="AF89" s="9">
        <v>1</v>
      </c>
      <c r="AG89" s="9">
        <v>132968</v>
      </c>
      <c r="AH89" s="9">
        <v>132968</v>
      </c>
      <c r="AI89" s="9">
        <v>11302.3</v>
      </c>
      <c r="AJ89" s="9">
        <v>2</v>
      </c>
      <c r="AK89" s="9">
        <v>132968</v>
      </c>
      <c r="AL89" s="9">
        <v>265936</v>
      </c>
      <c r="AM89" s="9">
        <v>22604.6</v>
      </c>
      <c r="AN89" s="9">
        <v>1</v>
      </c>
      <c r="AO89" s="9">
        <v>132968</v>
      </c>
      <c r="AP89" s="9">
        <v>132968</v>
      </c>
      <c r="AQ89" s="9">
        <v>11302.3</v>
      </c>
      <c r="AR89" s="9">
        <v>1</v>
      </c>
      <c r="AS89" s="9">
        <v>132968</v>
      </c>
      <c r="AT89" s="9">
        <v>132968</v>
      </c>
      <c r="AU89" s="9">
        <v>11302.3</v>
      </c>
      <c r="AV89" s="22">
        <v>5</v>
      </c>
      <c r="AW89" s="22"/>
      <c r="AX89" s="22">
        <v>664840</v>
      </c>
      <c r="AY89" s="22">
        <v>56511.4</v>
      </c>
      <c r="AZ89" s="9">
        <v>2</v>
      </c>
      <c r="BA89" s="9">
        <v>132968</v>
      </c>
      <c r="BB89" s="9">
        <v>265936</v>
      </c>
      <c r="BC89" s="9">
        <v>22604.6</v>
      </c>
      <c r="BD89" s="9">
        <v>1</v>
      </c>
      <c r="BE89" s="9">
        <v>132968</v>
      </c>
      <c r="BF89" s="9">
        <v>132968</v>
      </c>
      <c r="BG89" s="9">
        <v>11302.3</v>
      </c>
      <c r="BH89" s="9">
        <v>1</v>
      </c>
      <c r="BI89" s="9">
        <v>132968</v>
      </c>
      <c r="BJ89" s="9">
        <v>132968</v>
      </c>
      <c r="BK89" s="9">
        <v>11302.3</v>
      </c>
      <c r="BL89" s="9">
        <v>2</v>
      </c>
      <c r="BM89" s="9">
        <v>132968</v>
      </c>
      <c r="BN89" s="9">
        <v>265936</v>
      </c>
      <c r="BO89" s="9">
        <v>22604.6</v>
      </c>
      <c r="BP89" s="9">
        <v>2</v>
      </c>
      <c r="BQ89" s="9">
        <v>132968</v>
      </c>
      <c r="BR89" s="9">
        <v>265936</v>
      </c>
      <c r="BS89" s="9">
        <v>22604.6</v>
      </c>
      <c r="BT89" s="22">
        <v>8</v>
      </c>
      <c r="BU89" s="22"/>
      <c r="BV89" s="22">
        <v>1063744</v>
      </c>
      <c r="BW89" s="22">
        <v>90418.2</v>
      </c>
      <c r="BX89" s="9">
        <v>1</v>
      </c>
      <c r="BY89" s="9">
        <v>132968</v>
      </c>
      <c r="BZ89" s="9">
        <v>132968</v>
      </c>
      <c r="CA89" s="9">
        <v>11302.3</v>
      </c>
      <c r="CB89" s="9">
        <v>3</v>
      </c>
      <c r="CC89" s="9">
        <v>132968</v>
      </c>
      <c r="CD89" s="9">
        <v>398904</v>
      </c>
      <c r="CE89" s="9">
        <v>33906.800000000003</v>
      </c>
      <c r="CF89" s="9">
        <v>2</v>
      </c>
      <c r="CG89" s="9">
        <v>132968</v>
      </c>
      <c r="CH89" s="9">
        <v>265936</v>
      </c>
      <c r="CI89" s="9">
        <v>22604.6</v>
      </c>
      <c r="CJ89" s="9">
        <v>1</v>
      </c>
      <c r="CK89" s="9">
        <v>132968</v>
      </c>
      <c r="CL89" s="9">
        <v>132968</v>
      </c>
      <c r="CM89" s="9">
        <v>11302.3</v>
      </c>
      <c r="CN89" s="22">
        <v>7</v>
      </c>
      <c r="CO89" s="22"/>
      <c r="CP89" s="22">
        <v>930776</v>
      </c>
      <c r="CQ89" s="22">
        <v>79116</v>
      </c>
      <c r="CR89" s="9">
        <v>2</v>
      </c>
      <c r="CS89" s="9">
        <v>132968</v>
      </c>
      <c r="CT89" s="9">
        <v>265936</v>
      </c>
      <c r="CU89" s="9">
        <v>22604.6</v>
      </c>
      <c r="CV89" s="9">
        <v>2</v>
      </c>
      <c r="CW89" s="9">
        <v>132968</v>
      </c>
      <c r="CX89" s="9">
        <v>265936</v>
      </c>
      <c r="CY89" s="9">
        <v>22604.6</v>
      </c>
      <c r="CZ89" s="9">
        <v>2</v>
      </c>
      <c r="DA89" s="9">
        <v>132968</v>
      </c>
      <c r="DB89" s="9">
        <v>265936</v>
      </c>
      <c r="DC89" s="9">
        <v>22604.6</v>
      </c>
      <c r="DD89" s="9">
        <v>2</v>
      </c>
      <c r="DE89" s="9">
        <v>132968</v>
      </c>
      <c r="DF89" s="9">
        <v>265936</v>
      </c>
      <c r="DG89" s="9">
        <v>22604.6</v>
      </c>
      <c r="DH89" s="22">
        <v>8</v>
      </c>
      <c r="DI89" s="22"/>
      <c r="DJ89" s="22">
        <v>1063744</v>
      </c>
      <c r="DK89" s="22">
        <v>90418.2</v>
      </c>
      <c r="DL89" s="9">
        <v>1</v>
      </c>
      <c r="DM89" s="9">
        <v>132968</v>
      </c>
      <c r="DN89" s="9">
        <v>132968</v>
      </c>
      <c r="DO89" s="9">
        <v>11302.3</v>
      </c>
      <c r="DP89" s="9">
        <v>3</v>
      </c>
      <c r="DQ89" s="9">
        <v>132968</v>
      </c>
      <c r="DR89" s="9">
        <v>398904</v>
      </c>
      <c r="DS89" s="9">
        <v>33906.800000000003</v>
      </c>
      <c r="DT89" s="9">
        <v>3</v>
      </c>
      <c r="DU89" s="9">
        <v>132968</v>
      </c>
      <c r="DV89" s="9">
        <v>398904</v>
      </c>
      <c r="DW89" s="9">
        <v>33906.800000000003</v>
      </c>
      <c r="DX89" s="9">
        <v>1</v>
      </c>
      <c r="DY89" s="9">
        <v>132968</v>
      </c>
      <c r="DZ89" s="9">
        <v>132968</v>
      </c>
      <c r="EA89" s="9">
        <v>11302.3</v>
      </c>
      <c r="EB89" s="9">
        <v>3</v>
      </c>
      <c r="EC89" s="9">
        <v>132968</v>
      </c>
      <c r="ED89" s="9">
        <v>398904</v>
      </c>
      <c r="EE89" s="9">
        <v>33906.800000000003</v>
      </c>
      <c r="EF89" s="22">
        <v>11</v>
      </c>
      <c r="EG89" s="22"/>
      <c r="EH89" s="22">
        <v>1462648</v>
      </c>
      <c r="EI89" s="22">
        <v>124325.1</v>
      </c>
      <c r="EJ89" s="9">
        <v>2</v>
      </c>
      <c r="EK89" s="9">
        <v>132968</v>
      </c>
      <c r="EL89" s="9">
        <v>265936</v>
      </c>
      <c r="EM89" s="9">
        <v>22604.6</v>
      </c>
      <c r="EN89" s="9">
        <v>3</v>
      </c>
      <c r="EO89" s="9">
        <v>132968</v>
      </c>
      <c r="EP89" s="9">
        <v>398904</v>
      </c>
      <c r="EQ89" s="9">
        <v>33906.800000000003</v>
      </c>
      <c r="ER89" s="9">
        <v>2</v>
      </c>
      <c r="ES89" s="9">
        <v>132968</v>
      </c>
      <c r="ET89" s="9">
        <v>265936</v>
      </c>
      <c r="EU89" s="9">
        <v>22604.6</v>
      </c>
      <c r="EV89" s="9">
        <v>2</v>
      </c>
      <c r="EW89" s="9">
        <v>132968</v>
      </c>
      <c r="EX89" s="9">
        <v>265936</v>
      </c>
      <c r="EY89" s="9">
        <v>22604.6</v>
      </c>
      <c r="EZ89" s="22">
        <v>9</v>
      </c>
      <c r="FA89" s="22"/>
      <c r="FB89" s="22">
        <v>1196712</v>
      </c>
      <c r="FC89" s="22">
        <v>101720.5</v>
      </c>
      <c r="FD89" s="9">
        <v>2</v>
      </c>
      <c r="FE89" s="9">
        <v>132968</v>
      </c>
      <c r="FF89" s="9">
        <v>265936</v>
      </c>
      <c r="FG89" s="9">
        <v>22604.6</v>
      </c>
      <c r="FH89" s="9">
        <v>2</v>
      </c>
      <c r="FI89" s="9">
        <v>132968</v>
      </c>
      <c r="FJ89" s="9">
        <v>265936</v>
      </c>
      <c r="FK89" s="9">
        <v>22604.6</v>
      </c>
      <c r="FL89" s="9">
        <v>2</v>
      </c>
      <c r="FM89" s="9">
        <v>132968</v>
      </c>
      <c r="FN89" s="9">
        <v>265936</v>
      </c>
      <c r="FO89" s="9">
        <v>22604.6</v>
      </c>
      <c r="FP89" s="9">
        <v>2</v>
      </c>
      <c r="FQ89" s="9">
        <v>132968</v>
      </c>
      <c r="FR89" s="9">
        <v>265936</v>
      </c>
      <c r="FS89" s="9">
        <v>22604.6</v>
      </c>
      <c r="FT89" s="22">
        <v>8</v>
      </c>
      <c r="FU89" s="22"/>
      <c r="FV89" s="22">
        <v>1063744</v>
      </c>
      <c r="FW89" s="22">
        <v>90418.2</v>
      </c>
      <c r="FX89" s="9">
        <v>0</v>
      </c>
      <c r="FY89" s="9">
        <v>0</v>
      </c>
      <c r="FZ89" s="9">
        <v>0</v>
      </c>
      <c r="GA89" s="9">
        <v>0</v>
      </c>
      <c r="GB89" s="9">
        <v>3</v>
      </c>
      <c r="GC89" s="9">
        <v>132968</v>
      </c>
      <c r="GD89" s="9">
        <v>398904</v>
      </c>
      <c r="GE89" s="9">
        <v>33906.800000000003</v>
      </c>
      <c r="GF89" s="9">
        <v>1</v>
      </c>
      <c r="GG89" s="9">
        <v>132968</v>
      </c>
      <c r="GH89" s="9">
        <v>132968</v>
      </c>
      <c r="GI89" s="9">
        <v>11302.3</v>
      </c>
      <c r="GJ89" s="9">
        <v>1</v>
      </c>
      <c r="GK89" s="9">
        <v>132968</v>
      </c>
      <c r="GL89" s="9">
        <v>132968</v>
      </c>
      <c r="GM89" s="9">
        <v>11302.3</v>
      </c>
      <c r="GN89" s="9">
        <v>0</v>
      </c>
      <c r="GO89" s="9">
        <v>0</v>
      </c>
      <c r="GP89" s="9">
        <v>0</v>
      </c>
      <c r="GQ89" s="9">
        <v>0</v>
      </c>
      <c r="GR89" s="22">
        <v>5</v>
      </c>
      <c r="GS89" s="22"/>
      <c r="GT89" s="22">
        <v>664840</v>
      </c>
      <c r="GU89" s="22">
        <v>56511.4</v>
      </c>
      <c r="GV89" s="9">
        <v>0</v>
      </c>
      <c r="GW89" s="9">
        <v>0</v>
      </c>
      <c r="GX89" s="9">
        <v>0</v>
      </c>
      <c r="GY89" s="9">
        <v>0</v>
      </c>
      <c r="GZ89" s="9">
        <v>2</v>
      </c>
      <c r="HA89" s="9">
        <v>132968</v>
      </c>
      <c r="HB89" s="9">
        <v>265936</v>
      </c>
      <c r="HC89" s="9">
        <v>22604.6</v>
      </c>
      <c r="HD89" s="9">
        <v>0</v>
      </c>
      <c r="HE89" s="9">
        <v>0</v>
      </c>
      <c r="HF89" s="9">
        <v>0</v>
      </c>
      <c r="HG89" s="9">
        <v>0</v>
      </c>
      <c r="HH89" s="9">
        <v>1</v>
      </c>
      <c r="HI89" s="9">
        <v>132968</v>
      </c>
      <c r="HJ89" s="9">
        <v>132968</v>
      </c>
      <c r="HK89" s="9">
        <v>11302.3</v>
      </c>
      <c r="HL89" s="22">
        <v>3</v>
      </c>
      <c r="HM89" s="22"/>
      <c r="HN89" s="22">
        <v>398904</v>
      </c>
      <c r="HO89" s="22">
        <v>33906.800000000003</v>
      </c>
      <c r="HP89" s="9">
        <v>2</v>
      </c>
      <c r="HQ89" s="9">
        <v>132968</v>
      </c>
      <c r="HR89" s="9">
        <v>265936</v>
      </c>
      <c r="HS89" s="9">
        <v>22604.6</v>
      </c>
      <c r="HT89" s="9">
        <v>0</v>
      </c>
      <c r="HU89" s="9">
        <v>0</v>
      </c>
      <c r="HV89" s="9">
        <v>0</v>
      </c>
      <c r="HW89" s="9">
        <v>0</v>
      </c>
      <c r="HX89" s="9">
        <v>0</v>
      </c>
      <c r="HY89" s="9">
        <v>0</v>
      </c>
      <c r="HZ89" s="9">
        <v>0</v>
      </c>
      <c r="IA89" s="9">
        <v>0</v>
      </c>
      <c r="IB89" s="9">
        <v>0</v>
      </c>
      <c r="IC89" s="9">
        <v>0</v>
      </c>
      <c r="ID89" s="9">
        <v>0</v>
      </c>
      <c r="IE89" s="9">
        <v>0</v>
      </c>
      <c r="IF89" s="22">
        <v>2</v>
      </c>
      <c r="IG89" s="22"/>
      <c r="IH89" s="22">
        <v>265936</v>
      </c>
      <c r="II89" s="22">
        <v>22604.6</v>
      </c>
      <c r="IJ89" s="9">
        <v>0</v>
      </c>
      <c r="IK89" s="9">
        <v>0</v>
      </c>
      <c r="IL89" s="9">
        <v>0</v>
      </c>
      <c r="IM89" s="9">
        <v>0</v>
      </c>
      <c r="IN89" s="9">
        <v>0</v>
      </c>
      <c r="IO89" s="9">
        <v>0</v>
      </c>
      <c r="IP89" s="9">
        <v>0</v>
      </c>
      <c r="IQ89" s="9">
        <v>0</v>
      </c>
      <c r="IR89" s="9">
        <v>0</v>
      </c>
      <c r="IS89" s="9">
        <v>0</v>
      </c>
      <c r="IT89" s="9">
        <v>0</v>
      </c>
      <c r="IU89" s="9">
        <v>0</v>
      </c>
      <c r="IV89" s="9">
        <v>0</v>
      </c>
      <c r="IW89" s="9">
        <v>0</v>
      </c>
      <c r="IX89" s="9">
        <v>0</v>
      </c>
      <c r="IY89" s="9">
        <v>0</v>
      </c>
      <c r="IZ89" s="9">
        <v>0</v>
      </c>
      <c r="JA89" s="9">
        <v>0</v>
      </c>
      <c r="JB89" s="9">
        <v>0</v>
      </c>
      <c r="JC89" s="9">
        <v>0</v>
      </c>
      <c r="JD89" s="22">
        <v>0</v>
      </c>
      <c r="JE89" s="22"/>
      <c r="JF89" s="22">
        <v>0</v>
      </c>
      <c r="JG89" s="22">
        <v>0</v>
      </c>
      <c r="JH89" s="9">
        <v>0</v>
      </c>
      <c r="JI89" s="9">
        <v>0</v>
      </c>
      <c r="JJ89" s="9">
        <v>0</v>
      </c>
      <c r="JK89" s="9">
        <v>0</v>
      </c>
      <c r="JL89" s="9">
        <v>0</v>
      </c>
      <c r="JM89" s="9">
        <v>0</v>
      </c>
      <c r="JN89" s="9">
        <v>0</v>
      </c>
      <c r="JO89" s="9">
        <v>0</v>
      </c>
      <c r="JP89" s="9">
        <v>0</v>
      </c>
      <c r="JQ89" s="9">
        <v>0</v>
      </c>
      <c r="JR89" s="9">
        <v>0</v>
      </c>
      <c r="JS89" s="9">
        <v>0</v>
      </c>
      <c r="JT89" s="9">
        <v>0</v>
      </c>
      <c r="JU89" s="9">
        <v>0</v>
      </c>
      <c r="JV89" s="9">
        <v>0</v>
      </c>
      <c r="JW89" s="9">
        <v>0</v>
      </c>
      <c r="JX89" s="22">
        <v>0</v>
      </c>
      <c r="JY89" s="22"/>
      <c r="JZ89" s="22">
        <v>0</v>
      </c>
      <c r="KA89" s="22">
        <v>0</v>
      </c>
      <c r="KB89" s="9">
        <v>2</v>
      </c>
      <c r="KC89" s="9">
        <v>132968</v>
      </c>
      <c r="KD89" s="9">
        <v>265936</v>
      </c>
      <c r="KE89" s="9">
        <v>22604.6</v>
      </c>
      <c r="KF89" s="9">
        <v>0</v>
      </c>
      <c r="KG89" s="9">
        <v>0</v>
      </c>
      <c r="KH89" s="9">
        <v>0</v>
      </c>
      <c r="KI89" s="9">
        <v>0</v>
      </c>
      <c r="KJ89" s="9">
        <v>0</v>
      </c>
      <c r="KK89" s="9">
        <v>0</v>
      </c>
      <c r="KL89" s="9">
        <v>0</v>
      </c>
      <c r="KM89" s="9">
        <v>0</v>
      </c>
      <c r="KN89" s="9">
        <v>0</v>
      </c>
      <c r="KO89" s="9">
        <v>0</v>
      </c>
      <c r="KP89" s="9">
        <v>0</v>
      </c>
      <c r="KQ89" s="9">
        <v>0</v>
      </c>
      <c r="KR89" s="22">
        <v>2</v>
      </c>
      <c r="KS89" s="22"/>
      <c r="KT89" s="22">
        <v>265936</v>
      </c>
      <c r="KU89" s="22">
        <v>22604.6</v>
      </c>
      <c r="KV89" s="22">
        <v>71</v>
      </c>
      <c r="KW89" s="22"/>
      <c r="KX89" s="22">
        <v>9440728</v>
      </c>
      <c r="KY89" s="22">
        <v>802461.9</v>
      </c>
    </row>
    <row r="90" spans="1:311" ht="16.95" customHeight="1" x14ac:dyDescent="0.4">
      <c r="A90" s="15"/>
      <c r="B90" s="15"/>
      <c r="C90" s="15" t="s">
        <v>13</v>
      </c>
      <c r="D90" s="16">
        <v>2</v>
      </c>
      <c r="E90" s="16">
        <v>46200</v>
      </c>
      <c r="F90" s="16">
        <v>92400</v>
      </c>
      <c r="G90" s="16">
        <v>7854</v>
      </c>
      <c r="H90" s="23">
        <v>2</v>
      </c>
      <c r="I90" s="23"/>
      <c r="J90" s="23">
        <v>92400</v>
      </c>
      <c r="K90" s="23">
        <v>7854</v>
      </c>
      <c r="L90" s="16">
        <v>10</v>
      </c>
      <c r="M90" s="16">
        <v>46200</v>
      </c>
      <c r="N90" s="16">
        <v>462000</v>
      </c>
      <c r="O90" s="16">
        <v>39270</v>
      </c>
      <c r="P90" s="16">
        <v>14</v>
      </c>
      <c r="Q90" s="16">
        <v>46200</v>
      </c>
      <c r="R90" s="16">
        <v>646800</v>
      </c>
      <c r="S90" s="16">
        <v>54978</v>
      </c>
      <c r="T90" s="16">
        <v>11</v>
      </c>
      <c r="U90" s="16">
        <v>46200</v>
      </c>
      <c r="V90" s="16">
        <v>508200</v>
      </c>
      <c r="W90" s="16">
        <v>43197</v>
      </c>
      <c r="X90" s="16">
        <v>0</v>
      </c>
      <c r="Y90" s="16">
        <v>0</v>
      </c>
      <c r="Z90" s="16">
        <v>0</v>
      </c>
      <c r="AA90" s="16">
        <v>0</v>
      </c>
      <c r="AB90" s="23">
        <v>35</v>
      </c>
      <c r="AC90" s="23"/>
      <c r="AD90" s="23">
        <v>1617000</v>
      </c>
      <c r="AE90" s="23">
        <v>137445</v>
      </c>
      <c r="AF90" s="16">
        <v>14</v>
      </c>
      <c r="AG90" s="16">
        <v>46200</v>
      </c>
      <c r="AH90" s="16">
        <v>646800</v>
      </c>
      <c r="AI90" s="16">
        <v>54978</v>
      </c>
      <c r="AJ90" s="16">
        <v>11</v>
      </c>
      <c r="AK90" s="16">
        <v>46200</v>
      </c>
      <c r="AL90" s="16">
        <v>508200</v>
      </c>
      <c r="AM90" s="16">
        <v>43197</v>
      </c>
      <c r="AN90" s="16">
        <v>8</v>
      </c>
      <c r="AO90" s="16">
        <v>46200</v>
      </c>
      <c r="AP90" s="16">
        <v>369600</v>
      </c>
      <c r="AQ90" s="16">
        <v>31416</v>
      </c>
      <c r="AR90" s="16">
        <v>13</v>
      </c>
      <c r="AS90" s="16">
        <v>46200</v>
      </c>
      <c r="AT90" s="16">
        <v>600600</v>
      </c>
      <c r="AU90" s="16">
        <v>51051</v>
      </c>
      <c r="AV90" s="23">
        <v>46</v>
      </c>
      <c r="AW90" s="23"/>
      <c r="AX90" s="23">
        <v>2125200</v>
      </c>
      <c r="AY90" s="23">
        <v>180642</v>
      </c>
      <c r="AZ90" s="16">
        <v>12</v>
      </c>
      <c r="BA90" s="16">
        <v>46200</v>
      </c>
      <c r="BB90" s="16">
        <v>554400</v>
      </c>
      <c r="BC90" s="16">
        <v>47124</v>
      </c>
      <c r="BD90" s="16">
        <v>10</v>
      </c>
      <c r="BE90" s="16">
        <v>46200</v>
      </c>
      <c r="BF90" s="16">
        <v>462000</v>
      </c>
      <c r="BG90" s="16">
        <v>39270</v>
      </c>
      <c r="BH90" s="16">
        <v>15</v>
      </c>
      <c r="BI90" s="16">
        <v>46200</v>
      </c>
      <c r="BJ90" s="16">
        <v>693000</v>
      </c>
      <c r="BK90" s="16">
        <v>58905</v>
      </c>
      <c r="BL90" s="16">
        <v>16</v>
      </c>
      <c r="BM90" s="16">
        <v>46200</v>
      </c>
      <c r="BN90" s="16">
        <v>739200</v>
      </c>
      <c r="BO90" s="16">
        <v>62832</v>
      </c>
      <c r="BP90" s="16">
        <v>9</v>
      </c>
      <c r="BQ90" s="16">
        <v>46200</v>
      </c>
      <c r="BR90" s="16">
        <v>415800</v>
      </c>
      <c r="BS90" s="16">
        <v>35343</v>
      </c>
      <c r="BT90" s="23">
        <v>62</v>
      </c>
      <c r="BU90" s="23"/>
      <c r="BV90" s="23">
        <v>2864400</v>
      </c>
      <c r="BW90" s="23">
        <v>243474</v>
      </c>
      <c r="BX90" s="16">
        <v>16</v>
      </c>
      <c r="BY90" s="16">
        <v>46200</v>
      </c>
      <c r="BZ90" s="16">
        <v>739200</v>
      </c>
      <c r="CA90" s="16">
        <v>62832</v>
      </c>
      <c r="CB90" s="16">
        <v>16</v>
      </c>
      <c r="CC90" s="16">
        <v>46200</v>
      </c>
      <c r="CD90" s="16">
        <v>739200</v>
      </c>
      <c r="CE90" s="16">
        <v>62832</v>
      </c>
      <c r="CF90" s="16">
        <v>13</v>
      </c>
      <c r="CG90" s="16">
        <v>46200</v>
      </c>
      <c r="CH90" s="16">
        <v>600600</v>
      </c>
      <c r="CI90" s="16">
        <v>51051</v>
      </c>
      <c r="CJ90" s="16">
        <v>14</v>
      </c>
      <c r="CK90" s="16">
        <v>46200</v>
      </c>
      <c r="CL90" s="16">
        <v>646800</v>
      </c>
      <c r="CM90" s="16">
        <v>54978</v>
      </c>
      <c r="CN90" s="23">
        <v>59</v>
      </c>
      <c r="CO90" s="23"/>
      <c r="CP90" s="23">
        <v>2725800</v>
      </c>
      <c r="CQ90" s="23">
        <v>231693</v>
      </c>
      <c r="CR90" s="16">
        <v>9</v>
      </c>
      <c r="CS90" s="16">
        <v>46200</v>
      </c>
      <c r="CT90" s="16">
        <v>415800</v>
      </c>
      <c r="CU90" s="16">
        <v>35343</v>
      </c>
      <c r="CV90" s="16">
        <v>18</v>
      </c>
      <c r="CW90" s="16">
        <v>46200</v>
      </c>
      <c r="CX90" s="16">
        <v>831600</v>
      </c>
      <c r="CY90" s="16">
        <v>70686</v>
      </c>
      <c r="CZ90" s="16">
        <v>15</v>
      </c>
      <c r="DA90" s="16">
        <v>46200</v>
      </c>
      <c r="DB90" s="16">
        <v>693000</v>
      </c>
      <c r="DC90" s="16">
        <v>58905</v>
      </c>
      <c r="DD90" s="16">
        <v>22</v>
      </c>
      <c r="DE90" s="16">
        <v>46200</v>
      </c>
      <c r="DF90" s="16">
        <v>1016400</v>
      </c>
      <c r="DG90" s="16">
        <v>86394</v>
      </c>
      <c r="DH90" s="23">
        <v>64</v>
      </c>
      <c r="DI90" s="23"/>
      <c r="DJ90" s="23">
        <v>2956800</v>
      </c>
      <c r="DK90" s="23">
        <v>251328</v>
      </c>
      <c r="DL90" s="16">
        <v>0</v>
      </c>
      <c r="DM90" s="16">
        <v>0</v>
      </c>
      <c r="DN90" s="16">
        <v>0</v>
      </c>
      <c r="DO90" s="16">
        <v>0</v>
      </c>
      <c r="DP90" s="16">
        <v>14</v>
      </c>
      <c r="DQ90" s="16">
        <v>46200</v>
      </c>
      <c r="DR90" s="16">
        <v>646800</v>
      </c>
      <c r="DS90" s="16">
        <v>54978</v>
      </c>
      <c r="DT90" s="16">
        <v>16</v>
      </c>
      <c r="DU90" s="16">
        <v>46200</v>
      </c>
      <c r="DV90" s="16">
        <v>739200</v>
      </c>
      <c r="DW90" s="16">
        <v>62832</v>
      </c>
      <c r="DX90" s="16">
        <v>19</v>
      </c>
      <c r="DY90" s="16">
        <v>46200</v>
      </c>
      <c r="DZ90" s="16">
        <v>877800</v>
      </c>
      <c r="EA90" s="16">
        <v>74613</v>
      </c>
      <c r="EB90" s="16">
        <v>18</v>
      </c>
      <c r="EC90" s="16">
        <v>46200</v>
      </c>
      <c r="ED90" s="16">
        <v>831600</v>
      </c>
      <c r="EE90" s="16">
        <v>70686</v>
      </c>
      <c r="EF90" s="23">
        <v>67</v>
      </c>
      <c r="EG90" s="23"/>
      <c r="EH90" s="23">
        <v>3095400</v>
      </c>
      <c r="EI90" s="23">
        <v>263109</v>
      </c>
      <c r="EJ90" s="16">
        <v>24</v>
      </c>
      <c r="EK90" s="16">
        <v>46200</v>
      </c>
      <c r="EL90" s="16">
        <v>1108800</v>
      </c>
      <c r="EM90" s="16">
        <v>94248</v>
      </c>
      <c r="EN90" s="16">
        <v>17</v>
      </c>
      <c r="EO90" s="16">
        <v>46200</v>
      </c>
      <c r="EP90" s="16">
        <v>785400</v>
      </c>
      <c r="EQ90" s="16">
        <v>66759</v>
      </c>
      <c r="ER90" s="16">
        <v>22</v>
      </c>
      <c r="ES90" s="16">
        <v>46200</v>
      </c>
      <c r="ET90" s="16">
        <v>1016400</v>
      </c>
      <c r="EU90" s="16">
        <v>86394</v>
      </c>
      <c r="EV90" s="16">
        <v>20</v>
      </c>
      <c r="EW90" s="16">
        <v>46200</v>
      </c>
      <c r="EX90" s="16">
        <v>924000</v>
      </c>
      <c r="EY90" s="16">
        <v>78540</v>
      </c>
      <c r="EZ90" s="23">
        <v>83</v>
      </c>
      <c r="FA90" s="23"/>
      <c r="FB90" s="23">
        <v>3834600</v>
      </c>
      <c r="FC90" s="23">
        <v>325941</v>
      </c>
      <c r="FD90" s="16">
        <v>19</v>
      </c>
      <c r="FE90" s="16">
        <v>46200</v>
      </c>
      <c r="FF90" s="16">
        <v>877800</v>
      </c>
      <c r="FG90" s="16">
        <v>74613</v>
      </c>
      <c r="FH90" s="16">
        <v>13</v>
      </c>
      <c r="FI90" s="16">
        <v>46200</v>
      </c>
      <c r="FJ90" s="16">
        <v>600600</v>
      </c>
      <c r="FK90" s="16">
        <v>51051</v>
      </c>
      <c r="FL90" s="16">
        <v>19</v>
      </c>
      <c r="FM90" s="16">
        <v>46200</v>
      </c>
      <c r="FN90" s="16">
        <v>877800</v>
      </c>
      <c r="FO90" s="16">
        <v>74613</v>
      </c>
      <c r="FP90" s="16">
        <v>16</v>
      </c>
      <c r="FQ90" s="16">
        <v>46200</v>
      </c>
      <c r="FR90" s="16">
        <v>739200</v>
      </c>
      <c r="FS90" s="16">
        <v>62832</v>
      </c>
      <c r="FT90" s="23">
        <v>67</v>
      </c>
      <c r="FU90" s="23"/>
      <c r="FV90" s="23">
        <v>3095400</v>
      </c>
      <c r="FW90" s="23">
        <v>263109</v>
      </c>
      <c r="FX90" s="16">
        <v>16</v>
      </c>
      <c r="FY90" s="16">
        <v>46200</v>
      </c>
      <c r="FZ90" s="16">
        <v>739200</v>
      </c>
      <c r="GA90" s="16">
        <v>62832</v>
      </c>
      <c r="GB90" s="16">
        <v>16</v>
      </c>
      <c r="GC90" s="16">
        <v>46200</v>
      </c>
      <c r="GD90" s="16">
        <v>739200</v>
      </c>
      <c r="GE90" s="16">
        <v>62832</v>
      </c>
      <c r="GF90" s="16">
        <v>11</v>
      </c>
      <c r="GG90" s="16">
        <v>46200</v>
      </c>
      <c r="GH90" s="16">
        <v>508200</v>
      </c>
      <c r="GI90" s="16">
        <v>43197</v>
      </c>
      <c r="GJ90" s="16">
        <v>12</v>
      </c>
      <c r="GK90" s="16">
        <v>46200</v>
      </c>
      <c r="GL90" s="16">
        <v>554400</v>
      </c>
      <c r="GM90" s="16">
        <v>47124</v>
      </c>
      <c r="GN90" s="16">
        <v>8</v>
      </c>
      <c r="GO90" s="16">
        <v>46200</v>
      </c>
      <c r="GP90" s="16">
        <v>369600</v>
      </c>
      <c r="GQ90" s="16">
        <v>31416</v>
      </c>
      <c r="GR90" s="23">
        <v>63</v>
      </c>
      <c r="GS90" s="23"/>
      <c r="GT90" s="23">
        <v>2910600</v>
      </c>
      <c r="GU90" s="23">
        <v>247401</v>
      </c>
      <c r="GV90" s="16">
        <v>2</v>
      </c>
      <c r="GW90" s="16">
        <v>46200</v>
      </c>
      <c r="GX90" s="16">
        <v>92400</v>
      </c>
      <c r="GY90" s="16">
        <v>7854</v>
      </c>
      <c r="GZ90" s="16">
        <v>13</v>
      </c>
      <c r="HA90" s="16">
        <v>46200</v>
      </c>
      <c r="HB90" s="16">
        <v>600600</v>
      </c>
      <c r="HC90" s="16">
        <v>51051</v>
      </c>
      <c r="HD90" s="16">
        <v>9</v>
      </c>
      <c r="HE90" s="16">
        <v>46200</v>
      </c>
      <c r="HF90" s="16">
        <v>415800</v>
      </c>
      <c r="HG90" s="16">
        <v>35343</v>
      </c>
      <c r="HH90" s="16">
        <v>10</v>
      </c>
      <c r="HI90" s="16">
        <v>46200</v>
      </c>
      <c r="HJ90" s="16">
        <v>462000</v>
      </c>
      <c r="HK90" s="16">
        <v>39270</v>
      </c>
      <c r="HL90" s="23">
        <v>34</v>
      </c>
      <c r="HM90" s="23"/>
      <c r="HN90" s="23">
        <v>1570800</v>
      </c>
      <c r="HO90" s="23">
        <v>133518</v>
      </c>
      <c r="HP90" s="16">
        <v>10</v>
      </c>
      <c r="HQ90" s="16">
        <v>46200</v>
      </c>
      <c r="HR90" s="16">
        <v>462000</v>
      </c>
      <c r="HS90" s="16">
        <v>39270</v>
      </c>
      <c r="HT90" s="16">
        <v>9</v>
      </c>
      <c r="HU90" s="16">
        <v>46200</v>
      </c>
      <c r="HV90" s="16">
        <v>415800</v>
      </c>
      <c r="HW90" s="16">
        <v>35343</v>
      </c>
      <c r="HX90" s="16">
        <v>11</v>
      </c>
      <c r="HY90" s="16">
        <v>46200</v>
      </c>
      <c r="HZ90" s="16">
        <v>508200</v>
      </c>
      <c r="IA90" s="16">
        <v>43197</v>
      </c>
      <c r="IB90" s="16">
        <v>11</v>
      </c>
      <c r="IC90" s="16">
        <v>46200</v>
      </c>
      <c r="ID90" s="16">
        <v>508200</v>
      </c>
      <c r="IE90" s="16">
        <v>43197</v>
      </c>
      <c r="IF90" s="23">
        <v>41</v>
      </c>
      <c r="IG90" s="23"/>
      <c r="IH90" s="23">
        <v>1894200</v>
      </c>
      <c r="II90" s="23">
        <v>161007</v>
      </c>
      <c r="IJ90" s="16">
        <v>10</v>
      </c>
      <c r="IK90" s="16">
        <v>46200</v>
      </c>
      <c r="IL90" s="16">
        <v>462000</v>
      </c>
      <c r="IM90" s="16">
        <v>39270</v>
      </c>
      <c r="IN90" s="16">
        <v>10</v>
      </c>
      <c r="IO90" s="16">
        <v>46200</v>
      </c>
      <c r="IP90" s="16">
        <v>462000</v>
      </c>
      <c r="IQ90" s="16">
        <v>39270</v>
      </c>
      <c r="IR90" s="16">
        <v>10</v>
      </c>
      <c r="IS90" s="16">
        <v>46200</v>
      </c>
      <c r="IT90" s="16">
        <v>462000</v>
      </c>
      <c r="IU90" s="16">
        <v>39270</v>
      </c>
      <c r="IV90" s="16">
        <v>5</v>
      </c>
      <c r="IW90" s="16">
        <v>46200</v>
      </c>
      <c r="IX90" s="16">
        <v>231000</v>
      </c>
      <c r="IY90" s="16">
        <v>19635</v>
      </c>
      <c r="IZ90" s="16">
        <v>6</v>
      </c>
      <c r="JA90" s="16">
        <v>46200</v>
      </c>
      <c r="JB90" s="16">
        <v>277200</v>
      </c>
      <c r="JC90" s="16">
        <v>23562</v>
      </c>
      <c r="JD90" s="23">
        <v>41</v>
      </c>
      <c r="JE90" s="23"/>
      <c r="JF90" s="23">
        <v>1894200</v>
      </c>
      <c r="JG90" s="23">
        <v>161007</v>
      </c>
      <c r="JH90" s="16">
        <v>9</v>
      </c>
      <c r="JI90" s="16">
        <v>46200</v>
      </c>
      <c r="JJ90" s="16">
        <v>415800</v>
      </c>
      <c r="JK90" s="16">
        <v>35343</v>
      </c>
      <c r="JL90" s="16">
        <v>11</v>
      </c>
      <c r="JM90" s="16">
        <v>46200</v>
      </c>
      <c r="JN90" s="16">
        <v>508200</v>
      </c>
      <c r="JO90" s="16">
        <v>43197</v>
      </c>
      <c r="JP90" s="16">
        <v>12</v>
      </c>
      <c r="JQ90" s="16">
        <v>46200</v>
      </c>
      <c r="JR90" s="16">
        <v>554400</v>
      </c>
      <c r="JS90" s="16">
        <v>47124</v>
      </c>
      <c r="JT90" s="16">
        <v>7</v>
      </c>
      <c r="JU90" s="16">
        <v>46200</v>
      </c>
      <c r="JV90" s="16">
        <v>323400</v>
      </c>
      <c r="JW90" s="16">
        <v>27489</v>
      </c>
      <c r="JX90" s="23">
        <v>39</v>
      </c>
      <c r="JY90" s="23"/>
      <c r="JZ90" s="23">
        <v>1801800</v>
      </c>
      <c r="KA90" s="23">
        <v>153153</v>
      </c>
      <c r="KB90" s="16">
        <v>11</v>
      </c>
      <c r="KC90" s="16">
        <v>46200</v>
      </c>
      <c r="KD90" s="16">
        <v>508200</v>
      </c>
      <c r="KE90" s="16">
        <v>43197</v>
      </c>
      <c r="KF90" s="16">
        <v>6</v>
      </c>
      <c r="KG90" s="16">
        <v>46200</v>
      </c>
      <c r="KH90" s="16">
        <v>277200</v>
      </c>
      <c r="KI90" s="16">
        <v>23562</v>
      </c>
      <c r="KJ90" s="16">
        <v>5</v>
      </c>
      <c r="KK90" s="16">
        <v>46200</v>
      </c>
      <c r="KL90" s="16">
        <v>231000</v>
      </c>
      <c r="KM90" s="16">
        <v>19635</v>
      </c>
      <c r="KN90" s="16">
        <v>9</v>
      </c>
      <c r="KO90" s="16">
        <v>46200</v>
      </c>
      <c r="KP90" s="16">
        <v>415800</v>
      </c>
      <c r="KQ90" s="16">
        <v>35343</v>
      </c>
      <c r="KR90" s="23">
        <v>31</v>
      </c>
      <c r="KS90" s="23"/>
      <c r="KT90" s="23">
        <v>1432200</v>
      </c>
      <c r="KU90" s="23">
        <v>121737</v>
      </c>
      <c r="KV90" s="23">
        <v>734</v>
      </c>
      <c r="KW90" s="23"/>
      <c r="KX90" s="23">
        <v>33910800</v>
      </c>
      <c r="KY90" s="23">
        <v>2882418</v>
      </c>
    </row>
    <row r="91" spans="1:311" ht="16.95" customHeight="1" x14ac:dyDescent="0.4">
      <c r="A91" s="11"/>
      <c r="B91" s="11"/>
      <c r="C91" s="11" t="s">
        <v>21</v>
      </c>
      <c r="D91" s="9">
        <v>1</v>
      </c>
      <c r="E91" s="9">
        <v>59400</v>
      </c>
      <c r="F91" s="9">
        <v>59400</v>
      </c>
      <c r="G91" s="9">
        <v>5049</v>
      </c>
      <c r="H91" s="22">
        <v>1</v>
      </c>
      <c r="I91" s="22"/>
      <c r="J91" s="22">
        <v>59400</v>
      </c>
      <c r="K91" s="22">
        <v>5049</v>
      </c>
      <c r="L91" s="9">
        <v>2</v>
      </c>
      <c r="M91" s="9">
        <v>59400</v>
      </c>
      <c r="N91" s="9">
        <v>118800</v>
      </c>
      <c r="O91" s="9">
        <v>10098</v>
      </c>
      <c r="P91" s="9">
        <v>3</v>
      </c>
      <c r="Q91" s="9">
        <v>59400</v>
      </c>
      <c r="R91" s="9">
        <v>178200</v>
      </c>
      <c r="S91" s="9">
        <v>15147</v>
      </c>
      <c r="T91" s="9">
        <v>3</v>
      </c>
      <c r="U91" s="9">
        <v>59400</v>
      </c>
      <c r="V91" s="9">
        <v>178200</v>
      </c>
      <c r="W91" s="9">
        <v>15147</v>
      </c>
      <c r="X91" s="9">
        <v>1</v>
      </c>
      <c r="Y91" s="9">
        <v>59400</v>
      </c>
      <c r="Z91" s="9">
        <v>59400</v>
      </c>
      <c r="AA91" s="9">
        <v>5049</v>
      </c>
      <c r="AB91" s="22">
        <v>9</v>
      </c>
      <c r="AC91" s="22"/>
      <c r="AD91" s="22">
        <v>534600</v>
      </c>
      <c r="AE91" s="22">
        <v>45441</v>
      </c>
      <c r="AF91" s="9">
        <v>2</v>
      </c>
      <c r="AG91" s="9">
        <v>59400</v>
      </c>
      <c r="AH91" s="9">
        <v>118800</v>
      </c>
      <c r="AI91" s="9">
        <v>10098</v>
      </c>
      <c r="AJ91" s="9">
        <v>3</v>
      </c>
      <c r="AK91" s="9">
        <v>59400</v>
      </c>
      <c r="AL91" s="9">
        <v>178200</v>
      </c>
      <c r="AM91" s="9">
        <v>15147</v>
      </c>
      <c r="AN91" s="9">
        <v>3</v>
      </c>
      <c r="AO91" s="9">
        <v>59400</v>
      </c>
      <c r="AP91" s="9">
        <v>178200</v>
      </c>
      <c r="AQ91" s="9">
        <v>15147</v>
      </c>
      <c r="AR91" s="9">
        <v>3</v>
      </c>
      <c r="AS91" s="9">
        <v>59400</v>
      </c>
      <c r="AT91" s="9">
        <v>178200</v>
      </c>
      <c r="AU91" s="9">
        <v>15147</v>
      </c>
      <c r="AV91" s="22">
        <v>11</v>
      </c>
      <c r="AW91" s="22"/>
      <c r="AX91" s="22">
        <v>653400</v>
      </c>
      <c r="AY91" s="22">
        <v>55539</v>
      </c>
      <c r="AZ91" s="9">
        <v>3</v>
      </c>
      <c r="BA91" s="9">
        <v>59400</v>
      </c>
      <c r="BB91" s="9">
        <v>178200</v>
      </c>
      <c r="BC91" s="9">
        <v>15147</v>
      </c>
      <c r="BD91" s="9">
        <v>3</v>
      </c>
      <c r="BE91" s="9">
        <v>59400</v>
      </c>
      <c r="BF91" s="9">
        <v>178200</v>
      </c>
      <c r="BG91" s="9">
        <v>15147</v>
      </c>
      <c r="BH91" s="9">
        <v>4</v>
      </c>
      <c r="BI91" s="9">
        <v>59400</v>
      </c>
      <c r="BJ91" s="9">
        <v>237600</v>
      </c>
      <c r="BK91" s="9">
        <v>20196</v>
      </c>
      <c r="BL91" s="9">
        <v>4</v>
      </c>
      <c r="BM91" s="9">
        <v>59400</v>
      </c>
      <c r="BN91" s="9">
        <v>237600</v>
      </c>
      <c r="BO91" s="9">
        <v>20196</v>
      </c>
      <c r="BP91" s="9">
        <v>3</v>
      </c>
      <c r="BQ91" s="9">
        <v>59400</v>
      </c>
      <c r="BR91" s="9">
        <v>178200</v>
      </c>
      <c r="BS91" s="9">
        <v>15147</v>
      </c>
      <c r="BT91" s="22">
        <v>17</v>
      </c>
      <c r="BU91" s="22"/>
      <c r="BV91" s="22">
        <v>1009800</v>
      </c>
      <c r="BW91" s="22">
        <v>85833</v>
      </c>
      <c r="BX91" s="9">
        <v>3</v>
      </c>
      <c r="BY91" s="9">
        <v>59400</v>
      </c>
      <c r="BZ91" s="9">
        <v>178200</v>
      </c>
      <c r="CA91" s="9">
        <v>15147</v>
      </c>
      <c r="CB91" s="9">
        <v>3</v>
      </c>
      <c r="CC91" s="9">
        <v>59400</v>
      </c>
      <c r="CD91" s="9">
        <v>178200</v>
      </c>
      <c r="CE91" s="9">
        <v>15147</v>
      </c>
      <c r="CF91" s="9">
        <v>5</v>
      </c>
      <c r="CG91" s="9">
        <v>59400</v>
      </c>
      <c r="CH91" s="9">
        <v>297000</v>
      </c>
      <c r="CI91" s="9">
        <v>25245</v>
      </c>
      <c r="CJ91" s="9">
        <v>2</v>
      </c>
      <c r="CK91" s="9">
        <v>59400</v>
      </c>
      <c r="CL91" s="9">
        <v>118800</v>
      </c>
      <c r="CM91" s="9">
        <v>10098</v>
      </c>
      <c r="CN91" s="22">
        <v>13</v>
      </c>
      <c r="CO91" s="22"/>
      <c r="CP91" s="22">
        <v>772200</v>
      </c>
      <c r="CQ91" s="22">
        <v>65637</v>
      </c>
      <c r="CR91" s="9">
        <v>3</v>
      </c>
      <c r="CS91" s="9">
        <v>59400</v>
      </c>
      <c r="CT91" s="9">
        <v>178200</v>
      </c>
      <c r="CU91" s="9">
        <v>15147</v>
      </c>
      <c r="CV91" s="9">
        <v>3</v>
      </c>
      <c r="CW91" s="9">
        <v>59400</v>
      </c>
      <c r="CX91" s="9">
        <v>178200</v>
      </c>
      <c r="CY91" s="9">
        <v>15147</v>
      </c>
      <c r="CZ91" s="9">
        <v>4</v>
      </c>
      <c r="DA91" s="9">
        <v>59400</v>
      </c>
      <c r="DB91" s="9">
        <v>237600</v>
      </c>
      <c r="DC91" s="9">
        <v>20196</v>
      </c>
      <c r="DD91" s="9">
        <v>4</v>
      </c>
      <c r="DE91" s="9">
        <v>59400</v>
      </c>
      <c r="DF91" s="9">
        <v>237600</v>
      </c>
      <c r="DG91" s="9">
        <v>20196</v>
      </c>
      <c r="DH91" s="22">
        <v>14</v>
      </c>
      <c r="DI91" s="22"/>
      <c r="DJ91" s="22">
        <v>831600</v>
      </c>
      <c r="DK91" s="22">
        <v>70686</v>
      </c>
      <c r="DL91" s="9">
        <v>2</v>
      </c>
      <c r="DM91" s="9">
        <v>59400</v>
      </c>
      <c r="DN91" s="9">
        <v>118800</v>
      </c>
      <c r="DO91" s="9">
        <v>10098</v>
      </c>
      <c r="DP91" s="9">
        <v>4</v>
      </c>
      <c r="DQ91" s="9">
        <v>59400</v>
      </c>
      <c r="DR91" s="9">
        <v>237600</v>
      </c>
      <c r="DS91" s="9">
        <v>20196</v>
      </c>
      <c r="DT91" s="9">
        <v>4</v>
      </c>
      <c r="DU91" s="9">
        <v>59400</v>
      </c>
      <c r="DV91" s="9">
        <v>237600</v>
      </c>
      <c r="DW91" s="9">
        <v>20196</v>
      </c>
      <c r="DX91" s="9">
        <v>5</v>
      </c>
      <c r="DY91" s="9">
        <v>59400</v>
      </c>
      <c r="DZ91" s="9">
        <v>297000</v>
      </c>
      <c r="EA91" s="9">
        <v>25245</v>
      </c>
      <c r="EB91" s="9">
        <v>4</v>
      </c>
      <c r="EC91" s="9">
        <v>61050</v>
      </c>
      <c r="ED91" s="9">
        <v>242550</v>
      </c>
      <c r="EE91" s="9">
        <v>20616.8</v>
      </c>
      <c r="EF91" s="22">
        <v>19</v>
      </c>
      <c r="EG91" s="22"/>
      <c r="EH91" s="22">
        <v>1133550</v>
      </c>
      <c r="EI91" s="22">
        <v>96351.8</v>
      </c>
      <c r="EJ91" s="9">
        <v>6</v>
      </c>
      <c r="EK91" s="9">
        <v>61050</v>
      </c>
      <c r="EL91" s="9">
        <v>366300</v>
      </c>
      <c r="EM91" s="9">
        <v>31135.5</v>
      </c>
      <c r="EN91" s="9">
        <v>5</v>
      </c>
      <c r="EO91" s="9">
        <v>61050</v>
      </c>
      <c r="EP91" s="9">
        <v>305250</v>
      </c>
      <c r="EQ91" s="9">
        <v>25946.3</v>
      </c>
      <c r="ER91" s="9">
        <v>6</v>
      </c>
      <c r="ES91" s="9">
        <v>61050</v>
      </c>
      <c r="ET91" s="9">
        <v>366300</v>
      </c>
      <c r="EU91" s="9">
        <v>31135.5</v>
      </c>
      <c r="EV91" s="9">
        <v>6</v>
      </c>
      <c r="EW91" s="9">
        <v>61050</v>
      </c>
      <c r="EX91" s="9">
        <v>366300</v>
      </c>
      <c r="EY91" s="9">
        <v>31135.5</v>
      </c>
      <c r="EZ91" s="22">
        <v>23</v>
      </c>
      <c r="FA91" s="22"/>
      <c r="FB91" s="22">
        <v>1404150</v>
      </c>
      <c r="FC91" s="22">
        <v>119352.8</v>
      </c>
      <c r="FD91" s="9">
        <v>5</v>
      </c>
      <c r="FE91" s="9">
        <v>61050</v>
      </c>
      <c r="FF91" s="9">
        <v>305250</v>
      </c>
      <c r="FG91" s="9">
        <v>25946.3</v>
      </c>
      <c r="FH91" s="9">
        <v>3</v>
      </c>
      <c r="FI91" s="9">
        <v>61050</v>
      </c>
      <c r="FJ91" s="9">
        <v>183150</v>
      </c>
      <c r="FK91" s="9">
        <v>15567.8</v>
      </c>
      <c r="FL91" s="9">
        <v>4</v>
      </c>
      <c r="FM91" s="9">
        <v>61050</v>
      </c>
      <c r="FN91" s="9">
        <v>244200</v>
      </c>
      <c r="FO91" s="9">
        <v>20757</v>
      </c>
      <c r="FP91" s="9">
        <v>5</v>
      </c>
      <c r="FQ91" s="9">
        <v>61050</v>
      </c>
      <c r="FR91" s="9">
        <v>305250</v>
      </c>
      <c r="FS91" s="9">
        <v>25946.3</v>
      </c>
      <c r="FT91" s="22">
        <v>17</v>
      </c>
      <c r="FU91" s="22"/>
      <c r="FV91" s="22">
        <v>1037850</v>
      </c>
      <c r="FW91" s="22">
        <v>88217.3</v>
      </c>
      <c r="FX91" s="9">
        <v>3</v>
      </c>
      <c r="FY91" s="9">
        <v>61050</v>
      </c>
      <c r="FZ91" s="9">
        <v>183150</v>
      </c>
      <c r="GA91" s="9">
        <v>15567.8</v>
      </c>
      <c r="GB91" s="9">
        <v>4</v>
      </c>
      <c r="GC91" s="9">
        <v>61050</v>
      </c>
      <c r="GD91" s="9">
        <v>244200</v>
      </c>
      <c r="GE91" s="9">
        <v>20757</v>
      </c>
      <c r="GF91" s="9">
        <v>3</v>
      </c>
      <c r="GG91" s="9">
        <v>61050</v>
      </c>
      <c r="GH91" s="9">
        <v>183150</v>
      </c>
      <c r="GI91" s="9">
        <v>15567.8</v>
      </c>
      <c r="GJ91" s="9">
        <v>5</v>
      </c>
      <c r="GK91" s="9">
        <v>61050</v>
      </c>
      <c r="GL91" s="9">
        <v>305250</v>
      </c>
      <c r="GM91" s="9">
        <v>25946.3</v>
      </c>
      <c r="GN91" s="9">
        <v>2</v>
      </c>
      <c r="GO91" s="9">
        <v>61050</v>
      </c>
      <c r="GP91" s="9">
        <v>122100</v>
      </c>
      <c r="GQ91" s="9">
        <v>10378.5</v>
      </c>
      <c r="GR91" s="22">
        <v>17</v>
      </c>
      <c r="GS91" s="22"/>
      <c r="GT91" s="22">
        <v>1037850</v>
      </c>
      <c r="GU91" s="22">
        <v>88217.3</v>
      </c>
      <c r="GV91" s="9">
        <v>1</v>
      </c>
      <c r="GW91" s="9">
        <v>61050</v>
      </c>
      <c r="GX91" s="9">
        <v>61050</v>
      </c>
      <c r="GY91" s="9">
        <v>5189.3</v>
      </c>
      <c r="GZ91" s="9">
        <v>3</v>
      </c>
      <c r="HA91" s="9">
        <v>61050</v>
      </c>
      <c r="HB91" s="9">
        <v>183150</v>
      </c>
      <c r="HC91" s="9">
        <v>15567.8</v>
      </c>
      <c r="HD91" s="9">
        <v>2</v>
      </c>
      <c r="HE91" s="9">
        <v>61050</v>
      </c>
      <c r="HF91" s="9">
        <v>122100</v>
      </c>
      <c r="HG91" s="9">
        <v>10378.5</v>
      </c>
      <c r="HH91" s="9">
        <v>3</v>
      </c>
      <c r="HI91" s="9">
        <v>61050</v>
      </c>
      <c r="HJ91" s="9">
        <v>183150</v>
      </c>
      <c r="HK91" s="9">
        <v>15567.8</v>
      </c>
      <c r="HL91" s="22">
        <v>9</v>
      </c>
      <c r="HM91" s="22"/>
      <c r="HN91" s="22">
        <v>549450</v>
      </c>
      <c r="HO91" s="22">
        <v>46703.3</v>
      </c>
      <c r="HP91" s="9">
        <v>2</v>
      </c>
      <c r="HQ91" s="9">
        <v>61050</v>
      </c>
      <c r="HR91" s="9">
        <v>122100</v>
      </c>
      <c r="HS91" s="9">
        <v>10378.5</v>
      </c>
      <c r="HT91" s="9">
        <v>2</v>
      </c>
      <c r="HU91" s="9">
        <v>61050</v>
      </c>
      <c r="HV91" s="9">
        <v>122100</v>
      </c>
      <c r="HW91" s="9">
        <v>10378.5</v>
      </c>
      <c r="HX91" s="9">
        <v>3</v>
      </c>
      <c r="HY91" s="9">
        <v>61050</v>
      </c>
      <c r="HZ91" s="9">
        <v>183150</v>
      </c>
      <c r="IA91" s="9">
        <v>15567.8</v>
      </c>
      <c r="IB91" s="9">
        <v>4</v>
      </c>
      <c r="IC91" s="9">
        <v>61050</v>
      </c>
      <c r="ID91" s="9">
        <v>244200</v>
      </c>
      <c r="IE91" s="9">
        <v>20757</v>
      </c>
      <c r="IF91" s="22">
        <v>11</v>
      </c>
      <c r="IG91" s="22"/>
      <c r="IH91" s="22">
        <v>671550</v>
      </c>
      <c r="II91" s="22">
        <v>57081.8</v>
      </c>
      <c r="IJ91" s="9">
        <v>3</v>
      </c>
      <c r="IK91" s="9">
        <v>61050</v>
      </c>
      <c r="IL91" s="9">
        <v>183150</v>
      </c>
      <c r="IM91" s="9">
        <v>15567.8</v>
      </c>
      <c r="IN91" s="9">
        <v>2</v>
      </c>
      <c r="IO91" s="9">
        <v>61050</v>
      </c>
      <c r="IP91" s="9">
        <v>122100</v>
      </c>
      <c r="IQ91" s="9">
        <v>10378.5</v>
      </c>
      <c r="IR91" s="9">
        <v>4</v>
      </c>
      <c r="IS91" s="9">
        <v>61050</v>
      </c>
      <c r="IT91" s="9">
        <v>244200</v>
      </c>
      <c r="IU91" s="9">
        <v>20757</v>
      </c>
      <c r="IV91" s="9">
        <v>1</v>
      </c>
      <c r="IW91" s="9">
        <v>61050</v>
      </c>
      <c r="IX91" s="9">
        <v>61050</v>
      </c>
      <c r="IY91" s="9">
        <v>5189.3</v>
      </c>
      <c r="IZ91" s="9">
        <v>2</v>
      </c>
      <c r="JA91" s="9">
        <v>61050</v>
      </c>
      <c r="JB91" s="9">
        <v>122100</v>
      </c>
      <c r="JC91" s="9">
        <v>10378.5</v>
      </c>
      <c r="JD91" s="22">
        <v>12</v>
      </c>
      <c r="JE91" s="22"/>
      <c r="JF91" s="22">
        <v>732600</v>
      </c>
      <c r="JG91" s="22">
        <v>62271</v>
      </c>
      <c r="JH91" s="9">
        <v>3</v>
      </c>
      <c r="JI91" s="9">
        <v>61050</v>
      </c>
      <c r="JJ91" s="9">
        <v>183150</v>
      </c>
      <c r="JK91" s="9">
        <v>15567.8</v>
      </c>
      <c r="JL91" s="9">
        <v>4</v>
      </c>
      <c r="JM91" s="9">
        <v>61050</v>
      </c>
      <c r="JN91" s="9">
        <v>244200</v>
      </c>
      <c r="JO91" s="9">
        <v>20757</v>
      </c>
      <c r="JP91" s="9">
        <v>2</v>
      </c>
      <c r="JQ91" s="9">
        <v>61050</v>
      </c>
      <c r="JR91" s="9">
        <v>122100</v>
      </c>
      <c r="JS91" s="9">
        <v>10378.5</v>
      </c>
      <c r="JT91" s="9">
        <v>3</v>
      </c>
      <c r="JU91" s="9">
        <v>61050</v>
      </c>
      <c r="JV91" s="9">
        <v>183150</v>
      </c>
      <c r="JW91" s="9">
        <v>15567.8</v>
      </c>
      <c r="JX91" s="22">
        <v>12</v>
      </c>
      <c r="JY91" s="22"/>
      <c r="JZ91" s="22">
        <v>732600</v>
      </c>
      <c r="KA91" s="22">
        <v>62271</v>
      </c>
      <c r="KB91" s="9">
        <v>3</v>
      </c>
      <c r="KC91" s="9">
        <v>61050</v>
      </c>
      <c r="KD91" s="9">
        <v>183150</v>
      </c>
      <c r="KE91" s="9">
        <v>15567.8</v>
      </c>
      <c r="KF91" s="9">
        <v>3</v>
      </c>
      <c r="KG91" s="9">
        <v>61050</v>
      </c>
      <c r="KH91" s="9">
        <v>183150</v>
      </c>
      <c r="KI91" s="9">
        <v>15567.8</v>
      </c>
      <c r="KJ91" s="9">
        <v>0</v>
      </c>
      <c r="KK91" s="9">
        <v>0</v>
      </c>
      <c r="KL91" s="9">
        <v>0</v>
      </c>
      <c r="KM91" s="9">
        <v>0</v>
      </c>
      <c r="KN91" s="9">
        <v>2</v>
      </c>
      <c r="KO91" s="9">
        <v>61050</v>
      </c>
      <c r="KP91" s="9">
        <v>122100</v>
      </c>
      <c r="KQ91" s="9">
        <v>10378.5</v>
      </c>
      <c r="KR91" s="22">
        <v>8</v>
      </c>
      <c r="KS91" s="22"/>
      <c r="KT91" s="22">
        <v>488400</v>
      </c>
      <c r="KU91" s="22">
        <v>41514</v>
      </c>
      <c r="KV91" s="22">
        <v>193</v>
      </c>
      <c r="KW91" s="22"/>
      <c r="KX91" s="22">
        <v>11649000</v>
      </c>
      <c r="KY91" s="22">
        <v>990165</v>
      </c>
    </row>
    <row r="92" spans="1:311" ht="16.95" customHeight="1" x14ac:dyDescent="0.4">
      <c r="A92" s="15"/>
      <c r="B92" s="15"/>
      <c r="C92" s="15" t="s">
        <v>35</v>
      </c>
      <c r="D92" s="16">
        <v>1</v>
      </c>
      <c r="E92" s="16">
        <v>127842</v>
      </c>
      <c r="F92" s="16">
        <v>127842</v>
      </c>
      <c r="G92" s="16">
        <v>10866.6</v>
      </c>
      <c r="H92" s="23">
        <v>1</v>
      </c>
      <c r="I92" s="23"/>
      <c r="J92" s="23">
        <v>127842</v>
      </c>
      <c r="K92" s="23">
        <v>10866.6</v>
      </c>
      <c r="L92" s="16">
        <v>1</v>
      </c>
      <c r="M92" s="16">
        <v>127842</v>
      </c>
      <c r="N92" s="16">
        <v>127842</v>
      </c>
      <c r="O92" s="16">
        <v>10866.6</v>
      </c>
      <c r="P92" s="16">
        <v>0</v>
      </c>
      <c r="Q92" s="16">
        <v>0</v>
      </c>
      <c r="R92" s="16">
        <v>0</v>
      </c>
      <c r="S92" s="16">
        <v>0</v>
      </c>
      <c r="T92" s="16">
        <v>1</v>
      </c>
      <c r="U92" s="16">
        <v>127842</v>
      </c>
      <c r="V92" s="16">
        <v>127842</v>
      </c>
      <c r="W92" s="16">
        <v>10866.6</v>
      </c>
      <c r="X92" s="16">
        <v>0</v>
      </c>
      <c r="Y92" s="16">
        <v>0</v>
      </c>
      <c r="Z92" s="16">
        <v>0</v>
      </c>
      <c r="AA92" s="16">
        <v>0</v>
      </c>
      <c r="AB92" s="23">
        <v>2</v>
      </c>
      <c r="AC92" s="23"/>
      <c r="AD92" s="23">
        <v>255684</v>
      </c>
      <c r="AE92" s="23">
        <v>21733.1</v>
      </c>
      <c r="AF92" s="16">
        <v>1</v>
      </c>
      <c r="AG92" s="16">
        <v>127842</v>
      </c>
      <c r="AH92" s="16">
        <v>127842</v>
      </c>
      <c r="AI92" s="16">
        <v>10866.6</v>
      </c>
      <c r="AJ92" s="16">
        <v>1</v>
      </c>
      <c r="AK92" s="16">
        <v>127842</v>
      </c>
      <c r="AL92" s="16">
        <v>127842</v>
      </c>
      <c r="AM92" s="16">
        <v>10866.6</v>
      </c>
      <c r="AN92" s="16">
        <v>1</v>
      </c>
      <c r="AO92" s="16">
        <v>127842</v>
      </c>
      <c r="AP92" s="16">
        <v>127842</v>
      </c>
      <c r="AQ92" s="16">
        <v>10866.6</v>
      </c>
      <c r="AR92" s="16">
        <v>1</v>
      </c>
      <c r="AS92" s="16">
        <v>127842</v>
      </c>
      <c r="AT92" s="16">
        <v>127842</v>
      </c>
      <c r="AU92" s="16">
        <v>10866.6</v>
      </c>
      <c r="AV92" s="23">
        <v>4</v>
      </c>
      <c r="AW92" s="23"/>
      <c r="AX92" s="23">
        <v>511368</v>
      </c>
      <c r="AY92" s="23">
        <v>43466.3</v>
      </c>
      <c r="AZ92" s="16">
        <v>0</v>
      </c>
      <c r="BA92" s="16">
        <v>0</v>
      </c>
      <c r="BB92" s="16">
        <v>0</v>
      </c>
      <c r="BC92" s="16">
        <v>0</v>
      </c>
      <c r="BD92" s="16">
        <v>1</v>
      </c>
      <c r="BE92" s="16">
        <v>127842</v>
      </c>
      <c r="BF92" s="16">
        <v>127842</v>
      </c>
      <c r="BG92" s="16">
        <v>10866.6</v>
      </c>
      <c r="BH92" s="16">
        <v>2</v>
      </c>
      <c r="BI92" s="16">
        <v>127842</v>
      </c>
      <c r="BJ92" s="16">
        <v>255684</v>
      </c>
      <c r="BK92" s="16">
        <v>21733.1</v>
      </c>
      <c r="BL92" s="16">
        <v>0</v>
      </c>
      <c r="BM92" s="16">
        <v>0</v>
      </c>
      <c r="BN92" s="16">
        <v>0</v>
      </c>
      <c r="BO92" s="16">
        <v>0</v>
      </c>
      <c r="BP92" s="16">
        <v>1</v>
      </c>
      <c r="BQ92" s="16">
        <v>127842</v>
      </c>
      <c r="BR92" s="16">
        <v>127842</v>
      </c>
      <c r="BS92" s="16">
        <v>10866.6</v>
      </c>
      <c r="BT92" s="23">
        <v>4</v>
      </c>
      <c r="BU92" s="23"/>
      <c r="BV92" s="23">
        <v>511368</v>
      </c>
      <c r="BW92" s="23">
        <v>43466.3</v>
      </c>
      <c r="BX92" s="16">
        <v>1</v>
      </c>
      <c r="BY92" s="16">
        <v>127842</v>
      </c>
      <c r="BZ92" s="16">
        <v>127842</v>
      </c>
      <c r="CA92" s="16">
        <v>10866.6</v>
      </c>
      <c r="CB92" s="16">
        <v>1</v>
      </c>
      <c r="CC92" s="16">
        <v>127842</v>
      </c>
      <c r="CD92" s="16">
        <v>127842</v>
      </c>
      <c r="CE92" s="16">
        <v>10866.6</v>
      </c>
      <c r="CF92" s="16">
        <v>1</v>
      </c>
      <c r="CG92" s="16">
        <v>127842</v>
      </c>
      <c r="CH92" s="16">
        <v>127842</v>
      </c>
      <c r="CI92" s="16">
        <v>10866.6</v>
      </c>
      <c r="CJ92" s="16">
        <v>2</v>
      </c>
      <c r="CK92" s="16">
        <v>127842</v>
      </c>
      <c r="CL92" s="16">
        <v>255684</v>
      </c>
      <c r="CM92" s="16">
        <v>21733.1</v>
      </c>
      <c r="CN92" s="23">
        <v>5</v>
      </c>
      <c r="CO92" s="23"/>
      <c r="CP92" s="23">
        <v>639210</v>
      </c>
      <c r="CQ92" s="23">
        <v>54332.9</v>
      </c>
      <c r="CR92" s="16">
        <v>0</v>
      </c>
      <c r="CS92" s="16">
        <v>0</v>
      </c>
      <c r="CT92" s="16">
        <v>0</v>
      </c>
      <c r="CU92" s="16">
        <v>0</v>
      </c>
      <c r="CV92" s="16">
        <v>1</v>
      </c>
      <c r="CW92" s="16">
        <v>127842</v>
      </c>
      <c r="CX92" s="16">
        <v>127842</v>
      </c>
      <c r="CY92" s="16">
        <v>10866.6</v>
      </c>
      <c r="CZ92" s="16">
        <v>1</v>
      </c>
      <c r="DA92" s="16">
        <v>127842</v>
      </c>
      <c r="DB92" s="16">
        <v>127842</v>
      </c>
      <c r="DC92" s="16">
        <v>10866.6</v>
      </c>
      <c r="DD92" s="16">
        <v>2</v>
      </c>
      <c r="DE92" s="16">
        <v>127842</v>
      </c>
      <c r="DF92" s="16">
        <v>255684</v>
      </c>
      <c r="DG92" s="16">
        <v>21733.1</v>
      </c>
      <c r="DH92" s="23">
        <v>4</v>
      </c>
      <c r="DI92" s="23"/>
      <c r="DJ92" s="23">
        <v>511368</v>
      </c>
      <c r="DK92" s="23">
        <v>43466.3</v>
      </c>
      <c r="DL92" s="16">
        <v>0</v>
      </c>
      <c r="DM92" s="16">
        <v>0</v>
      </c>
      <c r="DN92" s="16">
        <v>0</v>
      </c>
      <c r="DO92" s="16">
        <v>0</v>
      </c>
      <c r="DP92" s="16">
        <v>1</v>
      </c>
      <c r="DQ92" s="16">
        <v>127842</v>
      </c>
      <c r="DR92" s="16">
        <v>127842</v>
      </c>
      <c r="DS92" s="16">
        <v>10866.6</v>
      </c>
      <c r="DT92" s="16">
        <v>1</v>
      </c>
      <c r="DU92" s="16">
        <v>127842</v>
      </c>
      <c r="DV92" s="16">
        <v>127842</v>
      </c>
      <c r="DW92" s="16">
        <v>10866.6</v>
      </c>
      <c r="DX92" s="16">
        <v>1</v>
      </c>
      <c r="DY92" s="16">
        <v>127842</v>
      </c>
      <c r="DZ92" s="16">
        <v>127842</v>
      </c>
      <c r="EA92" s="16">
        <v>10866.6</v>
      </c>
      <c r="EB92" s="16">
        <v>1</v>
      </c>
      <c r="EC92" s="16">
        <v>127842</v>
      </c>
      <c r="ED92" s="16">
        <v>127842</v>
      </c>
      <c r="EE92" s="16">
        <v>10866.6</v>
      </c>
      <c r="EF92" s="23">
        <v>4</v>
      </c>
      <c r="EG92" s="23"/>
      <c r="EH92" s="23">
        <v>511368</v>
      </c>
      <c r="EI92" s="23">
        <v>43466.3</v>
      </c>
      <c r="EJ92" s="16">
        <v>1</v>
      </c>
      <c r="EK92" s="16">
        <v>127842</v>
      </c>
      <c r="EL92" s="16">
        <v>127842</v>
      </c>
      <c r="EM92" s="16">
        <v>10866.6</v>
      </c>
      <c r="EN92" s="16">
        <v>2</v>
      </c>
      <c r="EO92" s="16">
        <v>127842</v>
      </c>
      <c r="EP92" s="16">
        <v>255684</v>
      </c>
      <c r="EQ92" s="16">
        <v>21733.1</v>
      </c>
      <c r="ER92" s="16">
        <v>2</v>
      </c>
      <c r="ES92" s="16">
        <v>127842</v>
      </c>
      <c r="ET92" s="16">
        <v>255684</v>
      </c>
      <c r="EU92" s="16">
        <v>21733.1</v>
      </c>
      <c r="EV92" s="16">
        <v>2</v>
      </c>
      <c r="EW92" s="16">
        <v>127842</v>
      </c>
      <c r="EX92" s="16">
        <v>255684</v>
      </c>
      <c r="EY92" s="16">
        <v>21733.1</v>
      </c>
      <c r="EZ92" s="23">
        <v>7</v>
      </c>
      <c r="FA92" s="23"/>
      <c r="FB92" s="23">
        <v>894894</v>
      </c>
      <c r="FC92" s="23">
        <v>76066</v>
      </c>
      <c r="FD92" s="16">
        <v>1</v>
      </c>
      <c r="FE92" s="16">
        <v>127842</v>
      </c>
      <c r="FF92" s="16">
        <v>127842</v>
      </c>
      <c r="FG92" s="16">
        <v>10866.6</v>
      </c>
      <c r="FH92" s="16">
        <v>1</v>
      </c>
      <c r="FI92" s="16">
        <v>127842</v>
      </c>
      <c r="FJ92" s="16">
        <v>127842</v>
      </c>
      <c r="FK92" s="16">
        <v>10866.6</v>
      </c>
      <c r="FL92" s="16">
        <v>0</v>
      </c>
      <c r="FM92" s="16">
        <v>0</v>
      </c>
      <c r="FN92" s="16">
        <v>0</v>
      </c>
      <c r="FO92" s="16">
        <v>0</v>
      </c>
      <c r="FP92" s="16">
        <v>2</v>
      </c>
      <c r="FQ92" s="16">
        <v>127842</v>
      </c>
      <c r="FR92" s="16">
        <v>255684</v>
      </c>
      <c r="FS92" s="16">
        <v>21733.1</v>
      </c>
      <c r="FT92" s="23">
        <v>4</v>
      </c>
      <c r="FU92" s="23"/>
      <c r="FV92" s="23">
        <v>511368</v>
      </c>
      <c r="FW92" s="23">
        <v>43466.3</v>
      </c>
      <c r="FX92" s="16">
        <v>1</v>
      </c>
      <c r="FY92" s="16">
        <v>127842</v>
      </c>
      <c r="FZ92" s="16">
        <v>127842</v>
      </c>
      <c r="GA92" s="16">
        <v>10866.6</v>
      </c>
      <c r="GB92" s="16">
        <v>0</v>
      </c>
      <c r="GC92" s="16">
        <v>0</v>
      </c>
      <c r="GD92" s="16">
        <v>0</v>
      </c>
      <c r="GE92" s="16">
        <v>0</v>
      </c>
      <c r="GF92" s="16">
        <v>1</v>
      </c>
      <c r="GG92" s="16">
        <v>127842</v>
      </c>
      <c r="GH92" s="16">
        <v>127842</v>
      </c>
      <c r="GI92" s="16">
        <v>10866.6</v>
      </c>
      <c r="GJ92" s="16">
        <v>1</v>
      </c>
      <c r="GK92" s="16">
        <v>127842</v>
      </c>
      <c r="GL92" s="16">
        <v>127842</v>
      </c>
      <c r="GM92" s="16">
        <v>10866.6</v>
      </c>
      <c r="GN92" s="16">
        <v>0</v>
      </c>
      <c r="GO92" s="16">
        <v>0</v>
      </c>
      <c r="GP92" s="16">
        <v>0</v>
      </c>
      <c r="GQ92" s="16">
        <v>0</v>
      </c>
      <c r="GR92" s="23">
        <v>3</v>
      </c>
      <c r="GS92" s="23"/>
      <c r="GT92" s="23">
        <v>383526</v>
      </c>
      <c r="GU92" s="23">
        <v>32599.7</v>
      </c>
      <c r="GV92" s="16">
        <v>0</v>
      </c>
      <c r="GW92" s="16">
        <v>0</v>
      </c>
      <c r="GX92" s="16">
        <v>0</v>
      </c>
      <c r="GY92" s="16">
        <v>0</v>
      </c>
      <c r="GZ92" s="16">
        <v>1</v>
      </c>
      <c r="HA92" s="16">
        <v>127842</v>
      </c>
      <c r="HB92" s="16">
        <v>127842</v>
      </c>
      <c r="HC92" s="16">
        <v>10866.6</v>
      </c>
      <c r="HD92" s="16">
        <v>0</v>
      </c>
      <c r="HE92" s="16">
        <v>0</v>
      </c>
      <c r="HF92" s="16">
        <v>0</v>
      </c>
      <c r="HG92" s="16">
        <v>0</v>
      </c>
      <c r="HH92" s="16">
        <v>1</v>
      </c>
      <c r="HI92" s="16">
        <v>127842</v>
      </c>
      <c r="HJ92" s="16">
        <v>127842</v>
      </c>
      <c r="HK92" s="16">
        <v>10866.6</v>
      </c>
      <c r="HL92" s="23">
        <v>2</v>
      </c>
      <c r="HM92" s="23"/>
      <c r="HN92" s="23">
        <v>255684</v>
      </c>
      <c r="HO92" s="23">
        <v>21733.1</v>
      </c>
      <c r="HP92" s="16">
        <v>1</v>
      </c>
      <c r="HQ92" s="16">
        <v>127842</v>
      </c>
      <c r="HR92" s="16">
        <v>127842</v>
      </c>
      <c r="HS92" s="16">
        <v>10866.6</v>
      </c>
      <c r="HT92" s="16">
        <v>0</v>
      </c>
      <c r="HU92" s="16">
        <v>0</v>
      </c>
      <c r="HV92" s="16">
        <v>0</v>
      </c>
      <c r="HW92" s="16">
        <v>0</v>
      </c>
      <c r="HX92" s="16">
        <v>1</v>
      </c>
      <c r="HY92" s="16">
        <v>127842</v>
      </c>
      <c r="HZ92" s="16">
        <v>127842</v>
      </c>
      <c r="IA92" s="16">
        <v>10866.6</v>
      </c>
      <c r="IB92" s="16">
        <v>0</v>
      </c>
      <c r="IC92" s="16">
        <v>0</v>
      </c>
      <c r="ID92" s="16">
        <v>0</v>
      </c>
      <c r="IE92" s="16">
        <v>0</v>
      </c>
      <c r="IF92" s="23">
        <v>2</v>
      </c>
      <c r="IG92" s="23"/>
      <c r="IH92" s="23">
        <v>255684</v>
      </c>
      <c r="II92" s="23">
        <v>21733.1</v>
      </c>
      <c r="IJ92" s="16">
        <v>0</v>
      </c>
      <c r="IK92" s="16">
        <v>0</v>
      </c>
      <c r="IL92" s="16">
        <v>0</v>
      </c>
      <c r="IM92" s="16">
        <v>0</v>
      </c>
      <c r="IN92" s="16">
        <v>1</v>
      </c>
      <c r="IO92" s="16">
        <v>127842</v>
      </c>
      <c r="IP92" s="16">
        <v>127842</v>
      </c>
      <c r="IQ92" s="16">
        <v>10866.6</v>
      </c>
      <c r="IR92" s="16">
        <v>1</v>
      </c>
      <c r="IS92" s="16">
        <v>127842</v>
      </c>
      <c r="IT92" s="16">
        <v>127842</v>
      </c>
      <c r="IU92" s="16">
        <v>10866.6</v>
      </c>
      <c r="IV92" s="16">
        <v>0</v>
      </c>
      <c r="IW92" s="16">
        <v>0</v>
      </c>
      <c r="IX92" s="16">
        <v>0</v>
      </c>
      <c r="IY92" s="16">
        <v>0</v>
      </c>
      <c r="IZ92" s="16">
        <v>0</v>
      </c>
      <c r="JA92" s="16">
        <v>0</v>
      </c>
      <c r="JB92" s="16">
        <v>0</v>
      </c>
      <c r="JC92" s="16">
        <v>0</v>
      </c>
      <c r="JD92" s="23">
        <v>2</v>
      </c>
      <c r="JE92" s="23"/>
      <c r="JF92" s="23">
        <v>255684</v>
      </c>
      <c r="JG92" s="23">
        <v>21733.1</v>
      </c>
      <c r="JH92" s="16">
        <v>1</v>
      </c>
      <c r="JI92" s="16">
        <v>127842</v>
      </c>
      <c r="JJ92" s="16">
        <v>127842</v>
      </c>
      <c r="JK92" s="16">
        <v>10866.6</v>
      </c>
      <c r="JL92" s="16">
        <v>0</v>
      </c>
      <c r="JM92" s="16">
        <v>0</v>
      </c>
      <c r="JN92" s="16">
        <v>0</v>
      </c>
      <c r="JO92" s="16">
        <v>0</v>
      </c>
      <c r="JP92" s="16">
        <v>0</v>
      </c>
      <c r="JQ92" s="16">
        <v>0</v>
      </c>
      <c r="JR92" s="16">
        <v>0</v>
      </c>
      <c r="JS92" s="16">
        <v>0</v>
      </c>
      <c r="JT92" s="16">
        <v>1</v>
      </c>
      <c r="JU92" s="16">
        <v>127842</v>
      </c>
      <c r="JV92" s="16">
        <v>127842</v>
      </c>
      <c r="JW92" s="16">
        <v>10866.6</v>
      </c>
      <c r="JX92" s="23">
        <v>2</v>
      </c>
      <c r="JY92" s="23"/>
      <c r="JZ92" s="23">
        <v>255684</v>
      </c>
      <c r="KA92" s="23">
        <v>21733.1</v>
      </c>
      <c r="KB92" s="16">
        <v>0</v>
      </c>
      <c r="KC92" s="16">
        <v>0</v>
      </c>
      <c r="KD92" s="16">
        <v>0</v>
      </c>
      <c r="KE92" s="16">
        <v>0</v>
      </c>
      <c r="KF92" s="16">
        <v>1</v>
      </c>
      <c r="KG92" s="16">
        <v>127842</v>
      </c>
      <c r="KH92" s="16">
        <v>127842</v>
      </c>
      <c r="KI92" s="16">
        <v>10866.6</v>
      </c>
      <c r="KJ92" s="16">
        <v>0</v>
      </c>
      <c r="KK92" s="16">
        <v>0</v>
      </c>
      <c r="KL92" s="16">
        <v>0</v>
      </c>
      <c r="KM92" s="16">
        <v>0</v>
      </c>
      <c r="KN92" s="16">
        <v>2</v>
      </c>
      <c r="KO92" s="16">
        <v>127842</v>
      </c>
      <c r="KP92" s="16">
        <v>255684</v>
      </c>
      <c r="KQ92" s="16">
        <v>21733.1</v>
      </c>
      <c r="KR92" s="23">
        <v>3</v>
      </c>
      <c r="KS92" s="23"/>
      <c r="KT92" s="23">
        <v>383526</v>
      </c>
      <c r="KU92" s="23">
        <v>32599.7</v>
      </c>
      <c r="KV92" s="23">
        <v>49</v>
      </c>
      <c r="KW92" s="23"/>
      <c r="KX92" s="23">
        <v>6264258</v>
      </c>
      <c r="KY92" s="23">
        <v>532461.9</v>
      </c>
    </row>
    <row r="93" spans="1:311" ht="16.95" customHeight="1" x14ac:dyDescent="0.4">
      <c r="A93" s="11"/>
      <c r="B93" s="11"/>
      <c r="C93" s="11" t="s">
        <v>23</v>
      </c>
      <c r="D93" s="9">
        <v>3</v>
      </c>
      <c r="E93" s="9">
        <v>59400</v>
      </c>
      <c r="F93" s="9">
        <v>178200</v>
      </c>
      <c r="G93" s="9">
        <v>15147</v>
      </c>
      <c r="H93" s="22">
        <v>3</v>
      </c>
      <c r="I93" s="22"/>
      <c r="J93" s="22">
        <v>178200</v>
      </c>
      <c r="K93" s="22">
        <v>15147</v>
      </c>
      <c r="L93" s="9">
        <v>12</v>
      </c>
      <c r="M93" s="9">
        <v>59400</v>
      </c>
      <c r="N93" s="9">
        <v>712800</v>
      </c>
      <c r="O93" s="9">
        <v>60588</v>
      </c>
      <c r="P93" s="9">
        <v>15</v>
      </c>
      <c r="Q93" s="9">
        <v>59400</v>
      </c>
      <c r="R93" s="9">
        <v>891000</v>
      </c>
      <c r="S93" s="9">
        <v>75735</v>
      </c>
      <c r="T93" s="9">
        <v>11</v>
      </c>
      <c r="U93" s="9">
        <v>59400</v>
      </c>
      <c r="V93" s="9">
        <v>653400</v>
      </c>
      <c r="W93" s="9">
        <v>55539</v>
      </c>
      <c r="X93" s="9">
        <v>3</v>
      </c>
      <c r="Y93" s="9">
        <v>59400</v>
      </c>
      <c r="Z93" s="9">
        <v>178200</v>
      </c>
      <c r="AA93" s="9">
        <v>15147</v>
      </c>
      <c r="AB93" s="22">
        <v>41</v>
      </c>
      <c r="AC93" s="22"/>
      <c r="AD93" s="22">
        <v>2435400</v>
      </c>
      <c r="AE93" s="22">
        <v>207009</v>
      </c>
      <c r="AF93" s="9">
        <v>14</v>
      </c>
      <c r="AG93" s="9">
        <v>59400</v>
      </c>
      <c r="AH93" s="9">
        <v>831600</v>
      </c>
      <c r="AI93" s="9">
        <v>70686</v>
      </c>
      <c r="AJ93" s="9">
        <v>10</v>
      </c>
      <c r="AK93" s="9">
        <v>59400</v>
      </c>
      <c r="AL93" s="9">
        <v>594000</v>
      </c>
      <c r="AM93" s="9">
        <v>50490</v>
      </c>
      <c r="AN93" s="9">
        <v>13</v>
      </c>
      <c r="AO93" s="9">
        <v>59400</v>
      </c>
      <c r="AP93" s="9">
        <v>772200</v>
      </c>
      <c r="AQ93" s="9">
        <v>65637</v>
      </c>
      <c r="AR93" s="9">
        <v>11</v>
      </c>
      <c r="AS93" s="9">
        <v>59400</v>
      </c>
      <c r="AT93" s="9">
        <v>653400</v>
      </c>
      <c r="AU93" s="9">
        <v>55539</v>
      </c>
      <c r="AV93" s="22">
        <v>48</v>
      </c>
      <c r="AW93" s="22"/>
      <c r="AX93" s="22">
        <v>2851200</v>
      </c>
      <c r="AY93" s="22">
        <v>242352</v>
      </c>
      <c r="AZ93" s="9">
        <v>10</v>
      </c>
      <c r="BA93" s="9">
        <v>59400</v>
      </c>
      <c r="BB93" s="9">
        <v>594000</v>
      </c>
      <c r="BC93" s="9">
        <v>50490</v>
      </c>
      <c r="BD93" s="9">
        <v>9</v>
      </c>
      <c r="BE93" s="9">
        <v>59400</v>
      </c>
      <c r="BF93" s="9">
        <v>534600</v>
      </c>
      <c r="BG93" s="9">
        <v>45441</v>
      </c>
      <c r="BH93" s="9">
        <v>11</v>
      </c>
      <c r="BI93" s="9">
        <v>59400</v>
      </c>
      <c r="BJ93" s="9">
        <v>653400</v>
      </c>
      <c r="BK93" s="9">
        <v>55539</v>
      </c>
      <c r="BL93" s="9">
        <v>11</v>
      </c>
      <c r="BM93" s="9">
        <v>59400</v>
      </c>
      <c r="BN93" s="9">
        <v>653400</v>
      </c>
      <c r="BO93" s="9">
        <v>55539</v>
      </c>
      <c r="BP93" s="9">
        <v>10</v>
      </c>
      <c r="BQ93" s="9">
        <v>59400</v>
      </c>
      <c r="BR93" s="9">
        <v>594000</v>
      </c>
      <c r="BS93" s="9">
        <v>50490</v>
      </c>
      <c r="BT93" s="22">
        <v>51</v>
      </c>
      <c r="BU93" s="22"/>
      <c r="BV93" s="22">
        <v>3029400</v>
      </c>
      <c r="BW93" s="22">
        <v>257499</v>
      </c>
      <c r="BX93" s="9">
        <v>9</v>
      </c>
      <c r="BY93" s="9">
        <v>59400</v>
      </c>
      <c r="BZ93" s="9">
        <v>534600</v>
      </c>
      <c r="CA93" s="9">
        <v>45441</v>
      </c>
      <c r="CB93" s="9">
        <v>12</v>
      </c>
      <c r="CC93" s="9">
        <v>59400</v>
      </c>
      <c r="CD93" s="9">
        <v>712800</v>
      </c>
      <c r="CE93" s="9">
        <v>60588</v>
      </c>
      <c r="CF93" s="9">
        <v>11</v>
      </c>
      <c r="CG93" s="9">
        <v>59400</v>
      </c>
      <c r="CH93" s="9">
        <v>653400</v>
      </c>
      <c r="CI93" s="9">
        <v>55539</v>
      </c>
      <c r="CJ93" s="9">
        <v>9</v>
      </c>
      <c r="CK93" s="9">
        <v>59400</v>
      </c>
      <c r="CL93" s="9">
        <v>534600</v>
      </c>
      <c r="CM93" s="9">
        <v>45441</v>
      </c>
      <c r="CN93" s="22">
        <v>41</v>
      </c>
      <c r="CO93" s="22"/>
      <c r="CP93" s="22">
        <v>2435400</v>
      </c>
      <c r="CQ93" s="22">
        <v>207009</v>
      </c>
      <c r="CR93" s="9">
        <v>6</v>
      </c>
      <c r="CS93" s="9">
        <v>59400</v>
      </c>
      <c r="CT93" s="9">
        <v>356400</v>
      </c>
      <c r="CU93" s="9">
        <v>30294</v>
      </c>
      <c r="CV93" s="9">
        <v>11</v>
      </c>
      <c r="CW93" s="9">
        <v>59400</v>
      </c>
      <c r="CX93" s="9">
        <v>653400</v>
      </c>
      <c r="CY93" s="9">
        <v>55539</v>
      </c>
      <c r="CZ93" s="9">
        <v>11</v>
      </c>
      <c r="DA93" s="9">
        <v>59400</v>
      </c>
      <c r="DB93" s="9">
        <v>653400</v>
      </c>
      <c r="DC93" s="9">
        <v>55539</v>
      </c>
      <c r="DD93" s="9">
        <v>10</v>
      </c>
      <c r="DE93" s="9">
        <v>59400</v>
      </c>
      <c r="DF93" s="9">
        <v>594000</v>
      </c>
      <c r="DG93" s="9">
        <v>50490</v>
      </c>
      <c r="DH93" s="22">
        <v>38</v>
      </c>
      <c r="DI93" s="22"/>
      <c r="DJ93" s="22">
        <v>2257200</v>
      </c>
      <c r="DK93" s="22">
        <v>191862</v>
      </c>
      <c r="DL93" s="9">
        <v>6</v>
      </c>
      <c r="DM93" s="9">
        <v>59400</v>
      </c>
      <c r="DN93" s="9">
        <v>356400</v>
      </c>
      <c r="DO93" s="9">
        <v>30294</v>
      </c>
      <c r="DP93" s="9">
        <v>14</v>
      </c>
      <c r="DQ93" s="9">
        <v>59400</v>
      </c>
      <c r="DR93" s="9">
        <v>831600</v>
      </c>
      <c r="DS93" s="9">
        <v>70686</v>
      </c>
      <c r="DT93" s="9">
        <v>12</v>
      </c>
      <c r="DU93" s="9">
        <v>59400</v>
      </c>
      <c r="DV93" s="9">
        <v>712800</v>
      </c>
      <c r="DW93" s="9">
        <v>60588</v>
      </c>
      <c r="DX93" s="9">
        <v>14</v>
      </c>
      <c r="DY93" s="9">
        <v>59400</v>
      </c>
      <c r="DZ93" s="9">
        <v>831600</v>
      </c>
      <c r="EA93" s="9">
        <v>70686</v>
      </c>
      <c r="EB93" s="9">
        <v>13</v>
      </c>
      <c r="EC93" s="9">
        <v>61050</v>
      </c>
      <c r="ED93" s="9">
        <v>790350</v>
      </c>
      <c r="EE93" s="9">
        <v>67179.8</v>
      </c>
      <c r="EF93" s="22">
        <v>59</v>
      </c>
      <c r="EG93" s="22"/>
      <c r="EH93" s="22">
        <v>3522750</v>
      </c>
      <c r="EI93" s="22">
        <v>299433.8</v>
      </c>
      <c r="EJ93" s="9">
        <v>11</v>
      </c>
      <c r="EK93" s="9">
        <v>61050</v>
      </c>
      <c r="EL93" s="9">
        <v>671550</v>
      </c>
      <c r="EM93" s="9">
        <v>57081.8</v>
      </c>
      <c r="EN93" s="9">
        <v>12</v>
      </c>
      <c r="EO93" s="9">
        <v>61050</v>
      </c>
      <c r="EP93" s="9">
        <v>732600</v>
      </c>
      <c r="EQ93" s="9">
        <v>62271</v>
      </c>
      <c r="ER93" s="9">
        <v>14</v>
      </c>
      <c r="ES93" s="9">
        <v>61050</v>
      </c>
      <c r="ET93" s="9">
        <v>854700</v>
      </c>
      <c r="EU93" s="9">
        <v>72649.5</v>
      </c>
      <c r="EV93" s="9">
        <v>11</v>
      </c>
      <c r="EW93" s="9">
        <v>61050</v>
      </c>
      <c r="EX93" s="9">
        <v>671550</v>
      </c>
      <c r="EY93" s="9">
        <v>57081.8</v>
      </c>
      <c r="EZ93" s="22">
        <v>48</v>
      </c>
      <c r="FA93" s="22"/>
      <c r="FB93" s="22">
        <v>2930400</v>
      </c>
      <c r="FC93" s="22">
        <v>249084</v>
      </c>
      <c r="FD93" s="9">
        <v>15</v>
      </c>
      <c r="FE93" s="9">
        <v>61050</v>
      </c>
      <c r="FF93" s="9">
        <v>915750</v>
      </c>
      <c r="FG93" s="9">
        <v>77838.8</v>
      </c>
      <c r="FH93" s="9">
        <v>7</v>
      </c>
      <c r="FI93" s="9">
        <v>61050</v>
      </c>
      <c r="FJ93" s="9">
        <v>427350</v>
      </c>
      <c r="FK93" s="9">
        <v>36324.800000000003</v>
      </c>
      <c r="FL93" s="9">
        <v>12</v>
      </c>
      <c r="FM93" s="9">
        <v>61050</v>
      </c>
      <c r="FN93" s="9">
        <v>732600</v>
      </c>
      <c r="FO93" s="9">
        <v>62271</v>
      </c>
      <c r="FP93" s="9">
        <v>11</v>
      </c>
      <c r="FQ93" s="9">
        <v>61050</v>
      </c>
      <c r="FR93" s="9">
        <v>671550</v>
      </c>
      <c r="FS93" s="9">
        <v>57081.8</v>
      </c>
      <c r="FT93" s="22">
        <v>45</v>
      </c>
      <c r="FU93" s="22"/>
      <c r="FV93" s="22">
        <v>2747250</v>
      </c>
      <c r="FW93" s="22">
        <v>233516.3</v>
      </c>
      <c r="FX93" s="9">
        <v>9</v>
      </c>
      <c r="FY93" s="9">
        <v>61050</v>
      </c>
      <c r="FZ93" s="9">
        <v>549450</v>
      </c>
      <c r="GA93" s="9">
        <v>46703.3</v>
      </c>
      <c r="GB93" s="9">
        <v>11</v>
      </c>
      <c r="GC93" s="9">
        <v>61050</v>
      </c>
      <c r="GD93" s="9">
        <v>671550</v>
      </c>
      <c r="GE93" s="9">
        <v>57081.8</v>
      </c>
      <c r="GF93" s="9">
        <v>10</v>
      </c>
      <c r="GG93" s="9">
        <v>61050</v>
      </c>
      <c r="GH93" s="9">
        <v>610500</v>
      </c>
      <c r="GI93" s="9">
        <v>51892.5</v>
      </c>
      <c r="GJ93" s="9">
        <v>9</v>
      </c>
      <c r="GK93" s="9">
        <v>61050</v>
      </c>
      <c r="GL93" s="9">
        <v>549450</v>
      </c>
      <c r="GM93" s="9">
        <v>46703.3</v>
      </c>
      <c r="GN93" s="9">
        <v>3</v>
      </c>
      <c r="GO93" s="9">
        <v>61050</v>
      </c>
      <c r="GP93" s="9">
        <v>183150</v>
      </c>
      <c r="GQ93" s="9">
        <v>15567.8</v>
      </c>
      <c r="GR93" s="22">
        <v>42</v>
      </c>
      <c r="GS93" s="22"/>
      <c r="GT93" s="22">
        <v>2564100</v>
      </c>
      <c r="GU93" s="22">
        <v>217948.5</v>
      </c>
      <c r="GV93" s="9">
        <v>4</v>
      </c>
      <c r="GW93" s="9">
        <v>61050</v>
      </c>
      <c r="GX93" s="9">
        <v>244200</v>
      </c>
      <c r="GY93" s="9">
        <v>20757</v>
      </c>
      <c r="GZ93" s="9">
        <v>12</v>
      </c>
      <c r="HA93" s="9">
        <v>61050</v>
      </c>
      <c r="HB93" s="9">
        <v>732600</v>
      </c>
      <c r="HC93" s="9">
        <v>62271</v>
      </c>
      <c r="HD93" s="9">
        <v>7</v>
      </c>
      <c r="HE93" s="9">
        <v>61050</v>
      </c>
      <c r="HF93" s="9">
        <v>427350</v>
      </c>
      <c r="HG93" s="9">
        <v>36324.800000000003</v>
      </c>
      <c r="HH93" s="9">
        <v>9</v>
      </c>
      <c r="HI93" s="9">
        <v>61050</v>
      </c>
      <c r="HJ93" s="9">
        <v>549450</v>
      </c>
      <c r="HK93" s="9">
        <v>46703.3</v>
      </c>
      <c r="HL93" s="22">
        <v>32</v>
      </c>
      <c r="HM93" s="22"/>
      <c r="HN93" s="22">
        <v>1953600</v>
      </c>
      <c r="HO93" s="22">
        <v>166056</v>
      </c>
      <c r="HP93" s="9">
        <v>10</v>
      </c>
      <c r="HQ93" s="9">
        <v>61050</v>
      </c>
      <c r="HR93" s="9">
        <v>610500</v>
      </c>
      <c r="HS93" s="9">
        <v>51892.5</v>
      </c>
      <c r="HT93" s="9">
        <v>7</v>
      </c>
      <c r="HU93" s="9">
        <v>61050</v>
      </c>
      <c r="HV93" s="9">
        <v>427350</v>
      </c>
      <c r="HW93" s="9">
        <v>36324.800000000003</v>
      </c>
      <c r="HX93" s="9">
        <v>12</v>
      </c>
      <c r="HY93" s="9">
        <v>61050</v>
      </c>
      <c r="HZ93" s="9">
        <v>732600</v>
      </c>
      <c r="IA93" s="9">
        <v>62271</v>
      </c>
      <c r="IB93" s="9">
        <v>10</v>
      </c>
      <c r="IC93" s="9">
        <v>61050</v>
      </c>
      <c r="ID93" s="9">
        <v>610500</v>
      </c>
      <c r="IE93" s="9">
        <v>51892.5</v>
      </c>
      <c r="IF93" s="22">
        <v>39</v>
      </c>
      <c r="IG93" s="22"/>
      <c r="IH93" s="22">
        <v>2380950</v>
      </c>
      <c r="II93" s="22">
        <v>202380.79999999999</v>
      </c>
      <c r="IJ93" s="9">
        <v>8</v>
      </c>
      <c r="IK93" s="9">
        <v>61050</v>
      </c>
      <c r="IL93" s="9">
        <v>488400</v>
      </c>
      <c r="IM93" s="9">
        <v>41514</v>
      </c>
      <c r="IN93" s="9">
        <v>11</v>
      </c>
      <c r="IO93" s="9">
        <v>61050</v>
      </c>
      <c r="IP93" s="9">
        <v>671550</v>
      </c>
      <c r="IQ93" s="9">
        <v>57081.8</v>
      </c>
      <c r="IR93" s="9">
        <v>11</v>
      </c>
      <c r="IS93" s="9">
        <v>61050</v>
      </c>
      <c r="IT93" s="9">
        <v>671550</v>
      </c>
      <c r="IU93" s="9">
        <v>57081.8</v>
      </c>
      <c r="IV93" s="9">
        <v>5</v>
      </c>
      <c r="IW93" s="9">
        <v>61050</v>
      </c>
      <c r="IX93" s="9">
        <v>305250</v>
      </c>
      <c r="IY93" s="9">
        <v>25946.3</v>
      </c>
      <c r="IZ93" s="9">
        <v>5</v>
      </c>
      <c r="JA93" s="9">
        <v>61050</v>
      </c>
      <c r="JB93" s="9">
        <v>305250</v>
      </c>
      <c r="JC93" s="9">
        <v>25946.3</v>
      </c>
      <c r="JD93" s="22">
        <v>40</v>
      </c>
      <c r="JE93" s="22"/>
      <c r="JF93" s="22">
        <v>2442000</v>
      </c>
      <c r="JG93" s="22">
        <v>207570</v>
      </c>
      <c r="JH93" s="9">
        <v>7</v>
      </c>
      <c r="JI93" s="9">
        <v>61050</v>
      </c>
      <c r="JJ93" s="9">
        <v>427350</v>
      </c>
      <c r="JK93" s="9">
        <v>36324.800000000003</v>
      </c>
      <c r="JL93" s="9">
        <v>10</v>
      </c>
      <c r="JM93" s="9">
        <v>61050</v>
      </c>
      <c r="JN93" s="9">
        <v>610500</v>
      </c>
      <c r="JO93" s="9">
        <v>51892.5</v>
      </c>
      <c r="JP93" s="9">
        <v>10</v>
      </c>
      <c r="JQ93" s="9">
        <v>61050</v>
      </c>
      <c r="JR93" s="9">
        <v>610500</v>
      </c>
      <c r="JS93" s="9">
        <v>51892.5</v>
      </c>
      <c r="JT93" s="9">
        <v>14</v>
      </c>
      <c r="JU93" s="9">
        <v>61050</v>
      </c>
      <c r="JV93" s="9">
        <v>854700</v>
      </c>
      <c r="JW93" s="9">
        <v>72649.5</v>
      </c>
      <c r="JX93" s="22">
        <v>41</v>
      </c>
      <c r="JY93" s="22"/>
      <c r="JZ93" s="22">
        <v>2503050</v>
      </c>
      <c r="KA93" s="22">
        <v>212759.3</v>
      </c>
      <c r="KB93" s="9">
        <v>6</v>
      </c>
      <c r="KC93" s="9">
        <v>61050</v>
      </c>
      <c r="KD93" s="9">
        <v>366300</v>
      </c>
      <c r="KE93" s="9">
        <v>31135.5</v>
      </c>
      <c r="KF93" s="9">
        <v>8</v>
      </c>
      <c r="KG93" s="9">
        <v>61050</v>
      </c>
      <c r="KH93" s="9">
        <v>488400</v>
      </c>
      <c r="KI93" s="9">
        <v>41514</v>
      </c>
      <c r="KJ93" s="9">
        <v>3</v>
      </c>
      <c r="KK93" s="9">
        <v>61050</v>
      </c>
      <c r="KL93" s="9">
        <v>183150</v>
      </c>
      <c r="KM93" s="9">
        <v>15567.8</v>
      </c>
      <c r="KN93" s="9">
        <v>8</v>
      </c>
      <c r="KO93" s="9">
        <v>61050</v>
      </c>
      <c r="KP93" s="9">
        <v>488400</v>
      </c>
      <c r="KQ93" s="9">
        <v>41514</v>
      </c>
      <c r="KR93" s="22">
        <v>25</v>
      </c>
      <c r="KS93" s="22"/>
      <c r="KT93" s="22">
        <v>1526250</v>
      </c>
      <c r="KU93" s="22">
        <v>129731.3</v>
      </c>
      <c r="KV93" s="22">
        <v>593</v>
      </c>
      <c r="KW93" s="22"/>
      <c r="KX93" s="22">
        <v>35757150</v>
      </c>
      <c r="KY93" s="22">
        <v>3039357.8</v>
      </c>
    </row>
    <row r="94" spans="1:311" ht="16.95" customHeight="1" x14ac:dyDescent="0.4">
      <c r="A94" s="15"/>
      <c r="B94" s="15"/>
      <c r="C94" s="15" t="s">
        <v>51</v>
      </c>
      <c r="D94" s="16">
        <v>0</v>
      </c>
      <c r="E94" s="16">
        <v>0</v>
      </c>
      <c r="F94" s="16">
        <v>0</v>
      </c>
      <c r="G94" s="16">
        <v>0</v>
      </c>
      <c r="H94" s="23">
        <v>0</v>
      </c>
      <c r="I94" s="23"/>
      <c r="J94" s="23">
        <v>0</v>
      </c>
      <c r="K94" s="23">
        <v>0</v>
      </c>
      <c r="L94" s="16">
        <v>2</v>
      </c>
      <c r="M94" s="16">
        <v>78375</v>
      </c>
      <c r="N94" s="16">
        <v>156750</v>
      </c>
      <c r="O94" s="16">
        <v>13323.8</v>
      </c>
      <c r="P94" s="16">
        <v>1</v>
      </c>
      <c r="Q94" s="16">
        <v>78375</v>
      </c>
      <c r="R94" s="16">
        <v>78375</v>
      </c>
      <c r="S94" s="16">
        <v>6661.9</v>
      </c>
      <c r="T94" s="16">
        <v>2</v>
      </c>
      <c r="U94" s="16">
        <v>78375</v>
      </c>
      <c r="V94" s="16">
        <v>156750</v>
      </c>
      <c r="W94" s="16">
        <v>13323.8</v>
      </c>
      <c r="X94" s="16">
        <v>1</v>
      </c>
      <c r="Y94" s="16">
        <v>78375</v>
      </c>
      <c r="Z94" s="16">
        <v>78375</v>
      </c>
      <c r="AA94" s="16">
        <v>6661.9</v>
      </c>
      <c r="AB94" s="23">
        <v>6</v>
      </c>
      <c r="AC94" s="23"/>
      <c r="AD94" s="23">
        <v>470250</v>
      </c>
      <c r="AE94" s="23">
        <v>39971.300000000003</v>
      </c>
      <c r="AF94" s="16">
        <v>1</v>
      </c>
      <c r="AG94" s="16">
        <v>78375</v>
      </c>
      <c r="AH94" s="16">
        <v>78375</v>
      </c>
      <c r="AI94" s="16">
        <v>6661.9</v>
      </c>
      <c r="AJ94" s="16">
        <v>1</v>
      </c>
      <c r="AK94" s="16">
        <v>78375</v>
      </c>
      <c r="AL94" s="16">
        <v>78375</v>
      </c>
      <c r="AM94" s="16">
        <v>6661.9</v>
      </c>
      <c r="AN94" s="16">
        <v>2</v>
      </c>
      <c r="AO94" s="16">
        <v>78375</v>
      </c>
      <c r="AP94" s="16">
        <v>156750</v>
      </c>
      <c r="AQ94" s="16">
        <v>13323.8</v>
      </c>
      <c r="AR94" s="16">
        <v>2</v>
      </c>
      <c r="AS94" s="16">
        <v>78375</v>
      </c>
      <c r="AT94" s="16">
        <v>156750</v>
      </c>
      <c r="AU94" s="16">
        <v>13323.8</v>
      </c>
      <c r="AV94" s="23">
        <v>6</v>
      </c>
      <c r="AW94" s="23"/>
      <c r="AX94" s="23">
        <v>470250</v>
      </c>
      <c r="AY94" s="23">
        <v>39971.300000000003</v>
      </c>
      <c r="AZ94" s="16">
        <v>1</v>
      </c>
      <c r="BA94" s="16">
        <v>78375</v>
      </c>
      <c r="BB94" s="16">
        <v>78375</v>
      </c>
      <c r="BC94" s="16">
        <v>6661.9</v>
      </c>
      <c r="BD94" s="16">
        <v>2</v>
      </c>
      <c r="BE94" s="16">
        <v>78375</v>
      </c>
      <c r="BF94" s="16">
        <v>156750</v>
      </c>
      <c r="BG94" s="16">
        <v>13323.8</v>
      </c>
      <c r="BH94" s="16">
        <v>2</v>
      </c>
      <c r="BI94" s="16">
        <v>78375</v>
      </c>
      <c r="BJ94" s="16">
        <v>156750</v>
      </c>
      <c r="BK94" s="16">
        <v>13323.8</v>
      </c>
      <c r="BL94" s="16">
        <v>2</v>
      </c>
      <c r="BM94" s="16">
        <v>78375</v>
      </c>
      <c r="BN94" s="16">
        <v>156750</v>
      </c>
      <c r="BO94" s="16">
        <v>13323.8</v>
      </c>
      <c r="BP94" s="16">
        <v>2</v>
      </c>
      <c r="BQ94" s="16">
        <v>78375</v>
      </c>
      <c r="BR94" s="16">
        <v>156750</v>
      </c>
      <c r="BS94" s="16">
        <v>13323.8</v>
      </c>
      <c r="BT94" s="23">
        <v>9</v>
      </c>
      <c r="BU94" s="23"/>
      <c r="BV94" s="23">
        <v>705375</v>
      </c>
      <c r="BW94" s="23">
        <v>59956.9</v>
      </c>
      <c r="BX94" s="16">
        <v>3</v>
      </c>
      <c r="BY94" s="16">
        <v>78375</v>
      </c>
      <c r="BZ94" s="16">
        <v>235125</v>
      </c>
      <c r="CA94" s="16">
        <v>19985.599999999999</v>
      </c>
      <c r="CB94" s="16">
        <v>1</v>
      </c>
      <c r="CC94" s="16">
        <v>78375</v>
      </c>
      <c r="CD94" s="16">
        <v>78375</v>
      </c>
      <c r="CE94" s="16">
        <v>6661.9</v>
      </c>
      <c r="CF94" s="16">
        <v>4</v>
      </c>
      <c r="CG94" s="16">
        <v>78375</v>
      </c>
      <c r="CH94" s="16">
        <v>313500</v>
      </c>
      <c r="CI94" s="16">
        <v>26647.5</v>
      </c>
      <c r="CJ94" s="16">
        <v>2</v>
      </c>
      <c r="CK94" s="16">
        <v>78375</v>
      </c>
      <c r="CL94" s="16">
        <v>156750</v>
      </c>
      <c r="CM94" s="16">
        <v>13323.8</v>
      </c>
      <c r="CN94" s="23">
        <v>10</v>
      </c>
      <c r="CO94" s="23"/>
      <c r="CP94" s="23">
        <v>783750</v>
      </c>
      <c r="CQ94" s="23">
        <v>66618.8</v>
      </c>
      <c r="CR94" s="16">
        <v>2</v>
      </c>
      <c r="CS94" s="16">
        <v>78375</v>
      </c>
      <c r="CT94" s="16">
        <v>156750</v>
      </c>
      <c r="CU94" s="16">
        <v>13323.8</v>
      </c>
      <c r="CV94" s="16">
        <v>2</v>
      </c>
      <c r="CW94" s="16">
        <v>78375</v>
      </c>
      <c r="CX94" s="16">
        <v>156750</v>
      </c>
      <c r="CY94" s="16">
        <v>13323.8</v>
      </c>
      <c r="CZ94" s="16">
        <v>3</v>
      </c>
      <c r="DA94" s="16">
        <v>78375</v>
      </c>
      <c r="DB94" s="16">
        <v>235125</v>
      </c>
      <c r="DC94" s="16">
        <v>19985.599999999999</v>
      </c>
      <c r="DD94" s="16">
        <v>3</v>
      </c>
      <c r="DE94" s="16">
        <v>78375</v>
      </c>
      <c r="DF94" s="16">
        <v>235125</v>
      </c>
      <c r="DG94" s="16">
        <v>19985.599999999999</v>
      </c>
      <c r="DH94" s="23">
        <v>10</v>
      </c>
      <c r="DI94" s="23"/>
      <c r="DJ94" s="23">
        <v>783750</v>
      </c>
      <c r="DK94" s="23">
        <v>66618.8</v>
      </c>
      <c r="DL94" s="16">
        <v>1</v>
      </c>
      <c r="DM94" s="16">
        <v>78375</v>
      </c>
      <c r="DN94" s="16">
        <v>78375</v>
      </c>
      <c r="DO94" s="16">
        <v>6661.9</v>
      </c>
      <c r="DP94" s="16">
        <v>4</v>
      </c>
      <c r="DQ94" s="16">
        <v>78375</v>
      </c>
      <c r="DR94" s="16">
        <v>313500</v>
      </c>
      <c r="DS94" s="16">
        <v>26647.5</v>
      </c>
      <c r="DT94" s="16">
        <v>3</v>
      </c>
      <c r="DU94" s="16">
        <v>78375</v>
      </c>
      <c r="DV94" s="16">
        <v>235125</v>
      </c>
      <c r="DW94" s="16">
        <v>19985.599999999999</v>
      </c>
      <c r="DX94" s="16">
        <v>3</v>
      </c>
      <c r="DY94" s="16">
        <v>78375</v>
      </c>
      <c r="DZ94" s="16">
        <v>235125</v>
      </c>
      <c r="EA94" s="16">
        <v>19985.599999999999</v>
      </c>
      <c r="EB94" s="16">
        <v>4</v>
      </c>
      <c r="EC94" s="16">
        <v>80300</v>
      </c>
      <c r="ED94" s="16">
        <v>319275</v>
      </c>
      <c r="EE94" s="16">
        <v>27138.400000000001</v>
      </c>
      <c r="EF94" s="23">
        <v>15</v>
      </c>
      <c r="EG94" s="23"/>
      <c r="EH94" s="23">
        <v>1181400</v>
      </c>
      <c r="EI94" s="23">
        <v>100419</v>
      </c>
      <c r="EJ94" s="16">
        <v>3</v>
      </c>
      <c r="EK94" s="16">
        <v>80300</v>
      </c>
      <c r="EL94" s="16">
        <v>240900</v>
      </c>
      <c r="EM94" s="16">
        <v>20476.5</v>
      </c>
      <c r="EN94" s="16">
        <v>4</v>
      </c>
      <c r="EO94" s="16">
        <v>80300</v>
      </c>
      <c r="EP94" s="16">
        <v>321200</v>
      </c>
      <c r="EQ94" s="16">
        <v>27302</v>
      </c>
      <c r="ER94" s="16">
        <v>3</v>
      </c>
      <c r="ES94" s="16">
        <v>80300</v>
      </c>
      <c r="ET94" s="16">
        <v>240900</v>
      </c>
      <c r="EU94" s="16">
        <v>20476.5</v>
      </c>
      <c r="EV94" s="16">
        <v>5</v>
      </c>
      <c r="EW94" s="16">
        <v>80300</v>
      </c>
      <c r="EX94" s="16">
        <v>401500</v>
      </c>
      <c r="EY94" s="16">
        <v>34127.5</v>
      </c>
      <c r="EZ94" s="23">
        <v>15</v>
      </c>
      <c r="FA94" s="23"/>
      <c r="FB94" s="23">
        <v>1204500</v>
      </c>
      <c r="FC94" s="23">
        <v>102382.5</v>
      </c>
      <c r="FD94" s="16">
        <v>4</v>
      </c>
      <c r="FE94" s="16">
        <v>80300</v>
      </c>
      <c r="FF94" s="16">
        <v>321200</v>
      </c>
      <c r="FG94" s="16">
        <v>27302</v>
      </c>
      <c r="FH94" s="16">
        <v>1</v>
      </c>
      <c r="FI94" s="16">
        <v>80300</v>
      </c>
      <c r="FJ94" s="16">
        <v>80300</v>
      </c>
      <c r="FK94" s="16">
        <v>6825.5</v>
      </c>
      <c r="FL94" s="16">
        <v>3</v>
      </c>
      <c r="FM94" s="16">
        <v>80300</v>
      </c>
      <c r="FN94" s="16">
        <v>240900</v>
      </c>
      <c r="FO94" s="16">
        <v>20476.5</v>
      </c>
      <c r="FP94" s="16">
        <v>3</v>
      </c>
      <c r="FQ94" s="16">
        <v>80300</v>
      </c>
      <c r="FR94" s="16">
        <v>240900</v>
      </c>
      <c r="FS94" s="16">
        <v>20476.5</v>
      </c>
      <c r="FT94" s="23">
        <v>11</v>
      </c>
      <c r="FU94" s="23"/>
      <c r="FV94" s="23">
        <v>883300</v>
      </c>
      <c r="FW94" s="23">
        <v>75080.5</v>
      </c>
      <c r="FX94" s="16">
        <v>2</v>
      </c>
      <c r="FY94" s="16">
        <v>80300</v>
      </c>
      <c r="FZ94" s="16">
        <v>160600</v>
      </c>
      <c r="GA94" s="16">
        <v>13651</v>
      </c>
      <c r="GB94" s="16">
        <v>2</v>
      </c>
      <c r="GC94" s="16">
        <v>80300</v>
      </c>
      <c r="GD94" s="16">
        <v>160600</v>
      </c>
      <c r="GE94" s="16">
        <v>13651</v>
      </c>
      <c r="GF94" s="16">
        <v>2</v>
      </c>
      <c r="GG94" s="16">
        <v>80300</v>
      </c>
      <c r="GH94" s="16">
        <v>160600</v>
      </c>
      <c r="GI94" s="16">
        <v>13651</v>
      </c>
      <c r="GJ94" s="16">
        <v>1</v>
      </c>
      <c r="GK94" s="16">
        <v>80300</v>
      </c>
      <c r="GL94" s="16">
        <v>80300</v>
      </c>
      <c r="GM94" s="16">
        <v>6825.5</v>
      </c>
      <c r="GN94" s="16">
        <v>1</v>
      </c>
      <c r="GO94" s="16">
        <v>80300</v>
      </c>
      <c r="GP94" s="16">
        <v>80300</v>
      </c>
      <c r="GQ94" s="16">
        <v>6825.5</v>
      </c>
      <c r="GR94" s="23">
        <v>8</v>
      </c>
      <c r="GS94" s="23"/>
      <c r="GT94" s="23">
        <v>642400</v>
      </c>
      <c r="GU94" s="23">
        <v>54604</v>
      </c>
      <c r="GV94" s="16">
        <v>1</v>
      </c>
      <c r="GW94" s="16">
        <v>80300</v>
      </c>
      <c r="GX94" s="16">
        <v>80300</v>
      </c>
      <c r="GY94" s="16">
        <v>6825.5</v>
      </c>
      <c r="GZ94" s="16">
        <v>1</v>
      </c>
      <c r="HA94" s="16">
        <v>80300</v>
      </c>
      <c r="HB94" s="16">
        <v>80300</v>
      </c>
      <c r="HC94" s="16">
        <v>6825.5</v>
      </c>
      <c r="HD94" s="16">
        <v>2</v>
      </c>
      <c r="HE94" s="16">
        <v>80300</v>
      </c>
      <c r="HF94" s="16">
        <v>160600</v>
      </c>
      <c r="HG94" s="16">
        <v>13651</v>
      </c>
      <c r="HH94" s="16">
        <v>1</v>
      </c>
      <c r="HI94" s="16">
        <v>80300</v>
      </c>
      <c r="HJ94" s="16">
        <v>80300</v>
      </c>
      <c r="HK94" s="16">
        <v>6825.5</v>
      </c>
      <c r="HL94" s="23">
        <v>5</v>
      </c>
      <c r="HM94" s="23"/>
      <c r="HN94" s="23">
        <v>401500</v>
      </c>
      <c r="HO94" s="23">
        <v>34127.5</v>
      </c>
      <c r="HP94" s="16">
        <v>1</v>
      </c>
      <c r="HQ94" s="16">
        <v>80300</v>
      </c>
      <c r="HR94" s="16">
        <v>80300</v>
      </c>
      <c r="HS94" s="16">
        <v>6825.5</v>
      </c>
      <c r="HT94" s="16">
        <v>1</v>
      </c>
      <c r="HU94" s="16">
        <v>80300</v>
      </c>
      <c r="HV94" s="16">
        <v>80300</v>
      </c>
      <c r="HW94" s="16">
        <v>6825.5</v>
      </c>
      <c r="HX94" s="16">
        <v>1</v>
      </c>
      <c r="HY94" s="16">
        <v>80300</v>
      </c>
      <c r="HZ94" s="16">
        <v>80300</v>
      </c>
      <c r="IA94" s="16">
        <v>6825.5</v>
      </c>
      <c r="IB94" s="16">
        <v>2</v>
      </c>
      <c r="IC94" s="16">
        <v>80300</v>
      </c>
      <c r="ID94" s="16">
        <v>160600</v>
      </c>
      <c r="IE94" s="16">
        <v>13651</v>
      </c>
      <c r="IF94" s="23">
        <v>5</v>
      </c>
      <c r="IG94" s="23"/>
      <c r="IH94" s="23">
        <v>401500</v>
      </c>
      <c r="II94" s="23">
        <v>34127.5</v>
      </c>
      <c r="IJ94" s="16">
        <v>1</v>
      </c>
      <c r="IK94" s="16">
        <v>80300</v>
      </c>
      <c r="IL94" s="16">
        <v>80300</v>
      </c>
      <c r="IM94" s="16">
        <v>6825.5</v>
      </c>
      <c r="IN94" s="16">
        <v>2</v>
      </c>
      <c r="IO94" s="16">
        <v>80300</v>
      </c>
      <c r="IP94" s="16">
        <v>160600</v>
      </c>
      <c r="IQ94" s="16">
        <v>13651</v>
      </c>
      <c r="IR94" s="16">
        <v>1</v>
      </c>
      <c r="IS94" s="16">
        <v>80300</v>
      </c>
      <c r="IT94" s="16">
        <v>80300</v>
      </c>
      <c r="IU94" s="16">
        <v>6825.5</v>
      </c>
      <c r="IV94" s="16">
        <v>0</v>
      </c>
      <c r="IW94" s="16">
        <v>0</v>
      </c>
      <c r="IX94" s="16">
        <v>0</v>
      </c>
      <c r="IY94" s="16">
        <v>0</v>
      </c>
      <c r="IZ94" s="16">
        <v>1</v>
      </c>
      <c r="JA94" s="16">
        <v>80300</v>
      </c>
      <c r="JB94" s="16">
        <v>80300</v>
      </c>
      <c r="JC94" s="16">
        <v>6825.5</v>
      </c>
      <c r="JD94" s="23">
        <v>5</v>
      </c>
      <c r="JE94" s="23"/>
      <c r="JF94" s="23">
        <v>401500</v>
      </c>
      <c r="JG94" s="23">
        <v>34127.5</v>
      </c>
      <c r="JH94" s="16">
        <v>1</v>
      </c>
      <c r="JI94" s="16">
        <v>80300</v>
      </c>
      <c r="JJ94" s="16">
        <v>80300</v>
      </c>
      <c r="JK94" s="16">
        <v>6825.5</v>
      </c>
      <c r="JL94" s="16">
        <v>2</v>
      </c>
      <c r="JM94" s="16">
        <v>80300</v>
      </c>
      <c r="JN94" s="16">
        <v>160600</v>
      </c>
      <c r="JO94" s="16">
        <v>13651</v>
      </c>
      <c r="JP94" s="16">
        <v>1</v>
      </c>
      <c r="JQ94" s="16">
        <v>80300</v>
      </c>
      <c r="JR94" s="16">
        <v>80300</v>
      </c>
      <c r="JS94" s="16">
        <v>6825.5</v>
      </c>
      <c r="JT94" s="16">
        <v>1</v>
      </c>
      <c r="JU94" s="16">
        <v>80300</v>
      </c>
      <c r="JV94" s="16">
        <v>80300</v>
      </c>
      <c r="JW94" s="16">
        <v>6825.5</v>
      </c>
      <c r="JX94" s="23">
        <v>5</v>
      </c>
      <c r="JY94" s="23"/>
      <c r="JZ94" s="23">
        <v>401500</v>
      </c>
      <c r="KA94" s="23">
        <v>34127.5</v>
      </c>
      <c r="KB94" s="16">
        <v>2</v>
      </c>
      <c r="KC94" s="16">
        <v>80300</v>
      </c>
      <c r="KD94" s="16">
        <v>160600</v>
      </c>
      <c r="KE94" s="16">
        <v>13651</v>
      </c>
      <c r="KF94" s="16">
        <v>1</v>
      </c>
      <c r="KG94" s="16">
        <v>80300</v>
      </c>
      <c r="KH94" s="16">
        <v>80300</v>
      </c>
      <c r="KI94" s="16">
        <v>6825.5</v>
      </c>
      <c r="KJ94" s="16">
        <v>0</v>
      </c>
      <c r="KK94" s="16">
        <v>0</v>
      </c>
      <c r="KL94" s="16">
        <v>0</v>
      </c>
      <c r="KM94" s="16">
        <v>0</v>
      </c>
      <c r="KN94" s="16">
        <v>1</v>
      </c>
      <c r="KO94" s="16">
        <v>80300</v>
      </c>
      <c r="KP94" s="16">
        <v>80300</v>
      </c>
      <c r="KQ94" s="16">
        <v>6825.5</v>
      </c>
      <c r="KR94" s="23">
        <v>4</v>
      </c>
      <c r="KS94" s="23"/>
      <c r="KT94" s="23">
        <v>321200</v>
      </c>
      <c r="KU94" s="23">
        <v>27302</v>
      </c>
      <c r="KV94" s="23">
        <v>114</v>
      </c>
      <c r="KW94" s="23"/>
      <c r="KX94" s="23">
        <v>9052175</v>
      </c>
      <c r="KY94" s="23">
        <v>769434.9</v>
      </c>
    </row>
    <row r="95" spans="1:311" ht="16.95" customHeight="1" x14ac:dyDescent="0.4">
      <c r="A95" s="12"/>
      <c r="B95" s="12" t="s">
        <v>159</v>
      </c>
      <c r="C95" s="12" t="s">
        <v>395</v>
      </c>
      <c r="D95" s="10">
        <v>0</v>
      </c>
      <c r="E95" s="10">
        <v>0</v>
      </c>
      <c r="F95" s="10">
        <v>0</v>
      </c>
      <c r="G95" s="10">
        <v>0</v>
      </c>
      <c r="H95" s="21">
        <v>0</v>
      </c>
      <c r="I95" s="21">
        <v>0</v>
      </c>
      <c r="J95" s="21">
        <v>0</v>
      </c>
      <c r="K95" s="21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21">
        <v>0</v>
      </c>
      <c r="AC95" s="21">
        <v>0</v>
      </c>
      <c r="AD95" s="21">
        <v>0</v>
      </c>
      <c r="AE95" s="21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21">
        <v>0</v>
      </c>
      <c r="AW95" s="21">
        <v>0</v>
      </c>
      <c r="AX95" s="21">
        <v>0</v>
      </c>
      <c r="AY95" s="21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21">
        <v>0</v>
      </c>
      <c r="BU95" s="21">
        <v>0</v>
      </c>
      <c r="BV95" s="21">
        <v>0</v>
      </c>
      <c r="BW95" s="21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3</v>
      </c>
      <c r="CC95" s="10">
        <v>0</v>
      </c>
      <c r="CD95" s="10">
        <v>165000</v>
      </c>
      <c r="CE95" s="10">
        <v>14025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21">
        <v>3</v>
      </c>
      <c r="CO95" s="21">
        <v>0</v>
      </c>
      <c r="CP95" s="21">
        <v>165000</v>
      </c>
      <c r="CQ95" s="21">
        <v>14025</v>
      </c>
      <c r="CR95" s="10">
        <v>0</v>
      </c>
      <c r="CS95" s="10">
        <v>0</v>
      </c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3</v>
      </c>
      <c r="DA95" s="10">
        <v>0</v>
      </c>
      <c r="DB95" s="10">
        <v>178200</v>
      </c>
      <c r="DC95" s="10">
        <v>15147</v>
      </c>
      <c r="DD95" s="10">
        <v>0</v>
      </c>
      <c r="DE95" s="10">
        <v>0</v>
      </c>
      <c r="DF95" s="10">
        <v>0</v>
      </c>
      <c r="DG95" s="10">
        <v>0</v>
      </c>
      <c r="DH95" s="21">
        <v>3</v>
      </c>
      <c r="DI95" s="21">
        <v>0</v>
      </c>
      <c r="DJ95" s="21">
        <v>178200</v>
      </c>
      <c r="DK95" s="21">
        <v>15147</v>
      </c>
      <c r="DL95" s="10">
        <v>0</v>
      </c>
      <c r="DM95" s="10">
        <v>0</v>
      </c>
      <c r="DN95" s="10">
        <v>0</v>
      </c>
      <c r="DO95" s="10">
        <v>0</v>
      </c>
      <c r="DP95" s="10">
        <v>0</v>
      </c>
      <c r="DQ95" s="10">
        <v>0</v>
      </c>
      <c r="DR95" s="10">
        <v>0</v>
      </c>
      <c r="DS95" s="10">
        <v>0</v>
      </c>
      <c r="DT95" s="10">
        <v>0</v>
      </c>
      <c r="DU95" s="10">
        <v>0</v>
      </c>
      <c r="DV95" s="10">
        <v>0</v>
      </c>
      <c r="DW95" s="10">
        <v>0</v>
      </c>
      <c r="DX95" s="10">
        <v>0</v>
      </c>
      <c r="DY95" s="10">
        <v>0</v>
      </c>
      <c r="DZ95" s="10">
        <v>0</v>
      </c>
      <c r="EA95" s="10">
        <v>0</v>
      </c>
      <c r="EB95" s="10">
        <v>3</v>
      </c>
      <c r="EC95" s="10">
        <v>0</v>
      </c>
      <c r="ED95" s="10">
        <v>153450</v>
      </c>
      <c r="EE95" s="10">
        <v>13043.3</v>
      </c>
      <c r="EF95" s="21">
        <v>3</v>
      </c>
      <c r="EG95" s="21">
        <v>0</v>
      </c>
      <c r="EH95" s="21">
        <v>153450</v>
      </c>
      <c r="EI95" s="21">
        <v>13043.3</v>
      </c>
      <c r="EJ95" s="10">
        <v>0</v>
      </c>
      <c r="EK95" s="10">
        <v>0</v>
      </c>
      <c r="EL95" s="10">
        <v>0</v>
      </c>
      <c r="EM95" s="10">
        <v>0</v>
      </c>
      <c r="EN95" s="10">
        <v>3</v>
      </c>
      <c r="EO95" s="10">
        <v>0</v>
      </c>
      <c r="EP95" s="10">
        <v>168300</v>
      </c>
      <c r="EQ95" s="10">
        <v>14305.5</v>
      </c>
      <c r="ER95" s="10">
        <v>0</v>
      </c>
      <c r="ES95" s="10">
        <v>0</v>
      </c>
      <c r="ET95" s="10">
        <v>0</v>
      </c>
      <c r="EU95" s="10">
        <v>0</v>
      </c>
      <c r="EV95" s="10">
        <v>3</v>
      </c>
      <c r="EW95" s="10">
        <v>0</v>
      </c>
      <c r="EX95" s="10">
        <v>168300</v>
      </c>
      <c r="EY95" s="10">
        <v>14305.5</v>
      </c>
      <c r="EZ95" s="21">
        <v>6</v>
      </c>
      <c r="FA95" s="21">
        <v>0</v>
      </c>
      <c r="FB95" s="21">
        <v>336600</v>
      </c>
      <c r="FC95" s="21">
        <v>28611</v>
      </c>
      <c r="FD95" s="10">
        <v>0</v>
      </c>
      <c r="FE95" s="10">
        <v>0</v>
      </c>
      <c r="FF95" s="10">
        <v>0</v>
      </c>
      <c r="FG95" s="10">
        <v>0</v>
      </c>
      <c r="FH95" s="10">
        <v>0</v>
      </c>
      <c r="FI95" s="10">
        <v>0</v>
      </c>
      <c r="FJ95" s="10">
        <v>0</v>
      </c>
      <c r="FK95" s="10">
        <v>0</v>
      </c>
      <c r="FL95" s="10">
        <v>0</v>
      </c>
      <c r="FM95" s="10">
        <v>0</v>
      </c>
      <c r="FN95" s="10">
        <v>0</v>
      </c>
      <c r="FO95" s="10">
        <v>0</v>
      </c>
      <c r="FP95" s="10">
        <v>0</v>
      </c>
      <c r="FQ95" s="10">
        <v>0</v>
      </c>
      <c r="FR95" s="10">
        <v>0</v>
      </c>
      <c r="FS95" s="10">
        <v>0</v>
      </c>
      <c r="FT95" s="21">
        <v>0</v>
      </c>
      <c r="FU95" s="21">
        <v>0</v>
      </c>
      <c r="FV95" s="21">
        <v>0</v>
      </c>
      <c r="FW95" s="21">
        <v>0</v>
      </c>
      <c r="FX95" s="10">
        <v>3</v>
      </c>
      <c r="FY95" s="10">
        <v>0</v>
      </c>
      <c r="FZ95" s="10">
        <v>153450</v>
      </c>
      <c r="GA95" s="10">
        <v>13043.3</v>
      </c>
      <c r="GB95" s="10">
        <v>0</v>
      </c>
      <c r="GC95" s="10">
        <v>0</v>
      </c>
      <c r="GD95" s="10">
        <v>0</v>
      </c>
      <c r="GE95" s="10">
        <v>0</v>
      </c>
      <c r="GF95" s="10">
        <v>0</v>
      </c>
      <c r="GG95" s="10">
        <v>0</v>
      </c>
      <c r="GH95" s="10">
        <v>0</v>
      </c>
      <c r="GI95" s="10">
        <v>0</v>
      </c>
      <c r="GJ95" s="10">
        <v>0</v>
      </c>
      <c r="GK95" s="10">
        <v>0</v>
      </c>
      <c r="GL95" s="10">
        <v>0</v>
      </c>
      <c r="GM95" s="10">
        <v>0</v>
      </c>
      <c r="GN95" s="10">
        <v>0</v>
      </c>
      <c r="GO95" s="10">
        <v>0</v>
      </c>
      <c r="GP95" s="10">
        <v>0</v>
      </c>
      <c r="GQ95" s="10">
        <v>0</v>
      </c>
      <c r="GR95" s="21">
        <v>3</v>
      </c>
      <c r="GS95" s="21">
        <v>0</v>
      </c>
      <c r="GT95" s="21">
        <v>153450</v>
      </c>
      <c r="GU95" s="21">
        <v>13043.3</v>
      </c>
      <c r="GV95" s="10">
        <v>0</v>
      </c>
      <c r="GW95" s="10">
        <v>0</v>
      </c>
      <c r="GX95" s="10">
        <v>0</v>
      </c>
      <c r="GY95" s="10">
        <v>0</v>
      </c>
      <c r="GZ95" s="10">
        <v>0</v>
      </c>
      <c r="HA95" s="10">
        <v>0</v>
      </c>
      <c r="HB95" s="10">
        <v>0</v>
      </c>
      <c r="HC95" s="10">
        <v>0</v>
      </c>
      <c r="HD95" s="10">
        <v>0</v>
      </c>
      <c r="HE95" s="10">
        <v>0</v>
      </c>
      <c r="HF95" s="10">
        <v>0</v>
      </c>
      <c r="HG95" s="10">
        <v>0</v>
      </c>
      <c r="HH95" s="10">
        <v>0</v>
      </c>
      <c r="HI95" s="10">
        <v>0</v>
      </c>
      <c r="HJ95" s="10">
        <v>0</v>
      </c>
      <c r="HK95" s="10">
        <v>0</v>
      </c>
      <c r="HL95" s="21">
        <v>0</v>
      </c>
      <c r="HM95" s="21">
        <v>0</v>
      </c>
      <c r="HN95" s="21">
        <v>0</v>
      </c>
      <c r="HO95" s="21">
        <v>0</v>
      </c>
      <c r="HP95" s="10">
        <v>0</v>
      </c>
      <c r="HQ95" s="10">
        <v>0</v>
      </c>
      <c r="HR95" s="10">
        <v>0</v>
      </c>
      <c r="HS95" s="10">
        <v>0</v>
      </c>
      <c r="HT95" s="10">
        <v>0</v>
      </c>
      <c r="HU95" s="10">
        <v>0</v>
      </c>
      <c r="HV95" s="10">
        <v>0</v>
      </c>
      <c r="HW95" s="10">
        <v>0</v>
      </c>
      <c r="HX95" s="10">
        <v>0</v>
      </c>
      <c r="HY95" s="10">
        <v>0</v>
      </c>
      <c r="HZ95" s="10">
        <v>0</v>
      </c>
      <c r="IA95" s="10">
        <v>0</v>
      </c>
      <c r="IB95" s="10">
        <v>0</v>
      </c>
      <c r="IC95" s="10">
        <v>0</v>
      </c>
      <c r="ID95" s="10">
        <v>0</v>
      </c>
      <c r="IE95" s="10">
        <v>0</v>
      </c>
      <c r="IF95" s="21">
        <v>0</v>
      </c>
      <c r="IG95" s="21">
        <v>0</v>
      </c>
      <c r="IH95" s="21">
        <v>0</v>
      </c>
      <c r="II95" s="21">
        <v>0</v>
      </c>
      <c r="IJ95" s="10">
        <v>0</v>
      </c>
      <c r="IK95" s="10">
        <v>0</v>
      </c>
      <c r="IL95" s="10">
        <v>0</v>
      </c>
      <c r="IM95" s="10">
        <v>0</v>
      </c>
      <c r="IN95" s="10">
        <v>0</v>
      </c>
      <c r="IO95" s="10">
        <v>0</v>
      </c>
      <c r="IP95" s="10">
        <v>0</v>
      </c>
      <c r="IQ95" s="10">
        <v>0</v>
      </c>
      <c r="IR95" s="10">
        <v>0</v>
      </c>
      <c r="IS95" s="10">
        <v>0</v>
      </c>
      <c r="IT95" s="10">
        <v>0</v>
      </c>
      <c r="IU95" s="10">
        <v>0</v>
      </c>
      <c r="IV95" s="10">
        <v>0</v>
      </c>
      <c r="IW95" s="10">
        <v>0</v>
      </c>
      <c r="IX95" s="10">
        <v>0</v>
      </c>
      <c r="IY95" s="10">
        <v>0</v>
      </c>
      <c r="IZ95" s="10">
        <v>0</v>
      </c>
      <c r="JA95" s="10">
        <v>0</v>
      </c>
      <c r="JB95" s="10">
        <v>0</v>
      </c>
      <c r="JC95" s="10">
        <v>0</v>
      </c>
      <c r="JD95" s="21">
        <v>0</v>
      </c>
      <c r="JE95" s="21">
        <v>0</v>
      </c>
      <c r="JF95" s="21">
        <v>0</v>
      </c>
      <c r="JG95" s="21">
        <v>0</v>
      </c>
      <c r="JH95" s="10">
        <v>0</v>
      </c>
      <c r="JI95" s="10">
        <v>0</v>
      </c>
      <c r="JJ95" s="10">
        <v>0</v>
      </c>
      <c r="JK95" s="10">
        <v>0</v>
      </c>
      <c r="JL95" s="10">
        <v>0</v>
      </c>
      <c r="JM95" s="10">
        <v>0</v>
      </c>
      <c r="JN95" s="10">
        <v>0</v>
      </c>
      <c r="JO95" s="10">
        <v>0</v>
      </c>
      <c r="JP95" s="10">
        <v>0</v>
      </c>
      <c r="JQ95" s="10">
        <v>0</v>
      </c>
      <c r="JR95" s="10">
        <v>0</v>
      </c>
      <c r="JS95" s="10">
        <v>0</v>
      </c>
      <c r="JT95" s="10">
        <v>0</v>
      </c>
      <c r="JU95" s="10">
        <v>0</v>
      </c>
      <c r="JV95" s="10">
        <v>0</v>
      </c>
      <c r="JW95" s="10">
        <v>0</v>
      </c>
      <c r="JX95" s="21">
        <v>0</v>
      </c>
      <c r="JY95" s="21">
        <v>0</v>
      </c>
      <c r="JZ95" s="21">
        <v>0</v>
      </c>
      <c r="KA95" s="21">
        <v>0</v>
      </c>
      <c r="KB95" s="10">
        <v>0</v>
      </c>
      <c r="KC95" s="10">
        <v>0</v>
      </c>
      <c r="KD95" s="10">
        <v>0</v>
      </c>
      <c r="KE95" s="10">
        <v>0</v>
      </c>
      <c r="KF95" s="10">
        <v>0</v>
      </c>
      <c r="KG95" s="10">
        <v>0</v>
      </c>
      <c r="KH95" s="10">
        <v>0</v>
      </c>
      <c r="KI95" s="10">
        <v>0</v>
      </c>
      <c r="KJ95" s="10">
        <v>0</v>
      </c>
      <c r="KK95" s="10">
        <v>0</v>
      </c>
      <c r="KL95" s="10">
        <v>0</v>
      </c>
      <c r="KM95" s="10">
        <v>0</v>
      </c>
      <c r="KN95" s="10">
        <v>0</v>
      </c>
      <c r="KO95" s="10">
        <v>0</v>
      </c>
      <c r="KP95" s="10">
        <v>0</v>
      </c>
      <c r="KQ95" s="10">
        <v>0</v>
      </c>
      <c r="KR95" s="21">
        <v>0</v>
      </c>
      <c r="KS95" s="21">
        <v>0</v>
      </c>
      <c r="KT95" s="21">
        <v>0</v>
      </c>
      <c r="KU95" s="21">
        <v>0</v>
      </c>
      <c r="KV95" s="21">
        <v>18</v>
      </c>
      <c r="KW95" s="21">
        <v>0</v>
      </c>
      <c r="KX95" s="21">
        <v>986700</v>
      </c>
      <c r="KY95" s="21">
        <v>83869.5</v>
      </c>
    </row>
    <row r="96" spans="1:311" ht="16.95" customHeight="1" x14ac:dyDescent="0.4">
      <c r="A96" s="15"/>
      <c r="B96" s="15"/>
      <c r="C96" s="15" t="s">
        <v>13</v>
      </c>
      <c r="D96" s="16">
        <v>0</v>
      </c>
      <c r="E96" s="16">
        <v>0</v>
      </c>
      <c r="F96" s="16">
        <v>0</v>
      </c>
      <c r="G96" s="16">
        <v>0</v>
      </c>
      <c r="H96" s="23">
        <v>0</v>
      </c>
      <c r="I96" s="23"/>
      <c r="J96" s="23">
        <v>0</v>
      </c>
      <c r="K96" s="23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23">
        <v>0</v>
      </c>
      <c r="AC96" s="23"/>
      <c r="AD96" s="23">
        <v>0</v>
      </c>
      <c r="AE96" s="23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23">
        <v>0</v>
      </c>
      <c r="AW96" s="23"/>
      <c r="AX96" s="23">
        <v>0</v>
      </c>
      <c r="AY96" s="23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23">
        <v>0</v>
      </c>
      <c r="BU96" s="23"/>
      <c r="BV96" s="23">
        <v>0</v>
      </c>
      <c r="BW96" s="23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1</v>
      </c>
      <c r="CC96" s="16">
        <v>46200</v>
      </c>
      <c r="CD96" s="16">
        <v>46200</v>
      </c>
      <c r="CE96" s="16">
        <v>3927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23">
        <v>1</v>
      </c>
      <c r="CO96" s="23"/>
      <c r="CP96" s="23">
        <v>46200</v>
      </c>
      <c r="CQ96" s="23">
        <v>3927</v>
      </c>
      <c r="CR96" s="16">
        <v>0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0</v>
      </c>
      <c r="DF96" s="16">
        <v>0</v>
      </c>
      <c r="DG96" s="16">
        <v>0</v>
      </c>
      <c r="DH96" s="23">
        <v>0</v>
      </c>
      <c r="DI96" s="23"/>
      <c r="DJ96" s="23">
        <v>0</v>
      </c>
      <c r="DK96" s="23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  <c r="DT96" s="16">
        <v>0</v>
      </c>
      <c r="DU96" s="16">
        <v>0</v>
      </c>
      <c r="DV96" s="16">
        <v>0</v>
      </c>
      <c r="DW96" s="16">
        <v>0</v>
      </c>
      <c r="DX96" s="16">
        <v>0</v>
      </c>
      <c r="DY96" s="16">
        <v>0</v>
      </c>
      <c r="DZ96" s="16">
        <v>0</v>
      </c>
      <c r="EA96" s="16">
        <v>0</v>
      </c>
      <c r="EB96" s="16">
        <v>2</v>
      </c>
      <c r="EC96" s="16">
        <v>46200</v>
      </c>
      <c r="ED96" s="16">
        <v>92400</v>
      </c>
      <c r="EE96" s="16">
        <v>7854</v>
      </c>
      <c r="EF96" s="23">
        <v>2</v>
      </c>
      <c r="EG96" s="23"/>
      <c r="EH96" s="23">
        <v>92400</v>
      </c>
      <c r="EI96" s="23">
        <v>7854</v>
      </c>
      <c r="EJ96" s="16">
        <v>0</v>
      </c>
      <c r="EK96" s="16">
        <v>0</v>
      </c>
      <c r="EL96" s="16">
        <v>0</v>
      </c>
      <c r="EM96" s="16">
        <v>0</v>
      </c>
      <c r="EN96" s="16">
        <v>1</v>
      </c>
      <c r="EO96" s="16">
        <v>46200</v>
      </c>
      <c r="EP96" s="16">
        <v>46200</v>
      </c>
      <c r="EQ96" s="16">
        <v>3927</v>
      </c>
      <c r="ER96" s="16">
        <v>0</v>
      </c>
      <c r="ES96" s="16">
        <v>0</v>
      </c>
      <c r="ET96" s="16">
        <v>0</v>
      </c>
      <c r="EU96" s="16">
        <v>0</v>
      </c>
      <c r="EV96" s="16">
        <v>1</v>
      </c>
      <c r="EW96" s="16">
        <v>46200</v>
      </c>
      <c r="EX96" s="16">
        <v>46200</v>
      </c>
      <c r="EY96" s="16">
        <v>3927</v>
      </c>
      <c r="EZ96" s="23">
        <v>2</v>
      </c>
      <c r="FA96" s="23"/>
      <c r="FB96" s="23">
        <v>92400</v>
      </c>
      <c r="FC96" s="23">
        <v>7854</v>
      </c>
      <c r="FD96" s="16">
        <v>0</v>
      </c>
      <c r="FE96" s="16">
        <v>0</v>
      </c>
      <c r="FF96" s="16">
        <v>0</v>
      </c>
      <c r="FG96" s="16">
        <v>0</v>
      </c>
      <c r="FH96" s="16">
        <v>0</v>
      </c>
      <c r="FI96" s="16">
        <v>0</v>
      </c>
      <c r="FJ96" s="16">
        <v>0</v>
      </c>
      <c r="FK96" s="16">
        <v>0</v>
      </c>
      <c r="FL96" s="16">
        <v>0</v>
      </c>
      <c r="FM96" s="16">
        <v>0</v>
      </c>
      <c r="FN96" s="16">
        <v>0</v>
      </c>
      <c r="FO96" s="16">
        <v>0</v>
      </c>
      <c r="FP96" s="16">
        <v>0</v>
      </c>
      <c r="FQ96" s="16">
        <v>0</v>
      </c>
      <c r="FR96" s="16">
        <v>0</v>
      </c>
      <c r="FS96" s="16">
        <v>0</v>
      </c>
      <c r="FT96" s="23">
        <v>0</v>
      </c>
      <c r="FU96" s="23"/>
      <c r="FV96" s="23">
        <v>0</v>
      </c>
      <c r="FW96" s="23">
        <v>0</v>
      </c>
      <c r="FX96" s="16">
        <v>2</v>
      </c>
      <c r="FY96" s="16">
        <v>46200</v>
      </c>
      <c r="FZ96" s="16">
        <v>92400</v>
      </c>
      <c r="GA96" s="16">
        <v>7854</v>
      </c>
      <c r="GB96" s="16">
        <v>0</v>
      </c>
      <c r="GC96" s="16">
        <v>0</v>
      </c>
      <c r="GD96" s="16">
        <v>0</v>
      </c>
      <c r="GE96" s="16">
        <v>0</v>
      </c>
      <c r="GF96" s="16">
        <v>0</v>
      </c>
      <c r="GG96" s="16">
        <v>0</v>
      </c>
      <c r="GH96" s="16">
        <v>0</v>
      </c>
      <c r="GI96" s="16">
        <v>0</v>
      </c>
      <c r="GJ96" s="16">
        <v>0</v>
      </c>
      <c r="GK96" s="16">
        <v>0</v>
      </c>
      <c r="GL96" s="16">
        <v>0</v>
      </c>
      <c r="GM96" s="16">
        <v>0</v>
      </c>
      <c r="GN96" s="16">
        <v>0</v>
      </c>
      <c r="GO96" s="16">
        <v>0</v>
      </c>
      <c r="GP96" s="16">
        <v>0</v>
      </c>
      <c r="GQ96" s="16">
        <v>0</v>
      </c>
      <c r="GR96" s="23">
        <v>2</v>
      </c>
      <c r="GS96" s="23"/>
      <c r="GT96" s="23">
        <v>92400</v>
      </c>
      <c r="GU96" s="23">
        <v>7854</v>
      </c>
      <c r="GV96" s="16">
        <v>0</v>
      </c>
      <c r="GW96" s="16">
        <v>0</v>
      </c>
      <c r="GX96" s="16">
        <v>0</v>
      </c>
      <c r="GY96" s="16">
        <v>0</v>
      </c>
      <c r="GZ96" s="16">
        <v>0</v>
      </c>
      <c r="HA96" s="16">
        <v>0</v>
      </c>
      <c r="HB96" s="16">
        <v>0</v>
      </c>
      <c r="HC96" s="16">
        <v>0</v>
      </c>
      <c r="HD96" s="16">
        <v>0</v>
      </c>
      <c r="HE96" s="16">
        <v>0</v>
      </c>
      <c r="HF96" s="16">
        <v>0</v>
      </c>
      <c r="HG96" s="16">
        <v>0</v>
      </c>
      <c r="HH96" s="16">
        <v>0</v>
      </c>
      <c r="HI96" s="16">
        <v>0</v>
      </c>
      <c r="HJ96" s="16">
        <v>0</v>
      </c>
      <c r="HK96" s="16">
        <v>0</v>
      </c>
      <c r="HL96" s="23">
        <v>0</v>
      </c>
      <c r="HM96" s="23"/>
      <c r="HN96" s="23">
        <v>0</v>
      </c>
      <c r="HO96" s="23">
        <v>0</v>
      </c>
      <c r="HP96" s="16">
        <v>0</v>
      </c>
      <c r="HQ96" s="16">
        <v>0</v>
      </c>
      <c r="HR96" s="16">
        <v>0</v>
      </c>
      <c r="HS96" s="16">
        <v>0</v>
      </c>
      <c r="HT96" s="16">
        <v>0</v>
      </c>
      <c r="HU96" s="16">
        <v>0</v>
      </c>
      <c r="HV96" s="16">
        <v>0</v>
      </c>
      <c r="HW96" s="16">
        <v>0</v>
      </c>
      <c r="HX96" s="16">
        <v>0</v>
      </c>
      <c r="HY96" s="16">
        <v>0</v>
      </c>
      <c r="HZ96" s="16">
        <v>0</v>
      </c>
      <c r="IA96" s="16">
        <v>0</v>
      </c>
      <c r="IB96" s="16">
        <v>0</v>
      </c>
      <c r="IC96" s="16">
        <v>0</v>
      </c>
      <c r="ID96" s="16">
        <v>0</v>
      </c>
      <c r="IE96" s="16">
        <v>0</v>
      </c>
      <c r="IF96" s="23">
        <v>0</v>
      </c>
      <c r="IG96" s="23"/>
      <c r="IH96" s="23">
        <v>0</v>
      </c>
      <c r="II96" s="23">
        <v>0</v>
      </c>
      <c r="IJ96" s="16">
        <v>0</v>
      </c>
      <c r="IK96" s="16">
        <v>0</v>
      </c>
      <c r="IL96" s="16">
        <v>0</v>
      </c>
      <c r="IM96" s="16">
        <v>0</v>
      </c>
      <c r="IN96" s="16">
        <v>0</v>
      </c>
      <c r="IO96" s="16">
        <v>0</v>
      </c>
      <c r="IP96" s="16">
        <v>0</v>
      </c>
      <c r="IQ96" s="16">
        <v>0</v>
      </c>
      <c r="IR96" s="16">
        <v>0</v>
      </c>
      <c r="IS96" s="16">
        <v>0</v>
      </c>
      <c r="IT96" s="16">
        <v>0</v>
      </c>
      <c r="IU96" s="16">
        <v>0</v>
      </c>
      <c r="IV96" s="16">
        <v>0</v>
      </c>
      <c r="IW96" s="16">
        <v>0</v>
      </c>
      <c r="IX96" s="16">
        <v>0</v>
      </c>
      <c r="IY96" s="16">
        <v>0</v>
      </c>
      <c r="IZ96" s="16">
        <v>0</v>
      </c>
      <c r="JA96" s="16">
        <v>0</v>
      </c>
      <c r="JB96" s="16">
        <v>0</v>
      </c>
      <c r="JC96" s="16">
        <v>0</v>
      </c>
      <c r="JD96" s="23">
        <v>0</v>
      </c>
      <c r="JE96" s="23"/>
      <c r="JF96" s="23">
        <v>0</v>
      </c>
      <c r="JG96" s="23">
        <v>0</v>
      </c>
      <c r="JH96" s="16">
        <v>0</v>
      </c>
      <c r="JI96" s="16">
        <v>0</v>
      </c>
      <c r="JJ96" s="16">
        <v>0</v>
      </c>
      <c r="JK96" s="16">
        <v>0</v>
      </c>
      <c r="JL96" s="16">
        <v>0</v>
      </c>
      <c r="JM96" s="16">
        <v>0</v>
      </c>
      <c r="JN96" s="16">
        <v>0</v>
      </c>
      <c r="JO96" s="16">
        <v>0</v>
      </c>
      <c r="JP96" s="16">
        <v>0</v>
      </c>
      <c r="JQ96" s="16">
        <v>0</v>
      </c>
      <c r="JR96" s="16">
        <v>0</v>
      </c>
      <c r="JS96" s="16">
        <v>0</v>
      </c>
      <c r="JT96" s="16">
        <v>0</v>
      </c>
      <c r="JU96" s="16">
        <v>0</v>
      </c>
      <c r="JV96" s="16">
        <v>0</v>
      </c>
      <c r="JW96" s="16">
        <v>0</v>
      </c>
      <c r="JX96" s="23">
        <v>0</v>
      </c>
      <c r="JY96" s="23"/>
      <c r="JZ96" s="23">
        <v>0</v>
      </c>
      <c r="KA96" s="23">
        <v>0</v>
      </c>
      <c r="KB96" s="16">
        <v>0</v>
      </c>
      <c r="KC96" s="16">
        <v>0</v>
      </c>
      <c r="KD96" s="16">
        <v>0</v>
      </c>
      <c r="KE96" s="16">
        <v>0</v>
      </c>
      <c r="KF96" s="16">
        <v>0</v>
      </c>
      <c r="KG96" s="16">
        <v>0</v>
      </c>
      <c r="KH96" s="16">
        <v>0</v>
      </c>
      <c r="KI96" s="16">
        <v>0</v>
      </c>
      <c r="KJ96" s="16">
        <v>0</v>
      </c>
      <c r="KK96" s="16">
        <v>0</v>
      </c>
      <c r="KL96" s="16">
        <v>0</v>
      </c>
      <c r="KM96" s="16">
        <v>0</v>
      </c>
      <c r="KN96" s="16">
        <v>0</v>
      </c>
      <c r="KO96" s="16">
        <v>0</v>
      </c>
      <c r="KP96" s="16">
        <v>0</v>
      </c>
      <c r="KQ96" s="16">
        <v>0</v>
      </c>
      <c r="KR96" s="23">
        <v>0</v>
      </c>
      <c r="KS96" s="23"/>
      <c r="KT96" s="23">
        <v>0</v>
      </c>
      <c r="KU96" s="23">
        <v>0</v>
      </c>
      <c r="KV96" s="23">
        <v>7</v>
      </c>
      <c r="KW96" s="23"/>
      <c r="KX96" s="23">
        <v>323400</v>
      </c>
      <c r="KY96" s="23">
        <v>27489</v>
      </c>
    </row>
    <row r="97" spans="1:311" ht="16.95" customHeight="1" x14ac:dyDescent="0.4">
      <c r="A97" s="11"/>
      <c r="B97" s="11"/>
      <c r="C97" s="11" t="s">
        <v>23</v>
      </c>
      <c r="D97" s="9">
        <v>0</v>
      </c>
      <c r="E97" s="9">
        <v>0</v>
      </c>
      <c r="F97" s="9">
        <v>0</v>
      </c>
      <c r="G97" s="9">
        <v>0</v>
      </c>
      <c r="H97" s="22">
        <v>0</v>
      </c>
      <c r="I97" s="22"/>
      <c r="J97" s="22">
        <v>0</v>
      </c>
      <c r="K97" s="22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22">
        <v>0</v>
      </c>
      <c r="AC97" s="22"/>
      <c r="AD97" s="22">
        <v>0</v>
      </c>
      <c r="AE97" s="22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22">
        <v>0</v>
      </c>
      <c r="AW97" s="22"/>
      <c r="AX97" s="22">
        <v>0</v>
      </c>
      <c r="AY97" s="22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</v>
      </c>
      <c r="BS97" s="9">
        <v>0</v>
      </c>
      <c r="BT97" s="22">
        <v>0</v>
      </c>
      <c r="BU97" s="22"/>
      <c r="BV97" s="22">
        <v>0</v>
      </c>
      <c r="BW97" s="22">
        <v>0</v>
      </c>
      <c r="BX97" s="9">
        <v>0</v>
      </c>
      <c r="BY97" s="9">
        <v>0</v>
      </c>
      <c r="BZ97" s="9">
        <v>0</v>
      </c>
      <c r="CA97" s="9">
        <v>0</v>
      </c>
      <c r="CB97" s="9">
        <v>2</v>
      </c>
      <c r="CC97" s="9">
        <v>59400</v>
      </c>
      <c r="CD97" s="9">
        <v>118800</v>
      </c>
      <c r="CE97" s="9">
        <v>10098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22">
        <v>2</v>
      </c>
      <c r="CO97" s="22"/>
      <c r="CP97" s="22">
        <v>118800</v>
      </c>
      <c r="CQ97" s="22">
        <v>10098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3</v>
      </c>
      <c r="DA97" s="9">
        <v>59400</v>
      </c>
      <c r="DB97" s="9">
        <v>178200</v>
      </c>
      <c r="DC97" s="9">
        <v>15147</v>
      </c>
      <c r="DD97" s="9">
        <v>0</v>
      </c>
      <c r="DE97" s="9">
        <v>0</v>
      </c>
      <c r="DF97" s="9">
        <v>0</v>
      </c>
      <c r="DG97" s="9">
        <v>0</v>
      </c>
      <c r="DH97" s="22">
        <v>3</v>
      </c>
      <c r="DI97" s="22"/>
      <c r="DJ97" s="22">
        <v>178200</v>
      </c>
      <c r="DK97" s="22">
        <v>15147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9">
        <v>0</v>
      </c>
      <c r="DU97" s="9">
        <v>0</v>
      </c>
      <c r="DV97" s="9">
        <v>0</v>
      </c>
      <c r="DW97" s="9">
        <v>0</v>
      </c>
      <c r="DX97" s="9">
        <v>0</v>
      </c>
      <c r="DY97" s="9">
        <v>0</v>
      </c>
      <c r="DZ97" s="9">
        <v>0</v>
      </c>
      <c r="EA97" s="9">
        <v>0</v>
      </c>
      <c r="EB97" s="9">
        <v>1</v>
      </c>
      <c r="EC97" s="9">
        <v>61050</v>
      </c>
      <c r="ED97" s="9">
        <v>61050</v>
      </c>
      <c r="EE97" s="9">
        <v>5189.3</v>
      </c>
      <c r="EF97" s="22">
        <v>1</v>
      </c>
      <c r="EG97" s="22"/>
      <c r="EH97" s="22">
        <v>61050</v>
      </c>
      <c r="EI97" s="22">
        <v>5189.3</v>
      </c>
      <c r="EJ97" s="9">
        <v>0</v>
      </c>
      <c r="EK97" s="9">
        <v>0</v>
      </c>
      <c r="EL97" s="9">
        <v>0</v>
      </c>
      <c r="EM97" s="9">
        <v>0</v>
      </c>
      <c r="EN97" s="9">
        <v>2</v>
      </c>
      <c r="EO97" s="9">
        <v>61050</v>
      </c>
      <c r="EP97" s="9">
        <v>122100</v>
      </c>
      <c r="EQ97" s="9">
        <v>10378.5</v>
      </c>
      <c r="ER97" s="9">
        <v>0</v>
      </c>
      <c r="ES97" s="9">
        <v>0</v>
      </c>
      <c r="ET97" s="9">
        <v>0</v>
      </c>
      <c r="EU97" s="9">
        <v>0</v>
      </c>
      <c r="EV97" s="9">
        <v>2</v>
      </c>
      <c r="EW97" s="9">
        <v>61050</v>
      </c>
      <c r="EX97" s="9">
        <v>122100</v>
      </c>
      <c r="EY97" s="9">
        <v>10378.5</v>
      </c>
      <c r="EZ97" s="22">
        <v>4</v>
      </c>
      <c r="FA97" s="22"/>
      <c r="FB97" s="22">
        <v>244200</v>
      </c>
      <c r="FC97" s="22">
        <v>20757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9">
        <v>0</v>
      </c>
      <c r="FM97" s="9">
        <v>0</v>
      </c>
      <c r="FN97" s="9">
        <v>0</v>
      </c>
      <c r="FO97" s="9">
        <v>0</v>
      </c>
      <c r="FP97" s="9">
        <v>0</v>
      </c>
      <c r="FQ97" s="9">
        <v>0</v>
      </c>
      <c r="FR97" s="9">
        <v>0</v>
      </c>
      <c r="FS97" s="9">
        <v>0</v>
      </c>
      <c r="FT97" s="22">
        <v>0</v>
      </c>
      <c r="FU97" s="22"/>
      <c r="FV97" s="22">
        <v>0</v>
      </c>
      <c r="FW97" s="22">
        <v>0</v>
      </c>
      <c r="FX97" s="9">
        <v>1</v>
      </c>
      <c r="FY97" s="9">
        <v>61050</v>
      </c>
      <c r="FZ97" s="9">
        <v>61050</v>
      </c>
      <c r="GA97" s="9">
        <v>5189.3</v>
      </c>
      <c r="GB97" s="9">
        <v>0</v>
      </c>
      <c r="GC97" s="9">
        <v>0</v>
      </c>
      <c r="GD97" s="9">
        <v>0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  <c r="GJ97" s="9">
        <v>0</v>
      </c>
      <c r="GK97" s="9">
        <v>0</v>
      </c>
      <c r="GL97" s="9">
        <v>0</v>
      </c>
      <c r="GM97" s="9">
        <v>0</v>
      </c>
      <c r="GN97" s="9">
        <v>0</v>
      </c>
      <c r="GO97" s="9">
        <v>0</v>
      </c>
      <c r="GP97" s="9">
        <v>0</v>
      </c>
      <c r="GQ97" s="9">
        <v>0</v>
      </c>
      <c r="GR97" s="22">
        <v>1</v>
      </c>
      <c r="GS97" s="22"/>
      <c r="GT97" s="22">
        <v>61050</v>
      </c>
      <c r="GU97" s="22">
        <v>5189.3</v>
      </c>
      <c r="GV97" s="9">
        <v>0</v>
      </c>
      <c r="GW97" s="9">
        <v>0</v>
      </c>
      <c r="GX97" s="9">
        <v>0</v>
      </c>
      <c r="GY97" s="9">
        <v>0</v>
      </c>
      <c r="GZ97" s="9">
        <v>0</v>
      </c>
      <c r="HA97" s="9">
        <v>0</v>
      </c>
      <c r="HB97" s="9">
        <v>0</v>
      </c>
      <c r="HC97" s="9">
        <v>0</v>
      </c>
      <c r="HD97" s="9">
        <v>0</v>
      </c>
      <c r="HE97" s="9">
        <v>0</v>
      </c>
      <c r="HF97" s="9">
        <v>0</v>
      </c>
      <c r="HG97" s="9">
        <v>0</v>
      </c>
      <c r="HH97" s="9">
        <v>0</v>
      </c>
      <c r="HI97" s="9">
        <v>0</v>
      </c>
      <c r="HJ97" s="9">
        <v>0</v>
      </c>
      <c r="HK97" s="9">
        <v>0</v>
      </c>
      <c r="HL97" s="22">
        <v>0</v>
      </c>
      <c r="HM97" s="22"/>
      <c r="HN97" s="22">
        <v>0</v>
      </c>
      <c r="HO97" s="22">
        <v>0</v>
      </c>
      <c r="HP97" s="9">
        <v>0</v>
      </c>
      <c r="HQ97" s="9">
        <v>0</v>
      </c>
      <c r="HR97" s="9">
        <v>0</v>
      </c>
      <c r="HS97" s="9">
        <v>0</v>
      </c>
      <c r="HT97" s="9">
        <v>0</v>
      </c>
      <c r="HU97" s="9">
        <v>0</v>
      </c>
      <c r="HV97" s="9">
        <v>0</v>
      </c>
      <c r="HW97" s="9">
        <v>0</v>
      </c>
      <c r="HX97" s="9">
        <v>0</v>
      </c>
      <c r="HY97" s="9">
        <v>0</v>
      </c>
      <c r="HZ97" s="9">
        <v>0</v>
      </c>
      <c r="IA97" s="9">
        <v>0</v>
      </c>
      <c r="IB97" s="9">
        <v>0</v>
      </c>
      <c r="IC97" s="9">
        <v>0</v>
      </c>
      <c r="ID97" s="9">
        <v>0</v>
      </c>
      <c r="IE97" s="9">
        <v>0</v>
      </c>
      <c r="IF97" s="22">
        <v>0</v>
      </c>
      <c r="IG97" s="22"/>
      <c r="IH97" s="22">
        <v>0</v>
      </c>
      <c r="II97" s="22">
        <v>0</v>
      </c>
      <c r="IJ97" s="9">
        <v>0</v>
      </c>
      <c r="IK97" s="9">
        <v>0</v>
      </c>
      <c r="IL97" s="9">
        <v>0</v>
      </c>
      <c r="IM97" s="9">
        <v>0</v>
      </c>
      <c r="IN97" s="9">
        <v>0</v>
      </c>
      <c r="IO97" s="9">
        <v>0</v>
      </c>
      <c r="IP97" s="9">
        <v>0</v>
      </c>
      <c r="IQ97" s="9">
        <v>0</v>
      </c>
      <c r="IR97" s="9">
        <v>0</v>
      </c>
      <c r="IS97" s="9">
        <v>0</v>
      </c>
      <c r="IT97" s="9">
        <v>0</v>
      </c>
      <c r="IU97" s="9">
        <v>0</v>
      </c>
      <c r="IV97" s="9">
        <v>0</v>
      </c>
      <c r="IW97" s="9">
        <v>0</v>
      </c>
      <c r="IX97" s="9">
        <v>0</v>
      </c>
      <c r="IY97" s="9">
        <v>0</v>
      </c>
      <c r="IZ97" s="9">
        <v>0</v>
      </c>
      <c r="JA97" s="9">
        <v>0</v>
      </c>
      <c r="JB97" s="9">
        <v>0</v>
      </c>
      <c r="JC97" s="9">
        <v>0</v>
      </c>
      <c r="JD97" s="22">
        <v>0</v>
      </c>
      <c r="JE97" s="22"/>
      <c r="JF97" s="22">
        <v>0</v>
      </c>
      <c r="JG97" s="22">
        <v>0</v>
      </c>
      <c r="JH97" s="9">
        <v>0</v>
      </c>
      <c r="JI97" s="9">
        <v>0</v>
      </c>
      <c r="JJ97" s="9">
        <v>0</v>
      </c>
      <c r="JK97" s="9">
        <v>0</v>
      </c>
      <c r="JL97" s="9">
        <v>0</v>
      </c>
      <c r="JM97" s="9">
        <v>0</v>
      </c>
      <c r="JN97" s="9">
        <v>0</v>
      </c>
      <c r="JO97" s="9">
        <v>0</v>
      </c>
      <c r="JP97" s="9">
        <v>0</v>
      </c>
      <c r="JQ97" s="9">
        <v>0</v>
      </c>
      <c r="JR97" s="9">
        <v>0</v>
      </c>
      <c r="JS97" s="9">
        <v>0</v>
      </c>
      <c r="JT97" s="9">
        <v>0</v>
      </c>
      <c r="JU97" s="9">
        <v>0</v>
      </c>
      <c r="JV97" s="9">
        <v>0</v>
      </c>
      <c r="JW97" s="9">
        <v>0</v>
      </c>
      <c r="JX97" s="22">
        <v>0</v>
      </c>
      <c r="JY97" s="22"/>
      <c r="JZ97" s="22">
        <v>0</v>
      </c>
      <c r="KA97" s="22">
        <v>0</v>
      </c>
      <c r="KB97" s="9">
        <v>0</v>
      </c>
      <c r="KC97" s="9">
        <v>0</v>
      </c>
      <c r="KD97" s="9">
        <v>0</v>
      </c>
      <c r="KE97" s="9">
        <v>0</v>
      </c>
      <c r="KF97" s="9">
        <v>0</v>
      </c>
      <c r="KG97" s="9">
        <v>0</v>
      </c>
      <c r="KH97" s="9">
        <v>0</v>
      </c>
      <c r="KI97" s="9">
        <v>0</v>
      </c>
      <c r="KJ97" s="9">
        <v>0</v>
      </c>
      <c r="KK97" s="9">
        <v>0</v>
      </c>
      <c r="KL97" s="9">
        <v>0</v>
      </c>
      <c r="KM97" s="9">
        <v>0</v>
      </c>
      <c r="KN97" s="9">
        <v>0</v>
      </c>
      <c r="KO97" s="9">
        <v>0</v>
      </c>
      <c r="KP97" s="9">
        <v>0</v>
      </c>
      <c r="KQ97" s="9">
        <v>0</v>
      </c>
      <c r="KR97" s="22">
        <v>0</v>
      </c>
      <c r="KS97" s="22"/>
      <c r="KT97" s="22">
        <v>0</v>
      </c>
      <c r="KU97" s="22">
        <v>0</v>
      </c>
      <c r="KV97" s="22">
        <v>11</v>
      </c>
      <c r="KW97" s="22"/>
      <c r="KX97" s="22">
        <v>663300</v>
      </c>
      <c r="KY97" s="22">
        <v>56380.5</v>
      </c>
    </row>
    <row r="98" spans="1:311" ht="16.95" customHeight="1" x14ac:dyDescent="0.4">
      <c r="A98" s="12"/>
      <c r="B98" s="12" t="s">
        <v>166</v>
      </c>
      <c r="C98" s="12" t="s">
        <v>395</v>
      </c>
      <c r="D98" s="10">
        <v>0</v>
      </c>
      <c r="E98" s="10">
        <v>0</v>
      </c>
      <c r="F98" s="10">
        <v>0</v>
      </c>
      <c r="G98" s="10">
        <v>0</v>
      </c>
      <c r="H98" s="21">
        <v>0</v>
      </c>
      <c r="I98" s="21">
        <v>0</v>
      </c>
      <c r="J98" s="21">
        <v>0</v>
      </c>
      <c r="K98" s="2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21">
        <v>0</v>
      </c>
      <c r="AC98" s="21">
        <v>0</v>
      </c>
      <c r="AD98" s="21">
        <v>0</v>
      </c>
      <c r="AE98" s="21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0</v>
      </c>
      <c r="AV98" s="21">
        <v>0</v>
      </c>
      <c r="AW98" s="21">
        <v>0</v>
      </c>
      <c r="AX98" s="21">
        <v>0</v>
      </c>
      <c r="AY98" s="21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21">
        <v>0</v>
      </c>
      <c r="BU98" s="21">
        <v>0</v>
      </c>
      <c r="BV98" s="21">
        <v>0</v>
      </c>
      <c r="BW98" s="21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2</v>
      </c>
      <c r="CG98" s="10">
        <v>0</v>
      </c>
      <c r="CH98" s="10">
        <v>118800</v>
      </c>
      <c r="CI98" s="10">
        <v>10098</v>
      </c>
      <c r="CJ98" s="10">
        <v>0</v>
      </c>
      <c r="CK98" s="10">
        <v>0</v>
      </c>
      <c r="CL98" s="10">
        <v>0</v>
      </c>
      <c r="CM98" s="10">
        <v>0</v>
      </c>
      <c r="CN98" s="21">
        <v>2</v>
      </c>
      <c r="CO98" s="21">
        <v>0</v>
      </c>
      <c r="CP98" s="21">
        <v>118800</v>
      </c>
      <c r="CQ98" s="21">
        <v>10098</v>
      </c>
      <c r="CR98" s="10">
        <v>0</v>
      </c>
      <c r="CS98" s="10">
        <v>0</v>
      </c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21">
        <v>0</v>
      </c>
      <c r="DI98" s="21">
        <v>0</v>
      </c>
      <c r="DJ98" s="21">
        <v>0</v>
      </c>
      <c r="DK98" s="21">
        <v>0</v>
      </c>
      <c r="DL98" s="10">
        <v>0</v>
      </c>
      <c r="DM98" s="10">
        <v>0</v>
      </c>
      <c r="DN98" s="10">
        <v>0</v>
      </c>
      <c r="DO98" s="10">
        <v>0</v>
      </c>
      <c r="DP98" s="10">
        <v>0</v>
      </c>
      <c r="DQ98" s="10">
        <v>0</v>
      </c>
      <c r="DR98" s="10">
        <v>0</v>
      </c>
      <c r="DS98" s="10">
        <v>0</v>
      </c>
      <c r="DT98" s="10">
        <v>0</v>
      </c>
      <c r="DU98" s="10">
        <v>0</v>
      </c>
      <c r="DV98" s="10">
        <v>0</v>
      </c>
      <c r="DW98" s="10">
        <v>0</v>
      </c>
      <c r="DX98" s="10">
        <v>0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21">
        <v>0</v>
      </c>
      <c r="EG98" s="21">
        <v>0</v>
      </c>
      <c r="EH98" s="21">
        <v>0</v>
      </c>
      <c r="EI98" s="21">
        <v>0</v>
      </c>
      <c r="EJ98" s="10">
        <v>0</v>
      </c>
      <c r="EK98" s="10">
        <v>0</v>
      </c>
      <c r="EL98" s="10">
        <v>0</v>
      </c>
      <c r="EM98" s="10">
        <v>0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10">
        <v>0</v>
      </c>
      <c r="EU98" s="10">
        <v>0</v>
      </c>
      <c r="EV98" s="10">
        <v>0</v>
      </c>
      <c r="EW98" s="10">
        <v>0</v>
      </c>
      <c r="EX98" s="10">
        <v>0</v>
      </c>
      <c r="EY98" s="10">
        <v>0</v>
      </c>
      <c r="EZ98" s="21">
        <v>0</v>
      </c>
      <c r="FA98" s="21">
        <v>0</v>
      </c>
      <c r="FB98" s="21">
        <v>0</v>
      </c>
      <c r="FC98" s="21">
        <v>0</v>
      </c>
      <c r="FD98" s="10">
        <v>0</v>
      </c>
      <c r="FE98" s="10">
        <v>0</v>
      </c>
      <c r="FF98" s="10">
        <v>0</v>
      </c>
      <c r="FG98" s="10">
        <v>0</v>
      </c>
      <c r="FH98" s="10">
        <v>0</v>
      </c>
      <c r="FI98" s="10">
        <v>0</v>
      </c>
      <c r="FJ98" s="10">
        <v>0</v>
      </c>
      <c r="FK98" s="10">
        <v>0</v>
      </c>
      <c r="FL98" s="10">
        <v>0</v>
      </c>
      <c r="FM98" s="10">
        <v>0</v>
      </c>
      <c r="FN98" s="10">
        <v>0</v>
      </c>
      <c r="FO98" s="10">
        <v>0</v>
      </c>
      <c r="FP98" s="10">
        <v>0</v>
      </c>
      <c r="FQ98" s="10">
        <v>0</v>
      </c>
      <c r="FR98" s="10">
        <v>0</v>
      </c>
      <c r="FS98" s="10">
        <v>0</v>
      </c>
      <c r="FT98" s="21">
        <v>0</v>
      </c>
      <c r="FU98" s="21">
        <v>0</v>
      </c>
      <c r="FV98" s="21">
        <v>0</v>
      </c>
      <c r="FW98" s="21">
        <v>0</v>
      </c>
      <c r="FX98" s="10">
        <v>0</v>
      </c>
      <c r="FY98" s="10">
        <v>0</v>
      </c>
      <c r="FZ98" s="10">
        <v>0</v>
      </c>
      <c r="GA98" s="10">
        <v>0</v>
      </c>
      <c r="GB98" s="10">
        <v>0</v>
      </c>
      <c r="GC98" s="10">
        <v>0</v>
      </c>
      <c r="GD98" s="10">
        <v>0</v>
      </c>
      <c r="GE98" s="10">
        <v>0</v>
      </c>
      <c r="GF98" s="10">
        <v>0</v>
      </c>
      <c r="GG98" s="10">
        <v>0</v>
      </c>
      <c r="GH98" s="10">
        <v>0</v>
      </c>
      <c r="GI98" s="10">
        <v>0</v>
      </c>
      <c r="GJ98" s="10">
        <v>0</v>
      </c>
      <c r="GK98" s="10">
        <v>0</v>
      </c>
      <c r="GL98" s="10">
        <v>0</v>
      </c>
      <c r="GM98" s="10">
        <v>0</v>
      </c>
      <c r="GN98" s="10">
        <v>0</v>
      </c>
      <c r="GO98" s="10">
        <v>0</v>
      </c>
      <c r="GP98" s="10">
        <v>0</v>
      </c>
      <c r="GQ98" s="10">
        <v>0</v>
      </c>
      <c r="GR98" s="21">
        <v>0</v>
      </c>
      <c r="GS98" s="21">
        <v>0</v>
      </c>
      <c r="GT98" s="21">
        <v>0</v>
      </c>
      <c r="GU98" s="21">
        <v>0</v>
      </c>
      <c r="GV98" s="10">
        <v>0</v>
      </c>
      <c r="GW98" s="10">
        <v>0</v>
      </c>
      <c r="GX98" s="10">
        <v>0</v>
      </c>
      <c r="GY98" s="10">
        <v>0</v>
      </c>
      <c r="GZ98" s="10">
        <v>0</v>
      </c>
      <c r="HA98" s="10">
        <v>0</v>
      </c>
      <c r="HB98" s="10">
        <v>0</v>
      </c>
      <c r="HC98" s="10">
        <v>0</v>
      </c>
      <c r="HD98" s="10">
        <v>0</v>
      </c>
      <c r="HE98" s="10">
        <v>0</v>
      </c>
      <c r="HF98" s="10">
        <v>0</v>
      </c>
      <c r="HG98" s="10">
        <v>0</v>
      </c>
      <c r="HH98" s="10">
        <v>0</v>
      </c>
      <c r="HI98" s="10">
        <v>0</v>
      </c>
      <c r="HJ98" s="10">
        <v>0</v>
      </c>
      <c r="HK98" s="10">
        <v>0</v>
      </c>
      <c r="HL98" s="21">
        <v>0</v>
      </c>
      <c r="HM98" s="21">
        <v>0</v>
      </c>
      <c r="HN98" s="21">
        <v>0</v>
      </c>
      <c r="HO98" s="21">
        <v>0</v>
      </c>
      <c r="HP98" s="10">
        <v>0</v>
      </c>
      <c r="HQ98" s="10">
        <v>0</v>
      </c>
      <c r="HR98" s="10">
        <v>0</v>
      </c>
      <c r="HS98" s="10">
        <v>0</v>
      </c>
      <c r="HT98" s="10">
        <v>0</v>
      </c>
      <c r="HU98" s="10">
        <v>0</v>
      </c>
      <c r="HV98" s="10">
        <v>0</v>
      </c>
      <c r="HW98" s="10">
        <v>0</v>
      </c>
      <c r="HX98" s="10">
        <v>0</v>
      </c>
      <c r="HY98" s="10">
        <v>0</v>
      </c>
      <c r="HZ98" s="10">
        <v>0</v>
      </c>
      <c r="IA98" s="10">
        <v>0</v>
      </c>
      <c r="IB98" s="10">
        <v>0</v>
      </c>
      <c r="IC98" s="10">
        <v>0</v>
      </c>
      <c r="ID98" s="10">
        <v>0</v>
      </c>
      <c r="IE98" s="10">
        <v>0</v>
      </c>
      <c r="IF98" s="21">
        <v>0</v>
      </c>
      <c r="IG98" s="21">
        <v>0</v>
      </c>
      <c r="IH98" s="21">
        <v>0</v>
      </c>
      <c r="II98" s="21">
        <v>0</v>
      </c>
      <c r="IJ98" s="10">
        <v>0</v>
      </c>
      <c r="IK98" s="10">
        <v>0</v>
      </c>
      <c r="IL98" s="10">
        <v>0</v>
      </c>
      <c r="IM98" s="10">
        <v>0</v>
      </c>
      <c r="IN98" s="10">
        <v>0</v>
      </c>
      <c r="IO98" s="10">
        <v>0</v>
      </c>
      <c r="IP98" s="10">
        <v>0</v>
      </c>
      <c r="IQ98" s="10">
        <v>0</v>
      </c>
      <c r="IR98" s="10">
        <v>0</v>
      </c>
      <c r="IS98" s="10">
        <v>0</v>
      </c>
      <c r="IT98" s="10">
        <v>0</v>
      </c>
      <c r="IU98" s="10">
        <v>0</v>
      </c>
      <c r="IV98" s="10">
        <v>0</v>
      </c>
      <c r="IW98" s="10">
        <v>0</v>
      </c>
      <c r="IX98" s="10">
        <v>0</v>
      </c>
      <c r="IY98" s="10">
        <v>0</v>
      </c>
      <c r="IZ98" s="10">
        <v>0</v>
      </c>
      <c r="JA98" s="10">
        <v>0</v>
      </c>
      <c r="JB98" s="10">
        <v>0</v>
      </c>
      <c r="JC98" s="10">
        <v>0</v>
      </c>
      <c r="JD98" s="21">
        <v>0</v>
      </c>
      <c r="JE98" s="21">
        <v>0</v>
      </c>
      <c r="JF98" s="21">
        <v>0</v>
      </c>
      <c r="JG98" s="21">
        <v>0</v>
      </c>
      <c r="JH98" s="10">
        <v>0</v>
      </c>
      <c r="JI98" s="10">
        <v>0</v>
      </c>
      <c r="JJ98" s="10">
        <v>0</v>
      </c>
      <c r="JK98" s="10">
        <v>0</v>
      </c>
      <c r="JL98" s="10">
        <v>0</v>
      </c>
      <c r="JM98" s="10">
        <v>0</v>
      </c>
      <c r="JN98" s="10">
        <v>0</v>
      </c>
      <c r="JO98" s="10">
        <v>0</v>
      </c>
      <c r="JP98" s="10">
        <v>0</v>
      </c>
      <c r="JQ98" s="10">
        <v>0</v>
      </c>
      <c r="JR98" s="10">
        <v>0</v>
      </c>
      <c r="JS98" s="10">
        <v>0</v>
      </c>
      <c r="JT98" s="10">
        <v>0</v>
      </c>
      <c r="JU98" s="10">
        <v>0</v>
      </c>
      <c r="JV98" s="10">
        <v>0</v>
      </c>
      <c r="JW98" s="10">
        <v>0</v>
      </c>
      <c r="JX98" s="21">
        <v>0</v>
      </c>
      <c r="JY98" s="21">
        <v>0</v>
      </c>
      <c r="JZ98" s="21">
        <v>0</v>
      </c>
      <c r="KA98" s="21">
        <v>0</v>
      </c>
      <c r="KB98" s="10">
        <v>0</v>
      </c>
      <c r="KC98" s="10">
        <v>0</v>
      </c>
      <c r="KD98" s="10">
        <v>0</v>
      </c>
      <c r="KE98" s="10">
        <v>0</v>
      </c>
      <c r="KF98" s="10">
        <v>0</v>
      </c>
      <c r="KG98" s="10">
        <v>0</v>
      </c>
      <c r="KH98" s="10">
        <v>0</v>
      </c>
      <c r="KI98" s="10">
        <v>0</v>
      </c>
      <c r="KJ98" s="10">
        <v>0</v>
      </c>
      <c r="KK98" s="10">
        <v>0</v>
      </c>
      <c r="KL98" s="10">
        <v>0</v>
      </c>
      <c r="KM98" s="10">
        <v>0</v>
      </c>
      <c r="KN98" s="10">
        <v>0</v>
      </c>
      <c r="KO98" s="10">
        <v>0</v>
      </c>
      <c r="KP98" s="10">
        <v>0</v>
      </c>
      <c r="KQ98" s="10">
        <v>0</v>
      </c>
      <c r="KR98" s="21">
        <v>0</v>
      </c>
      <c r="KS98" s="21">
        <v>0</v>
      </c>
      <c r="KT98" s="21">
        <v>0</v>
      </c>
      <c r="KU98" s="21">
        <v>0</v>
      </c>
      <c r="KV98" s="21">
        <v>2</v>
      </c>
      <c r="KW98" s="21">
        <v>0</v>
      </c>
      <c r="KX98" s="21">
        <v>118800</v>
      </c>
      <c r="KY98" s="21">
        <v>10098</v>
      </c>
    </row>
    <row r="99" spans="1:311" ht="16.95" customHeight="1" x14ac:dyDescent="0.4">
      <c r="A99" s="11"/>
      <c r="B99" s="11"/>
      <c r="C99" s="11" t="s">
        <v>23</v>
      </c>
      <c r="D99" s="9">
        <v>0</v>
      </c>
      <c r="E99" s="9">
        <v>0</v>
      </c>
      <c r="F99" s="9">
        <v>0</v>
      </c>
      <c r="G99" s="9">
        <v>0</v>
      </c>
      <c r="H99" s="22">
        <v>0</v>
      </c>
      <c r="I99" s="22"/>
      <c r="J99" s="22">
        <v>0</v>
      </c>
      <c r="K99" s="22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22">
        <v>0</v>
      </c>
      <c r="AC99" s="22"/>
      <c r="AD99" s="22">
        <v>0</v>
      </c>
      <c r="AE99" s="22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22">
        <v>0</v>
      </c>
      <c r="AW99" s="22"/>
      <c r="AX99" s="22">
        <v>0</v>
      </c>
      <c r="AY99" s="22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</v>
      </c>
      <c r="BS99" s="9">
        <v>0</v>
      </c>
      <c r="BT99" s="22">
        <v>0</v>
      </c>
      <c r="BU99" s="22"/>
      <c r="BV99" s="22">
        <v>0</v>
      </c>
      <c r="BW99" s="22">
        <v>0</v>
      </c>
      <c r="BX99" s="9">
        <v>0</v>
      </c>
      <c r="BY99" s="9">
        <v>0</v>
      </c>
      <c r="BZ99" s="9">
        <v>0</v>
      </c>
      <c r="CA99" s="9">
        <v>0</v>
      </c>
      <c r="CB99" s="9">
        <v>0</v>
      </c>
      <c r="CC99" s="9">
        <v>0</v>
      </c>
      <c r="CD99" s="9">
        <v>0</v>
      </c>
      <c r="CE99" s="9">
        <v>0</v>
      </c>
      <c r="CF99" s="9">
        <v>2</v>
      </c>
      <c r="CG99" s="9">
        <v>59400</v>
      </c>
      <c r="CH99" s="9">
        <v>118800</v>
      </c>
      <c r="CI99" s="9">
        <v>10098</v>
      </c>
      <c r="CJ99" s="9">
        <v>0</v>
      </c>
      <c r="CK99" s="9">
        <v>0</v>
      </c>
      <c r="CL99" s="9">
        <v>0</v>
      </c>
      <c r="CM99" s="9">
        <v>0</v>
      </c>
      <c r="CN99" s="22">
        <v>2</v>
      </c>
      <c r="CO99" s="22"/>
      <c r="CP99" s="22">
        <v>118800</v>
      </c>
      <c r="CQ99" s="22">
        <v>10098</v>
      </c>
      <c r="CR99" s="9">
        <v>0</v>
      </c>
      <c r="CS99" s="9">
        <v>0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22">
        <v>0</v>
      </c>
      <c r="DI99" s="22"/>
      <c r="DJ99" s="22">
        <v>0</v>
      </c>
      <c r="DK99" s="22">
        <v>0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9">
        <v>0</v>
      </c>
      <c r="DU99" s="9">
        <v>0</v>
      </c>
      <c r="DV99" s="9">
        <v>0</v>
      </c>
      <c r="DW99" s="9">
        <v>0</v>
      </c>
      <c r="DX99" s="9">
        <v>0</v>
      </c>
      <c r="DY99" s="9">
        <v>0</v>
      </c>
      <c r="DZ99" s="9">
        <v>0</v>
      </c>
      <c r="EA99" s="9">
        <v>0</v>
      </c>
      <c r="EB99" s="9">
        <v>0</v>
      </c>
      <c r="EC99" s="9">
        <v>0</v>
      </c>
      <c r="ED99" s="9">
        <v>0</v>
      </c>
      <c r="EE99" s="9">
        <v>0</v>
      </c>
      <c r="EF99" s="22">
        <v>0</v>
      </c>
      <c r="EG99" s="22"/>
      <c r="EH99" s="22">
        <v>0</v>
      </c>
      <c r="EI99" s="22">
        <v>0</v>
      </c>
      <c r="EJ99" s="9">
        <v>0</v>
      </c>
      <c r="EK99" s="9">
        <v>0</v>
      </c>
      <c r="EL99" s="9">
        <v>0</v>
      </c>
      <c r="EM99" s="9">
        <v>0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0</v>
      </c>
      <c r="EY99" s="9">
        <v>0</v>
      </c>
      <c r="EZ99" s="22">
        <v>0</v>
      </c>
      <c r="FA99" s="22"/>
      <c r="FB99" s="22">
        <v>0</v>
      </c>
      <c r="FC99" s="22">
        <v>0</v>
      </c>
      <c r="FD99" s="9">
        <v>0</v>
      </c>
      <c r="FE99" s="9">
        <v>0</v>
      </c>
      <c r="FF99" s="9">
        <v>0</v>
      </c>
      <c r="FG99" s="9">
        <v>0</v>
      </c>
      <c r="FH99" s="9">
        <v>0</v>
      </c>
      <c r="FI99" s="9">
        <v>0</v>
      </c>
      <c r="FJ99" s="9">
        <v>0</v>
      </c>
      <c r="FK99" s="9">
        <v>0</v>
      </c>
      <c r="FL99" s="9">
        <v>0</v>
      </c>
      <c r="FM99" s="9">
        <v>0</v>
      </c>
      <c r="FN99" s="9">
        <v>0</v>
      </c>
      <c r="FO99" s="9">
        <v>0</v>
      </c>
      <c r="FP99" s="9">
        <v>0</v>
      </c>
      <c r="FQ99" s="9">
        <v>0</v>
      </c>
      <c r="FR99" s="9">
        <v>0</v>
      </c>
      <c r="FS99" s="9">
        <v>0</v>
      </c>
      <c r="FT99" s="22">
        <v>0</v>
      </c>
      <c r="FU99" s="22"/>
      <c r="FV99" s="22">
        <v>0</v>
      </c>
      <c r="FW99" s="22">
        <v>0</v>
      </c>
      <c r="FX99" s="9">
        <v>0</v>
      </c>
      <c r="FY99" s="9">
        <v>0</v>
      </c>
      <c r="FZ99" s="9">
        <v>0</v>
      </c>
      <c r="GA99" s="9">
        <v>0</v>
      </c>
      <c r="GB99" s="9">
        <v>0</v>
      </c>
      <c r="GC99" s="9">
        <v>0</v>
      </c>
      <c r="GD99" s="9">
        <v>0</v>
      </c>
      <c r="GE99" s="9">
        <v>0</v>
      </c>
      <c r="GF99" s="9">
        <v>0</v>
      </c>
      <c r="GG99" s="9">
        <v>0</v>
      </c>
      <c r="GH99" s="9">
        <v>0</v>
      </c>
      <c r="GI99" s="9">
        <v>0</v>
      </c>
      <c r="GJ99" s="9">
        <v>0</v>
      </c>
      <c r="GK99" s="9">
        <v>0</v>
      </c>
      <c r="GL99" s="9">
        <v>0</v>
      </c>
      <c r="GM99" s="9">
        <v>0</v>
      </c>
      <c r="GN99" s="9">
        <v>0</v>
      </c>
      <c r="GO99" s="9">
        <v>0</v>
      </c>
      <c r="GP99" s="9">
        <v>0</v>
      </c>
      <c r="GQ99" s="9">
        <v>0</v>
      </c>
      <c r="GR99" s="22">
        <v>0</v>
      </c>
      <c r="GS99" s="22"/>
      <c r="GT99" s="22">
        <v>0</v>
      </c>
      <c r="GU99" s="22">
        <v>0</v>
      </c>
      <c r="GV99" s="9">
        <v>0</v>
      </c>
      <c r="GW99" s="9">
        <v>0</v>
      </c>
      <c r="GX99" s="9">
        <v>0</v>
      </c>
      <c r="GY99" s="9">
        <v>0</v>
      </c>
      <c r="GZ99" s="9">
        <v>0</v>
      </c>
      <c r="HA99" s="9">
        <v>0</v>
      </c>
      <c r="HB99" s="9">
        <v>0</v>
      </c>
      <c r="HC99" s="9">
        <v>0</v>
      </c>
      <c r="HD99" s="9">
        <v>0</v>
      </c>
      <c r="HE99" s="9">
        <v>0</v>
      </c>
      <c r="HF99" s="9">
        <v>0</v>
      </c>
      <c r="HG99" s="9">
        <v>0</v>
      </c>
      <c r="HH99" s="9">
        <v>0</v>
      </c>
      <c r="HI99" s="9">
        <v>0</v>
      </c>
      <c r="HJ99" s="9">
        <v>0</v>
      </c>
      <c r="HK99" s="9">
        <v>0</v>
      </c>
      <c r="HL99" s="22">
        <v>0</v>
      </c>
      <c r="HM99" s="22"/>
      <c r="HN99" s="22">
        <v>0</v>
      </c>
      <c r="HO99" s="22">
        <v>0</v>
      </c>
      <c r="HP99" s="9">
        <v>0</v>
      </c>
      <c r="HQ99" s="9">
        <v>0</v>
      </c>
      <c r="HR99" s="9">
        <v>0</v>
      </c>
      <c r="HS99" s="9">
        <v>0</v>
      </c>
      <c r="HT99" s="9">
        <v>0</v>
      </c>
      <c r="HU99" s="9">
        <v>0</v>
      </c>
      <c r="HV99" s="9">
        <v>0</v>
      </c>
      <c r="HW99" s="9">
        <v>0</v>
      </c>
      <c r="HX99" s="9">
        <v>0</v>
      </c>
      <c r="HY99" s="9">
        <v>0</v>
      </c>
      <c r="HZ99" s="9">
        <v>0</v>
      </c>
      <c r="IA99" s="9">
        <v>0</v>
      </c>
      <c r="IB99" s="9">
        <v>0</v>
      </c>
      <c r="IC99" s="9">
        <v>0</v>
      </c>
      <c r="ID99" s="9">
        <v>0</v>
      </c>
      <c r="IE99" s="9">
        <v>0</v>
      </c>
      <c r="IF99" s="22">
        <v>0</v>
      </c>
      <c r="IG99" s="22"/>
      <c r="IH99" s="22">
        <v>0</v>
      </c>
      <c r="II99" s="22">
        <v>0</v>
      </c>
      <c r="IJ99" s="9">
        <v>0</v>
      </c>
      <c r="IK99" s="9">
        <v>0</v>
      </c>
      <c r="IL99" s="9">
        <v>0</v>
      </c>
      <c r="IM99" s="9">
        <v>0</v>
      </c>
      <c r="IN99" s="9">
        <v>0</v>
      </c>
      <c r="IO99" s="9">
        <v>0</v>
      </c>
      <c r="IP99" s="9">
        <v>0</v>
      </c>
      <c r="IQ99" s="9">
        <v>0</v>
      </c>
      <c r="IR99" s="9">
        <v>0</v>
      </c>
      <c r="IS99" s="9">
        <v>0</v>
      </c>
      <c r="IT99" s="9">
        <v>0</v>
      </c>
      <c r="IU99" s="9">
        <v>0</v>
      </c>
      <c r="IV99" s="9">
        <v>0</v>
      </c>
      <c r="IW99" s="9">
        <v>0</v>
      </c>
      <c r="IX99" s="9">
        <v>0</v>
      </c>
      <c r="IY99" s="9">
        <v>0</v>
      </c>
      <c r="IZ99" s="9">
        <v>0</v>
      </c>
      <c r="JA99" s="9">
        <v>0</v>
      </c>
      <c r="JB99" s="9">
        <v>0</v>
      </c>
      <c r="JC99" s="9">
        <v>0</v>
      </c>
      <c r="JD99" s="22">
        <v>0</v>
      </c>
      <c r="JE99" s="22"/>
      <c r="JF99" s="22">
        <v>0</v>
      </c>
      <c r="JG99" s="22">
        <v>0</v>
      </c>
      <c r="JH99" s="9">
        <v>0</v>
      </c>
      <c r="JI99" s="9">
        <v>0</v>
      </c>
      <c r="JJ99" s="9">
        <v>0</v>
      </c>
      <c r="JK99" s="9">
        <v>0</v>
      </c>
      <c r="JL99" s="9">
        <v>0</v>
      </c>
      <c r="JM99" s="9">
        <v>0</v>
      </c>
      <c r="JN99" s="9">
        <v>0</v>
      </c>
      <c r="JO99" s="9">
        <v>0</v>
      </c>
      <c r="JP99" s="9">
        <v>0</v>
      </c>
      <c r="JQ99" s="9">
        <v>0</v>
      </c>
      <c r="JR99" s="9">
        <v>0</v>
      </c>
      <c r="JS99" s="9">
        <v>0</v>
      </c>
      <c r="JT99" s="9">
        <v>0</v>
      </c>
      <c r="JU99" s="9">
        <v>0</v>
      </c>
      <c r="JV99" s="9">
        <v>0</v>
      </c>
      <c r="JW99" s="9">
        <v>0</v>
      </c>
      <c r="JX99" s="22">
        <v>0</v>
      </c>
      <c r="JY99" s="22"/>
      <c r="JZ99" s="22">
        <v>0</v>
      </c>
      <c r="KA99" s="22">
        <v>0</v>
      </c>
      <c r="KB99" s="9">
        <v>0</v>
      </c>
      <c r="KC99" s="9">
        <v>0</v>
      </c>
      <c r="KD99" s="9">
        <v>0</v>
      </c>
      <c r="KE99" s="9">
        <v>0</v>
      </c>
      <c r="KF99" s="9">
        <v>0</v>
      </c>
      <c r="KG99" s="9">
        <v>0</v>
      </c>
      <c r="KH99" s="9">
        <v>0</v>
      </c>
      <c r="KI99" s="9">
        <v>0</v>
      </c>
      <c r="KJ99" s="9">
        <v>0</v>
      </c>
      <c r="KK99" s="9">
        <v>0</v>
      </c>
      <c r="KL99" s="9">
        <v>0</v>
      </c>
      <c r="KM99" s="9">
        <v>0</v>
      </c>
      <c r="KN99" s="9">
        <v>0</v>
      </c>
      <c r="KO99" s="9">
        <v>0</v>
      </c>
      <c r="KP99" s="9">
        <v>0</v>
      </c>
      <c r="KQ99" s="9">
        <v>0</v>
      </c>
      <c r="KR99" s="22">
        <v>0</v>
      </c>
      <c r="KS99" s="22"/>
      <c r="KT99" s="22">
        <v>0</v>
      </c>
      <c r="KU99" s="22">
        <v>0</v>
      </c>
      <c r="KV99" s="22">
        <v>2</v>
      </c>
      <c r="KW99" s="22"/>
      <c r="KX99" s="22">
        <v>118800</v>
      </c>
      <c r="KY99" s="22">
        <v>10098</v>
      </c>
    </row>
    <row r="100" spans="1:311" ht="16.95" customHeight="1" x14ac:dyDescent="0.4">
      <c r="A100" s="6" t="s">
        <v>12</v>
      </c>
      <c r="B100" s="6"/>
      <c r="C100" s="6"/>
      <c r="D100" s="17">
        <v>87.4</v>
      </c>
      <c r="E100" s="17">
        <v>0</v>
      </c>
      <c r="F100" s="17">
        <v>1161995</v>
      </c>
      <c r="G100" s="17">
        <v>98769.600000000006</v>
      </c>
      <c r="H100" s="17">
        <v>87.4</v>
      </c>
      <c r="I100" s="17">
        <v>0</v>
      </c>
      <c r="J100" s="17">
        <v>1161995</v>
      </c>
      <c r="K100" s="17">
        <v>98769.600000000006</v>
      </c>
      <c r="L100" s="17">
        <v>275.60000000000002</v>
      </c>
      <c r="M100" s="17">
        <v>0</v>
      </c>
      <c r="N100" s="17">
        <v>4007080</v>
      </c>
      <c r="O100" s="17">
        <v>340601.8</v>
      </c>
      <c r="P100" s="17">
        <v>280.60000000000002</v>
      </c>
      <c r="Q100" s="17">
        <v>0</v>
      </c>
      <c r="R100" s="17">
        <v>4145836</v>
      </c>
      <c r="S100" s="17">
        <v>352396.1</v>
      </c>
      <c r="T100" s="17">
        <v>248.6</v>
      </c>
      <c r="U100" s="17">
        <v>0</v>
      </c>
      <c r="V100" s="17">
        <v>3507816</v>
      </c>
      <c r="W100" s="17">
        <v>298164.40000000002</v>
      </c>
      <c r="X100" s="17">
        <v>106.1</v>
      </c>
      <c r="Y100" s="17">
        <v>0</v>
      </c>
      <c r="Z100" s="17">
        <v>1858550</v>
      </c>
      <c r="AA100" s="17">
        <v>157976.79999999999</v>
      </c>
      <c r="AB100" s="17">
        <v>910.90000000000009</v>
      </c>
      <c r="AC100" s="17">
        <v>0</v>
      </c>
      <c r="AD100" s="17">
        <v>13519282</v>
      </c>
      <c r="AE100" s="17">
        <v>1149139</v>
      </c>
      <c r="AF100" s="17">
        <v>246.20000000000002</v>
      </c>
      <c r="AG100" s="17">
        <v>0</v>
      </c>
      <c r="AH100" s="17">
        <v>3981914</v>
      </c>
      <c r="AI100" s="17">
        <v>338462.7</v>
      </c>
      <c r="AJ100" s="17">
        <v>256.5</v>
      </c>
      <c r="AK100" s="17">
        <v>0</v>
      </c>
      <c r="AL100" s="17">
        <v>3703834</v>
      </c>
      <c r="AM100" s="17">
        <v>314825.90000000002</v>
      </c>
      <c r="AN100" s="17">
        <v>252.7</v>
      </c>
      <c r="AO100" s="17">
        <v>0</v>
      </c>
      <c r="AP100" s="17">
        <v>4020905</v>
      </c>
      <c r="AQ100" s="17">
        <v>341776.9</v>
      </c>
      <c r="AR100" s="17">
        <v>300.90000000000003</v>
      </c>
      <c r="AS100" s="17">
        <v>0</v>
      </c>
      <c r="AT100" s="17">
        <v>5078758</v>
      </c>
      <c r="AU100" s="17">
        <v>431694.4</v>
      </c>
      <c r="AV100" s="17">
        <v>1056.3000000000002</v>
      </c>
      <c r="AW100" s="17">
        <v>0</v>
      </c>
      <c r="AX100" s="17">
        <v>16785411</v>
      </c>
      <c r="AY100" s="17">
        <v>1426759.9</v>
      </c>
      <c r="AZ100" s="17">
        <v>276.2</v>
      </c>
      <c r="BA100" s="17">
        <v>0</v>
      </c>
      <c r="BB100" s="17">
        <v>4259146</v>
      </c>
      <c r="BC100" s="17">
        <v>362027.4</v>
      </c>
      <c r="BD100" s="17">
        <v>275.3</v>
      </c>
      <c r="BE100" s="17">
        <v>0</v>
      </c>
      <c r="BF100" s="17">
        <v>4190305</v>
      </c>
      <c r="BG100" s="17">
        <v>356175.9</v>
      </c>
      <c r="BH100" s="17">
        <v>268.10000000000002</v>
      </c>
      <c r="BI100" s="17">
        <v>0</v>
      </c>
      <c r="BJ100" s="17">
        <v>4774291</v>
      </c>
      <c r="BK100" s="17">
        <v>405814.7</v>
      </c>
      <c r="BL100" s="17">
        <v>280.10000000000002</v>
      </c>
      <c r="BM100" s="17">
        <v>0</v>
      </c>
      <c r="BN100" s="17">
        <v>5139852</v>
      </c>
      <c r="BO100" s="17">
        <v>436887.4</v>
      </c>
      <c r="BP100" s="17">
        <v>272.5</v>
      </c>
      <c r="BQ100" s="17">
        <v>0</v>
      </c>
      <c r="BR100" s="17">
        <v>4538050</v>
      </c>
      <c r="BS100" s="17">
        <v>385734.3</v>
      </c>
      <c r="BT100" s="17">
        <v>1372.2</v>
      </c>
      <c r="BU100" s="17">
        <v>0</v>
      </c>
      <c r="BV100" s="17">
        <v>22901644</v>
      </c>
      <c r="BW100" s="17">
        <v>1946639.7</v>
      </c>
      <c r="BX100" s="17">
        <v>320.29999999999995</v>
      </c>
      <c r="BY100" s="17">
        <v>0</v>
      </c>
      <c r="BZ100" s="17">
        <v>5146857</v>
      </c>
      <c r="CA100" s="17">
        <v>437482.8</v>
      </c>
      <c r="CB100" s="17">
        <v>285.60000000000002</v>
      </c>
      <c r="CC100" s="17">
        <v>0</v>
      </c>
      <c r="CD100" s="17">
        <v>5345981</v>
      </c>
      <c r="CE100" s="17">
        <v>454408.4</v>
      </c>
      <c r="CF100" s="17">
        <v>356.9</v>
      </c>
      <c r="CG100" s="17">
        <v>0</v>
      </c>
      <c r="CH100" s="17">
        <v>6152506</v>
      </c>
      <c r="CI100" s="17">
        <v>522963</v>
      </c>
      <c r="CJ100" s="17">
        <v>276.79999999999995</v>
      </c>
      <c r="CK100" s="17">
        <v>0</v>
      </c>
      <c r="CL100" s="17">
        <v>5093997</v>
      </c>
      <c r="CM100" s="17">
        <v>432989.7</v>
      </c>
      <c r="CN100" s="17">
        <v>1239.5999999999999</v>
      </c>
      <c r="CO100" s="17">
        <v>0</v>
      </c>
      <c r="CP100" s="17">
        <v>21739341</v>
      </c>
      <c r="CQ100" s="17">
        <v>1847844</v>
      </c>
      <c r="CR100" s="17">
        <v>202.2</v>
      </c>
      <c r="CS100" s="17">
        <v>0</v>
      </c>
      <c r="CT100" s="17">
        <v>4252923</v>
      </c>
      <c r="CU100" s="17">
        <v>361498.5</v>
      </c>
      <c r="CV100" s="17">
        <v>316.5</v>
      </c>
      <c r="CW100" s="17">
        <v>0</v>
      </c>
      <c r="CX100" s="17">
        <v>5773571</v>
      </c>
      <c r="CY100" s="17">
        <v>490753.5</v>
      </c>
      <c r="CZ100" s="17">
        <v>393.1</v>
      </c>
      <c r="DA100" s="17">
        <v>0</v>
      </c>
      <c r="DB100" s="17">
        <v>6384628</v>
      </c>
      <c r="DC100" s="17">
        <v>542693.4</v>
      </c>
      <c r="DD100" s="17">
        <v>377.9</v>
      </c>
      <c r="DE100" s="17">
        <v>0</v>
      </c>
      <c r="DF100" s="17">
        <v>6571303</v>
      </c>
      <c r="DG100" s="17">
        <v>558560.80000000005</v>
      </c>
      <c r="DH100" s="17">
        <v>1289.7</v>
      </c>
      <c r="DI100" s="17">
        <v>0</v>
      </c>
      <c r="DJ100" s="17">
        <v>22982425</v>
      </c>
      <c r="DK100" s="17">
        <v>1953506.1</v>
      </c>
      <c r="DL100" s="17">
        <v>229.8</v>
      </c>
      <c r="DM100" s="17">
        <v>0</v>
      </c>
      <c r="DN100" s="17">
        <v>4328919</v>
      </c>
      <c r="DO100" s="17">
        <v>367958.1</v>
      </c>
      <c r="DP100" s="17">
        <v>384.3</v>
      </c>
      <c r="DQ100" s="17">
        <v>0</v>
      </c>
      <c r="DR100" s="17">
        <v>7792793</v>
      </c>
      <c r="DS100" s="17">
        <v>662387.4</v>
      </c>
      <c r="DT100" s="17">
        <v>328</v>
      </c>
      <c r="DU100" s="17">
        <v>0</v>
      </c>
      <c r="DV100" s="17">
        <v>6058705</v>
      </c>
      <c r="DW100" s="17">
        <v>514989.9</v>
      </c>
      <c r="DX100" s="17">
        <v>361.79999999999995</v>
      </c>
      <c r="DY100" s="17">
        <v>0</v>
      </c>
      <c r="DZ100" s="17">
        <v>6853514</v>
      </c>
      <c r="EA100" s="17">
        <v>582548.69999999995</v>
      </c>
      <c r="EB100" s="17">
        <v>350.1</v>
      </c>
      <c r="EC100" s="17">
        <v>0</v>
      </c>
      <c r="ED100" s="17">
        <v>7200861</v>
      </c>
      <c r="EE100" s="17">
        <v>612073.19999999995</v>
      </c>
      <c r="EF100" s="17">
        <v>1654</v>
      </c>
      <c r="EG100" s="17">
        <v>0</v>
      </c>
      <c r="EH100" s="17">
        <v>32234792</v>
      </c>
      <c r="EI100" s="17">
        <v>2739957.3</v>
      </c>
      <c r="EJ100" s="17">
        <v>410.29999999999995</v>
      </c>
      <c r="EK100" s="17">
        <v>0</v>
      </c>
      <c r="EL100" s="17">
        <v>7780653</v>
      </c>
      <c r="EM100" s="17">
        <v>661355.5</v>
      </c>
      <c r="EN100" s="17">
        <v>390.7</v>
      </c>
      <c r="EO100" s="17">
        <v>0</v>
      </c>
      <c r="EP100" s="17">
        <v>7111631</v>
      </c>
      <c r="EQ100" s="17">
        <v>604488.6</v>
      </c>
      <c r="ER100" s="17">
        <v>355.8</v>
      </c>
      <c r="ES100" s="17">
        <v>0</v>
      </c>
      <c r="ET100" s="17">
        <v>7338601</v>
      </c>
      <c r="EU100" s="17">
        <v>623781.1</v>
      </c>
      <c r="EV100" s="17">
        <v>418.8</v>
      </c>
      <c r="EW100" s="17">
        <v>0</v>
      </c>
      <c r="EX100" s="17">
        <v>8450029</v>
      </c>
      <c r="EY100" s="17">
        <v>718252.5</v>
      </c>
      <c r="EZ100" s="17">
        <v>1575.6</v>
      </c>
      <c r="FA100" s="17">
        <v>0</v>
      </c>
      <c r="FB100" s="17">
        <v>30680914</v>
      </c>
      <c r="FC100" s="17">
        <v>2607877.7000000002</v>
      </c>
      <c r="FD100" s="17">
        <v>390</v>
      </c>
      <c r="FE100" s="17">
        <v>0</v>
      </c>
      <c r="FF100" s="17">
        <v>7628679</v>
      </c>
      <c r="FG100" s="17">
        <v>648437.69999999995</v>
      </c>
      <c r="FH100" s="17">
        <v>247.8</v>
      </c>
      <c r="FI100" s="17">
        <v>0</v>
      </c>
      <c r="FJ100" s="17">
        <v>5290110</v>
      </c>
      <c r="FK100" s="17">
        <v>449659.4</v>
      </c>
      <c r="FL100" s="17">
        <v>385.3</v>
      </c>
      <c r="FM100" s="17">
        <v>0</v>
      </c>
      <c r="FN100" s="17">
        <v>7048280</v>
      </c>
      <c r="FO100" s="17">
        <v>599103.80000000005</v>
      </c>
      <c r="FP100" s="17">
        <v>353.7</v>
      </c>
      <c r="FQ100" s="17">
        <v>0</v>
      </c>
      <c r="FR100" s="17">
        <v>6880323</v>
      </c>
      <c r="FS100" s="17">
        <v>584827.5</v>
      </c>
      <c r="FT100" s="17">
        <v>1376.8</v>
      </c>
      <c r="FU100" s="17">
        <v>0</v>
      </c>
      <c r="FV100" s="17">
        <v>26847392</v>
      </c>
      <c r="FW100" s="17">
        <v>2282028.2999999998</v>
      </c>
      <c r="FX100" s="17">
        <v>308.89999999999998</v>
      </c>
      <c r="FY100" s="17">
        <v>0</v>
      </c>
      <c r="FZ100" s="17">
        <v>5634250</v>
      </c>
      <c r="GA100" s="17">
        <v>478911.3</v>
      </c>
      <c r="GB100" s="17">
        <v>345.2</v>
      </c>
      <c r="GC100" s="17">
        <v>0</v>
      </c>
      <c r="GD100" s="17">
        <v>5777196</v>
      </c>
      <c r="GE100" s="17">
        <v>491061.7</v>
      </c>
      <c r="GF100" s="17">
        <v>267.3</v>
      </c>
      <c r="GG100" s="17">
        <v>0</v>
      </c>
      <c r="GH100" s="17">
        <v>4948381</v>
      </c>
      <c r="GI100" s="17">
        <v>420612.4</v>
      </c>
      <c r="GJ100" s="17">
        <v>304.8</v>
      </c>
      <c r="GK100" s="17">
        <v>0</v>
      </c>
      <c r="GL100" s="17">
        <v>5094790</v>
      </c>
      <c r="GM100" s="17">
        <v>433057.2</v>
      </c>
      <c r="GN100" s="17">
        <v>189.7</v>
      </c>
      <c r="GO100" s="17">
        <v>0</v>
      </c>
      <c r="GP100" s="17">
        <v>3980829</v>
      </c>
      <c r="GQ100" s="17">
        <v>338370.5</v>
      </c>
      <c r="GR100" s="17">
        <v>1415.9</v>
      </c>
      <c r="GS100" s="17">
        <v>0</v>
      </c>
      <c r="GT100" s="17">
        <v>25435446</v>
      </c>
      <c r="GU100" s="17">
        <v>2162012.9</v>
      </c>
      <c r="GV100" s="17">
        <v>93.3</v>
      </c>
      <c r="GW100" s="17">
        <v>0</v>
      </c>
      <c r="GX100" s="17">
        <v>1875373</v>
      </c>
      <c r="GY100" s="17">
        <v>159406.70000000001</v>
      </c>
      <c r="GZ100" s="17">
        <v>296</v>
      </c>
      <c r="HA100" s="17">
        <v>0</v>
      </c>
      <c r="HB100" s="17">
        <v>5760530</v>
      </c>
      <c r="HC100" s="17">
        <v>489645.1</v>
      </c>
      <c r="HD100" s="17">
        <v>260.20000000000005</v>
      </c>
      <c r="HE100" s="17">
        <v>0</v>
      </c>
      <c r="HF100" s="17">
        <v>3821074</v>
      </c>
      <c r="HG100" s="17">
        <v>324791.3</v>
      </c>
      <c r="HH100" s="17">
        <v>329.4</v>
      </c>
      <c r="HI100" s="17">
        <v>0</v>
      </c>
      <c r="HJ100" s="17">
        <v>5403788</v>
      </c>
      <c r="HK100" s="17">
        <v>459322</v>
      </c>
      <c r="HL100" s="17">
        <v>978.9</v>
      </c>
      <c r="HM100" s="17">
        <v>0</v>
      </c>
      <c r="HN100" s="17">
        <v>16860765</v>
      </c>
      <c r="HO100" s="17">
        <v>1433165</v>
      </c>
      <c r="HP100" s="17">
        <v>263.5</v>
      </c>
      <c r="HQ100" s="17">
        <v>0</v>
      </c>
      <c r="HR100" s="17">
        <v>4272675</v>
      </c>
      <c r="HS100" s="17">
        <v>363177.4</v>
      </c>
      <c r="HT100" s="17">
        <v>273.5</v>
      </c>
      <c r="HU100" s="17">
        <v>0</v>
      </c>
      <c r="HV100" s="17">
        <v>3727657</v>
      </c>
      <c r="HW100" s="17">
        <v>316850.8</v>
      </c>
      <c r="HX100" s="17">
        <v>280.2</v>
      </c>
      <c r="HY100" s="17">
        <v>0</v>
      </c>
      <c r="HZ100" s="17">
        <v>4502969</v>
      </c>
      <c r="IA100" s="17">
        <v>382752.4</v>
      </c>
      <c r="IB100" s="17">
        <v>261.3</v>
      </c>
      <c r="IC100" s="17">
        <v>0</v>
      </c>
      <c r="ID100" s="17">
        <v>4116883</v>
      </c>
      <c r="IE100" s="17">
        <v>349935.1</v>
      </c>
      <c r="IF100" s="17">
        <v>1078.5</v>
      </c>
      <c r="IG100" s="17">
        <v>0</v>
      </c>
      <c r="IH100" s="17">
        <v>16620184</v>
      </c>
      <c r="II100" s="17">
        <v>1412715.6</v>
      </c>
      <c r="IJ100" s="17">
        <v>256.60000000000002</v>
      </c>
      <c r="IK100" s="17">
        <v>0</v>
      </c>
      <c r="IL100" s="17">
        <v>3672268</v>
      </c>
      <c r="IM100" s="17">
        <v>312142.8</v>
      </c>
      <c r="IN100" s="17">
        <v>260</v>
      </c>
      <c r="IO100" s="17">
        <v>0</v>
      </c>
      <c r="IP100" s="17">
        <v>4026805</v>
      </c>
      <c r="IQ100" s="17">
        <v>342278.40000000002</v>
      </c>
      <c r="IR100" s="17">
        <v>253.10000000000002</v>
      </c>
      <c r="IS100" s="17">
        <v>0</v>
      </c>
      <c r="IT100" s="17">
        <v>3990202</v>
      </c>
      <c r="IU100" s="17">
        <v>339167.2</v>
      </c>
      <c r="IV100" s="17">
        <v>169.2</v>
      </c>
      <c r="IW100" s="17">
        <v>0</v>
      </c>
      <c r="IX100" s="17">
        <v>2394014</v>
      </c>
      <c r="IY100" s="17">
        <v>203491.20000000001</v>
      </c>
      <c r="IZ100" s="17">
        <v>206</v>
      </c>
      <c r="JA100" s="17">
        <v>0</v>
      </c>
      <c r="JB100" s="17">
        <v>2934858</v>
      </c>
      <c r="JC100" s="17">
        <v>249462.9</v>
      </c>
      <c r="JD100" s="17">
        <v>1144.9000000000001</v>
      </c>
      <c r="JE100" s="17">
        <v>0</v>
      </c>
      <c r="JF100" s="17">
        <v>17018147</v>
      </c>
      <c r="JG100" s="17">
        <v>1446542.5</v>
      </c>
      <c r="JH100" s="17">
        <v>218.4</v>
      </c>
      <c r="JI100" s="17">
        <v>0</v>
      </c>
      <c r="JJ100" s="17">
        <v>3215546</v>
      </c>
      <c r="JK100" s="17">
        <v>273321.40000000002</v>
      </c>
      <c r="JL100" s="17">
        <v>253.5</v>
      </c>
      <c r="JM100" s="17">
        <v>0</v>
      </c>
      <c r="JN100" s="17">
        <v>3846779</v>
      </c>
      <c r="JO100" s="17">
        <v>326976.2</v>
      </c>
      <c r="JP100" s="17">
        <v>295.79999999999995</v>
      </c>
      <c r="JQ100" s="17">
        <v>0</v>
      </c>
      <c r="JR100" s="17">
        <v>3797569</v>
      </c>
      <c r="JS100" s="17">
        <v>322793.40000000002</v>
      </c>
      <c r="JT100" s="17">
        <v>252.9</v>
      </c>
      <c r="JU100" s="17">
        <v>0</v>
      </c>
      <c r="JV100" s="17">
        <v>4049654</v>
      </c>
      <c r="JW100" s="17">
        <v>344220.6</v>
      </c>
      <c r="JX100" s="17">
        <v>1020.5999999999999</v>
      </c>
      <c r="JY100" s="17">
        <v>0</v>
      </c>
      <c r="JZ100" s="17">
        <v>14909548</v>
      </c>
      <c r="KA100" s="17">
        <v>1267311.6000000001</v>
      </c>
      <c r="KB100" s="17">
        <v>265.3</v>
      </c>
      <c r="KC100" s="17">
        <v>0</v>
      </c>
      <c r="KD100" s="17">
        <v>3826728</v>
      </c>
      <c r="KE100" s="17">
        <v>325271.90000000002</v>
      </c>
      <c r="KF100" s="17">
        <v>230.9</v>
      </c>
      <c r="KG100" s="17">
        <v>0</v>
      </c>
      <c r="KH100" s="17">
        <v>3498646</v>
      </c>
      <c r="KI100" s="17">
        <v>297384.90000000002</v>
      </c>
      <c r="KJ100" s="17">
        <v>77.7</v>
      </c>
      <c r="KK100" s="17">
        <v>0</v>
      </c>
      <c r="KL100" s="17">
        <v>1135898</v>
      </c>
      <c r="KM100" s="17">
        <v>96551.3</v>
      </c>
      <c r="KN100" s="17">
        <v>291.7</v>
      </c>
      <c r="KO100" s="17">
        <v>0</v>
      </c>
      <c r="KP100" s="17">
        <v>5144401</v>
      </c>
      <c r="KQ100" s="17">
        <v>437274.1</v>
      </c>
      <c r="KR100" s="17">
        <v>865.6</v>
      </c>
      <c r="KS100" s="17">
        <v>0</v>
      </c>
      <c r="KT100" s="17">
        <v>13605673</v>
      </c>
      <c r="KU100" s="17">
        <v>1156482.2</v>
      </c>
      <c r="KV100" s="17">
        <v>17066.900000000001</v>
      </c>
      <c r="KW100" s="17">
        <v>0</v>
      </c>
      <c r="KX100" s="17">
        <v>293302959</v>
      </c>
      <c r="KY100" s="17">
        <v>24930751.5</v>
      </c>
    </row>
  </sheetData>
  <mergeCells count="1">
    <mergeCell ref="A1:KY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30D8-74ED-4CAC-9D8A-19E0064E4F29}">
  <dimension ref="A1:B17"/>
  <sheetViews>
    <sheetView workbookViewId="0">
      <selection activeCell="D17" sqref="D17"/>
    </sheetView>
  </sheetViews>
  <sheetFormatPr defaultRowHeight="17.399999999999999" x14ac:dyDescent="0.4"/>
  <cols>
    <col min="1" max="1" width="48.09765625" bestFit="1" customWidth="1"/>
  </cols>
  <sheetData>
    <row r="1" spans="1:2" x14ac:dyDescent="0.4">
      <c r="A1" s="34" t="s">
        <v>451</v>
      </c>
    </row>
    <row r="2" spans="1:2" x14ac:dyDescent="0.4">
      <c r="A2" t="s">
        <v>437</v>
      </c>
    </row>
    <row r="3" spans="1:2" x14ac:dyDescent="0.4">
      <c r="A3" t="s">
        <v>0</v>
      </c>
      <c r="B3" t="s">
        <v>438</v>
      </c>
    </row>
    <row r="4" spans="1:2" x14ac:dyDescent="0.4">
      <c r="A4" t="s">
        <v>452</v>
      </c>
      <c r="B4">
        <v>9</v>
      </c>
    </row>
    <row r="5" spans="1:2" x14ac:dyDescent="0.4">
      <c r="A5" t="s">
        <v>453</v>
      </c>
      <c r="B5">
        <v>25</v>
      </c>
    </row>
    <row r="6" spans="1:2" x14ac:dyDescent="0.4">
      <c r="A6" t="s">
        <v>439</v>
      </c>
      <c r="B6">
        <v>55</v>
      </c>
    </row>
    <row r="7" spans="1:2" x14ac:dyDescent="0.4">
      <c r="A7" t="s">
        <v>440</v>
      </c>
      <c r="B7">
        <v>36</v>
      </c>
    </row>
    <row r="8" spans="1:2" x14ac:dyDescent="0.4">
      <c r="A8" t="s">
        <v>441</v>
      </c>
      <c r="B8">
        <v>183</v>
      </c>
    </row>
    <row r="9" spans="1:2" x14ac:dyDescent="0.4">
      <c r="A9" t="s">
        <v>442</v>
      </c>
      <c r="B9">
        <v>43</v>
      </c>
    </row>
    <row r="10" spans="1:2" x14ac:dyDescent="0.4">
      <c r="A10" t="s">
        <v>443</v>
      </c>
      <c r="B10">
        <v>22</v>
      </c>
    </row>
    <row r="11" spans="1:2" x14ac:dyDescent="0.4">
      <c r="A11" t="s">
        <v>444</v>
      </c>
      <c r="B11">
        <v>1</v>
      </c>
    </row>
    <row r="12" spans="1:2" x14ac:dyDescent="0.4">
      <c r="A12" t="s">
        <v>445</v>
      </c>
      <c r="B12">
        <v>70</v>
      </c>
    </row>
    <row r="13" spans="1:2" x14ac:dyDescent="0.4">
      <c r="A13" t="s">
        <v>446</v>
      </c>
      <c r="B13">
        <v>17</v>
      </c>
    </row>
    <row r="14" spans="1:2" x14ac:dyDescent="0.4">
      <c r="A14" t="s">
        <v>447</v>
      </c>
      <c r="B14">
        <v>12</v>
      </c>
    </row>
    <row r="15" spans="1:2" x14ac:dyDescent="0.4">
      <c r="A15" t="s">
        <v>448</v>
      </c>
      <c r="B15">
        <v>10</v>
      </c>
    </row>
    <row r="16" spans="1:2" x14ac:dyDescent="0.4">
      <c r="A16" t="s">
        <v>449</v>
      </c>
      <c r="B16">
        <v>14</v>
      </c>
    </row>
    <row r="17" spans="1:2" x14ac:dyDescent="0.4">
      <c r="A17" t="s">
        <v>450</v>
      </c>
      <c r="B17">
        <v>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제주_주간출고현황</vt:lpstr>
      <vt:lpstr>서울_주간출고현황</vt:lpstr>
      <vt:lpstr>SPC물류외 범용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지환 윤</cp:lastModifiedBy>
  <dcterms:created xsi:type="dcterms:W3CDTF">2026-03-23T03:42:00Z</dcterms:created>
  <dcterms:modified xsi:type="dcterms:W3CDTF">2026-03-23T06:46:27Z</dcterms:modified>
</cp:coreProperties>
</file>